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alfredo.hernandez\Documents\"/>
    </mc:Choice>
  </mc:AlternateContent>
  <bookViews>
    <workbookView xWindow="0" yWindow="0" windowWidth="28800" windowHeight="12615" tabRatio="850" firstSheet="2" activeTab="7"/>
  </bookViews>
  <sheets>
    <sheet name="RESUMEN" sheetId="1" r:id="rId1"/>
    <sheet name="TRASLADOS" sheetId="2" r:id="rId2"/>
    <sheet name="MORTALIDAD" sheetId="3" r:id="rId3"/>
    <sheet name="VENTAS" sheetId="4" r:id="rId4"/>
    <sheet name="ALIMENTO_NUEVO" sheetId="9" r:id="rId5"/>
    <sheet name="LABORATORIO" sheetId="12" state="hidden" r:id="rId6"/>
    <sheet name="MORTALIDAD_ACUMULADA" sheetId="7" r:id="rId7"/>
    <sheet name="GENERAR_TXT" sheetId="11" r:id="rId8"/>
    <sheet name="RESUMEN_A" sheetId="13" state="hidden" r:id="rId9"/>
    <sheet name="FORMULAS" sheetId="10" r:id="rId10"/>
  </sheets>
  <definedNames>
    <definedName name="Aparicio">GENERAR_TXT!$N$60:$N$61</definedName>
    <definedName name="Berrenda">GENERAR_TXT!$N$53:$N$54</definedName>
    <definedName name="Cuarentena">GENERAR_TXT!$M$40:$M$41</definedName>
    <definedName name="Cuna">GENERAR_TXT!$Q$60:$Q$61</definedName>
    <definedName name="Esperanza">GENERAR_TXT!$M$53:$M$56</definedName>
    <definedName name="G000_Grupo_A">GENERAR_TXT!$N$71</definedName>
    <definedName name="G000_Grupo_B">GENERAR_TXT!$O$71</definedName>
    <definedName name="G101_Grupo_A">GENERAR_TXT!$O$75</definedName>
    <definedName name="G101_Grupo_B">GENERAR_TXT!$P$75</definedName>
    <definedName name="G101_Grupo_C">GENERAR_TXT!$Q$75</definedName>
    <definedName name="G101_Grupo_D">GENERAR_TXT!$R$75</definedName>
    <definedName name="G101_Vta">GENERAR_TXT!$N$75</definedName>
    <definedName name="G102_Grupo_A">GENERAR_TXT!$N$79</definedName>
    <definedName name="G102_Grupo_B">GENERAR_TXT!$O$79</definedName>
    <definedName name="G102_Grupo_C">GENERAR_TXT!$P$79</definedName>
    <definedName name="G102_Grupo_D">GENERAR_TXT!$Q$79</definedName>
    <definedName name="G102_Grupo_E">GENERAR_TXT!$R$79</definedName>
    <definedName name="G102_Grupo_F">GENERAR_TXT!$S$79</definedName>
    <definedName name="G102_Grupo_G">GENERAR_TXT!$T$79</definedName>
    <definedName name="G102_Grupo_H">GENERAR_TXT!$U$79</definedName>
    <definedName name="G102_Grupo_I">GENERAR_TXT!$V$79</definedName>
    <definedName name="G102_Grupo_J">GENERAR_TXT!$W$79</definedName>
    <definedName name="G201_Grupo_A">GENERAR_TXT!$N$85</definedName>
    <definedName name="G201_Grupo_A1">GENERAR_TXT!$O$85</definedName>
    <definedName name="G201_Grupo_B">GENERAR_TXT!$P$85</definedName>
    <definedName name="G201_Grupo_B1">GENERAR_TXT!$Q$85</definedName>
    <definedName name="G202_Grupo_A">GENERAR_TXT!$N$89</definedName>
    <definedName name="G202_Grupo_B">GENERAR_TXT!$O$89</definedName>
    <definedName name="G203_Grupo_A">GENERAR_TXT!$N$93</definedName>
    <definedName name="G203_Grupo_B">GENERAR_TXT!$O$93</definedName>
    <definedName name="G301_Grupo_A">GENERAR_TXT!$N$99:$N$101</definedName>
    <definedName name="G301_Grupo_B">GENERAR_TXT!$O$99:$O$101</definedName>
    <definedName name="G302_Grupo_A">GENERAR_TXT!$N$105:$N$107</definedName>
    <definedName name="G302_Grupo_B">GENERAR_TXT!$O$105:$O$107</definedName>
    <definedName name="G303_Grupo_A">GENERAR_TXT!$N$111:$N$113</definedName>
    <definedName name="G303_Grupo_B">GENERAR_TXT!$O$111:$O$113</definedName>
    <definedName name="G304_Grupo_A">GENERAR_TXT!$N$117:$N$119</definedName>
    <definedName name="G304_Grupo_B">GENERAR_TXT!$O$117:$O$119</definedName>
    <definedName name="G305_Grupo_A">GENERAR_TXT!$N$123:$N$125</definedName>
    <definedName name="G305_Grupo_B">GENERAR_TXT!$O$123:$O$125</definedName>
    <definedName name="G306_Grupo_A">GENERAR_TXT!$N$129:$N$131</definedName>
    <definedName name="G306_Grupo_B">GENERAR_TXT!$O$129:$O$131</definedName>
    <definedName name="Isabel">GENERAR_TXT!$R$60:$R$61</definedName>
    <definedName name="Laja">GENERAR_TXT!$P$60:$P$61</definedName>
    <definedName name="Loma">GENERAR_TXT!$O$60:$O$61</definedName>
    <definedName name="Moro">GENERAR_TXT!$M$60:$M$61</definedName>
    <definedName name="Peña">GENERAR_TXT!$O$53:$O$54</definedName>
    <definedName name="Piedras">GENERAR_TXT!$O$40:$O$49</definedName>
    <definedName name="SITIOS_1">GENERAR_TXT!$L$28:$L$30</definedName>
    <definedName name="SITIOS_2">GENERAR_TXT!$M$28:$M$30</definedName>
    <definedName name="SITIOS_3">GENERAR_TXT!$N$28:$N$33</definedName>
    <definedName name="Terrero">GENERAR_TXT!$N$40:$N$44</definedName>
    <definedName name="Z_D0A72333_44E4_44B0_93CA_B728F04236CB_.wvu.Cols" localSheetId="2" hidden="1">MORTALIDAD!$BE:$XFD</definedName>
    <definedName name="Z_D0A72333_44E4_44B0_93CA_B728F04236CB_.wvu.Cols" localSheetId="0" hidden="1">RESUMEN!$BX:$XFD</definedName>
    <definedName name="Z_D0A72333_44E4_44B0_93CA_B728F04236CB_.wvu.Cols" localSheetId="1" hidden="1">TRASLADOS!$BJ:$XFD</definedName>
    <definedName name="Z_D0A72333_44E4_44B0_93CA_B728F04236CB_.wvu.Cols" localSheetId="3" hidden="1">VENTAS!$BC:$XFD</definedName>
    <definedName name="Z_D0A72333_44E4_44B0_93CA_B728F04236CB_.wvu.Rows" localSheetId="0" hidden="1">RESUMEN!$1002:$1048576,RESUMEN!$283:$1001</definedName>
    <definedName name="Z_D0A72333_44E4_44B0_93CA_B728F04236CB_.wvu.Rows" localSheetId="3" hidden="1">VENTAS!$247:$1048576</definedName>
    <definedName name="Z_E3163CA8_A8FB_4416_898F_A92046F72E9D_.wvu.Cols" localSheetId="2" hidden="1">MORTALIDAD!$BE:$XFD</definedName>
    <definedName name="Z_E3163CA8_A8FB_4416_898F_A92046F72E9D_.wvu.Cols" localSheetId="0" hidden="1">RESUMEN!$BX:$XFD</definedName>
    <definedName name="Z_E3163CA8_A8FB_4416_898F_A92046F72E9D_.wvu.Cols" localSheetId="1" hidden="1">TRASLADOS!$BJ:$XFD</definedName>
    <definedName name="Z_E3163CA8_A8FB_4416_898F_A92046F72E9D_.wvu.Cols" localSheetId="3" hidden="1">VENTAS!$BC:$XFD</definedName>
    <definedName name="Z_E3163CA8_A8FB_4416_898F_A92046F72E9D_.wvu.Rows" localSheetId="0" hidden="1">RESUMEN!$1002:$1048576,RESUMEN!$283:$1001</definedName>
    <definedName name="Z_E3163CA8_A8FB_4416_898F_A92046F72E9D_.wvu.Rows" localSheetId="3" hidden="1">VENTAS!$247:$1048576</definedName>
  </definedNames>
  <calcPr calcId="152511"/>
  <customWorkbookViews>
    <customWorkbookView name="guadalupe villanueva - Vista personalizada" guid="{D0A72333-44E4-44B0-93CA-B728F04236CB}" mergeInterval="0" personalView="1" maximized="1" xWindow="-8" yWindow="-8" windowWidth="1936" windowHeight="1056" activeSheetId="5"/>
    <customWorkbookView name="FRANCISCO PADILLA - Vista personalizada" guid="{E3163CA8-A8FB-4416-898F-A92046F72E9D}" mergeInterval="0" personalView="1" maximized="1" xWindow="-8" yWindow="-8" windowWidth="1382" windowHeight="744" activeSheetId="1"/>
  </customWorkbookViews>
  <pivotCaches>
    <pivotCache cacheId="8" r:id="rId11"/>
    <pivotCache cacheId="11" r:id="rId12"/>
    <pivotCache cacheId="14" r:id="rId13"/>
    <pivotCache cacheId="17" r:id="rId14"/>
    <pivotCache cacheId="20" r:id="rId15"/>
    <pivotCache cacheId="23" r:id="rId1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4" i="3" l="1"/>
  <c r="AX1" i="9"/>
  <c r="BM27" i="9" l="1"/>
  <c r="BK27" i="9"/>
  <c r="BJ27" i="9"/>
  <c r="BJ25" i="9"/>
  <c r="BK25" i="9"/>
  <c r="BM25" i="9"/>
  <c r="BJ26" i="9"/>
  <c r="BK26" i="9"/>
  <c r="BM26" i="9"/>
  <c r="AC56" i="9"/>
  <c r="O4" i="13" l="1"/>
  <c r="O5" i="13"/>
  <c r="O6" i="13"/>
  <c r="O7" i="13"/>
  <c r="O8" i="13"/>
  <c r="O9" i="13"/>
  <c r="O10" i="13"/>
  <c r="O11" i="13"/>
  <c r="O12" i="13"/>
  <c r="O13" i="13"/>
  <c r="O14" i="13"/>
  <c r="O15" i="13"/>
  <c r="O16" i="13"/>
  <c r="O17" i="13"/>
  <c r="O18" i="13"/>
  <c r="O19" i="13"/>
  <c r="O20" i="13"/>
  <c r="O21" i="13"/>
  <c r="O22" i="13"/>
  <c r="O23" i="13"/>
  <c r="O24" i="13"/>
  <c r="O25" i="13"/>
  <c r="O26" i="13"/>
  <c r="O27" i="13"/>
  <c r="O28" i="13"/>
  <c r="O29" i="13"/>
  <c r="O30" i="13"/>
  <c r="O31" i="13"/>
  <c r="O32" i="13"/>
  <c r="O33" i="13"/>
  <c r="O34" i="13"/>
  <c r="O35" i="13"/>
  <c r="O36" i="13"/>
  <c r="O37" i="13"/>
  <c r="O38" i="13"/>
  <c r="O39" i="13"/>
  <c r="O40" i="13"/>
  <c r="O41" i="13"/>
  <c r="O42" i="13"/>
  <c r="O43" i="13"/>
  <c r="O44" i="13"/>
  <c r="O3" i="13"/>
  <c r="N4" i="13"/>
  <c r="N5" i="13"/>
  <c r="N6" i="13"/>
  <c r="N7" i="13"/>
  <c r="N8" i="13"/>
  <c r="N9" i="13"/>
  <c r="N10" i="13"/>
  <c r="N11" i="13"/>
  <c r="N12" i="13"/>
  <c r="N13" i="13"/>
  <c r="N14" i="13"/>
  <c r="N15" i="13"/>
  <c r="N16" i="13"/>
  <c r="N17" i="13"/>
  <c r="N18" i="13"/>
  <c r="N19" i="13"/>
  <c r="N20" i="13"/>
  <c r="N21" i="13"/>
  <c r="N22" i="13"/>
  <c r="N23" i="13"/>
  <c r="N24" i="13"/>
  <c r="N25" i="13"/>
  <c r="N26" i="13"/>
  <c r="N27" i="13"/>
  <c r="N28" i="13"/>
  <c r="N29" i="13"/>
  <c r="N30" i="13"/>
  <c r="N31" i="13"/>
  <c r="N32" i="13"/>
  <c r="N33" i="13"/>
  <c r="N34" i="13"/>
  <c r="N35" i="13"/>
  <c r="N36" i="13"/>
  <c r="N37" i="13"/>
  <c r="N38" i="13"/>
  <c r="N39" i="13"/>
  <c r="N40" i="13"/>
  <c r="N41" i="13"/>
  <c r="N42" i="13"/>
  <c r="N43" i="13"/>
  <c r="N44" i="13"/>
  <c r="N3" i="13"/>
  <c r="M4" i="13"/>
  <c r="M5" i="13"/>
  <c r="M6" i="13"/>
  <c r="M7" i="13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3" i="13"/>
  <c r="L4" i="13"/>
  <c r="L5" i="13"/>
  <c r="L6" i="13"/>
  <c r="L7" i="13"/>
  <c r="L8" i="13"/>
  <c r="L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L29" i="13"/>
  <c r="L30" i="13"/>
  <c r="L31" i="13"/>
  <c r="L32" i="13"/>
  <c r="L33" i="13"/>
  <c r="L34" i="13"/>
  <c r="L35" i="13"/>
  <c r="L36" i="13"/>
  <c r="L37" i="13"/>
  <c r="L38" i="13"/>
  <c r="L39" i="13"/>
  <c r="L40" i="13"/>
  <c r="L41" i="13"/>
  <c r="L42" i="13"/>
  <c r="L43" i="13"/>
  <c r="L44" i="13"/>
  <c r="L3" i="13"/>
  <c r="K4" i="13"/>
  <c r="K5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44" i="13"/>
  <c r="K3" i="13"/>
  <c r="J4" i="13"/>
  <c r="J5" i="13"/>
  <c r="J6" i="13"/>
  <c r="J7" i="13"/>
  <c r="P7" i="13" s="1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P21" i="13" s="1"/>
  <c r="J22" i="13"/>
  <c r="J23" i="13"/>
  <c r="P23" i="13" s="1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3" i="13"/>
  <c r="P38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3" i="13"/>
  <c r="G4" i="13"/>
  <c r="G5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G41" i="13"/>
  <c r="G42" i="13"/>
  <c r="G43" i="13"/>
  <c r="G44" i="13"/>
  <c r="G3" i="13"/>
  <c r="F4" i="13"/>
  <c r="F5" i="13"/>
  <c r="F6" i="13"/>
  <c r="F7" i="13"/>
  <c r="F8" i="13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3" i="13"/>
  <c r="F34" i="13"/>
  <c r="F35" i="13"/>
  <c r="F36" i="13"/>
  <c r="F37" i="13"/>
  <c r="F38" i="13"/>
  <c r="F39" i="13"/>
  <c r="F40" i="13"/>
  <c r="F41" i="13"/>
  <c r="F42" i="13"/>
  <c r="F43" i="13"/>
  <c r="F44" i="13"/>
  <c r="F3" i="13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3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3" i="13"/>
  <c r="C4" i="13"/>
  <c r="I4" i="13" s="1"/>
  <c r="C5" i="13"/>
  <c r="I5" i="13" s="1"/>
  <c r="C6" i="13"/>
  <c r="I6" i="13" s="1"/>
  <c r="C7" i="13"/>
  <c r="I7" i="13" s="1"/>
  <c r="C8" i="13"/>
  <c r="I8" i="13" s="1"/>
  <c r="C9" i="13"/>
  <c r="I9" i="13" s="1"/>
  <c r="C10" i="13"/>
  <c r="C11" i="13"/>
  <c r="C12" i="13"/>
  <c r="I12" i="13" s="1"/>
  <c r="C13" i="13"/>
  <c r="I13" i="13" s="1"/>
  <c r="C14" i="13"/>
  <c r="I14" i="13" s="1"/>
  <c r="C15" i="13"/>
  <c r="C16" i="13"/>
  <c r="I16" i="13" s="1"/>
  <c r="C17" i="13"/>
  <c r="I17" i="13" s="1"/>
  <c r="C18" i="13"/>
  <c r="C19" i="13"/>
  <c r="C20" i="13"/>
  <c r="I20" i="13" s="1"/>
  <c r="C21" i="13"/>
  <c r="I21" i="13" s="1"/>
  <c r="C22" i="13"/>
  <c r="I22" i="13" s="1"/>
  <c r="C23" i="13"/>
  <c r="I23" i="13" s="1"/>
  <c r="C24" i="13"/>
  <c r="I24" i="13" s="1"/>
  <c r="C25" i="13"/>
  <c r="C26" i="13"/>
  <c r="C27" i="13"/>
  <c r="C28" i="13"/>
  <c r="I28" i="13" s="1"/>
  <c r="C29" i="13"/>
  <c r="I29" i="13" s="1"/>
  <c r="C30" i="13"/>
  <c r="I30" i="13" s="1"/>
  <c r="C31" i="13"/>
  <c r="I31" i="13" s="1"/>
  <c r="C32" i="13"/>
  <c r="I32" i="13" s="1"/>
  <c r="C33" i="13"/>
  <c r="I33" i="13" s="1"/>
  <c r="C34" i="13"/>
  <c r="C35" i="13"/>
  <c r="C36" i="13"/>
  <c r="C37" i="13"/>
  <c r="I37" i="13" s="1"/>
  <c r="C38" i="13"/>
  <c r="I38" i="13" s="1"/>
  <c r="C39" i="13"/>
  <c r="I39" i="13" s="1"/>
  <c r="C40" i="13"/>
  <c r="I40" i="13" s="1"/>
  <c r="C41" i="13"/>
  <c r="I41" i="13" s="1"/>
  <c r="C42" i="13"/>
  <c r="C43" i="13"/>
  <c r="C44" i="13"/>
  <c r="C3" i="13"/>
  <c r="I15" i="13" l="1"/>
  <c r="I25" i="13"/>
  <c r="P22" i="13"/>
  <c r="P6" i="13"/>
  <c r="I36" i="13"/>
  <c r="P14" i="13"/>
  <c r="P30" i="13"/>
  <c r="P16" i="13"/>
  <c r="P12" i="13"/>
  <c r="P15" i="13"/>
  <c r="P13" i="13"/>
  <c r="P32" i="13"/>
  <c r="P28" i="13"/>
  <c r="P20" i="13"/>
  <c r="P8" i="13"/>
  <c r="P4" i="13"/>
  <c r="P37" i="13"/>
  <c r="P39" i="13"/>
  <c r="P31" i="13"/>
  <c r="P29" i="13"/>
  <c r="P36" i="13"/>
  <c r="P24" i="13"/>
  <c r="P5" i="13"/>
  <c r="P41" i="13"/>
  <c r="P33" i="13"/>
  <c r="P25" i="13"/>
  <c r="P17" i="13"/>
  <c r="P9" i="13"/>
  <c r="P40" i="13"/>
  <c r="I43" i="13"/>
  <c r="I35" i="13"/>
  <c r="I27" i="13"/>
  <c r="I19" i="13"/>
  <c r="I11" i="13"/>
  <c r="P35" i="13"/>
  <c r="P27" i="13"/>
  <c r="P19" i="13"/>
  <c r="P11" i="13"/>
  <c r="P42" i="13"/>
  <c r="P34" i="13"/>
  <c r="P10" i="13"/>
  <c r="P44" i="13"/>
  <c r="P43" i="13"/>
  <c r="P26" i="13"/>
  <c r="P18" i="13"/>
  <c r="P3" i="13"/>
  <c r="I42" i="13"/>
  <c r="I34" i="13"/>
  <c r="I26" i="13"/>
  <c r="I18" i="13"/>
  <c r="I10" i="13"/>
  <c r="I44" i="13"/>
  <c r="I3" i="13"/>
  <c r="BR4" i="12"/>
  <c r="BR5" i="12"/>
  <c r="BR6" i="12"/>
  <c r="BR7" i="12"/>
  <c r="BR8" i="12"/>
  <c r="BR9" i="12"/>
  <c r="BR10" i="12"/>
  <c r="BR11" i="12"/>
  <c r="BR12" i="12"/>
  <c r="BR13" i="12"/>
  <c r="BR14" i="12"/>
  <c r="BR15" i="12"/>
  <c r="BR16" i="12"/>
  <c r="BR17" i="12"/>
  <c r="BR18" i="12"/>
  <c r="BR19" i="12"/>
  <c r="BR20" i="12"/>
  <c r="BR21" i="12"/>
  <c r="BR22" i="12"/>
  <c r="BR23" i="12"/>
  <c r="BR24" i="12"/>
  <c r="BR25" i="12"/>
  <c r="BR26" i="12"/>
  <c r="BR27" i="12"/>
  <c r="BR28" i="12"/>
  <c r="BR29" i="12"/>
  <c r="BR30" i="12"/>
  <c r="BR31" i="12"/>
  <c r="BR32" i="12"/>
  <c r="BR33" i="12"/>
  <c r="BR34" i="12"/>
  <c r="BR35" i="12"/>
  <c r="BR36" i="12"/>
  <c r="BR37" i="12"/>
  <c r="BR38" i="12"/>
  <c r="BR39" i="12"/>
  <c r="BR40" i="12"/>
  <c r="BR41" i="12"/>
  <c r="BR42" i="12"/>
  <c r="BR43" i="12"/>
  <c r="BR44" i="12"/>
  <c r="BR45" i="12"/>
  <c r="BR46" i="12"/>
  <c r="BR47" i="12"/>
  <c r="BR48" i="12"/>
  <c r="BR49" i="12"/>
  <c r="BR50" i="12"/>
  <c r="BR51" i="12"/>
  <c r="BR52" i="12"/>
  <c r="BR53" i="12"/>
  <c r="BR3" i="12"/>
  <c r="BF4" i="12"/>
  <c r="BF5" i="12"/>
  <c r="BF6" i="12"/>
  <c r="BF7" i="12"/>
  <c r="BF8" i="12"/>
  <c r="BF9" i="12"/>
  <c r="BF10" i="12"/>
  <c r="BF11" i="12"/>
  <c r="BF12" i="12"/>
  <c r="BF13" i="12"/>
  <c r="BF14" i="12"/>
  <c r="BF15" i="12"/>
  <c r="BF16" i="12"/>
  <c r="BF17" i="12"/>
  <c r="BF18" i="12"/>
  <c r="BF19" i="12"/>
  <c r="BF20" i="12"/>
  <c r="BF21" i="12"/>
  <c r="BF22" i="12"/>
  <c r="BF23" i="12"/>
  <c r="BF24" i="12"/>
  <c r="BF25" i="12"/>
  <c r="BF26" i="12"/>
  <c r="BF27" i="12"/>
  <c r="BF28" i="12"/>
  <c r="BF29" i="12"/>
  <c r="BF30" i="12"/>
  <c r="BF31" i="12"/>
  <c r="BF32" i="12"/>
  <c r="BF33" i="12"/>
  <c r="BF34" i="12"/>
  <c r="BF35" i="12"/>
  <c r="BF36" i="12"/>
  <c r="BF37" i="12"/>
  <c r="BF38" i="12"/>
  <c r="BF39" i="12"/>
  <c r="BF40" i="12"/>
  <c r="BF41" i="12"/>
  <c r="BF42" i="12"/>
  <c r="BF43" i="12"/>
  <c r="BF44" i="12"/>
  <c r="BF45" i="12"/>
  <c r="BF46" i="12"/>
  <c r="BF47" i="12"/>
  <c r="BF48" i="12"/>
  <c r="BF49" i="12"/>
  <c r="BF50" i="12"/>
  <c r="BF51" i="12"/>
  <c r="BF52" i="12"/>
  <c r="BF53" i="12"/>
  <c r="BF3" i="12"/>
  <c r="AH4" i="12"/>
  <c r="AH5" i="12"/>
  <c r="AH6" i="12"/>
  <c r="AH7" i="12"/>
  <c r="AH8" i="12"/>
  <c r="AH9" i="12"/>
  <c r="AH10" i="12"/>
  <c r="AH11" i="12"/>
  <c r="AH12" i="12"/>
  <c r="AH13" i="12"/>
  <c r="AH14" i="12"/>
  <c r="AH15" i="12"/>
  <c r="AH16" i="12"/>
  <c r="AH17" i="12"/>
  <c r="AH18" i="12"/>
  <c r="AH19" i="12"/>
  <c r="AH20" i="12"/>
  <c r="AH21" i="12"/>
  <c r="AH22" i="12"/>
  <c r="AH23" i="12"/>
  <c r="AH24" i="12"/>
  <c r="AH25" i="12"/>
  <c r="AH26" i="12"/>
  <c r="AH27" i="12"/>
  <c r="AH28" i="12"/>
  <c r="AH29" i="12"/>
  <c r="AH30" i="12"/>
  <c r="AH31" i="12"/>
  <c r="AH32" i="12"/>
  <c r="AH33" i="12"/>
  <c r="AH34" i="12"/>
  <c r="AH35" i="12"/>
  <c r="AH36" i="12"/>
  <c r="AH37" i="12"/>
  <c r="AH38" i="12"/>
  <c r="AH39" i="12"/>
  <c r="AH40" i="12"/>
  <c r="AH41" i="12"/>
  <c r="AH42" i="12"/>
  <c r="AH43" i="12"/>
  <c r="AH44" i="12"/>
  <c r="AH45" i="12"/>
  <c r="AH46" i="12"/>
  <c r="AH47" i="12"/>
  <c r="AH48" i="12"/>
  <c r="AH49" i="12"/>
  <c r="AH50" i="12"/>
  <c r="AH51" i="12"/>
  <c r="AH52" i="12"/>
  <c r="AH53" i="12"/>
  <c r="AH3" i="12"/>
  <c r="V30" i="12"/>
  <c r="V31" i="12"/>
  <c r="V32" i="12"/>
  <c r="V33" i="12"/>
  <c r="V34" i="12"/>
  <c r="V35" i="12"/>
  <c r="V36" i="12"/>
  <c r="V37" i="12"/>
  <c r="V38" i="12"/>
  <c r="V39" i="12"/>
  <c r="V40" i="12"/>
  <c r="V41" i="12"/>
  <c r="V42" i="12"/>
  <c r="V43" i="12"/>
  <c r="V44" i="12"/>
  <c r="V45" i="12"/>
  <c r="V46" i="12"/>
  <c r="V47" i="12"/>
  <c r="V48" i="12"/>
  <c r="V49" i="12"/>
  <c r="V50" i="12"/>
  <c r="V51" i="12"/>
  <c r="V52" i="12"/>
  <c r="V53" i="12"/>
  <c r="V4" i="12"/>
  <c r="V5" i="12"/>
  <c r="V6" i="12"/>
  <c r="V7" i="12"/>
  <c r="V8" i="12"/>
  <c r="V9" i="12"/>
  <c r="V10" i="12"/>
  <c r="V11" i="12"/>
  <c r="V12" i="12"/>
  <c r="V13" i="12"/>
  <c r="V14" i="12"/>
  <c r="V15" i="12"/>
  <c r="V16" i="12"/>
  <c r="V17" i="12"/>
  <c r="V18" i="12"/>
  <c r="V19" i="12"/>
  <c r="V20" i="12"/>
  <c r="V21" i="12"/>
  <c r="V22" i="12"/>
  <c r="V23" i="12"/>
  <c r="V24" i="12"/>
  <c r="V25" i="12"/>
  <c r="V26" i="12"/>
  <c r="V27" i="12"/>
  <c r="V28" i="12"/>
  <c r="V29" i="12"/>
  <c r="V3" i="12"/>
  <c r="BK1" i="12" l="1"/>
  <c r="AY1" i="12"/>
  <c r="AT4" i="12"/>
  <c r="AT5" i="12"/>
  <c r="AT6" i="12"/>
  <c r="AT7" i="12"/>
  <c r="AT8" i="12"/>
  <c r="AT9" i="12"/>
  <c r="AT10" i="12"/>
  <c r="AT11" i="12"/>
  <c r="AT12" i="12"/>
  <c r="AT13" i="12"/>
  <c r="AT14" i="12"/>
  <c r="AT15" i="12"/>
  <c r="AT16" i="12"/>
  <c r="AT17" i="12"/>
  <c r="AT18" i="12"/>
  <c r="AT19" i="12"/>
  <c r="AT20" i="12"/>
  <c r="AT21" i="12"/>
  <c r="AT22" i="12"/>
  <c r="AT23" i="12"/>
  <c r="AT24" i="12"/>
  <c r="AT25" i="12"/>
  <c r="AT26" i="12"/>
  <c r="AT27" i="12"/>
  <c r="AT28" i="12"/>
  <c r="AT29" i="12"/>
  <c r="AT30" i="12"/>
  <c r="AT31" i="12"/>
  <c r="AT32" i="12"/>
  <c r="AT33" i="12"/>
  <c r="AT34" i="12"/>
  <c r="AT35" i="12"/>
  <c r="AT36" i="12"/>
  <c r="AT37" i="12"/>
  <c r="AT38" i="12"/>
  <c r="AT39" i="12"/>
  <c r="AT40" i="12"/>
  <c r="AT41" i="12"/>
  <c r="AT42" i="12"/>
  <c r="AT43" i="12"/>
  <c r="AT44" i="12"/>
  <c r="AT45" i="12"/>
  <c r="AT46" i="12"/>
  <c r="AT47" i="12"/>
  <c r="AT48" i="12"/>
  <c r="AT49" i="12"/>
  <c r="AT50" i="12"/>
  <c r="AT51" i="12"/>
  <c r="AT52" i="12"/>
  <c r="AT53" i="12"/>
  <c r="AT3" i="12"/>
  <c r="AM1" i="12"/>
  <c r="AA1" i="12" l="1"/>
  <c r="O1" i="12"/>
  <c r="C1" i="12"/>
  <c r="J4" i="12"/>
  <c r="J5" i="12"/>
  <c r="J6" i="12"/>
  <c r="J7" i="12"/>
  <c r="J8" i="12"/>
  <c r="J9" i="12"/>
  <c r="J10" i="12"/>
  <c r="J11" i="12"/>
  <c r="J12" i="12"/>
  <c r="J13" i="12"/>
  <c r="J14" i="12"/>
  <c r="J15" i="12"/>
  <c r="J16" i="12"/>
  <c r="J17" i="12"/>
  <c r="J18" i="12"/>
  <c r="J19" i="12"/>
  <c r="J20" i="12"/>
  <c r="J21" i="12"/>
  <c r="J22" i="12"/>
  <c r="J23" i="12"/>
  <c r="J24" i="12"/>
  <c r="J25" i="12"/>
  <c r="J26" i="12"/>
  <c r="J27" i="12"/>
  <c r="J28" i="12"/>
  <c r="J29" i="12"/>
  <c r="J30" i="12"/>
  <c r="J31" i="12"/>
  <c r="J32" i="12"/>
  <c r="K32" i="12" s="1"/>
  <c r="J33" i="12"/>
  <c r="K33" i="12" s="1"/>
  <c r="J34" i="12"/>
  <c r="K34" i="12" s="1"/>
  <c r="J35" i="12"/>
  <c r="K35" i="12" s="1"/>
  <c r="J36" i="12"/>
  <c r="K36" i="12" s="1"/>
  <c r="J37" i="12"/>
  <c r="J38" i="12"/>
  <c r="K38" i="12" s="1"/>
  <c r="J39" i="12"/>
  <c r="J40" i="12"/>
  <c r="J41" i="12"/>
  <c r="J42" i="12"/>
  <c r="J43" i="12"/>
  <c r="J44" i="12"/>
  <c r="J45" i="12"/>
  <c r="J46" i="12"/>
  <c r="J47" i="12"/>
  <c r="J48" i="12"/>
  <c r="K48" i="12" s="1"/>
  <c r="J49" i="12"/>
  <c r="J50" i="12"/>
  <c r="J51" i="12"/>
  <c r="J52" i="12"/>
  <c r="J53" i="12"/>
  <c r="J3" i="12"/>
  <c r="K3" i="12" s="1"/>
  <c r="H54" i="12"/>
  <c r="G54" i="12"/>
  <c r="F54" i="12"/>
  <c r="BQ53" i="12"/>
  <c r="BS53" i="12" s="1"/>
  <c r="BE53" i="12"/>
  <c r="AS53" i="12"/>
  <c r="AG53" i="12"/>
  <c r="AI53" i="12" s="1"/>
  <c r="U53" i="12"/>
  <c r="W53" i="12" s="1"/>
  <c r="I53" i="12"/>
  <c r="BQ52" i="12"/>
  <c r="BS52" i="12" s="1"/>
  <c r="BE52" i="12"/>
  <c r="BG52" i="12" s="1"/>
  <c r="AS52" i="12"/>
  <c r="AU52" i="12" s="1"/>
  <c r="AG52" i="12"/>
  <c r="U52" i="12"/>
  <c r="W52" i="12" s="1"/>
  <c r="I52" i="12"/>
  <c r="BQ51" i="12"/>
  <c r="BS51" i="12" s="1"/>
  <c r="BE51" i="12"/>
  <c r="AS51" i="12"/>
  <c r="AU51" i="12" s="1"/>
  <c r="AG51" i="12"/>
  <c r="AI51" i="12" s="1"/>
  <c r="U51" i="12"/>
  <c r="W51" i="12" s="1"/>
  <c r="I51" i="12"/>
  <c r="BQ50" i="12"/>
  <c r="BS50" i="12" s="1"/>
  <c r="BE50" i="12"/>
  <c r="BG50" i="12" s="1"/>
  <c r="AS50" i="12"/>
  <c r="AU50" i="12" s="1"/>
  <c r="AG50" i="12"/>
  <c r="AI50" i="12" s="1"/>
  <c r="U50" i="12"/>
  <c r="W50" i="12" s="1"/>
  <c r="I50" i="12"/>
  <c r="BQ49" i="12"/>
  <c r="BS49" i="12" s="1"/>
  <c r="BE49" i="12"/>
  <c r="BG49" i="12" s="1"/>
  <c r="AS49" i="12"/>
  <c r="AU49" i="12" s="1"/>
  <c r="AG49" i="12"/>
  <c r="AI49" i="12" s="1"/>
  <c r="U49" i="12"/>
  <c r="W49" i="12" s="1"/>
  <c r="I49" i="12"/>
  <c r="K49" i="12" s="1"/>
  <c r="BQ48" i="12"/>
  <c r="BS48" i="12" s="1"/>
  <c r="BG48" i="12"/>
  <c r="BE48" i="12"/>
  <c r="AS48" i="12"/>
  <c r="AU48" i="12" s="1"/>
  <c r="AG48" i="12"/>
  <c r="AI48" i="12" s="1"/>
  <c r="W48" i="12"/>
  <c r="U48" i="12"/>
  <c r="I48" i="12"/>
  <c r="BQ47" i="12"/>
  <c r="BS47" i="12" s="1"/>
  <c r="BE47" i="12"/>
  <c r="BG47" i="12" s="1"/>
  <c r="AS47" i="12"/>
  <c r="AU47" i="12" s="1"/>
  <c r="AG47" i="12"/>
  <c r="AI47" i="12" s="1"/>
  <c r="U47" i="12"/>
  <c r="W47" i="12" s="1"/>
  <c r="I47" i="12"/>
  <c r="K47" i="12" s="1"/>
  <c r="BQ46" i="12"/>
  <c r="BS46" i="12" s="1"/>
  <c r="BE46" i="12"/>
  <c r="BG46" i="12" s="1"/>
  <c r="AS46" i="12"/>
  <c r="AU46" i="12" s="1"/>
  <c r="AG46" i="12"/>
  <c r="AI46" i="12" s="1"/>
  <c r="U46" i="12"/>
  <c r="W46" i="12" s="1"/>
  <c r="I46" i="12"/>
  <c r="BQ45" i="12"/>
  <c r="BS45" i="12" s="1"/>
  <c r="BE45" i="12"/>
  <c r="AS45" i="12"/>
  <c r="AU45" i="12" s="1"/>
  <c r="AG45" i="12"/>
  <c r="AI45" i="12" s="1"/>
  <c r="U45" i="12"/>
  <c r="W45" i="12" s="1"/>
  <c r="I45" i="12"/>
  <c r="K45" i="12" s="1"/>
  <c r="BQ44" i="12"/>
  <c r="BS44" i="12" s="1"/>
  <c r="BE44" i="12"/>
  <c r="BG44" i="12" s="1"/>
  <c r="AS44" i="12"/>
  <c r="AU44" i="12" s="1"/>
  <c r="AG44" i="12"/>
  <c r="AI44" i="12" s="1"/>
  <c r="U44" i="12"/>
  <c r="W44" i="12" s="1"/>
  <c r="I44" i="12"/>
  <c r="BQ43" i="12"/>
  <c r="BS43" i="12" s="1"/>
  <c r="BE43" i="12"/>
  <c r="BG43" i="12" s="1"/>
  <c r="AS43" i="12"/>
  <c r="AU43" i="12" s="1"/>
  <c r="AG43" i="12"/>
  <c r="AI43" i="12" s="1"/>
  <c r="U43" i="12"/>
  <c r="W43" i="12" s="1"/>
  <c r="I43" i="12"/>
  <c r="BQ42" i="12"/>
  <c r="BS42" i="12" s="1"/>
  <c r="BE42" i="12"/>
  <c r="BG42" i="12" s="1"/>
  <c r="AS42" i="12"/>
  <c r="AU42" i="12" s="1"/>
  <c r="AG42" i="12"/>
  <c r="AI42" i="12" s="1"/>
  <c r="U42" i="12"/>
  <c r="W42" i="12" s="1"/>
  <c r="I42" i="12"/>
  <c r="BQ41" i="12"/>
  <c r="BS41" i="12" s="1"/>
  <c r="BE41" i="12"/>
  <c r="BG41" i="12" s="1"/>
  <c r="AS41" i="12"/>
  <c r="AU41" i="12" s="1"/>
  <c r="AG41" i="12"/>
  <c r="AI41" i="12" s="1"/>
  <c r="U41" i="12"/>
  <c r="W41" i="12" s="1"/>
  <c r="I41" i="12"/>
  <c r="K41" i="12" s="1"/>
  <c r="BQ40" i="12"/>
  <c r="BS40" i="12" s="1"/>
  <c r="BE40" i="12"/>
  <c r="BG40" i="12" s="1"/>
  <c r="AS40" i="12"/>
  <c r="AU40" i="12" s="1"/>
  <c r="AG40" i="12"/>
  <c r="U40" i="12"/>
  <c r="W40" i="12" s="1"/>
  <c r="I40" i="12"/>
  <c r="BQ39" i="12"/>
  <c r="BE39" i="12"/>
  <c r="BG39" i="12" s="1"/>
  <c r="AS39" i="12"/>
  <c r="AU39" i="12" s="1"/>
  <c r="AG39" i="12"/>
  <c r="AI39" i="12" s="1"/>
  <c r="U39" i="12"/>
  <c r="W39" i="12" s="1"/>
  <c r="I39" i="12"/>
  <c r="BQ38" i="12"/>
  <c r="BS38" i="12" s="1"/>
  <c r="BE38" i="12"/>
  <c r="BG38" i="12" s="1"/>
  <c r="AS38" i="12"/>
  <c r="AG38" i="12"/>
  <c r="AI38" i="12" s="1"/>
  <c r="U38" i="12"/>
  <c r="W38" i="12" s="1"/>
  <c r="I38" i="12"/>
  <c r="BQ37" i="12"/>
  <c r="BE37" i="12"/>
  <c r="BG37" i="12" s="1"/>
  <c r="AS37" i="12"/>
  <c r="AU37" i="12" s="1"/>
  <c r="AG37" i="12"/>
  <c r="AI37" i="12" s="1"/>
  <c r="U37" i="12"/>
  <c r="K37" i="12"/>
  <c r="I37" i="12"/>
  <c r="BQ36" i="12"/>
  <c r="BS36" i="12" s="1"/>
  <c r="BE36" i="12"/>
  <c r="BG36" i="12" s="1"/>
  <c r="AS36" i="12"/>
  <c r="AI36" i="12"/>
  <c r="AG36" i="12"/>
  <c r="U36" i="12"/>
  <c r="W36" i="12" s="1"/>
  <c r="I36" i="12"/>
  <c r="BQ35" i="12"/>
  <c r="BE35" i="12"/>
  <c r="BG35" i="12" s="1"/>
  <c r="AS35" i="12"/>
  <c r="AG35" i="12"/>
  <c r="AI35" i="12" s="1"/>
  <c r="U35" i="12"/>
  <c r="I35" i="12"/>
  <c r="BQ34" i="12"/>
  <c r="BS34" i="12" s="1"/>
  <c r="BG34" i="12"/>
  <c r="BE34" i="12"/>
  <c r="AS34" i="12"/>
  <c r="AG34" i="12"/>
  <c r="AI34" i="12" s="1"/>
  <c r="U34" i="12"/>
  <c r="W34" i="12" s="1"/>
  <c r="I34" i="12"/>
  <c r="BQ33" i="12"/>
  <c r="BE33" i="12"/>
  <c r="BG33" i="12" s="1"/>
  <c r="AS33" i="12"/>
  <c r="AU33" i="12" s="1"/>
  <c r="AG33" i="12"/>
  <c r="AI33" i="12" s="1"/>
  <c r="U33" i="12"/>
  <c r="I33" i="12"/>
  <c r="BQ32" i="12"/>
  <c r="BE32" i="12"/>
  <c r="BG32" i="12" s="1"/>
  <c r="AS32" i="12"/>
  <c r="AI32" i="12"/>
  <c r="AG32" i="12"/>
  <c r="W32" i="12"/>
  <c r="U32" i="12"/>
  <c r="I32" i="12"/>
  <c r="BQ31" i="12"/>
  <c r="BE31" i="12"/>
  <c r="BG31" i="12" s="1"/>
  <c r="AS31" i="12"/>
  <c r="AU31" i="12" s="1"/>
  <c r="AG31" i="12"/>
  <c r="AI31" i="12" s="1"/>
  <c r="U31" i="12"/>
  <c r="W31" i="12" s="1"/>
  <c r="I31" i="12"/>
  <c r="BS30" i="12"/>
  <c r="BQ30" i="12"/>
  <c r="BE30" i="12"/>
  <c r="BG30" i="12" s="1"/>
  <c r="AS30" i="12"/>
  <c r="AG30" i="12"/>
  <c r="AI30" i="12" s="1"/>
  <c r="W30" i="12"/>
  <c r="U30" i="12"/>
  <c r="K30" i="12"/>
  <c r="I30" i="12"/>
  <c r="BQ29" i="12"/>
  <c r="BS29" i="12" s="1"/>
  <c r="BE29" i="12"/>
  <c r="AS29" i="12"/>
  <c r="AU29" i="12" s="1"/>
  <c r="AG29" i="12"/>
  <c r="AI29" i="12" s="1"/>
  <c r="W29" i="12"/>
  <c r="U29" i="12"/>
  <c r="I29" i="12"/>
  <c r="BQ28" i="12"/>
  <c r="BE28" i="12"/>
  <c r="BG28" i="12" s="1"/>
  <c r="AS28" i="12"/>
  <c r="AU28" i="12" s="1"/>
  <c r="AG28" i="12"/>
  <c r="AI28" i="12" s="1"/>
  <c r="U28" i="12"/>
  <c r="I28" i="12"/>
  <c r="K28" i="12" s="1"/>
  <c r="BQ27" i="12"/>
  <c r="BS27" i="12" s="1"/>
  <c r="BE27" i="12"/>
  <c r="AS27" i="12"/>
  <c r="AU27" i="12" s="1"/>
  <c r="AG27" i="12"/>
  <c r="AI27" i="12" s="1"/>
  <c r="W27" i="12"/>
  <c r="U27" i="12"/>
  <c r="I27" i="12"/>
  <c r="BQ26" i="12"/>
  <c r="BS26" i="12" s="1"/>
  <c r="BE26" i="12"/>
  <c r="BG26" i="12" s="1"/>
  <c r="AU26" i="12"/>
  <c r="AS26" i="12"/>
  <c r="AG26" i="12"/>
  <c r="AI26" i="12" s="1"/>
  <c r="U26" i="12"/>
  <c r="I26" i="12"/>
  <c r="K26" i="12" s="1"/>
  <c r="BQ25" i="12"/>
  <c r="BS25" i="12" s="1"/>
  <c r="BE25" i="12"/>
  <c r="BG25" i="12" s="1"/>
  <c r="AS25" i="12"/>
  <c r="AG25" i="12"/>
  <c r="AI25" i="12" s="1"/>
  <c r="U25" i="12"/>
  <c r="W25" i="12" s="1"/>
  <c r="I25" i="12"/>
  <c r="BQ24" i="12"/>
  <c r="BS24" i="12" s="1"/>
  <c r="BE24" i="12"/>
  <c r="BG24" i="12" s="1"/>
  <c r="AS24" i="12"/>
  <c r="AU24" i="12" s="1"/>
  <c r="AG24" i="12"/>
  <c r="U24" i="12"/>
  <c r="W24" i="12" s="1"/>
  <c r="I24" i="12"/>
  <c r="K24" i="12" s="1"/>
  <c r="BS23" i="12"/>
  <c r="BQ23" i="12"/>
  <c r="BE23" i="12"/>
  <c r="BG23" i="12" s="1"/>
  <c r="AS23" i="12"/>
  <c r="AG23" i="12"/>
  <c r="AI23" i="12" s="1"/>
  <c r="U23" i="12"/>
  <c r="W23" i="12" s="1"/>
  <c r="I23" i="12"/>
  <c r="BQ22" i="12"/>
  <c r="BE22" i="12"/>
  <c r="BG22" i="12" s="1"/>
  <c r="AU22" i="12"/>
  <c r="AS22" i="12"/>
  <c r="AG22" i="12"/>
  <c r="U22" i="12"/>
  <c r="W22" i="12" s="1"/>
  <c r="K22" i="12"/>
  <c r="I22" i="12"/>
  <c r="BQ21" i="12"/>
  <c r="BS21" i="12" s="1"/>
  <c r="BE21" i="12"/>
  <c r="AS21" i="12"/>
  <c r="AU21" i="12" s="1"/>
  <c r="AG21" i="12"/>
  <c r="AI21" i="12" s="1"/>
  <c r="W21" i="12"/>
  <c r="U21" i="12"/>
  <c r="I21" i="12"/>
  <c r="BQ20" i="12"/>
  <c r="BG20" i="12"/>
  <c r="BE20" i="12"/>
  <c r="AS20" i="12"/>
  <c r="AU20" i="12" s="1"/>
  <c r="AG20" i="12"/>
  <c r="AI20" i="12" s="1"/>
  <c r="U20" i="12"/>
  <c r="I20" i="12"/>
  <c r="BS19" i="12"/>
  <c r="BQ19" i="12"/>
  <c r="BE19" i="12"/>
  <c r="AS19" i="12"/>
  <c r="AU19" i="12" s="1"/>
  <c r="AG19" i="12"/>
  <c r="AI19" i="12" s="1"/>
  <c r="U19" i="12"/>
  <c r="W19" i="12" s="1"/>
  <c r="I19" i="12"/>
  <c r="BQ18" i="12"/>
  <c r="BS18" i="12" s="1"/>
  <c r="BE18" i="12"/>
  <c r="BG18" i="12" s="1"/>
  <c r="AS18" i="12"/>
  <c r="AU18" i="12" s="1"/>
  <c r="AG18" i="12"/>
  <c r="AI18" i="12" s="1"/>
  <c r="U18" i="12"/>
  <c r="I18" i="12"/>
  <c r="K18" i="12" s="1"/>
  <c r="BQ17" i="12"/>
  <c r="BS17" i="12" s="1"/>
  <c r="BE17" i="12"/>
  <c r="BG17" i="12" s="1"/>
  <c r="AS17" i="12"/>
  <c r="AG17" i="12"/>
  <c r="AI17" i="12" s="1"/>
  <c r="U17" i="12"/>
  <c r="W17" i="12" s="1"/>
  <c r="I17" i="12"/>
  <c r="BQ16" i="12"/>
  <c r="BS16" i="12" s="1"/>
  <c r="BG16" i="12"/>
  <c r="BE16" i="12"/>
  <c r="AU16" i="12"/>
  <c r="AS16" i="12"/>
  <c r="AG16" i="12"/>
  <c r="U16" i="12"/>
  <c r="W16" i="12" s="1"/>
  <c r="K16" i="12"/>
  <c r="I16" i="12"/>
  <c r="BQ15" i="12"/>
  <c r="BS15" i="12" s="1"/>
  <c r="BE15" i="12"/>
  <c r="BG15" i="12" s="1"/>
  <c r="AS15" i="12"/>
  <c r="AI15" i="12"/>
  <c r="AG15" i="12"/>
  <c r="W15" i="12"/>
  <c r="U15" i="12"/>
  <c r="I15" i="12"/>
  <c r="BQ14" i="12"/>
  <c r="BE14" i="12"/>
  <c r="BG14" i="12" s="1"/>
  <c r="AU14" i="12"/>
  <c r="AS14" i="12"/>
  <c r="AG14" i="12"/>
  <c r="U14" i="12"/>
  <c r="W14" i="12" s="1"/>
  <c r="K14" i="12"/>
  <c r="I14" i="12"/>
  <c r="BQ13" i="12"/>
  <c r="BS13" i="12" s="1"/>
  <c r="BE13" i="12"/>
  <c r="AS13" i="12"/>
  <c r="AU13" i="12" s="1"/>
  <c r="AG13" i="12"/>
  <c r="AI13" i="12" s="1"/>
  <c r="U13" i="12"/>
  <c r="W13" i="12" s="1"/>
  <c r="I13" i="12"/>
  <c r="BQ12" i="12"/>
  <c r="BE12" i="12"/>
  <c r="BG12" i="12" s="1"/>
  <c r="AU12" i="12"/>
  <c r="AS12" i="12"/>
  <c r="AG12" i="12"/>
  <c r="AI12" i="12" s="1"/>
  <c r="U12" i="12"/>
  <c r="I12" i="12"/>
  <c r="K12" i="12" s="1"/>
  <c r="BQ11" i="12"/>
  <c r="BS11" i="12" s="1"/>
  <c r="BE11" i="12"/>
  <c r="AS11" i="12"/>
  <c r="AU11" i="12" s="1"/>
  <c r="AG11" i="12"/>
  <c r="AI11" i="12" s="1"/>
  <c r="U11" i="12"/>
  <c r="W11" i="12" s="1"/>
  <c r="I11" i="12"/>
  <c r="BQ10" i="12"/>
  <c r="BS10" i="12" s="1"/>
  <c r="BE10" i="12"/>
  <c r="BG10" i="12" s="1"/>
  <c r="AS10" i="12"/>
  <c r="AU10" i="12" s="1"/>
  <c r="AG10" i="12"/>
  <c r="AI10" i="12" s="1"/>
  <c r="U10" i="12"/>
  <c r="W10" i="12" s="1"/>
  <c r="I10" i="12"/>
  <c r="K10" i="12" s="1"/>
  <c r="BQ9" i="12"/>
  <c r="BS9" i="12" s="1"/>
  <c r="BE9" i="12"/>
  <c r="BG9" i="12" s="1"/>
  <c r="AS9" i="12"/>
  <c r="AU9" i="12" s="1"/>
  <c r="AG9" i="12"/>
  <c r="AI9" i="12" s="1"/>
  <c r="U9" i="12"/>
  <c r="W9" i="12" s="1"/>
  <c r="K9" i="12"/>
  <c r="I9" i="12"/>
  <c r="BQ8" i="12"/>
  <c r="BS8" i="12" s="1"/>
  <c r="BE8" i="12"/>
  <c r="BG8" i="12" s="1"/>
  <c r="AS8" i="12"/>
  <c r="AU8" i="12" s="1"/>
  <c r="AG8" i="12"/>
  <c r="AI8" i="12" s="1"/>
  <c r="U8" i="12"/>
  <c r="W8" i="12" s="1"/>
  <c r="I8" i="12"/>
  <c r="BQ7" i="12"/>
  <c r="BS7" i="12" s="1"/>
  <c r="BE7" i="12"/>
  <c r="BG7" i="12" s="1"/>
  <c r="AS7" i="12"/>
  <c r="AU7" i="12" s="1"/>
  <c r="AG7" i="12"/>
  <c r="AI7" i="12" s="1"/>
  <c r="U7" i="12"/>
  <c r="W7" i="12" s="1"/>
  <c r="I7" i="12"/>
  <c r="BQ6" i="12"/>
  <c r="BS6" i="12" s="1"/>
  <c r="BE6" i="12"/>
  <c r="BG6" i="12" s="1"/>
  <c r="AU6" i="12"/>
  <c r="AS6" i="12"/>
  <c r="AG6" i="12"/>
  <c r="AI6" i="12" s="1"/>
  <c r="U6" i="12"/>
  <c r="W6" i="12" s="1"/>
  <c r="K6" i="12"/>
  <c r="I6" i="12"/>
  <c r="BQ5" i="12"/>
  <c r="BS5" i="12" s="1"/>
  <c r="BE5" i="12"/>
  <c r="BG5" i="12" s="1"/>
  <c r="AS5" i="12"/>
  <c r="AU5" i="12" s="1"/>
  <c r="AG5" i="12"/>
  <c r="AI5" i="12" s="1"/>
  <c r="U5" i="12"/>
  <c r="W5" i="12" s="1"/>
  <c r="I5" i="12"/>
  <c r="BS4" i="12"/>
  <c r="BQ4" i="12"/>
  <c r="BG4" i="12"/>
  <c r="BE4" i="12"/>
  <c r="AU4" i="12"/>
  <c r="AS4" i="12"/>
  <c r="AG4" i="12"/>
  <c r="AI4" i="12" s="1"/>
  <c r="U4" i="12"/>
  <c r="W4" i="12" s="1"/>
  <c r="K4" i="12"/>
  <c r="I4" i="12"/>
  <c r="BQ3" i="12"/>
  <c r="BS3" i="12" s="1"/>
  <c r="BG3" i="12"/>
  <c r="BE3" i="12"/>
  <c r="AS3" i="12"/>
  <c r="AU3" i="12" s="1"/>
  <c r="AG3" i="12"/>
  <c r="AI3" i="12" s="1"/>
  <c r="U3" i="12"/>
  <c r="W3" i="12" s="1"/>
  <c r="I3" i="12"/>
  <c r="K21" i="12" l="1"/>
  <c r="K29" i="12"/>
  <c r="K39" i="12"/>
  <c r="K5" i="12"/>
  <c r="K7" i="12"/>
  <c r="K13" i="12"/>
  <c r="K15" i="12"/>
  <c r="K40" i="12"/>
  <c r="K42" i="12"/>
  <c r="K44" i="12"/>
  <c r="K46" i="12"/>
  <c r="K8" i="12"/>
  <c r="K20" i="12"/>
  <c r="K50" i="12"/>
  <c r="K31" i="12"/>
  <c r="K23" i="12"/>
  <c r="J54" i="12"/>
  <c r="K52" i="12"/>
  <c r="BS35" i="12"/>
  <c r="K11" i="12"/>
  <c r="W12" i="12"/>
  <c r="BG13" i="12"/>
  <c r="BS14" i="12"/>
  <c r="AI16" i="12"/>
  <c r="AU17" i="12"/>
  <c r="K19" i="12"/>
  <c r="W20" i="12"/>
  <c r="BG21" i="12"/>
  <c r="BS22" i="12"/>
  <c r="AI24" i="12"/>
  <c r="AU25" i="12"/>
  <c r="K27" i="12"/>
  <c r="W28" i="12"/>
  <c r="BG29" i="12"/>
  <c r="AU30" i="12"/>
  <c r="BG11" i="12"/>
  <c r="BS12" i="12"/>
  <c r="AI14" i="12"/>
  <c r="AU15" i="12"/>
  <c r="K17" i="12"/>
  <c r="W18" i="12"/>
  <c r="BG19" i="12"/>
  <c r="BS20" i="12"/>
  <c r="AI22" i="12"/>
  <c r="AU23" i="12"/>
  <c r="K25" i="12"/>
  <c r="W26" i="12"/>
  <c r="BG27" i="12"/>
  <c r="BS28" i="12"/>
  <c r="W33" i="12"/>
  <c r="BS33" i="12"/>
  <c r="AU36" i="12"/>
  <c r="I54" i="12"/>
  <c r="AU34" i="12"/>
  <c r="W37" i="12"/>
  <c r="BS39" i="12"/>
  <c r="BS31" i="12"/>
  <c r="AU32" i="12"/>
  <c r="W35" i="12"/>
  <c r="BS37" i="12"/>
  <c r="BS32" i="12"/>
  <c r="AU35" i="12"/>
  <c r="AU38" i="12"/>
  <c r="AI40" i="12"/>
  <c r="BG51" i="12"/>
  <c r="K43" i="12"/>
  <c r="BG45" i="12"/>
  <c r="K51" i="12"/>
  <c r="AU53" i="12"/>
  <c r="AI52" i="12"/>
  <c r="K53" i="12"/>
  <c r="BG53" i="12"/>
  <c r="K54" i="12" l="1"/>
  <c r="E62" i="9"/>
  <c r="P60" i="3"/>
  <c r="C47" i="9" l="1"/>
  <c r="E6" i="9" l="1"/>
  <c r="F13" i="11" l="1"/>
  <c r="F12" i="11"/>
  <c r="F11" i="11"/>
  <c r="D13" i="11"/>
  <c r="D12" i="11"/>
  <c r="D11" i="11"/>
  <c r="BQ3" i="1" l="1"/>
  <c r="BE3" i="1"/>
  <c r="AS3" i="1"/>
  <c r="U3" i="1"/>
  <c r="AG3" i="1" s="1"/>
  <c r="S248" i="3" l="1"/>
  <c r="T248" i="3"/>
  <c r="X248" i="3"/>
  <c r="AX3" i="2" l="1"/>
  <c r="AX2" i="2"/>
  <c r="AO3" i="2"/>
  <c r="AO2" i="2"/>
  <c r="AF3" i="2"/>
  <c r="AF2" i="2"/>
  <c r="W3" i="2"/>
  <c r="W2" i="2"/>
  <c r="N3" i="2"/>
  <c r="N2" i="2"/>
  <c r="E2" i="2" l="1"/>
  <c r="E3" i="2"/>
  <c r="BA6" i="9" l="1"/>
  <c r="B6" i="9" l="1"/>
  <c r="BJ7" i="9" l="1"/>
  <c r="BK7" i="9"/>
  <c r="BJ8" i="9"/>
  <c r="BK8" i="9"/>
  <c r="BJ9" i="9"/>
  <c r="BK9" i="9"/>
  <c r="BJ10" i="9"/>
  <c r="BK10" i="9"/>
  <c r="BJ11" i="9"/>
  <c r="BK11" i="9"/>
  <c r="BJ12" i="9"/>
  <c r="BK12" i="9"/>
  <c r="BJ13" i="9"/>
  <c r="BK13" i="9"/>
  <c r="BJ14" i="9"/>
  <c r="BK14" i="9"/>
  <c r="BJ15" i="9"/>
  <c r="BK15" i="9"/>
  <c r="BJ16" i="9"/>
  <c r="BK16" i="9"/>
  <c r="BJ17" i="9"/>
  <c r="BK17" i="9"/>
  <c r="BJ18" i="9"/>
  <c r="BK18" i="9"/>
  <c r="BJ19" i="9"/>
  <c r="BK19" i="9"/>
  <c r="BJ20" i="9"/>
  <c r="BK20" i="9"/>
  <c r="BJ21" i="9"/>
  <c r="BK21" i="9"/>
  <c r="BJ22" i="9"/>
  <c r="BK22" i="9"/>
  <c r="BJ23" i="9"/>
  <c r="BK23" i="9"/>
  <c r="BJ24" i="9"/>
  <c r="BK24" i="9"/>
  <c r="BJ28" i="9"/>
  <c r="BK28" i="9"/>
  <c r="BJ29" i="9"/>
  <c r="BK29" i="9"/>
  <c r="BJ30" i="9"/>
  <c r="BK30" i="9"/>
  <c r="BJ31" i="9"/>
  <c r="BK31" i="9"/>
  <c r="BJ32" i="9"/>
  <c r="BK32" i="9"/>
  <c r="BJ33" i="9"/>
  <c r="BK33" i="9"/>
  <c r="BJ34" i="9"/>
  <c r="BK34" i="9"/>
  <c r="BJ35" i="9"/>
  <c r="BK35" i="9"/>
  <c r="BJ36" i="9"/>
  <c r="BK36" i="9"/>
  <c r="BJ37" i="9"/>
  <c r="BK37" i="9"/>
  <c r="BJ38" i="9"/>
  <c r="BK38" i="9"/>
  <c r="BJ39" i="9"/>
  <c r="BK39" i="9"/>
  <c r="BJ40" i="9"/>
  <c r="BK40" i="9"/>
  <c r="BJ41" i="9"/>
  <c r="BK41" i="9"/>
  <c r="BJ42" i="9"/>
  <c r="BK42" i="9"/>
  <c r="BJ43" i="9"/>
  <c r="BK43" i="9"/>
  <c r="BJ44" i="9"/>
  <c r="BK44" i="9"/>
  <c r="BJ45" i="9"/>
  <c r="BK45" i="9"/>
  <c r="BJ46" i="9"/>
  <c r="BK46" i="9"/>
  <c r="BJ47" i="9"/>
  <c r="BK47" i="9"/>
  <c r="BJ48" i="9"/>
  <c r="BK48" i="9"/>
  <c r="BJ49" i="9"/>
  <c r="BK49" i="9"/>
  <c r="BJ50" i="9"/>
  <c r="BK50" i="9"/>
  <c r="BJ51" i="9"/>
  <c r="BK51" i="9"/>
  <c r="BJ52" i="9"/>
  <c r="BK52" i="9"/>
  <c r="BJ53" i="9"/>
  <c r="BK53" i="9"/>
  <c r="BJ54" i="9"/>
  <c r="BK54" i="9"/>
  <c r="BJ55" i="9"/>
  <c r="BK55" i="9"/>
  <c r="BJ56" i="9"/>
  <c r="BK56" i="9"/>
  <c r="BJ57" i="9"/>
  <c r="BK57" i="9"/>
  <c r="BJ58" i="9"/>
  <c r="BK58" i="9"/>
  <c r="BJ59" i="9"/>
  <c r="BK59" i="9"/>
  <c r="BJ60" i="9"/>
  <c r="BK60" i="9"/>
  <c r="BJ61" i="9"/>
  <c r="BK61" i="9"/>
  <c r="BJ62" i="9"/>
  <c r="BK62" i="9"/>
  <c r="BJ63" i="9"/>
  <c r="BK63" i="9"/>
  <c r="BJ64" i="9"/>
  <c r="BK64" i="9"/>
  <c r="BJ65" i="9"/>
  <c r="BK65" i="9"/>
  <c r="BJ66" i="9"/>
  <c r="BK66" i="9"/>
  <c r="BJ67" i="9"/>
  <c r="BK67" i="9"/>
  <c r="BJ68" i="9"/>
  <c r="BK68" i="9"/>
  <c r="BJ69" i="9"/>
  <c r="BK69" i="9"/>
  <c r="BJ70" i="9"/>
  <c r="BK70" i="9"/>
  <c r="BJ71" i="9"/>
  <c r="BK71" i="9"/>
  <c r="BJ72" i="9"/>
  <c r="BK72" i="9"/>
  <c r="BJ73" i="9"/>
  <c r="BK73" i="9"/>
  <c r="BJ74" i="9"/>
  <c r="BK74" i="9"/>
  <c r="BJ75" i="9"/>
  <c r="BK75" i="9"/>
  <c r="BJ76" i="9"/>
  <c r="BK76" i="9"/>
  <c r="BJ77" i="9"/>
  <c r="BK77" i="9"/>
  <c r="BJ78" i="9"/>
  <c r="BK78" i="9"/>
  <c r="BJ79" i="9"/>
  <c r="BK79" i="9"/>
  <c r="BJ80" i="9"/>
  <c r="BK80" i="9"/>
  <c r="BJ81" i="9"/>
  <c r="BK81" i="9"/>
  <c r="BJ82" i="9"/>
  <c r="BK82" i="9"/>
  <c r="BJ83" i="9"/>
  <c r="BK83" i="9"/>
  <c r="BJ84" i="9"/>
  <c r="BK84" i="9"/>
  <c r="BJ85" i="9"/>
  <c r="BK85" i="9"/>
  <c r="BJ86" i="9"/>
  <c r="BK86" i="9"/>
  <c r="BJ87" i="9"/>
  <c r="BK87" i="9"/>
  <c r="BJ88" i="9"/>
  <c r="BK88" i="9"/>
  <c r="BJ89" i="9"/>
  <c r="BK89" i="9"/>
  <c r="BJ90" i="9"/>
  <c r="BK90" i="9"/>
  <c r="BJ91" i="9"/>
  <c r="BK91" i="9"/>
  <c r="BJ92" i="9"/>
  <c r="BK92" i="9"/>
  <c r="BJ93" i="9"/>
  <c r="BK93" i="9"/>
  <c r="BJ94" i="9"/>
  <c r="BK94" i="9"/>
  <c r="BJ95" i="9"/>
  <c r="BK95" i="9"/>
  <c r="BJ96" i="9"/>
  <c r="BK96" i="9"/>
  <c r="BJ97" i="9"/>
  <c r="BK97" i="9"/>
  <c r="BJ98" i="9"/>
  <c r="BK98" i="9"/>
  <c r="BJ99" i="9"/>
  <c r="BK99" i="9"/>
  <c r="BJ100" i="9"/>
  <c r="BK100" i="9"/>
  <c r="BJ101" i="9"/>
  <c r="BK101" i="9"/>
  <c r="BJ102" i="9"/>
  <c r="BK102" i="9"/>
  <c r="BJ103" i="9"/>
  <c r="BK103" i="9"/>
  <c r="BJ104" i="9"/>
  <c r="BK104" i="9"/>
  <c r="BJ105" i="9"/>
  <c r="BK105" i="9"/>
  <c r="BJ106" i="9"/>
  <c r="BK106" i="9"/>
  <c r="BJ107" i="9"/>
  <c r="BK107" i="9"/>
  <c r="BJ108" i="9"/>
  <c r="BK108" i="9"/>
  <c r="BJ109" i="9"/>
  <c r="BK109" i="9"/>
  <c r="BJ110" i="9"/>
  <c r="BK110" i="9"/>
  <c r="BJ111" i="9"/>
  <c r="BK111" i="9"/>
  <c r="BJ112" i="9"/>
  <c r="BK112" i="9"/>
  <c r="BJ113" i="9"/>
  <c r="BK113" i="9"/>
  <c r="BJ114" i="9"/>
  <c r="BK114" i="9"/>
  <c r="BJ115" i="9"/>
  <c r="BK115" i="9"/>
  <c r="BJ116" i="9"/>
  <c r="BK116" i="9"/>
  <c r="BJ117" i="9"/>
  <c r="BK117" i="9"/>
  <c r="BJ118" i="9"/>
  <c r="BK118" i="9"/>
  <c r="BJ119" i="9"/>
  <c r="BK119" i="9"/>
  <c r="BJ120" i="9"/>
  <c r="BK120" i="9"/>
  <c r="BJ121" i="9"/>
  <c r="BK121" i="9"/>
  <c r="BJ122" i="9"/>
  <c r="BK122" i="9"/>
  <c r="BJ123" i="9"/>
  <c r="BK123" i="9"/>
  <c r="BJ124" i="9"/>
  <c r="BK124" i="9"/>
  <c r="BJ125" i="9"/>
  <c r="BK125" i="9"/>
  <c r="BJ126" i="9"/>
  <c r="BK126" i="9"/>
  <c r="BJ127" i="9"/>
  <c r="BK127" i="9"/>
  <c r="BJ128" i="9"/>
  <c r="BK128" i="9"/>
  <c r="BJ129" i="9"/>
  <c r="BK129" i="9"/>
  <c r="BJ130" i="9"/>
  <c r="BK130" i="9"/>
  <c r="BJ131" i="9"/>
  <c r="BK131" i="9"/>
  <c r="BJ132" i="9"/>
  <c r="BK132" i="9"/>
  <c r="BJ133" i="9"/>
  <c r="BK133" i="9"/>
  <c r="BJ134" i="9"/>
  <c r="BK134" i="9"/>
  <c r="BJ135" i="9"/>
  <c r="BK135" i="9"/>
  <c r="BJ136" i="9"/>
  <c r="BK136" i="9"/>
  <c r="BJ137" i="9"/>
  <c r="BK137" i="9"/>
  <c r="BJ138" i="9"/>
  <c r="BK138" i="9"/>
  <c r="BJ139" i="9"/>
  <c r="BK139" i="9"/>
  <c r="BJ140" i="9"/>
  <c r="BK140" i="9"/>
  <c r="BJ141" i="9"/>
  <c r="BK141" i="9"/>
  <c r="BJ142" i="9"/>
  <c r="BK142" i="9"/>
  <c r="BJ143" i="9"/>
  <c r="BK143" i="9"/>
  <c r="BJ144" i="9"/>
  <c r="BK144" i="9"/>
  <c r="BJ145" i="9"/>
  <c r="BK145" i="9"/>
  <c r="BJ146" i="9"/>
  <c r="BK146" i="9"/>
  <c r="BJ147" i="9"/>
  <c r="BK147" i="9"/>
  <c r="BJ148" i="9"/>
  <c r="BK148" i="9"/>
  <c r="BJ149" i="9"/>
  <c r="BK149" i="9"/>
  <c r="BJ150" i="9"/>
  <c r="BK150" i="9"/>
  <c r="BJ151" i="9"/>
  <c r="BK151" i="9"/>
  <c r="BJ152" i="9"/>
  <c r="BK152" i="9"/>
  <c r="BJ153" i="9"/>
  <c r="BK153" i="9"/>
  <c r="BJ154" i="9"/>
  <c r="BK154" i="9"/>
  <c r="BJ155" i="9"/>
  <c r="BK155" i="9"/>
  <c r="BJ156" i="9"/>
  <c r="BK156" i="9"/>
  <c r="BJ157" i="9"/>
  <c r="BK157" i="9"/>
  <c r="BJ158" i="9"/>
  <c r="BK158" i="9"/>
  <c r="BJ159" i="9"/>
  <c r="BK159" i="9"/>
  <c r="BJ160" i="9"/>
  <c r="BK160" i="9"/>
  <c r="BJ161" i="9"/>
  <c r="BK161" i="9"/>
  <c r="BJ162" i="9"/>
  <c r="BK162" i="9"/>
  <c r="BJ163" i="9"/>
  <c r="BK163" i="9"/>
  <c r="BJ164" i="9"/>
  <c r="BK164" i="9"/>
  <c r="BJ165" i="9"/>
  <c r="BK165" i="9"/>
  <c r="BJ166" i="9"/>
  <c r="BK166" i="9"/>
  <c r="BJ167" i="9"/>
  <c r="BK167" i="9"/>
  <c r="BJ168" i="9"/>
  <c r="BK168" i="9"/>
  <c r="BJ169" i="9"/>
  <c r="BK169" i="9"/>
  <c r="BJ170" i="9"/>
  <c r="BK170" i="9"/>
  <c r="BJ171" i="9"/>
  <c r="BK171" i="9"/>
  <c r="BJ172" i="9"/>
  <c r="BK172" i="9"/>
  <c r="BJ173" i="9"/>
  <c r="BK173" i="9"/>
  <c r="BJ174" i="9"/>
  <c r="BK174" i="9"/>
  <c r="BJ175" i="9"/>
  <c r="BK175" i="9"/>
  <c r="BJ176" i="9"/>
  <c r="BK176" i="9"/>
  <c r="BJ177" i="9"/>
  <c r="BK177" i="9"/>
  <c r="BJ178" i="9"/>
  <c r="BK178" i="9"/>
  <c r="BJ179" i="9"/>
  <c r="BK179" i="9"/>
  <c r="BJ180" i="9"/>
  <c r="BK180" i="9"/>
  <c r="BJ181" i="9"/>
  <c r="BK181" i="9"/>
  <c r="BJ182" i="9"/>
  <c r="BK182" i="9"/>
  <c r="BJ183" i="9"/>
  <c r="BK183" i="9"/>
  <c r="BJ184" i="9"/>
  <c r="BK184" i="9"/>
  <c r="BJ185" i="9"/>
  <c r="BK185" i="9"/>
  <c r="BJ186" i="9"/>
  <c r="BK186" i="9"/>
  <c r="BJ187" i="9"/>
  <c r="BK187" i="9"/>
  <c r="BJ188" i="9"/>
  <c r="BK188" i="9"/>
  <c r="BJ189" i="9"/>
  <c r="BK189" i="9"/>
  <c r="BJ190" i="9"/>
  <c r="BK190" i="9"/>
  <c r="BJ191" i="9"/>
  <c r="BK191" i="9"/>
  <c r="BJ192" i="9"/>
  <c r="BK192" i="9"/>
  <c r="BJ193" i="9"/>
  <c r="BK193" i="9"/>
  <c r="BJ194" i="9"/>
  <c r="BK194" i="9"/>
  <c r="BJ195" i="9"/>
  <c r="BK195" i="9"/>
  <c r="BJ196" i="9"/>
  <c r="BK196" i="9"/>
  <c r="BJ197" i="9"/>
  <c r="BK197" i="9"/>
  <c r="BJ198" i="9"/>
  <c r="BK198" i="9"/>
  <c r="BJ199" i="9"/>
  <c r="BK199" i="9"/>
  <c r="BJ200" i="9"/>
  <c r="BK200" i="9"/>
  <c r="BJ201" i="9"/>
  <c r="BK201" i="9"/>
  <c r="BJ202" i="9"/>
  <c r="BK202" i="9"/>
  <c r="BJ203" i="9"/>
  <c r="BK203" i="9"/>
  <c r="BJ204" i="9"/>
  <c r="BK204" i="9"/>
  <c r="BJ205" i="9"/>
  <c r="BK205" i="9"/>
  <c r="BJ206" i="9"/>
  <c r="BK206" i="9"/>
  <c r="BJ207" i="9"/>
  <c r="BK207" i="9"/>
  <c r="BJ208" i="9"/>
  <c r="BK208" i="9"/>
  <c r="BJ209" i="9"/>
  <c r="BK209" i="9"/>
  <c r="BJ210" i="9"/>
  <c r="BK210" i="9"/>
  <c r="BJ211" i="9"/>
  <c r="BK211" i="9"/>
  <c r="BJ212" i="9"/>
  <c r="BK212" i="9"/>
  <c r="BJ213" i="9"/>
  <c r="BK213" i="9"/>
  <c r="BJ214" i="9"/>
  <c r="BK214" i="9"/>
  <c r="BJ215" i="9"/>
  <c r="BK215" i="9"/>
  <c r="BJ216" i="9"/>
  <c r="BK216" i="9"/>
  <c r="BJ217" i="9"/>
  <c r="BK217" i="9"/>
  <c r="BJ218" i="9"/>
  <c r="BK218" i="9"/>
  <c r="BJ219" i="9"/>
  <c r="BK219" i="9"/>
  <c r="BJ220" i="9"/>
  <c r="BK220" i="9"/>
  <c r="BJ221" i="9"/>
  <c r="BK221" i="9"/>
  <c r="BJ222" i="9"/>
  <c r="BK222" i="9"/>
  <c r="BJ223" i="9"/>
  <c r="BK223" i="9"/>
  <c r="BJ224" i="9"/>
  <c r="BK224" i="9"/>
  <c r="BJ225" i="9"/>
  <c r="BK225" i="9"/>
  <c r="BJ226" i="9"/>
  <c r="BK226" i="9"/>
  <c r="BJ227" i="9"/>
  <c r="BK227" i="9"/>
  <c r="BJ228" i="9"/>
  <c r="BK228" i="9"/>
  <c r="BJ229" i="9"/>
  <c r="BK229" i="9"/>
  <c r="BJ230" i="9"/>
  <c r="BK230" i="9"/>
  <c r="BJ231" i="9"/>
  <c r="BK231" i="9"/>
  <c r="BJ232" i="9"/>
  <c r="BK232" i="9"/>
  <c r="BJ233" i="9"/>
  <c r="BK233" i="9"/>
  <c r="BJ234" i="9"/>
  <c r="BK234" i="9"/>
  <c r="BJ235" i="9"/>
  <c r="BK235" i="9"/>
  <c r="BJ236" i="9"/>
  <c r="BK236" i="9"/>
  <c r="BJ237" i="9"/>
  <c r="BK237" i="9"/>
  <c r="BJ238" i="9"/>
  <c r="BK238" i="9"/>
  <c r="BJ239" i="9"/>
  <c r="BK239" i="9"/>
  <c r="BJ240" i="9"/>
  <c r="BK240" i="9"/>
  <c r="BJ241" i="9"/>
  <c r="BK241" i="9"/>
  <c r="BJ242" i="9"/>
  <c r="BK242" i="9"/>
  <c r="BJ243" i="9"/>
  <c r="BK243" i="9"/>
  <c r="BJ244" i="9"/>
  <c r="BK244" i="9"/>
  <c r="BJ245" i="9"/>
  <c r="BK245" i="9"/>
  <c r="BJ246" i="9"/>
  <c r="BK246" i="9"/>
  <c r="BJ247" i="9"/>
  <c r="BK247" i="9"/>
  <c r="BJ248" i="9"/>
  <c r="BK248" i="9"/>
  <c r="BJ249" i="9"/>
  <c r="BK249" i="9"/>
  <c r="BJ250" i="9"/>
  <c r="BK250" i="9"/>
  <c r="BJ251" i="9"/>
  <c r="BK251" i="9"/>
  <c r="BJ252" i="9"/>
  <c r="BK252" i="9"/>
  <c r="BJ253" i="9"/>
  <c r="BK253" i="9"/>
  <c r="BJ254" i="9"/>
  <c r="BK254" i="9"/>
  <c r="BJ255" i="9"/>
  <c r="BK255" i="9"/>
  <c r="BJ256" i="9"/>
  <c r="BK256" i="9"/>
  <c r="BJ257" i="9"/>
  <c r="BK257" i="9"/>
  <c r="BJ258" i="9"/>
  <c r="BK258" i="9"/>
  <c r="BJ259" i="9"/>
  <c r="BK259" i="9"/>
  <c r="BJ260" i="9"/>
  <c r="BK260" i="9"/>
  <c r="BJ261" i="9"/>
  <c r="BK261" i="9"/>
  <c r="BJ262" i="9"/>
  <c r="BK262" i="9"/>
  <c r="BJ263" i="9"/>
  <c r="BK263" i="9"/>
  <c r="BJ264" i="9"/>
  <c r="BK264" i="9"/>
  <c r="BJ265" i="9"/>
  <c r="BK265" i="9"/>
  <c r="BJ266" i="9"/>
  <c r="BK266" i="9"/>
  <c r="BJ267" i="9"/>
  <c r="BK267" i="9"/>
  <c r="BJ268" i="9"/>
  <c r="BK268" i="9"/>
  <c r="BJ269" i="9"/>
  <c r="BK269" i="9"/>
  <c r="BJ270" i="9"/>
  <c r="BK270" i="9"/>
  <c r="BJ271" i="9"/>
  <c r="BK271" i="9"/>
  <c r="BJ272" i="9"/>
  <c r="BK272" i="9"/>
  <c r="BJ273" i="9"/>
  <c r="BK273" i="9"/>
  <c r="BJ274" i="9"/>
  <c r="BK274" i="9"/>
  <c r="BJ275" i="9"/>
  <c r="BK275" i="9"/>
  <c r="BJ276" i="9"/>
  <c r="BK276" i="9"/>
  <c r="BJ277" i="9"/>
  <c r="BK277" i="9"/>
  <c r="BJ278" i="9"/>
  <c r="BK278" i="9"/>
  <c r="BJ279" i="9"/>
  <c r="BK279" i="9"/>
  <c r="BJ280" i="9"/>
  <c r="BK280" i="9"/>
  <c r="BJ281" i="9"/>
  <c r="BK281" i="9"/>
  <c r="BJ282" i="9"/>
  <c r="BK282" i="9"/>
  <c r="BJ283" i="9"/>
  <c r="BK283" i="9"/>
  <c r="BJ284" i="9"/>
  <c r="BK284" i="9"/>
  <c r="BJ285" i="9"/>
  <c r="BK285" i="9"/>
  <c r="BJ286" i="9"/>
  <c r="BK286" i="9"/>
  <c r="BJ287" i="9"/>
  <c r="BK287" i="9"/>
  <c r="BJ288" i="9"/>
  <c r="BK288" i="9"/>
  <c r="BJ289" i="9"/>
  <c r="BK289" i="9"/>
  <c r="BJ290" i="9"/>
  <c r="BK290" i="9"/>
  <c r="BJ291" i="9"/>
  <c r="BK291" i="9"/>
  <c r="BJ292" i="9"/>
  <c r="BK292" i="9"/>
  <c r="BJ293" i="9"/>
  <c r="BK293" i="9"/>
  <c r="BJ294" i="9"/>
  <c r="BK294" i="9"/>
  <c r="BJ295" i="9"/>
  <c r="BK295" i="9"/>
  <c r="BJ296" i="9"/>
  <c r="BK296" i="9"/>
  <c r="BJ297" i="9"/>
  <c r="BK297" i="9"/>
  <c r="BJ298" i="9"/>
  <c r="BK298" i="9"/>
  <c r="BJ299" i="9"/>
  <c r="BK299" i="9"/>
  <c r="BJ300" i="9"/>
  <c r="BK300" i="9"/>
  <c r="BJ301" i="9"/>
  <c r="BK301" i="9"/>
  <c r="BJ302" i="9"/>
  <c r="BK302" i="9"/>
  <c r="BJ303" i="9"/>
  <c r="BK303" i="9"/>
  <c r="BJ304" i="9"/>
  <c r="BK304" i="9"/>
  <c r="BJ305" i="9"/>
  <c r="BK305" i="9"/>
  <c r="BJ306" i="9"/>
  <c r="BK306" i="9"/>
  <c r="BK6" i="9"/>
  <c r="BJ6" i="9"/>
  <c r="BM306" i="9"/>
  <c r="BM305" i="9"/>
  <c r="BM304" i="9"/>
  <c r="BM303" i="9"/>
  <c r="BM302" i="9"/>
  <c r="BM301" i="9"/>
  <c r="BM300" i="9"/>
  <c r="BM299" i="9"/>
  <c r="BM298" i="9"/>
  <c r="BM297" i="9"/>
  <c r="BM296" i="9"/>
  <c r="BM295" i="9"/>
  <c r="BM294" i="9"/>
  <c r="BM293" i="9"/>
  <c r="BM292" i="9"/>
  <c r="BM291" i="9"/>
  <c r="BM290" i="9"/>
  <c r="BM289" i="9"/>
  <c r="BM288" i="9"/>
  <c r="BM287" i="9"/>
  <c r="BM286" i="9"/>
  <c r="BM285" i="9"/>
  <c r="BM284" i="9"/>
  <c r="BM283" i="9"/>
  <c r="BM282" i="9"/>
  <c r="BM281" i="9"/>
  <c r="BM280" i="9"/>
  <c r="BM279" i="9"/>
  <c r="BM278" i="9"/>
  <c r="BM277" i="9"/>
  <c r="BM276" i="9"/>
  <c r="BM275" i="9"/>
  <c r="BM274" i="9"/>
  <c r="BM273" i="9"/>
  <c r="BM272" i="9"/>
  <c r="BM271" i="9"/>
  <c r="BM270" i="9"/>
  <c r="BM269" i="9"/>
  <c r="BM268" i="9"/>
  <c r="BM267" i="9"/>
  <c r="BM266" i="9"/>
  <c r="BM265" i="9"/>
  <c r="BM264" i="9"/>
  <c r="BM263" i="9"/>
  <c r="BM262" i="9"/>
  <c r="BM261" i="9"/>
  <c r="BM260" i="9"/>
  <c r="BM259" i="9"/>
  <c r="BM258" i="9"/>
  <c r="BM257" i="9"/>
  <c r="BM256" i="9"/>
  <c r="BM255" i="9"/>
  <c r="BM254" i="9"/>
  <c r="BM253" i="9"/>
  <c r="BM252" i="9"/>
  <c r="BM251" i="9"/>
  <c r="BM250" i="9"/>
  <c r="BM249" i="9"/>
  <c r="BM248" i="9"/>
  <c r="BM247" i="9"/>
  <c r="BM246" i="9"/>
  <c r="BM245" i="9"/>
  <c r="BM244" i="9"/>
  <c r="BM243" i="9"/>
  <c r="BM242" i="9"/>
  <c r="BM241" i="9"/>
  <c r="BM240" i="9"/>
  <c r="BM239" i="9"/>
  <c r="BM238" i="9"/>
  <c r="BM237" i="9"/>
  <c r="BM236" i="9"/>
  <c r="BM235" i="9"/>
  <c r="BM234" i="9"/>
  <c r="BM233" i="9"/>
  <c r="BM232" i="9"/>
  <c r="BM231" i="9"/>
  <c r="BM230" i="9"/>
  <c r="BM229" i="9"/>
  <c r="BM228" i="9"/>
  <c r="BM227" i="9"/>
  <c r="BM226" i="9"/>
  <c r="BM225" i="9"/>
  <c r="BM224" i="9"/>
  <c r="BM223" i="9"/>
  <c r="BM222" i="9"/>
  <c r="BM221" i="9"/>
  <c r="BM220" i="9"/>
  <c r="BM219" i="9"/>
  <c r="BM218" i="9"/>
  <c r="BM217" i="9"/>
  <c r="BM216" i="9"/>
  <c r="BM215" i="9"/>
  <c r="BM214" i="9"/>
  <c r="BM213" i="9"/>
  <c r="BM212" i="9"/>
  <c r="BM211" i="9"/>
  <c r="BM210" i="9"/>
  <c r="BM209" i="9"/>
  <c r="BM208" i="9"/>
  <c r="BM207" i="9"/>
  <c r="BM206" i="9"/>
  <c r="BM205" i="9"/>
  <c r="BM204" i="9"/>
  <c r="BM203" i="9"/>
  <c r="BM202" i="9"/>
  <c r="BM201" i="9"/>
  <c r="BM200" i="9"/>
  <c r="BM199" i="9"/>
  <c r="BM198" i="9"/>
  <c r="BM197" i="9"/>
  <c r="BM196" i="9"/>
  <c r="BM195" i="9"/>
  <c r="BM194" i="9"/>
  <c r="BM193" i="9"/>
  <c r="BM192" i="9"/>
  <c r="BM191" i="9"/>
  <c r="BM190" i="9"/>
  <c r="BM189" i="9"/>
  <c r="BM188" i="9"/>
  <c r="BM187" i="9"/>
  <c r="BM186" i="9"/>
  <c r="BM185" i="9"/>
  <c r="BM184" i="9"/>
  <c r="BM183" i="9"/>
  <c r="BM182" i="9"/>
  <c r="BM181" i="9"/>
  <c r="BM180" i="9"/>
  <c r="BM179" i="9"/>
  <c r="BM178" i="9"/>
  <c r="BM177" i="9"/>
  <c r="BM176" i="9"/>
  <c r="BM175" i="9"/>
  <c r="BM174" i="9"/>
  <c r="BM173" i="9"/>
  <c r="BM172" i="9"/>
  <c r="BM171" i="9"/>
  <c r="BM170" i="9"/>
  <c r="BM169" i="9"/>
  <c r="BM168" i="9"/>
  <c r="BM167" i="9"/>
  <c r="BM166" i="9"/>
  <c r="BM165" i="9"/>
  <c r="BM164" i="9"/>
  <c r="BM163" i="9"/>
  <c r="BM162" i="9"/>
  <c r="BM161" i="9"/>
  <c r="BM160" i="9"/>
  <c r="BM159" i="9"/>
  <c r="BM158" i="9"/>
  <c r="BM157" i="9"/>
  <c r="BM156" i="9"/>
  <c r="BM155" i="9"/>
  <c r="BM154" i="9"/>
  <c r="BM153" i="9"/>
  <c r="BM152" i="9"/>
  <c r="BM151" i="9"/>
  <c r="BM150" i="9"/>
  <c r="BM149" i="9"/>
  <c r="BM148" i="9"/>
  <c r="BM147" i="9"/>
  <c r="BM146" i="9"/>
  <c r="BM145" i="9"/>
  <c r="BM144" i="9"/>
  <c r="BM143" i="9"/>
  <c r="BM142" i="9"/>
  <c r="BM141" i="9"/>
  <c r="BM140" i="9"/>
  <c r="BM139" i="9"/>
  <c r="BM138" i="9"/>
  <c r="BM137" i="9"/>
  <c r="BM136" i="9"/>
  <c r="BM135" i="9"/>
  <c r="BM134" i="9"/>
  <c r="BM133" i="9"/>
  <c r="BM132" i="9"/>
  <c r="BM131" i="9"/>
  <c r="BM130" i="9"/>
  <c r="BM129" i="9"/>
  <c r="BM128" i="9"/>
  <c r="BM127" i="9"/>
  <c r="BM126" i="9"/>
  <c r="BM125" i="9"/>
  <c r="BM124" i="9"/>
  <c r="BM123" i="9"/>
  <c r="BM122" i="9"/>
  <c r="BM121" i="9"/>
  <c r="BM120" i="9"/>
  <c r="BM119" i="9"/>
  <c r="BM118" i="9"/>
  <c r="BM117" i="9"/>
  <c r="BM116" i="9"/>
  <c r="BM115" i="9"/>
  <c r="BM114" i="9"/>
  <c r="BM113" i="9"/>
  <c r="BM112" i="9"/>
  <c r="BM111" i="9"/>
  <c r="BM110" i="9"/>
  <c r="BM109" i="9"/>
  <c r="BM108" i="9"/>
  <c r="BM107" i="9"/>
  <c r="BM106" i="9"/>
  <c r="BM105" i="9"/>
  <c r="BM104" i="9"/>
  <c r="BM103" i="9"/>
  <c r="BM102" i="9"/>
  <c r="BM101" i="9"/>
  <c r="BM100" i="9"/>
  <c r="BM99" i="9"/>
  <c r="BM98" i="9"/>
  <c r="BM97" i="9"/>
  <c r="BM96" i="9"/>
  <c r="BM95" i="9"/>
  <c r="BM94" i="9"/>
  <c r="BM93" i="9"/>
  <c r="BM92" i="9"/>
  <c r="BM91" i="9"/>
  <c r="BM90" i="9"/>
  <c r="BM89" i="9"/>
  <c r="BM88" i="9"/>
  <c r="BM87" i="9"/>
  <c r="BM86" i="9"/>
  <c r="BM85" i="9"/>
  <c r="BM84" i="9"/>
  <c r="BM83" i="9"/>
  <c r="BM82" i="9"/>
  <c r="BM81" i="9"/>
  <c r="BM80" i="9"/>
  <c r="BM79" i="9"/>
  <c r="BM78" i="9"/>
  <c r="BM77" i="9"/>
  <c r="BM76" i="9"/>
  <c r="BM75" i="9"/>
  <c r="BM74" i="9"/>
  <c r="BM73" i="9"/>
  <c r="BM72" i="9"/>
  <c r="BM71" i="9"/>
  <c r="BM70" i="9"/>
  <c r="BM69" i="9"/>
  <c r="BM68" i="9"/>
  <c r="BM67" i="9"/>
  <c r="BM66" i="9"/>
  <c r="BM65" i="9"/>
  <c r="BM64" i="9"/>
  <c r="BM63" i="9"/>
  <c r="BM62" i="9"/>
  <c r="BM61" i="9"/>
  <c r="BM60" i="9"/>
  <c r="BM59" i="9"/>
  <c r="BM58" i="9"/>
  <c r="BM57" i="9"/>
  <c r="BM56" i="9"/>
  <c r="BM55" i="9"/>
  <c r="BM54" i="9"/>
  <c r="BM53" i="9"/>
  <c r="BM52" i="9"/>
  <c r="BM51" i="9"/>
  <c r="BM50" i="9"/>
  <c r="BM49" i="9"/>
  <c r="BM48" i="9"/>
  <c r="BM47" i="9"/>
  <c r="BM46" i="9"/>
  <c r="BM45" i="9"/>
  <c r="BM44" i="9"/>
  <c r="BM43" i="9"/>
  <c r="BM42" i="9"/>
  <c r="BM41" i="9"/>
  <c r="BM40" i="9"/>
  <c r="BM39" i="9"/>
  <c r="BM38" i="9"/>
  <c r="BM37" i="9"/>
  <c r="BM36" i="9"/>
  <c r="BM35" i="9"/>
  <c r="BM34" i="9"/>
  <c r="BM33" i="9"/>
  <c r="BM32" i="9"/>
  <c r="BM31" i="9"/>
  <c r="BM30" i="9"/>
  <c r="BM29" i="9"/>
  <c r="BM28" i="9"/>
  <c r="BM24" i="9"/>
  <c r="BM23" i="9"/>
  <c r="BM22" i="9"/>
  <c r="BM21" i="9"/>
  <c r="BM20" i="9"/>
  <c r="BM19" i="9"/>
  <c r="BM18" i="9"/>
  <c r="BM17" i="9"/>
  <c r="BM16" i="9"/>
  <c r="BM15" i="9"/>
  <c r="BM14" i="9"/>
  <c r="BM13" i="9"/>
  <c r="BM12" i="9"/>
  <c r="BM11" i="9"/>
  <c r="BM10" i="9"/>
  <c r="BM9" i="9"/>
  <c r="BM8" i="9"/>
  <c r="BM7" i="9"/>
  <c r="BM6" i="9"/>
  <c r="BM2" i="9"/>
  <c r="BM1" i="9"/>
  <c r="AX7" i="9"/>
  <c r="AY7" i="9"/>
  <c r="AX8" i="9"/>
  <c r="AY8" i="9"/>
  <c r="AX9" i="9"/>
  <c r="AY9" i="9"/>
  <c r="AX10" i="9"/>
  <c r="AY10" i="9"/>
  <c r="AX11" i="9"/>
  <c r="AY11" i="9"/>
  <c r="AX12" i="9"/>
  <c r="AY12" i="9"/>
  <c r="AX13" i="9"/>
  <c r="AY13" i="9"/>
  <c r="AX14" i="9"/>
  <c r="AY14" i="9"/>
  <c r="AX15" i="9"/>
  <c r="AY15" i="9"/>
  <c r="AX16" i="9"/>
  <c r="AY16" i="9"/>
  <c r="AX17" i="9"/>
  <c r="AY17" i="9"/>
  <c r="AX18" i="9"/>
  <c r="AY18" i="9"/>
  <c r="AX19" i="9"/>
  <c r="AY19" i="9"/>
  <c r="AX20" i="9"/>
  <c r="AY20" i="9"/>
  <c r="AX21" i="9"/>
  <c r="AY21" i="9"/>
  <c r="AX22" i="9"/>
  <c r="AY22" i="9"/>
  <c r="AX23" i="9"/>
  <c r="AY23" i="9"/>
  <c r="AX24" i="9"/>
  <c r="AY24" i="9"/>
  <c r="AX25" i="9"/>
  <c r="AY25" i="9"/>
  <c r="AX26" i="9"/>
  <c r="AY26" i="9"/>
  <c r="AX27" i="9"/>
  <c r="AY27" i="9"/>
  <c r="AX28" i="9"/>
  <c r="AY28" i="9"/>
  <c r="AX29" i="9"/>
  <c r="AY29" i="9"/>
  <c r="AX30" i="9"/>
  <c r="AY30" i="9"/>
  <c r="AX31" i="9"/>
  <c r="AY31" i="9"/>
  <c r="AX32" i="9"/>
  <c r="AY32" i="9"/>
  <c r="AX33" i="9"/>
  <c r="AY33" i="9"/>
  <c r="AX34" i="9"/>
  <c r="AY34" i="9"/>
  <c r="AX35" i="9"/>
  <c r="AY35" i="9"/>
  <c r="AX36" i="9"/>
  <c r="AY36" i="9"/>
  <c r="AX37" i="9"/>
  <c r="AY37" i="9"/>
  <c r="AX38" i="9"/>
  <c r="AY38" i="9"/>
  <c r="AX39" i="9"/>
  <c r="AY39" i="9"/>
  <c r="AX40" i="9"/>
  <c r="AY40" i="9"/>
  <c r="AX41" i="9"/>
  <c r="AY41" i="9"/>
  <c r="AX42" i="9"/>
  <c r="AY42" i="9"/>
  <c r="AX43" i="9"/>
  <c r="AY43" i="9"/>
  <c r="AX44" i="9"/>
  <c r="AY44" i="9"/>
  <c r="AX45" i="9"/>
  <c r="AY45" i="9"/>
  <c r="AX46" i="9"/>
  <c r="AY46" i="9"/>
  <c r="AX47" i="9"/>
  <c r="AY47" i="9"/>
  <c r="AX48" i="9"/>
  <c r="AY48" i="9"/>
  <c r="AX49" i="9"/>
  <c r="AY49" i="9"/>
  <c r="AX50" i="9"/>
  <c r="AY50" i="9"/>
  <c r="AX51" i="9"/>
  <c r="AY51" i="9"/>
  <c r="AX52" i="9"/>
  <c r="AY52" i="9"/>
  <c r="AX53" i="9"/>
  <c r="AY53" i="9"/>
  <c r="AX54" i="9"/>
  <c r="AY54" i="9"/>
  <c r="AX55" i="9"/>
  <c r="AY55" i="9"/>
  <c r="AX56" i="9"/>
  <c r="AY56" i="9"/>
  <c r="AX57" i="9"/>
  <c r="AY57" i="9"/>
  <c r="AX58" i="9"/>
  <c r="AY58" i="9"/>
  <c r="AX59" i="9"/>
  <c r="AY59" i="9"/>
  <c r="AX60" i="9"/>
  <c r="AY60" i="9"/>
  <c r="AX61" i="9"/>
  <c r="AY61" i="9"/>
  <c r="AX62" i="9"/>
  <c r="AY62" i="9"/>
  <c r="AX63" i="9"/>
  <c r="AY63" i="9"/>
  <c r="AX64" i="9"/>
  <c r="AY64" i="9"/>
  <c r="AX65" i="9"/>
  <c r="AY65" i="9"/>
  <c r="AX66" i="9"/>
  <c r="AY66" i="9"/>
  <c r="AX67" i="9"/>
  <c r="AY67" i="9"/>
  <c r="AX68" i="9"/>
  <c r="AY68" i="9"/>
  <c r="AX69" i="9"/>
  <c r="AY69" i="9"/>
  <c r="AX70" i="9"/>
  <c r="AY70" i="9"/>
  <c r="AX71" i="9"/>
  <c r="AY71" i="9"/>
  <c r="AX72" i="9"/>
  <c r="AY72" i="9"/>
  <c r="AX73" i="9"/>
  <c r="AY73" i="9"/>
  <c r="AX74" i="9"/>
  <c r="AY74" i="9"/>
  <c r="AX75" i="9"/>
  <c r="AY75" i="9"/>
  <c r="AX76" i="9"/>
  <c r="AY76" i="9"/>
  <c r="AX77" i="9"/>
  <c r="AY77" i="9"/>
  <c r="AX78" i="9"/>
  <c r="AY78" i="9"/>
  <c r="AX79" i="9"/>
  <c r="AY79" i="9"/>
  <c r="AX80" i="9"/>
  <c r="AY80" i="9"/>
  <c r="AX81" i="9"/>
  <c r="AY81" i="9"/>
  <c r="AX82" i="9"/>
  <c r="AY82" i="9"/>
  <c r="AX83" i="9"/>
  <c r="AY83" i="9"/>
  <c r="AX84" i="9"/>
  <c r="AY84" i="9"/>
  <c r="AX85" i="9"/>
  <c r="AY85" i="9"/>
  <c r="AX86" i="9"/>
  <c r="AY86" i="9"/>
  <c r="AX87" i="9"/>
  <c r="AY87" i="9"/>
  <c r="AX88" i="9"/>
  <c r="AY88" i="9"/>
  <c r="AX89" i="9"/>
  <c r="AY89" i="9"/>
  <c r="AX90" i="9"/>
  <c r="AY90" i="9"/>
  <c r="AX91" i="9"/>
  <c r="AY91" i="9"/>
  <c r="AX92" i="9"/>
  <c r="AY92" i="9"/>
  <c r="AX93" i="9"/>
  <c r="AY93" i="9"/>
  <c r="AX94" i="9"/>
  <c r="AY94" i="9"/>
  <c r="AX95" i="9"/>
  <c r="AY95" i="9"/>
  <c r="AX96" i="9"/>
  <c r="AY96" i="9"/>
  <c r="AX97" i="9"/>
  <c r="AY97" i="9"/>
  <c r="AX98" i="9"/>
  <c r="AY98" i="9"/>
  <c r="AX99" i="9"/>
  <c r="AY99" i="9"/>
  <c r="AX100" i="9"/>
  <c r="AY100" i="9"/>
  <c r="AX101" i="9"/>
  <c r="AY101" i="9"/>
  <c r="AX102" i="9"/>
  <c r="AY102" i="9"/>
  <c r="AX103" i="9"/>
  <c r="AY103" i="9"/>
  <c r="AX104" i="9"/>
  <c r="AY104" i="9"/>
  <c r="AX105" i="9"/>
  <c r="AY105" i="9"/>
  <c r="AX106" i="9"/>
  <c r="AY106" i="9"/>
  <c r="AX107" i="9"/>
  <c r="AY107" i="9"/>
  <c r="AX108" i="9"/>
  <c r="AY108" i="9"/>
  <c r="AX109" i="9"/>
  <c r="AY109" i="9"/>
  <c r="AX110" i="9"/>
  <c r="AY110" i="9"/>
  <c r="AX111" i="9"/>
  <c r="AY111" i="9"/>
  <c r="AX112" i="9"/>
  <c r="AY112" i="9"/>
  <c r="AX113" i="9"/>
  <c r="AY113" i="9"/>
  <c r="AX114" i="9"/>
  <c r="AY114" i="9"/>
  <c r="AX115" i="9"/>
  <c r="AY115" i="9"/>
  <c r="AX116" i="9"/>
  <c r="AY116" i="9"/>
  <c r="AX117" i="9"/>
  <c r="AY117" i="9"/>
  <c r="AX118" i="9"/>
  <c r="AY118" i="9"/>
  <c r="AX119" i="9"/>
  <c r="AY119" i="9"/>
  <c r="AX120" i="9"/>
  <c r="AY120" i="9"/>
  <c r="AX121" i="9"/>
  <c r="AY121" i="9"/>
  <c r="AX122" i="9"/>
  <c r="AY122" i="9"/>
  <c r="AX123" i="9"/>
  <c r="AY123" i="9"/>
  <c r="AX124" i="9"/>
  <c r="AY124" i="9"/>
  <c r="AX125" i="9"/>
  <c r="AY125" i="9"/>
  <c r="AX126" i="9"/>
  <c r="AY126" i="9"/>
  <c r="AX127" i="9"/>
  <c r="AY127" i="9"/>
  <c r="AX128" i="9"/>
  <c r="AY128" i="9"/>
  <c r="AX129" i="9"/>
  <c r="AY129" i="9"/>
  <c r="AX130" i="9"/>
  <c r="AY130" i="9"/>
  <c r="AX131" i="9"/>
  <c r="AY131" i="9"/>
  <c r="AX132" i="9"/>
  <c r="AY132" i="9"/>
  <c r="AX133" i="9"/>
  <c r="AY133" i="9"/>
  <c r="AX134" i="9"/>
  <c r="AY134" i="9"/>
  <c r="AX135" i="9"/>
  <c r="AY135" i="9"/>
  <c r="AX136" i="9"/>
  <c r="AY136" i="9"/>
  <c r="AX137" i="9"/>
  <c r="AY137" i="9"/>
  <c r="AX138" i="9"/>
  <c r="AY138" i="9"/>
  <c r="AX139" i="9"/>
  <c r="AY139" i="9"/>
  <c r="AX140" i="9"/>
  <c r="AY140" i="9"/>
  <c r="AX141" i="9"/>
  <c r="AY141" i="9"/>
  <c r="AX142" i="9"/>
  <c r="AY142" i="9"/>
  <c r="AX143" i="9"/>
  <c r="AY143" i="9"/>
  <c r="AX144" i="9"/>
  <c r="AY144" i="9"/>
  <c r="AX145" i="9"/>
  <c r="AY145" i="9"/>
  <c r="AX146" i="9"/>
  <c r="AY146" i="9"/>
  <c r="AX147" i="9"/>
  <c r="AY147" i="9"/>
  <c r="AX148" i="9"/>
  <c r="AY148" i="9"/>
  <c r="AX149" i="9"/>
  <c r="AY149" i="9"/>
  <c r="AX150" i="9"/>
  <c r="AY150" i="9"/>
  <c r="AX151" i="9"/>
  <c r="AY151" i="9"/>
  <c r="AX152" i="9"/>
  <c r="AY152" i="9"/>
  <c r="AX153" i="9"/>
  <c r="AY153" i="9"/>
  <c r="AX154" i="9"/>
  <c r="AY154" i="9"/>
  <c r="AX155" i="9"/>
  <c r="AY155" i="9"/>
  <c r="AX156" i="9"/>
  <c r="AY156" i="9"/>
  <c r="AX157" i="9"/>
  <c r="AY157" i="9"/>
  <c r="AX158" i="9"/>
  <c r="AY158" i="9"/>
  <c r="AX159" i="9"/>
  <c r="AY159" i="9"/>
  <c r="AX160" i="9"/>
  <c r="AY160" i="9"/>
  <c r="AX161" i="9"/>
  <c r="AY161" i="9"/>
  <c r="AX162" i="9"/>
  <c r="AY162" i="9"/>
  <c r="AX163" i="9"/>
  <c r="AY163" i="9"/>
  <c r="AX164" i="9"/>
  <c r="AY164" i="9"/>
  <c r="AX165" i="9"/>
  <c r="AY165" i="9"/>
  <c r="AX166" i="9"/>
  <c r="AY166" i="9"/>
  <c r="AX167" i="9"/>
  <c r="AY167" i="9"/>
  <c r="AX168" i="9"/>
  <c r="AY168" i="9"/>
  <c r="AX169" i="9"/>
  <c r="AY169" i="9"/>
  <c r="AX170" i="9"/>
  <c r="AY170" i="9"/>
  <c r="AX171" i="9"/>
  <c r="AY171" i="9"/>
  <c r="AX172" i="9"/>
  <c r="AY172" i="9"/>
  <c r="AX173" i="9"/>
  <c r="AY173" i="9"/>
  <c r="AX174" i="9"/>
  <c r="AY174" i="9"/>
  <c r="AX175" i="9"/>
  <c r="AY175" i="9"/>
  <c r="AX176" i="9"/>
  <c r="AY176" i="9"/>
  <c r="AX177" i="9"/>
  <c r="AY177" i="9"/>
  <c r="AX178" i="9"/>
  <c r="AY178" i="9"/>
  <c r="AX179" i="9"/>
  <c r="AY179" i="9"/>
  <c r="AX180" i="9"/>
  <c r="AY180" i="9"/>
  <c r="AX181" i="9"/>
  <c r="AY181" i="9"/>
  <c r="AX182" i="9"/>
  <c r="AY182" i="9"/>
  <c r="AX183" i="9"/>
  <c r="AY183" i="9"/>
  <c r="AX184" i="9"/>
  <c r="AY184" i="9"/>
  <c r="AX185" i="9"/>
  <c r="AY185" i="9"/>
  <c r="AX186" i="9"/>
  <c r="AY186" i="9"/>
  <c r="AX187" i="9"/>
  <c r="AY187" i="9"/>
  <c r="AX188" i="9"/>
  <c r="AY188" i="9"/>
  <c r="AX189" i="9"/>
  <c r="AY189" i="9"/>
  <c r="AX190" i="9"/>
  <c r="AY190" i="9"/>
  <c r="AX191" i="9"/>
  <c r="AY191" i="9"/>
  <c r="AX192" i="9"/>
  <c r="AY192" i="9"/>
  <c r="AX193" i="9"/>
  <c r="AY193" i="9"/>
  <c r="AX194" i="9"/>
  <c r="AY194" i="9"/>
  <c r="AX195" i="9"/>
  <c r="AY195" i="9"/>
  <c r="AX196" i="9"/>
  <c r="AY196" i="9"/>
  <c r="AX197" i="9"/>
  <c r="AY197" i="9"/>
  <c r="AX198" i="9"/>
  <c r="AY198" i="9"/>
  <c r="AX199" i="9"/>
  <c r="AY199" i="9"/>
  <c r="AX200" i="9"/>
  <c r="AY200" i="9"/>
  <c r="AX201" i="9"/>
  <c r="AY201" i="9"/>
  <c r="AX202" i="9"/>
  <c r="AY202" i="9"/>
  <c r="AX203" i="9"/>
  <c r="AY203" i="9"/>
  <c r="AX204" i="9"/>
  <c r="AY204" i="9"/>
  <c r="AX205" i="9"/>
  <c r="AY205" i="9"/>
  <c r="AX206" i="9"/>
  <c r="AY206" i="9"/>
  <c r="AX207" i="9"/>
  <c r="AY207" i="9"/>
  <c r="AX208" i="9"/>
  <c r="AY208" i="9"/>
  <c r="AX209" i="9"/>
  <c r="AY209" i="9"/>
  <c r="AX210" i="9"/>
  <c r="AY210" i="9"/>
  <c r="AX211" i="9"/>
  <c r="AY211" i="9"/>
  <c r="AX212" i="9"/>
  <c r="AY212" i="9"/>
  <c r="AX213" i="9"/>
  <c r="AY213" i="9"/>
  <c r="AX214" i="9"/>
  <c r="AY214" i="9"/>
  <c r="AX215" i="9"/>
  <c r="AY215" i="9"/>
  <c r="AX216" i="9"/>
  <c r="AY216" i="9"/>
  <c r="AX217" i="9"/>
  <c r="AY217" i="9"/>
  <c r="AX218" i="9"/>
  <c r="AY218" i="9"/>
  <c r="AX219" i="9"/>
  <c r="AY219" i="9"/>
  <c r="AX220" i="9"/>
  <c r="AY220" i="9"/>
  <c r="AX221" i="9"/>
  <c r="AY221" i="9"/>
  <c r="AX222" i="9"/>
  <c r="AY222" i="9"/>
  <c r="AX223" i="9"/>
  <c r="AY223" i="9"/>
  <c r="AX224" i="9"/>
  <c r="AY224" i="9"/>
  <c r="AX225" i="9"/>
  <c r="AY225" i="9"/>
  <c r="AX226" i="9"/>
  <c r="AY226" i="9"/>
  <c r="AX227" i="9"/>
  <c r="AY227" i="9"/>
  <c r="AX228" i="9"/>
  <c r="AY228" i="9"/>
  <c r="AX229" i="9"/>
  <c r="AY229" i="9"/>
  <c r="AX230" i="9"/>
  <c r="AY230" i="9"/>
  <c r="AX231" i="9"/>
  <c r="AY231" i="9"/>
  <c r="AX232" i="9"/>
  <c r="AY232" i="9"/>
  <c r="AX233" i="9"/>
  <c r="AY233" i="9"/>
  <c r="AX234" i="9"/>
  <c r="AY234" i="9"/>
  <c r="AX235" i="9"/>
  <c r="AY235" i="9"/>
  <c r="AX236" i="9"/>
  <c r="AY236" i="9"/>
  <c r="AX237" i="9"/>
  <c r="AY237" i="9"/>
  <c r="AX238" i="9"/>
  <c r="AY238" i="9"/>
  <c r="AX239" i="9"/>
  <c r="AY239" i="9"/>
  <c r="AX240" i="9"/>
  <c r="AY240" i="9"/>
  <c r="AX241" i="9"/>
  <c r="AY241" i="9"/>
  <c r="AX242" i="9"/>
  <c r="AY242" i="9"/>
  <c r="AX243" i="9"/>
  <c r="AY243" i="9"/>
  <c r="AX244" i="9"/>
  <c r="AY244" i="9"/>
  <c r="AX245" i="9"/>
  <c r="AY245" i="9"/>
  <c r="AX246" i="9"/>
  <c r="AY246" i="9"/>
  <c r="AX247" i="9"/>
  <c r="AY247" i="9"/>
  <c r="AX248" i="9"/>
  <c r="AY248" i="9"/>
  <c r="AX249" i="9"/>
  <c r="AY249" i="9"/>
  <c r="AX250" i="9"/>
  <c r="AY250" i="9"/>
  <c r="AX251" i="9"/>
  <c r="AY251" i="9"/>
  <c r="AX252" i="9"/>
  <c r="AY252" i="9"/>
  <c r="AX253" i="9"/>
  <c r="AY253" i="9"/>
  <c r="AX254" i="9"/>
  <c r="AY254" i="9"/>
  <c r="AX255" i="9"/>
  <c r="AY255" i="9"/>
  <c r="AX256" i="9"/>
  <c r="AY256" i="9"/>
  <c r="AX257" i="9"/>
  <c r="AY257" i="9"/>
  <c r="AX258" i="9"/>
  <c r="AY258" i="9"/>
  <c r="AX259" i="9"/>
  <c r="AY259" i="9"/>
  <c r="AX260" i="9"/>
  <c r="AY260" i="9"/>
  <c r="AX261" i="9"/>
  <c r="AY261" i="9"/>
  <c r="AX262" i="9"/>
  <c r="AY262" i="9"/>
  <c r="AX263" i="9"/>
  <c r="AY263" i="9"/>
  <c r="AX264" i="9"/>
  <c r="AY264" i="9"/>
  <c r="AX265" i="9"/>
  <c r="AY265" i="9"/>
  <c r="AX266" i="9"/>
  <c r="AY266" i="9"/>
  <c r="AX267" i="9"/>
  <c r="AY267" i="9"/>
  <c r="AX268" i="9"/>
  <c r="AY268" i="9"/>
  <c r="AX269" i="9"/>
  <c r="AY269" i="9"/>
  <c r="AX270" i="9"/>
  <c r="AY270" i="9"/>
  <c r="AX271" i="9"/>
  <c r="AY271" i="9"/>
  <c r="AX272" i="9"/>
  <c r="AY272" i="9"/>
  <c r="AX273" i="9"/>
  <c r="AY273" i="9"/>
  <c r="AX274" i="9"/>
  <c r="AY274" i="9"/>
  <c r="AX275" i="9"/>
  <c r="AY275" i="9"/>
  <c r="AX276" i="9"/>
  <c r="AY276" i="9"/>
  <c r="AX277" i="9"/>
  <c r="AY277" i="9"/>
  <c r="AX278" i="9"/>
  <c r="AY278" i="9"/>
  <c r="AX279" i="9"/>
  <c r="AY279" i="9"/>
  <c r="AX280" i="9"/>
  <c r="AY280" i="9"/>
  <c r="AX281" i="9"/>
  <c r="AY281" i="9"/>
  <c r="AX282" i="9"/>
  <c r="AY282" i="9"/>
  <c r="AX283" i="9"/>
  <c r="AY283" i="9"/>
  <c r="AX284" i="9"/>
  <c r="AY284" i="9"/>
  <c r="AX285" i="9"/>
  <c r="AY285" i="9"/>
  <c r="AX286" i="9"/>
  <c r="AY286" i="9"/>
  <c r="AX287" i="9"/>
  <c r="AY287" i="9"/>
  <c r="AX288" i="9"/>
  <c r="AY288" i="9"/>
  <c r="AX289" i="9"/>
  <c r="AY289" i="9"/>
  <c r="AX290" i="9"/>
  <c r="AY290" i="9"/>
  <c r="AX291" i="9"/>
  <c r="AY291" i="9"/>
  <c r="AX292" i="9"/>
  <c r="AY292" i="9"/>
  <c r="AX293" i="9"/>
  <c r="AY293" i="9"/>
  <c r="AX294" i="9"/>
  <c r="AY294" i="9"/>
  <c r="AX295" i="9"/>
  <c r="AY295" i="9"/>
  <c r="AX296" i="9"/>
  <c r="AY296" i="9"/>
  <c r="AX297" i="9"/>
  <c r="AY297" i="9"/>
  <c r="AX298" i="9"/>
  <c r="AY298" i="9"/>
  <c r="AX299" i="9"/>
  <c r="AY299" i="9"/>
  <c r="AX300" i="9"/>
  <c r="AY300" i="9"/>
  <c r="AX301" i="9"/>
  <c r="AY301" i="9"/>
  <c r="AX302" i="9"/>
  <c r="AY302" i="9"/>
  <c r="AX303" i="9"/>
  <c r="AY303" i="9"/>
  <c r="AX304" i="9"/>
  <c r="AY304" i="9"/>
  <c r="AX305" i="9"/>
  <c r="AY305" i="9"/>
  <c r="AX306" i="9"/>
  <c r="AY306" i="9"/>
  <c r="AY6" i="9"/>
  <c r="AX6" i="9"/>
  <c r="BA306" i="9"/>
  <c r="BA305" i="9"/>
  <c r="BA304" i="9"/>
  <c r="BA303" i="9"/>
  <c r="BA302" i="9"/>
  <c r="BA301" i="9"/>
  <c r="BA300" i="9"/>
  <c r="BA299" i="9"/>
  <c r="BA298" i="9"/>
  <c r="BA297" i="9"/>
  <c r="BA296" i="9"/>
  <c r="BA295" i="9"/>
  <c r="BA294" i="9"/>
  <c r="BA293" i="9"/>
  <c r="BA292" i="9"/>
  <c r="BA291" i="9"/>
  <c r="BA290" i="9"/>
  <c r="BA289" i="9"/>
  <c r="BA288" i="9"/>
  <c r="BA287" i="9"/>
  <c r="BA286" i="9"/>
  <c r="BA285" i="9"/>
  <c r="BA284" i="9"/>
  <c r="BA283" i="9"/>
  <c r="BA282" i="9"/>
  <c r="BA281" i="9"/>
  <c r="BA280" i="9"/>
  <c r="BA279" i="9"/>
  <c r="BA278" i="9"/>
  <c r="BA277" i="9"/>
  <c r="BA276" i="9"/>
  <c r="BA275" i="9"/>
  <c r="BA274" i="9"/>
  <c r="BA273" i="9"/>
  <c r="BA272" i="9"/>
  <c r="BA271" i="9"/>
  <c r="BA270" i="9"/>
  <c r="BA269" i="9"/>
  <c r="BA268" i="9"/>
  <c r="BA267" i="9"/>
  <c r="BA266" i="9"/>
  <c r="BA265" i="9"/>
  <c r="BA264" i="9"/>
  <c r="BA263" i="9"/>
  <c r="BA262" i="9"/>
  <c r="BA261" i="9"/>
  <c r="BA260" i="9"/>
  <c r="BA259" i="9"/>
  <c r="BA258" i="9"/>
  <c r="BA257" i="9"/>
  <c r="BA256" i="9"/>
  <c r="BA255" i="9"/>
  <c r="BA254" i="9"/>
  <c r="BA253" i="9"/>
  <c r="BA252" i="9"/>
  <c r="BA251" i="9"/>
  <c r="BA250" i="9"/>
  <c r="BA249" i="9"/>
  <c r="BA248" i="9"/>
  <c r="BA247" i="9"/>
  <c r="BA246" i="9"/>
  <c r="BA245" i="9"/>
  <c r="BA244" i="9"/>
  <c r="BA243" i="9"/>
  <c r="BA242" i="9"/>
  <c r="BA241" i="9"/>
  <c r="BA240" i="9"/>
  <c r="BA239" i="9"/>
  <c r="BA238" i="9"/>
  <c r="BA237" i="9"/>
  <c r="BA236" i="9"/>
  <c r="BA235" i="9"/>
  <c r="BA234" i="9"/>
  <c r="BA233" i="9"/>
  <c r="BA232" i="9"/>
  <c r="BA231" i="9"/>
  <c r="BA230" i="9"/>
  <c r="BA229" i="9"/>
  <c r="BA228" i="9"/>
  <c r="BA227" i="9"/>
  <c r="BA226" i="9"/>
  <c r="BA225" i="9"/>
  <c r="BA224" i="9"/>
  <c r="BA223" i="9"/>
  <c r="BA222" i="9"/>
  <c r="BA221" i="9"/>
  <c r="BA220" i="9"/>
  <c r="BA219" i="9"/>
  <c r="BA218" i="9"/>
  <c r="BA217" i="9"/>
  <c r="BA216" i="9"/>
  <c r="BA215" i="9"/>
  <c r="BA214" i="9"/>
  <c r="BA213" i="9"/>
  <c r="BA212" i="9"/>
  <c r="BA211" i="9"/>
  <c r="BA210" i="9"/>
  <c r="BA209" i="9"/>
  <c r="BA208" i="9"/>
  <c r="BA207" i="9"/>
  <c r="BA206" i="9"/>
  <c r="BA205" i="9"/>
  <c r="BA204" i="9"/>
  <c r="BA203" i="9"/>
  <c r="BA202" i="9"/>
  <c r="BA201" i="9"/>
  <c r="BA200" i="9"/>
  <c r="BA199" i="9"/>
  <c r="BA198" i="9"/>
  <c r="BA197" i="9"/>
  <c r="BA196" i="9"/>
  <c r="BA195" i="9"/>
  <c r="BA194" i="9"/>
  <c r="BA193" i="9"/>
  <c r="BA192" i="9"/>
  <c r="BA191" i="9"/>
  <c r="BA190" i="9"/>
  <c r="BA189" i="9"/>
  <c r="BA188" i="9"/>
  <c r="BA187" i="9"/>
  <c r="BA186" i="9"/>
  <c r="BA185" i="9"/>
  <c r="BA184" i="9"/>
  <c r="BA183" i="9"/>
  <c r="BA182" i="9"/>
  <c r="BA181" i="9"/>
  <c r="BA180" i="9"/>
  <c r="BA179" i="9"/>
  <c r="BA178" i="9"/>
  <c r="BA177" i="9"/>
  <c r="BA176" i="9"/>
  <c r="BA175" i="9"/>
  <c r="BA174" i="9"/>
  <c r="BA173" i="9"/>
  <c r="BA172" i="9"/>
  <c r="BA171" i="9"/>
  <c r="BA170" i="9"/>
  <c r="BA169" i="9"/>
  <c r="BA168" i="9"/>
  <c r="BA167" i="9"/>
  <c r="BA166" i="9"/>
  <c r="BA165" i="9"/>
  <c r="BA164" i="9"/>
  <c r="BA163" i="9"/>
  <c r="BA162" i="9"/>
  <c r="BA161" i="9"/>
  <c r="BA160" i="9"/>
  <c r="BA159" i="9"/>
  <c r="BA158" i="9"/>
  <c r="BA157" i="9"/>
  <c r="BA156" i="9"/>
  <c r="BA155" i="9"/>
  <c r="BA154" i="9"/>
  <c r="BA153" i="9"/>
  <c r="BA152" i="9"/>
  <c r="BA151" i="9"/>
  <c r="BA150" i="9"/>
  <c r="BA149" i="9"/>
  <c r="BA148" i="9"/>
  <c r="BA147" i="9"/>
  <c r="BA146" i="9"/>
  <c r="BA145" i="9"/>
  <c r="BA144" i="9"/>
  <c r="BA143" i="9"/>
  <c r="BA142" i="9"/>
  <c r="BA141" i="9"/>
  <c r="BA140" i="9"/>
  <c r="BA139" i="9"/>
  <c r="BA138" i="9"/>
  <c r="BA137" i="9"/>
  <c r="BA136" i="9"/>
  <c r="BA135" i="9"/>
  <c r="BA134" i="9"/>
  <c r="BA133" i="9"/>
  <c r="BA132" i="9"/>
  <c r="BA131" i="9"/>
  <c r="BA130" i="9"/>
  <c r="BA129" i="9"/>
  <c r="BA128" i="9"/>
  <c r="BA127" i="9"/>
  <c r="BA126" i="9"/>
  <c r="BA125" i="9"/>
  <c r="BA124" i="9"/>
  <c r="BA123" i="9"/>
  <c r="BA122" i="9"/>
  <c r="BA121" i="9"/>
  <c r="BA120" i="9"/>
  <c r="BA119" i="9"/>
  <c r="BA118" i="9"/>
  <c r="BA117" i="9"/>
  <c r="BA116" i="9"/>
  <c r="BA115" i="9"/>
  <c r="BA114" i="9"/>
  <c r="BA113" i="9"/>
  <c r="BA112" i="9"/>
  <c r="BA111" i="9"/>
  <c r="BA110" i="9"/>
  <c r="BA109" i="9"/>
  <c r="BA108" i="9"/>
  <c r="BA107" i="9"/>
  <c r="BA106" i="9"/>
  <c r="BA105" i="9"/>
  <c r="BA104" i="9"/>
  <c r="BA103" i="9"/>
  <c r="BA102" i="9"/>
  <c r="BA101" i="9"/>
  <c r="BA100" i="9"/>
  <c r="BA99" i="9"/>
  <c r="BA98" i="9"/>
  <c r="BA97" i="9"/>
  <c r="BA96" i="9"/>
  <c r="BA95" i="9"/>
  <c r="BA94" i="9"/>
  <c r="BA93" i="9"/>
  <c r="BA92" i="9"/>
  <c r="BA91" i="9"/>
  <c r="BA90" i="9"/>
  <c r="BA89" i="9"/>
  <c r="BA88" i="9"/>
  <c r="BA87" i="9"/>
  <c r="BA86" i="9"/>
  <c r="BA85" i="9"/>
  <c r="BA84" i="9"/>
  <c r="BA83" i="9"/>
  <c r="BA82" i="9"/>
  <c r="BA81" i="9"/>
  <c r="BA80" i="9"/>
  <c r="BA79" i="9"/>
  <c r="BA78" i="9"/>
  <c r="BA77" i="9"/>
  <c r="BA76" i="9"/>
  <c r="BA75" i="9"/>
  <c r="BA74" i="9"/>
  <c r="BA73" i="9"/>
  <c r="BA72" i="9"/>
  <c r="BA71" i="9"/>
  <c r="BA70" i="9"/>
  <c r="BA69" i="9"/>
  <c r="BA68" i="9"/>
  <c r="BA67" i="9"/>
  <c r="BA66" i="9"/>
  <c r="BA65" i="9"/>
  <c r="BA64" i="9"/>
  <c r="BA63" i="9"/>
  <c r="BA62" i="9"/>
  <c r="BA61" i="9"/>
  <c r="BA60" i="9"/>
  <c r="BA59" i="9"/>
  <c r="BA58" i="9"/>
  <c r="BA57" i="9"/>
  <c r="BA56" i="9"/>
  <c r="BA55" i="9"/>
  <c r="BA54" i="9"/>
  <c r="BA53" i="9"/>
  <c r="BA52" i="9"/>
  <c r="BA51" i="9"/>
  <c r="BA50" i="9"/>
  <c r="BA49" i="9"/>
  <c r="BA48" i="9"/>
  <c r="BA47" i="9"/>
  <c r="BA46" i="9"/>
  <c r="BA45" i="9"/>
  <c r="BA44" i="9"/>
  <c r="BA43" i="9"/>
  <c r="BA42" i="9"/>
  <c r="BA41" i="9"/>
  <c r="BA40" i="9"/>
  <c r="BA39" i="9"/>
  <c r="BA38" i="9"/>
  <c r="BA37" i="9"/>
  <c r="BA36" i="9"/>
  <c r="BA35" i="9"/>
  <c r="BA34" i="9"/>
  <c r="BA33" i="9"/>
  <c r="BA32" i="9"/>
  <c r="BA31" i="9"/>
  <c r="BA30" i="9"/>
  <c r="BA29" i="9"/>
  <c r="BA28" i="9"/>
  <c r="BA27" i="9"/>
  <c r="BA26" i="9"/>
  <c r="BA25" i="9"/>
  <c r="BA24" i="9"/>
  <c r="BA23" i="9"/>
  <c r="BA22" i="9"/>
  <c r="BA21" i="9"/>
  <c r="BA20" i="9"/>
  <c r="BA19" i="9"/>
  <c r="BA18" i="9"/>
  <c r="BA17" i="9"/>
  <c r="BA16" i="9"/>
  <c r="BA15" i="9"/>
  <c r="BA14" i="9"/>
  <c r="BA13" i="9"/>
  <c r="BA12" i="9"/>
  <c r="BA11" i="9"/>
  <c r="BA10" i="9"/>
  <c r="BA9" i="9"/>
  <c r="BA8" i="9"/>
  <c r="BA7" i="9"/>
  <c r="BA2" i="9"/>
  <c r="BA1" i="9"/>
  <c r="AL7" i="9"/>
  <c r="AM7" i="9"/>
  <c r="AL8" i="9"/>
  <c r="AM8" i="9"/>
  <c r="AL9" i="9"/>
  <c r="AM9" i="9"/>
  <c r="AL10" i="9"/>
  <c r="AM10" i="9"/>
  <c r="AL11" i="9"/>
  <c r="AM11" i="9"/>
  <c r="AL12" i="9"/>
  <c r="AM12" i="9"/>
  <c r="AL13" i="9"/>
  <c r="AM13" i="9"/>
  <c r="AL14" i="9"/>
  <c r="AM14" i="9"/>
  <c r="AL15" i="9"/>
  <c r="AM15" i="9"/>
  <c r="AL16" i="9"/>
  <c r="AM16" i="9"/>
  <c r="AL17" i="9"/>
  <c r="AM17" i="9"/>
  <c r="AL18" i="9"/>
  <c r="AM18" i="9"/>
  <c r="AL19" i="9"/>
  <c r="AM19" i="9"/>
  <c r="AL20" i="9"/>
  <c r="AM20" i="9"/>
  <c r="AL21" i="9"/>
  <c r="AM21" i="9"/>
  <c r="AL22" i="9"/>
  <c r="AM22" i="9"/>
  <c r="AL23" i="9"/>
  <c r="AM23" i="9"/>
  <c r="AL24" i="9"/>
  <c r="AM24" i="9"/>
  <c r="AL25" i="9"/>
  <c r="AM25" i="9"/>
  <c r="AL26" i="9"/>
  <c r="AM26" i="9"/>
  <c r="AL27" i="9"/>
  <c r="AM27" i="9"/>
  <c r="AL28" i="9"/>
  <c r="AM28" i="9"/>
  <c r="AL29" i="9"/>
  <c r="AM29" i="9"/>
  <c r="AL30" i="9"/>
  <c r="AM30" i="9"/>
  <c r="AL31" i="9"/>
  <c r="AM31" i="9"/>
  <c r="AL32" i="9"/>
  <c r="AM32" i="9"/>
  <c r="AL33" i="9"/>
  <c r="AM33" i="9"/>
  <c r="AL34" i="9"/>
  <c r="AM34" i="9"/>
  <c r="AL35" i="9"/>
  <c r="AM35" i="9"/>
  <c r="AL36" i="9"/>
  <c r="AM36" i="9"/>
  <c r="AL37" i="9"/>
  <c r="AM37" i="9"/>
  <c r="AL38" i="9"/>
  <c r="AM38" i="9"/>
  <c r="AL39" i="9"/>
  <c r="AM39" i="9"/>
  <c r="AL40" i="9"/>
  <c r="AM40" i="9"/>
  <c r="AL41" i="9"/>
  <c r="AM41" i="9"/>
  <c r="AL42" i="9"/>
  <c r="AM42" i="9"/>
  <c r="AL43" i="9"/>
  <c r="AM43" i="9"/>
  <c r="AL44" i="9"/>
  <c r="AM44" i="9"/>
  <c r="AL45" i="9"/>
  <c r="AM45" i="9"/>
  <c r="AL46" i="9"/>
  <c r="AM46" i="9"/>
  <c r="AL47" i="9"/>
  <c r="AM47" i="9"/>
  <c r="AL48" i="9"/>
  <c r="AM48" i="9"/>
  <c r="AL49" i="9"/>
  <c r="AM49" i="9"/>
  <c r="AL50" i="9"/>
  <c r="AM50" i="9"/>
  <c r="AL51" i="9"/>
  <c r="AM51" i="9"/>
  <c r="AL52" i="9"/>
  <c r="AM52" i="9"/>
  <c r="AL53" i="9"/>
  <c r="AM53" i="9"/>
  <c r="AL54" i="9"/>
  <c r="AM54" i="9"/>
  <c r="AL55" i="9"/>
  <c r="AM55" i="9"/>
  <c r="AL56" i="9"/>
  <c r="AM56" i="9"/>
  <c r="AL57" i="9"/>
  <c r="AM57" i="9"/>
  <c r="AL58" i="9"/>
  <c r="AM58" i="9"/>
  <c r="AL59" i="9"/>
  <c r="AM59" i="9"/>
  <c r="AL60" i="9"/>
  <c r="AM60" i="9"/>
  <c r="AL61" i="9"/>
  <c r="AM61" i="9"/>
  <c r="AL62" i="9"/>
  <c r="AM62" i="9"/>
  <c r="AL63" i="9"/>
  <c r="AM63" i="9"/>
  <c r="AL64" i="9"/>
  <c r="AM64" i="9"/>
  <c r="AL65" i="9"/>
  <c r="AM65" i="9"/>
  <c r="AL66" i="9"/>
  <c r="AM66" i="9"/>
  <c r="AL67" i="9"/>
  <c r="AM67" i="9"/>
  <c r="AL68" i="9"/>
  <c r="AM68" i="9"/>
  <c r="AL69" i="9"/>
  <c r="AM69" i="9"/>
  <c r="AL70" i="9"/>
  <c r="AM70" i="9"/>
  <c r="AL71" i="9"/>
  <c r="AM71" i="9"/>
  <c r="AL72" i="9"/>
  <c r="AM72" i="9"/>
  <c r="AL73" i="9"/>
  <c r="AM73" i="9"/>
  <c r="AL74" i="9"/>
  <c r="AM74" i="9"/>
  <c r="AL75" i="9"/>
  <c r="AM75" i="9"/>
  <c r="AL76" i="9"/>
  <c r="AM76" i="9"/>
  <c r="AL77" i="9"/>
  <c r="AM77" i="9"/>
  <c r="AL78" i="9"/>
  <c r="AM78" i="9"/>
  <c r="AL79" i="9"/>
  <c r="AM79" i="9"/>
  <c r="AL80" i="9"/>
  <c r="AM80" i="9"/>
  <c r="AL81" i="9"/>
  <c r="AM81" i="9"/>
  <c r="AL82" i="9"/>
  <c r="AM82" i="9"/>
  <c r="AL83" i="9"/>
  <c r="AM83" i="9"/>
  <c r="AL84" i="9"/>
  <c r="AM84" i="9"/>
  <c r="AL85" i="9"/>
  <c r="AM85" i="9"/>
  <c r="AL86" i="9"/>
  <c r="AM86" i="9"/>
  <c r="AL87" i="9"/>
  <c r="AM87" i="9"/>
  <c r="AL88" i="9"/>
  <c r="AM88" i="9"/>
  <c r="AL89" i="9"/>
  <c r="AM89" i="9"/>
  <c r="AL90" i="9"/>
  <c r="AM90" i="9"/>
  <c r="AL91" i="9"/>
  <c r="AM91" i="9"/>
  <c r="AL92" i="9"/>
  <c r="AM92" i="9"/>
  <c r="AL93" i="9"/>
  <c r="AM93" i="9"/>
  <c r="AL94" i="9"/>
  <c r="AM94" i="9"/>
  <c r="AL95" i="9"/>
  <c r="AM95" i="9"/>
  <c r="AL96" i="9"/>
  <c r="AM96" i="9"/>
  <c r="AL97" i="9"/>
  <c r="AM97" i="9"/>
  <c r="AL98" i="9"/>
  <c r="AM98" i="9"/>
  <c r="AL99" i="9"/>
  <c r="AM99" i="9"/>
  <c r="AL100" i="9"/>
  <c r="AM100" i="9"/>
  <c r="AL101" i="9"/>
  <c r="AM101" i="9"/>
  <c r="AL102" i="9"/>
  <c r="AM102" i="9"/>
  <c r="AL103" i="9"/>
  <c r="AM103" i="9"/>
  <c r="AL104" i="9"/>
  <c r="AM104" i="9"/>
  <c r="AL105" i="9"/>
  <c r="AM105" i="9"/>
  <c r="AL106" i="9"/>
  <c r="AM106" i="9"/>
  <c r="AL107" i="9"/>
  <c r="AM107" i="9"/>
  <c r="AL108" i="9"/>
  <c r="AM108" i="9"/>
  <c r="AL109" i="9"/>
  <c r="AM109" i="9"/>
  <c r="AL110" i="9"/>
  <c r="AM110" i="9"/>
  <c r="AL111" i="9"/>
  <c r="AM111" i="9"/>
  <c r="AL112" i="9"/>
  <c r="AM112" i="9"/>
  <c r="AL113" i="9"/>
  <c r="AM113" i="9"/>
  <c r="AL114" i="9"/>
  <c r="AM114" i="9"/>
  <c r="AL115" i="9"/>
  <c r="AM115" i="9"/>
  <c r="AL116" i="9"/>
  <c r="AM116" i="9"/>
  <c r="AL117" i="9"/>
  <c r="AM117" i="9"/>
  <c r="AL118" i="9"/>
  <c r="AM118" i="9"/>
  <c r="AL119" i="9"/>
  <c r="AM119" i="9"/>
  <c r="AL120" i="9"/>
  <c r="AM120" i="9"/>
  <c r="AL121" i="9"/>
  <c r="AM121" i="9"/>
  <c r="AL122" i="9"/>
  <c r="AM122" i="9"/>
  <c r="AL123" i="9"/>
  <c r="AM123" i="9"/>
  <c r="AL124" i="9"/>
  <c r="AM124" i="9"/>
  <c r="AL125" i="9"/>
  <c r="AM125" i="9"/>
  <c r="AL126" i="9"/>
  <c r="AM126" i="9"/>
  <c r="AL127" i="9"/>
  <c r="AM127" i="9"/>
  <c r="AL128" i="9"/>
  <c r="AM128" i="9"/>
  <c r="AL129" i="9"/>
  <c r="AM129" i="9"/>
  <c r="AL130" i="9"/>
  <c r="AM130" i="9"/>
  <c r="AL131" i="9"/>
  <c r="AM131" i="9"/>
  <c r="AL132" i="9"/>
  <c r="AM132" i="9"/>
  <c r="AL133" i="9"/>
  <c r="AM133" i="9"/>
  <c r="AL134" i="9"/>
  <c r="AM134" i="9"/>
  <c r="AL135" i="9"/>
  <c r="AM135" i="9"/>
  <c r="AL136" i="9"/>
  <c r="AM136" i="9"/>
  <c r="AL137" i="9"/>
  <c r="AM137" i="9"/>
  <c r="AL138" i="9"/>
  <c r="AM138" i="9"/>
  <c r="AL139" i="9"/>
  <c r="AM139" i="9"/>
  <c r="AL140" i="9"/>
  <c r="AM140" i="9"/>
  <c r="AL141" i="9"/>
  <c r="AM141" i="9"/>
  <c r="AL142" i="9"/>
  <c r="AM142" i="9"/>
  <c r="AL143" i="9"/>
  <c r="AM143" i="9"/>
  <c r="AL144" i="9"/>
  <c r="AM144" i="9"/>
  <c r="AL145" i="9"/>
  <c r="AM145" i="9"/>
  <c r="AL146" i="9"/>
  <c r="AM146" i="9"/>
  <c r="AL147" i="9"/>
  <c r="AM147" i="9"/>
  <c r="AL148" i="9"/>
  <c r="AM148" i="9"/>
  <c r="AL149" i="9"/>
  <c r="AM149" i="9"/>
  <c r="AL150" i="9"/>
  <c r="AM150" i="9"/>
  <c r="AL151" i="9"/>
  <c r="AM151" i="9"/>
  <c r="AL152" i="9"/>
  <c r="AM152" i="9"/>
  <c r="AL153" i="9"/>
  <c r="AM153" i="9"/>
  <c r="AL154" i="9"/>
  <c r="AM154" i="9"/>
  <c r="AL155" i="9"/>
  <c r="AM155" i="9"/>
  <c r="AL156" i="9"/>
  <c r="AM156" i="9"/>
  <c r="AL157" i="9"/>
  <c r="AM157" i="9"/>
  <c r="AL158" i="9"/>
  <c r="AM158" i="9"/>
  <c r="AL159" i="9"/>
  <c r="AM159" i="9"/>
  <c r="AL160" i="9"/>
  <c r="AM160" i="9"/>
  <c r="AL161" i="9"/>
  <c r="AM161" i="9"/>
  <c r="AL162" i="9"/>
  <c r="AM162" i="9"/>
  <c r="AL163" i="9"/>
  <c r="AM163" i="9"/>
  <c r="AL164" i="9"/>
  <c r="AM164" i="9"/>
  <c r="AL165" i="9"/>
  <c r="AM165" i="9"/>
  <c r="AL166" i="9"/>
  <c r="AM166" i="9"/>
  <c r="AL167" i="9"/>
  <c r="AM167" i="9"/>
  <c r="AL168" i="9"/>
  <c r="AM168" i="9"/>
  <c r="AL169" i="9"/>
  <c r="AM169" i="9"/>
  <c r="AL170" i="9"/>
  <c r="AM170" i="9"/>
  <c r="AL171" i="9"/>
  <c r="AM171" i="9"/>
  <c r="AL172" i="9"/>
  <c r="AM172" i="9"/>
  <c r="AL173" i="9"/>
  <c r="AM173" i="9"/>
  <c r="AL174" i="9"/>
  <c r="AM174" i="9"/>
  <c r="AL175" i="9"/>
  <c r="AM175" i="9"/>
  <c r="AL176" i="9"/>
  <c r="AM176" i="9"/>
  <c r="AL177" i="9"/>
  <c r="AM177" i="9"/>
  <c r="AL178" i="9"/>
  <c r="AM178" i="9"/>
  <c r="AL179" i="9"/>
  <c r="AM179" i="9"/>
  <c r="AL180" i="9"/>
  <c r="AM180" i="9"/>
  <c r="AL181" i="9"/>
  <c r="AM181" i="9"/>
  <c r="AL182" i="9"/>
  <c r="AM182" i="9"/>
  <c r="AL183" i="9"/>
  <c r="AM183" i="9"/>
  <c r="AL184" i="9"/>
  <c r="AM184" i="9"/>
  <c r="AL185" i="9"/>
  <c r="AM185" i="9"/>
  <c r="AL186" i="9"/>
  <c r="AM186" i="9"/>
  <c r="AL187" i="9"/>
  <c r="AM187" i="9"/>
  <c r="AL188" i="9"/>
  <c r="AM188" i="9"/>
  <c r="AL189" i="9"/>
  <c r="AM189" i="9"/>
  <c r="AL190" i="9"/>
  <c r="AM190" i="9"/>
  <c r="AL191" i="9"/>
  <c r="AM191" i="9"/>
  <c r="AL192" i="9"/>
  <c r="AM192" i="9"/>
  <c r="AL193" i="9"/>
  <c r="AM193" i="9"/>
  <c r="AL194" i="9"/>
  <c r="AM194" i="9"/>
  <c r="AL195" i="9"/>
  <c r="AM195" i="9"/>
  <c r="AL196" i="9"/>
  <c r="AM196" i="9"/>
  <c r="AL197" i="9"/>
  <c r="AM197" i="9"/>
  <c r="AL198" i="9"/>
  <c r="AM198" i="9"/>
  <c r="AL199" i="9"/>
  <c r="AM199" i="9"/>
  <c r="AL200" i="9"/>
  <c r="AM200" i="9"/>
  <c r="AL201" i="9"/>
  <c r="AM201" i="9"/>
  <c r="AL202" i="9"/>
  <c r="AM202" i="9"/>
  <c r="AL203" i="9"/>
  <c r="AM203" i="9"/>
  <c r="AL204" i="9"/>
  <c r="AM204" i="9"/>
  <c r="AL205" i="9"/>
  <c r="AM205" i="9"/>
  <c r="AL206" i="9"/>
  <c r="AM206" i="9"/>
  <c r="AL207" i="9"/>
  <c r="AM207" i="9"/>
  <c r="AL208" i="9"/>
  <c r="AM208" i="9"/>
  <c r="AL209" i="9"/>
  <c r="AM209" i="9"/>
  <c r="AL210" i="9"/>
  <c r="AM210" i="9"/>
  <c r="AL211" i="9"/>
  <c r="AM211" i="9"/>
  <c r="AL212" i="9"/>
  <c r="AM212" i="9"/>
  <c r="AL213" i="9"/>
  <c r="AM213" i="9"/>
  <c r="AL214" i="9"/>
  <c r="AM214" i="9"/>
  <c r="AL215" i="9"/>
  <c r="AM215" i="9"/>
  <c r="AL216" i="9"/>
  <c r="AM216" i="9"/>
  <c r="AL217" i="9"/>
  <c r="AM217" i="9"/>
  <c r="AL218" i="9"/>
  <c r="AM218" i="9"/>
  <c r="AL219" i="9"/>
  <c r="AM219" i="9"/>
  <c r="AL220" i="9"/>
  <c r="AM220" i="9"/>
  <c r="AL221" i="9"/>
  <c r="AM221" i="9"/>
  <c r="AL222" i="9"/>
  <c r="AM222" i="9"/>
  <c r="AL223" i="9"/>
  <c r="AM223" i="9"/>
  <c r="AL224" i="9"/>
  <c r="AM224" i="9"/>
  <c r="AL225" i="9"/>
  <c r="AM225" i="9"/>
  <c r="AL226" i="9"/>
  <c r="AM226" i="9"/>
  <c r="AL227" i="9"/>
  <c r="AM227" i="9"/>
  <c r="AL228" i="9"/>
  <c r="AM228" i="9"/>
  <c r="AL229" i="9"/>
  <c r="AM229" i="9"/>
  <c r="AL230" i="9"/>
  <c r="AM230" i="9"/>
  <c r="AL231" i="9"/>
  <c r="AM231" i="9"/>
  <c r="AL232" i="9"/>
  <c r="AM232" i="9"/>
  <c r="AL233" i="9"/>
  <c r="AM233" i="9"/>
  <c r="AL234" i="9"/>
  <c r="AM234" i="9"/>
  <c r="AL235" i="9"/>
  <c r="AM235" i="9"/>
  <c r="AL236" i="9"/>
  <c r="AM236" i="9"/>
  <c r="AL237" i="9"/>
  <c r="AM237" i="9"/>
  <c r="AL238" i="9"/>
  <c r="AM238" i="9"/>
  <c r="AL239" i="9"/>
  <c r="AM239" i="9"/>
  <c r="AL240" i="9"/>
  <c r="AM240" i="9"/>
  <c r="AL241" i="9"/>
  <c r="AM241" i="9"/>
  <c r="AL242" i="9"/>
  <c r="AM242" i="9"/>
  <c r="AL243" i="9"/>
  <c r="AM243" i="9"/>
  <c r="AL244" i="9"/>
  <c r="AM244" i="9"/>
  <c r="AL245" i="9"/>
  <c r="AM245" i="9"/>
  <c r="AL246" i="9"/>
  <c r="AM246" i="9"/>
  <c r="AL247" i="9"/>
  <c r="AM247" i="9"/>
  <c r="AL248" i="9"/>
  <c r="AM248" i="9"/>
  <c r="AL249" i="9"/>
  <c r="AM249" i="9"/>
  <c r="AL250" i="9"/>
  <c r="AM250" i="9"/>
  <c r="AL251" i="9"/>
  <c r="AM251" i="9"/>
  <c r="AL252" i="9"/>
  <c r="AM252" i="9"/>
  <c r="AL253" i="9"/>
  <c r="AM253" i="9"/>
  <c r="AL254" i="9"/>
  <c r="AM254" i="9"/>
  <c r="AL255" i="9"/>
  <c r="AM255" i="9"/>
  <c r="AL256" i="9"/>
  <c r="AM256" i="9"/>
  <c r="AL257" i="9"/>
  <c r="AM257" i="9"/>
  <c r="AL258" i="9"/>
  <c r="AM258" i="9"/>
  <c r="AL259" i="9"/>
  <c r="AM259" i="9"/>
  <c r="AL260" i="9"/>
  <c r="AM260" i="9"/>
  <c r="AL261" i="9"/>
  <c r="AM261" i="9"/>
  <c r="AL262" i="9"/>
  <c r="AM262" i="9"/>
  <c r="AL263" i="9"/>
  <c r="AM263" i="9"/>
  <c r="AL264" i="9"/>
  <c r="AM264" i="9"/>
  <c r="AL265" i="9"/>
  <c r="AM265" i="9"/>
  <c r="AL266" i="9"/>
  <c r="AM266" i="9"/>
  <c r="AL267" i="9"/>
  <c r="AM267" i="9"/>
  <c r="AL268" i="9"/>
  <c r="AM268" i="9"/>
  <c r="AL269" i="9"/>
  <c r="AM269" i="9"/>
  <c r="AL270" i="9"/>
  <c r="AM270" i="9"/>
  <c r="AL271" i="9"/>
  <c r="AM271" i="9"/>
  <c r="AL272" i="9"/>
  <c r="AM272" i="9"/>
  <c r="AL273" i="9"/>
  <c r="AM273" i="9"/>
  <c r="AL274" i="9"/>
  <c r="AM274" i="9"/>
  <c r="AL275" i="9"/>
  <c r="AM275" i="9"/>
  <c r="AL276" i="9"/>
  <c r="AM276" i="9"/>
  <c r="AL277" i="9"/>
  <c r="AM277" i="9"/>
  <c r="AL278" i="9"/>
  <c r="AM278" i="9"/>
  <c r="AL279" i="9"/>
  <c r="AM279" i="9"/>
  <c r="AL280" i="9"/>
  <c r="AM280" i="9"/>
  <c r="AL281" i="9"/>
  <c r="AM281" i="9"/>
  <c r="AL282" i="9"/>
  <c r="AM282" i="9"/>
  <c r="AL283" i="9"/>
  <c r="AM283" i="9"/>
  <c r="AL284" i="9"/>
  <c r="AM284" i="9"/>
  <c r="AL285" i="9"/>
  <c r="AM285" i="9"/>
  <c r="AL286" i="9"/>
  <c r="AM286" i="9"/>
  <c r="AL287" i="9"/>
  <c r="AM287" i="9"/>
  <c r="AL288" i="9"/>
  <c r="AM288" i="9"/>
  <c r="AL289" i="9"/>
  <c r="AM289" i="9"/>
  <c r="AL290" i="9"/>
  <c r="AM290" i="9"/>
  <c r="AL291" i="9"/>
  <c r="AM291" i="9"/>
  <c r="AL292" i="9"/>
  <c r="AM292" i="9"/>
  <c r="AL293" i="9"/>
  <c r="AM293" i="9"/>
  <c r="AL294" i="9"/>
  <c r="AM294" i="9"/>
  <c r="AL295" i="9"/>
  <c r="AM295" i="9"/>
  <c r="AL296" i="9"/>
  <c r="AM296" i="9"/>
  <c r="AL297" i="9"/>
  <c r="AM297" i="9"/>
  <c r="AL298" i="9"/>
  <c r="AM298" i="9"/>
  <c r="AL299" i="9"/>
  <c r="AM299" i="9"/>
  <c r="AL300" i="9"/>
  <c r="AM300" i="9"/>
  <c r="AL301" i="9"/>
  <c r="AM301" i="9"/>
  <c r="AL302" i="9"/>
  <c r="AM302" i="9"/>
  <c r="AL303" i="9"/>
  <c r="AM303" i="9"/>
  <c r="AL304" i="9"/>
  <c r="AM304" i="9"/>
  <c r="AL305" i="9"/>
  <c r="AM305" i="9"/>
  <c r="AL306" i="9"/>
  <c r="AM306" i="9"/>
  <c r="AM6" i="9"/>
  <c r="AL6" i="9"/>
  <c r="AO306" i="9"/>
  <c r="AO305" i="9"/>
  <c r="AO304" i="9"/>
  <c r="AO303" i="9"/>
  <c r="AO302" i="9"/>
  <c r="AO301" i="9"/>
  <c r="AO300" i="9"/>
  <c r="AO299" i="9"/>
  <c r="AO298" i="9"/>
  <c r="AO297" i="9"/>
  <c r="AO296" i="9"/>
  <c r="AO295" i="9"/>
  <c r="AO294" i="9"/>
  <c r="AO293" i="9"/>
  <c r="AO292" i="9"/>
  <c r="AO291" i="9"/>
  <c r="AO290" i="9"/>
  <c r="AO289" i="9"/>
  <c r="AO288" i="9"/>
  <c r="AO287" i="9"/>
  <c r="AO286" i="9"/>
  <c r="AO285" i="9"/>
  <c r="AO284" i="9"/>
  <c r="AO283" i="9"/>
  <c r="AO282" i="9"/>
  <c r="AO281" i="9"/>
  <c r="AO280" i="9"/>
  <c r="AO279" i="9"/>
  <c r="AO278" i="9"/>
  <c r="AO277" i="9"/>
  <c r="AO276" i="9"/>
  <c r="AO275" i="9"/>
  <c r="AO274" i="9"/>
  <c r="AO273" i="9"/>
  <c r="AO272" i="9"/>
  <c r="AO271" i="9"/>
  <c r="AO270" i="9"/>
  <c r="AO269" i="9"/>
  <c r="AO268" i="9"/>
  <c r="AO267" i="9"/>
  <c r="AO266" i="9"/>
  <c r="AO265" i="9"/>
  <c r="AO264" i="9"/>
  <c r="AO263" i="9"/>
  <c r="AO262" i="9"/>
  <c r="AO261" i="9"/>
  <c r="AO260" i="9"/>
  <c r="AO259" i="9"/>
  <c r="AO258" i="9"/>
  <c r="AO257" i="9"/>
  <c r="AO256" i="9"/>
  <c r="AO255" i="9"/>
  <c r="AO254" i="9"/>
  <c r="AO253" i="9"/>
  <c r="AO252" i="9"/>
  <c r="AO251" i="9"/>
  <c r="AO250" i="9"/>
  <c r="AO249" i="9"/>
  <c r="AO248" i="9"/>
  <c r="AO247" i="9"/>
  <c r="AO246" i="9"/>
  <c r="AO245" i="9"/>
  <c r="AO244" i="9"/>
  <c r="AO243" i="9"/>
  <c r="AO242" i="9"/>
  <c r="AO241" i="9"/>
  <c r="AO240" i="9"/>
  <c r="AO239" i="9"/>
  <c r="AO238" i="9"/>
  <c r="AO237" i="9"/>
  <c r="AO236" i="9"/>
  <c r="AO235" i="9"/>
  <c r="AO234" i="9"/>
  <c r="AO233" i="9"/>
  <c r="AO232" i="9"/>
  <c r="AO231" i="9"/>
  <c r="AO230" i="9"/>
  <c r="AO229" i="9"/>
  <c r="AO228" i="9"/>
  <c r="AO227" i="9"/>
  <c r="AO226" i="9"/>
  <c r="AO225" i="9"/>
  <c r="AO224" i="9"/>
  <c r="AO223" i="9"/>
  <c r="AO222" i="9"/>
  <c r="AO221" i="9"/>
  <c r="AO220" i="9"/>
  <c r="AO219" i="9"/>
  <c r="AO218" i="9"/>
  <c r="AO217" i="9"/>
  <c r="AO216" i="9"/>
  <c r="AO215" i="9"/>
  <c r="AO214" i="9"/>
  <c r="AO213" i="9"/>
  <c r="AO212" i="9"/>
  <c r="AO211" i="9"/>
  <c r="AO210" i="9"/>
  <c r="AO209" i="9"/>
  <c r="AO208" i="9"/>
  <c r="AO207" i="9"/>
  <c r="AO206" i="9"/>
  <c r="AO205" i="9"/>
  <c r="AO204" i="9"/>
  <c r="AO203" i="9"/>
  <c r="AO202" i="9"/>
  <c r="AO201" i="9"/>
  <c r="AO200" i="9"/>
  <c r="AO199" i="9"/>
  <c r="AO198" i="9"/>
  <c r="AO197" i="9"/>
  <c r="AO196" i="9"/>
  <c r="AO195" i="9"/>
  <c r="AO194" i="9"/>
  <c r="AO193" i="9"/>
  <c r="AO192" i="9"/>
  <c r="AO191" i="9"/>
  <c r="AO190" i="9"/>
  <c r="AO189" i="9"/>
  <c r="AO188" i="9"/>
  <c r="AO187" i="9"/>
  <c r="AO186" i="9"/>
  <c r="AO185" i="9"/>
  <c r="AO184" i="9"/>
  <c r="AO183" i="9"/>
  <c r="AO182" i="9"/>
  <c r="AO181" i="9"/>
  <c r="AO180" i="9"/>
  <c r="AO179" i="9"/>
  <c r="AO178" i="9"/>
  <c r="AO177" i="9"/>
  <c r="AO176" i="9"/>
  <c r="AO175" i="9"/>
  <c r="AO174" i="9"/>
  <c r="AO173" i="9"/>
  <c r="AO172" i="9"/>
  <c r="AO171" i="9"/>
  <c r="AO170" i="9"/>
  <c r="AO169" i="9"/>
  <c r="AO168" i="9"/>
  <c r="AO167" i="9"/>
  <c r="AO166" i="9"/>
  <c r="AO165" i="9"/>
  <c r="AO164" i="9"/>
  <c r="AO163" i="9"/>
  <c r="AO162" i="9"/>
  <c r="AO161" i="9"/>
  <c r="AO160" i="9"/>
  <c r="AO159" i="9"/>
  <c r="AO158" i="9"/>
  <c r="AO157" i="9"/>
  <c r="AO156" i="9"/>
  <c r="AO155" i="9"/>
  <c r="AO154" i="9"/>
  <c r="AO153" i="9"/>
  <c r="AO152" i="9"/>
  <c r="AO151" i="9"/>
  <c r="AO150" i="9"/>
  <c r="AO149" i="9"/>
  <c r="AO148" i="9"/>
  <c r="AO147" i="9"/>
  <c r="AO146" i="9"/>
  <c r="AO145" i="9"/>
  <c r="AO144" i="9"/>
  <c r="AO143" i="9"/>
  <c r="AO142" i="9"/>
  <c r="AO141" i="9"/>
  <c r="AO140" i="9"/>
  <c r="AO139" i="9"/>
  <c r="AO138" i="9"/>
  <c r="AO137" i="9"/>
  <c r="AO136" i="9"/>
  <c r="AO135" i="9"/>
  <c r="AO134" i="9"/>
  <c r="AO133" i="9"/>
  <c r="AO132" i="9"/>
  <c r="AO131" i="9"/>
  <c r="AO130" i="9"/>
  <c r="AO129" i="9"/>
  <c r="AO128" i="9"/>
  <c r="AO127" i="9"/>
  <c r="AO126" i="9"/>
  <c r="AO125" i="9"/>
  <c r="AO124" i="9"/>
  <c r="AO123" i="9"/>
  <c r="AO122" i="9"/>
  <c r="AO121" i="9"/>
  <c r="AO120" i="9"/>
  <c r="AO119" i="9"/>
  <c r="AO118" i="9"/>
  <c r="AO117" i="9"/>
  <c r="AO116" i="9"/>
  <c r="AO115" i="9"/>
  <c r="AO114" i="9"/>
  <c r="AO113" i="9"/>
  <c r="AO112" i="9"/>
  <c r="AO111" i="9"/>
  <c r="AO110" i="9"/>
  <c r="AO109" i="9"/>
  <c r="AO108" i="9"/>
  <c r="AO107" i="9"/>
  <c r="AO106" i="9"/>
  <c r="AO105" i="9"/>
  <c r="AO104" i="9"/>
  <c r="AO103" i="9"/>
  <c r="AO102" i="9"/>
  <c r="AO101" i="9"/>
  <c r="AO100" i="9"/>
  <c r="AO99" i="9"/>
  <c r="AO98" i="9"/>
  <c r="AO97" i="9"/>
  <c r="AO96" i="9"/>
  <c r="AO95" i="9"/>
  <c r="AO94" i="9"/>
  <c r="AO93" i="9"/>
  <c r="AO92" i="9"/>
  <c r="AO91" i="9"/>
  <c r="AO90" i="9"/>
  <c r="AO89" i="9"/>
  <c r="AO88" i="9"/>
  <c r="AO87" i="9"/>
  <c r="AO86" i="9"/>
  <c r="AO85" i="9"/>
  <c r="AO84" i="9"/>
  <c r="AO83" i="9"/>
  <c r="AO82" i="9"/>
  <c r="AO81" i="9"/>
  <c r="AO80" i="9"/>
  <c r="AO79" i="9"/>
  <c r="AO78" i="9"/>
  <c r="AO77" i="9"/>
  <c r="AO76" i="9"/>
  <c r="AO75" i="9"/>
  <c r="AO74" i="9"/>
  <c r="AO73" i="9"/>
  <c r="AO72" i="9"/>
  <c r="AO71" i="9"/>
  <c r="AO70" i="9"/>
  <c r="AO69" i="9"/>
  <c r="AO68" i="9"/>
  <c r="AO67" i="9"/>
  <c r="AO66" i="9"/>
  <c r="AO65" i="9"/>
  <c r="AO64" i="9"/>
  <c r="AO63" i="9"/>
  <c r="AO62" i="9"/>
  <c r="AO61" i="9"/>
  <c r="AO60" i="9"/>
  <c r="AO59" i="9"/>
  <c r="AO58" i="9"/>
  <c r="AO57" i="9"/>
  <c r="AO56" i="9"/>
  <c r="AO55" i="9"/>
  <c r="AO54" i="9"/>
  <c r="AO53" i="9"/>
  <c r="AO52" i="9"/>
  <c r="AO51" i="9"/>
  <c r="AO50" i="9"/>
  <c r="AO49" i="9"/>
  <c r="AO48" i="9"/>
  <c r="AO47" i="9"/>
  <c r="AO46" i="9"/>
  <c r="AO45" i="9"/>
  <c r="AO44" i="9"/>
  <c r="AO43" i="9"/>
  <c r="AO42" i="9"/>
  <c r="AO41" i="9"/>
  <c r="AO40" i="9"/>
  <c r="AO39" i="9"/>
  <c r="AO38" i="9"/>
  <c r="AO37" i="9"/>
  <c r="AO36" i="9"/>
  <c r="AO35" i="9"/>
  <c r="AO34" i="9"/>
  <c r="AO33" i="9"/>
  <c r="AO32" i="9"/>
  <c r="AO31" i="9"/>
  <c r="AO30" i="9"/>
  <c r="AO29" i="9"/>
  <c r="AO28" i="9"/>
  <c r="AO27" i="9"/>
  <c r="AO26" i="9"/>
  <c r="AO25" i="9"/>
  <c r="AO24" i="9"/>
  <c r="AO23" i="9"/>
  <c r="AO22" i="9"/>
  <c r="AO21" i="9"/>
  <c r="AO20" i="9"/>
  <c r="AO19" i="9"/>
  <c r="AO18" i="9"/>
  <c r="AO17" i="9"/>
  <c r="AO16" i="9"/>
  <c r="AO15" i="9"/>
  <c r="AO14" i="9"/>
  <c r="AO13" i="9"/>
  <c r="AO12" i="9"/>
  <c r="AO11" i="9"/>
  <c r="AO10" i="9"/>
  <c r="AO9" i="9"/>
  <c r="AO8" i="9"/>
  <c r="AO7" i="9"/>
  <c r="AO6" i="9"/>
  <c r="AO2" i="9"/>
  <c r="AO1" i="9"/>
  <c r="Z7" i="9"/>
  <c r="AA7" i="9"/>
  <c r="Z8" i="9"/>
  <c r="AA8" i="9"/>
  <c r="Z9" i="9"/>
  <c r="AA9" i="9"/>
  <c r="Z10" i="9"/>
  <c r="AA10" i="9"/>
  <c r="Z11" i="9"/>
  <c r="AA11" i="9"/>
  <c r="Z12" i="9"/>
  <c r="AA12" i="9"/>
  <c r="Z13" i="9"/>
  <c r="AA13" i="9"/>
  <c r="Z14" i="9"/>
  <c r="AA14" i="9"/>
  <c r="Z15" i="9"/>
  <c r="AA15" i="9"/>
  <c r="Z16" i="9"/>
  <c r="AA16" i="9"/>
  <c r="Z17" i="9"/>
  <c r="AA17" i="9"/>
  <c r="Z18" i="9"/>
  <c r="AA18" i="9"/>
  <c r="Z19" i="9"/>
  <c r="AA19" i="9"/>
  <c r="Z20" i="9"/>
  <c r="AA20" i="9"/>
  <c r="Z21" i="9"/>
  <c r="AA21" i="9"/>
  <c r="Z22" i="9"/>
  <c r="AA22" i="9"/>
  <c r="Z23" i="9"/>
  <c r="AA23" i="9"/>
  <c r="Z24" i="9"/>
  <c r="AA24" i="9"/>
  <c r="Z25" i="9"/>
  <c r="AA25" i="9"/>
  <c r="Z26" i="9"/>
  <c r="AA26" i="9"/>
  <c r="Z27" i="9"/>
  <c r="AA27" i="9"/>
  <c r="Z28" i="9"/>
  <c r="AA28" i="9"/>
  <c r="Z29" i="9"/>
  <c r="AA29" i="9"/>
  <c r="Z30" i="9"/>
  <c r="AA30" i="9"/>
  <c r="Z31" i="9"/>
  <c r="AA31" i="9"/>
  <c r="Z32" i="9"/>
  <c r="AA32" i="9"/>
  <c r="Z33" i="9"/>
  <c r="AA33" i="9"/>
  <c r="Z34" i="9"/>
  <c r="AA34" i="9"/>
  <c r="Z35" i="9"/>
  <c r="AA35" i="9"/>
  <c r="Z36" i="9"/>
  <c r="AA36" i="9"/>
  <c r="Z37" i="9"/>
  <c r="AA37" i="9"/>
  <c r="Z38" i="9"/>
  <c r="AA38" i="9"/>
  <c r="Z39" i="9"/>
  <c r="AA39" i="9"/>
  <c r="Z40" i="9"/>
  <c r="AA40" i="9"/>
  <c r="Z41" i="9"/>
  <c r="AA41" i="9"/>
  <c r="Z42" i="9"/>
  <c r="AA42" i="9"/>
  <c r="Z43" i="9"/>
  <c r="AA43" i="9"/>
  <c r="Z44" i="9"/>
  <c r="AA44" i="9"/>
  <c r="Z45" i="9"/>
  <c r="AA45" i="9"/>
  <c r="Z46" i="9"/>
  <c r="AA46" i="9"/>
  <c r="Z47" i="9"/>
  <c r="AA47" i="9"/>
  <c r="Z48" i="9"/>
  <c r="AA48" i="9"/>
  <c r="Z49" i="9"/>
  <c r="AA49" i="9"/>
  <c r="Z50" i="9"/>
  <c r="AA50" i="9"/>
  <c r="Z51" i="9"/>
  <c r="AA51" i="9"/>
  <c r="Z52" i="9"/>
  <c r="AA52" i="9"/>
  <c r="Z53" i="9"/>
  <c r="AA53" i="9"/>
  <c r="Z54" i="9"/>
  <c r="AA54" i="9"/>
  <c r="Z55" i="9"/>
  <c r="AA55" i="9"/>
  <c r="Z56" i="9"/>
  <c r="AA56" i="9"/>
  <c r="Z57" i="9"/>
  <c r="AA57" i="9"/>
  <c r="Z58" i="9"/>
  <c r="AA58" i="9"/>
  <c r="Z59" i="9"/>
  <c r="AA59" i="9"/>
  <c r="Z60" i="9"/>
  <c r="AA60" i="9"/>
  <c r="Z61" i="9"/>
  <c r="AA61" i="9"/>
  <c r="Z62" i="9"/>
  <c r="AA62" i="9"/>
  <c r="Z63" i="9"/>
  <c r="AA63" i="9"/>
  <c r="Z64" i="9"/>
  <c r="AA64" i="9"/>
  <c r="Z65" i="9"/>
  <c r="AA65" i="9"/>
  <c r="Z66" i="9"/>
  <c r="AA66" i="9"/>
  <c r="Z67" i="9"/>
  <c r="AA67" i="9"/>
  <c r="Z68" i="9"/>
  <c r="AA68" i="9"/>
  <c r="Z69" i="9"/>
  <c r="AA69" i="9"/>
  <c r="Z70" i="9"/>
  <c r="AA70" i="9"/>
  <c r="Z71" i="9"/>
  <c r="AA71" i="9"/>
  <c r="Z72" i="9"/>
  <c r="AA72" i="9"/>
  <c r="Z73" i="9"/>
  <c r="AA73" i="9"/>
  <c r="Z74" i="9"/>
  <c r="AA74" i="9"/>
  <c r="Z75" i="9"/>
  <c r="AA75" i="9"/>
  <c r="Z76" i="9"/>
  <c r="AA76" i="9"/>
  <c r="Z77" i="9"/>
  <c r="AA77" i="9"/>
  <c r="Z78" i="9"/>
  <c r="AA78" i="9"/>
  <c r="Z79" i="9"/>
  <c r="AA79" i="9"/>
  <c r="Z80" i="9"/>
  <c r="AA80" i="9"/>
  <c r="Z81" i="9"/>
  <c r="AA81" i="9"/>
  <c r="Z82" i="9"/>
  <c r="AA82" i="9"/>
  <c r="Z83" i="9"/>
  <c r="AA83" i="9"/>
  <c r="Z84" i="9"/>
  <c r="AA84" i="9"/>
  <c r="Z85" i="9"/>
  <c r="AA85" i="9"/>
  <c r="Z86" i="9"/>
  <c r="AA86" i="9"/>
  <c r="Z87" i="9"/>
  <c r="AA87" i="9"/>
  <c r="Z88" i="9"/>
  <c r="AA88" i="9"/>
  <c r="Z89" i="9"/>
  <c r="AA89" i="9"/>
  <c r="Z90" i="9"/>
  <c r="AA90" i="9"/>
  <c r="Z91" i="9"/>
  <c r="AA91" i="9"/>
  <c r="Z92" i="9"/>
  <c r="AA92" i="9"/>
  <c r="Z93" i="9"/>
  <c r="AA93" i="9"/>
  <c r="Z94" i="9"/>
  <c r="AA94" i="9"/>
  <c r="Z95" i="9"/>
  <c r="AA95" i="9"/>
  <c r="Z96" i="9"/>
  <c r="AA96" i="9"/>
  <c r="Z97" i="9"/>
  <c r="AA97" i="9"/>
  <c r="Z98" i="9"/>
  <c r="AA98" i="9"/>
  <c r="Z99" i="9"/>
  <c r="AA99" i="9"/>
  <c r="Z100" i="9"/>
  <c r="AA100" i="9"/>
  <c r="Z101" i="9"/>
  <c r="AA101" i="9"/>
  <c r="Z102" i="9"/>
  <c r="AA102" i="9"/>
  <c r="Z103" i="9"/>
  <c r="AA103" i="9"/>
  <c r="Z104" i="9"/>
  <c r="AA104" i="9"/>
  <c r="Z105" i="9"/>
  <c r="AA105" i="9"/>
  <c r="Z106" i="9"/>
  <c r="AA106" i="9"/>
  <c r="Z107" i="9"/>
  <c r="AA107" i="9"/>
  <c r="Z108" i="9"/>
  <c r="AA108" i="9"/>
  <c r="Z109" i="9"/>
  <c r="AA109" i="9"/>
  <c r="Z110" i="9"/>
  <c r="AA110" i="9"/>
  <c r="Z111" i="9"/>
  <c r="AA111" i="9"/>
  <c r="Z112" i="9"/>
  <c r="AA112" i="9"/>
  <c r="Z113" i="9"/>
  <c r="AA113" i="9"/>
  <c r="Z114" i="9"/>
  <c r="AA114" i="9"/>
  <c r="Z115" i="9"/>
  <c r="AA115" i="9"/>
  <c r="Z116" i="9"/>
  <c r="AA116" i="9"/>
  <c r="Z117" i="9"/>
  <c r="AA117" i="9"/>
  <c r="Z118" i="9"/>
  <c r="AA118" i="9"/>
  <c r="Z119" i="9"/>
  <c r="AA119" i="9"/>
  <c r="Z120" i="9"/>
  <c r="AA120" i="9"/>
  <c r="Z121" i="9"/>
  <c r="AA121" i="9"/>
  <c r="Z122" i="9"/>
  <c r="AA122" i="9"/>
  <c r="Z123" i="9"/>
  <c r="AA123" i="9"/>
  <c r="Z124" i="9"/>
  <c r="AA124" i="9"/>
  <c r="Z125" i="9"/>
  <c r="AA125" i="9"/>
  <c r="Z126" i="9"/>
  <c r="AA126" i="9"/>
  <c r="Z127" i="9"/>
  <c r="AA127" i="9"/>
  <c r="Z128" i="9"/>
  <c r="AA128" i="9"/>
  <c r="Z129" i="9"/>
  <c r="AA129" i="9"/>
  <c r="Z130" i="9"/>
  <c r="AA130" i="9"/>
  <c r="Z131" i="9"/>
  <c r="AA131" i="9"/>
  <c r="Z132" i="9"/>
  <c r="AA132" i="9"/>
  <c r="Z133" i="9"/>
  <c r="AA133" i="9"/>
  <c r="Z134" i="9"/>
  <c r="AA134" i="9"/>
  <c r="Z135" i="9"/>
  <c r="AA135" i="9"/>
  <c r="Z136" i="9"/>
  <c r="AA136" i="9"/>
  <c r="Z137" i="9"/>
  <c r="AA137" i="9"/>
  <c r="Z138" i="9"/>
  <c r="AA138" i="9"/>
  <c r="Z139" i="9"/>
  <c r="AA139" i="9"/>
  <c r="Z140" i="9"/>
  <c r="AA140" i="9"/>
  <c r="Z141" i="9"/>
  <c r="AA141" i="9"/>
  <c r="Z142" i="9"/>
  <c r="AA142" i="9"/>
  <c r="Z143" i="9"/>
  <c r="AA143" i="9"/>
  <c r="Z144" i="9"/>
  <c r="AA144" i="9"/>
  <c r="Z145" i="9"/>
  <c r="AA145" i="9"/>
  <c r="Z146" i="9"/>
  <c r="AA146" i="9"/>
  <c r="Z147" i="9"/>
  <c r="AA147" i="9"/>
  <c r="Z148" i="9"/>
  <c r="AA148" i="9"/>
  <c r="Z149" i="9"/>
  <c r="AA149" i="9"/>
  <c r="Z150" i="9"/>
  <c r="AA150" i="9"/>
  <c r="Z151" i="9"/>
  <c r="AA151" i="9"/>
  <c r="Z152" i="9"/>
  <c r="AA152" i="9"/>
  <c r="Z153" i="9"/>
  <c r="AA153" i="9"/>
  <c r="Z154" i="9"/>
  <c r="AA154" i="9"/>
  <c r="Z155" i="9"/>
  <c r="AA155" i="9"/>
  <c r="Z156" i="9"/>
  <c r="AA156" i="9"/>
  <c r="Z157" i="9"/>
  <c r="AA157" i="9"/>
  <c r="Z158" i="9"/>
  <c r="AA158" i="9"/>
  <c r="Z159" i="9"/>
  <c r="AA159" i="9"/>
  <c r="Z160" i="9"/>
  <c r="AA160" i="9"/>
  <c r="Z161" i="9"/>
  <c r="AA161" i="9"/>
  <c r="Z162" i="9"/>
  <c r="AA162" i="9"/>
  <c r="Z163" i="9"/>
  <c r="AA163" i="9"/>
  <c r="Z164" i="9"/>
  <c r="AA164" i="9"/>
  <c r="Z165" i="9"/>
  <c r="AA165" i="9"/>
  <c r="Z166" i="9"/>
  <c r="AA166" i="9"/>
  <c r="Z167" i="9"/>
  <c r="AA167" i="9"/>
  <c r="Z168" i="9"/>
  <c r="AA168" i="9"/>
  <c r="Z169" i="9"/>
  <c r="AA169" i="9"/>
  <c r="Z170" i="9"/>
  <c r="AA170" i="9"/>
  <c r="Z171" i="9"/>
  <c r="AA171" i="9"/>
  <c r="Z172" i="9"/>
  <c r="AA172" i="9"/>
  <c r="Z173" i="9"/>
  <c r="AA173" i="9"/>
  <c r="Z174" i="9"/>
  <c r="AA174" i="9"/>
  <c r="Z175" i="9"/>
  <c r="AA175" i="9"/>
  <c r="Z176" i="9"/>
  <c r="AA176" i="9"/>
  <c r="Z177" i="9"/>
  <c r="AA177" i="9"/>
  <c r="Z178" i="9"/>
  <c r="AA178" i="9"/>
  <c r="Z179" i="9"/>
  <c r="AA179" i="9"/>
  <c r="Z180" i="9"/>
  <c r="AA180" i="9"/>
  <c r="Z181" i="9"/>
  <c r="AA181" i="9"/>
  <c r="Z182" i="9"/>
  <c r="AA182" i="9"/>
  <c r="Z183" i="9"/>
  <c r="AA183" i="9"/>
  <c r="Z184" i="9"/>
  <c r="AA184" i="9"/>
  <c r="Z185" i="9"/>
  <c r="AA185" i="9"/>
  <c r="Z186" i="9"/>
  <c r="AA186" i="9"/>
  <c r="Z187" i="9"/>
  <c r="AA187" i="9"/>
  <c r="Z188" i="9"/>
  <c r="AA188" i="9"/>
  <c r="Z189" i="9"/>
  <c r="AA189" i="9"/>
  <c r="Z190" i="9"/>
  <c r="AA190" i="9"/>
  <c r="Z191" i="9"/>
  <c r="AA191" i="9"/>
  <c r="Z192" i="9"/>
  <c r="AA192" i="9"/>
  <c r="Z193" i="9"/>
  <c r="AA193" i="9"/>
  <c r="Z194" i="9"/>
  <c r="AA194" i="9"/>
  <c r="Z195" i="9"/>
  <c r="AA195" i="9"/>
  <c r="Z196" i="9"/>
  <c r="AA196" i="9"/>
  <c r="Z197" i="9"/>
  <c r="AA197" i="9"/>
  <c r="Z198" i="9"/>
  <c r="AA198" i="9"/>
  <c r="Z199" i="9"/>
  <c r="AA199" i="9"/>
  <c r="Z200" i="9"/>
  <c r="AA200" i="9"/>
  <c r="Z201" i="9"/>
  <c r="AA201" i="9"/>
  <c r="Z202" i="9"/>
  <c r="AA202" i="9"/>
  <c r="Z203" i="9"/>
  <c r="AA203" i="9"/>
  <c r="Z204" i="9"/>
  <c r="AA204" i="9"/>
  <c r="Z205" i="9"/>
  <c r="AA205" i="9"/>
  <c r="Z206" i="9"/>
  <c r="AA206" i="9"/>
  <c r="Z207" i="9"/>
  <c r="AA207" i="9"/>
  <c r="Z208" i="9"/>
  <c r="AA208" i="9"/>
  <c r="Z209" i="9"/>
  <c r="AA209" i="9"/>
  <c r="Z210" i="9"/>
  <c r="AA210" i="9"/>
  <c r="Z211" i="9"/>
  <c r="AA211" i="9"/>
  <c r="Z212" i="9"/>
  <c r="AA212" i="9"/>
  <c r="Z213" i="9"/>
  <c r="AA213" i="9"/>
  <c r="Z214" i="9"/>
  <c r="AA214" i="9"/>
  <c r="Z215" i="9"/>
  <c r="AA215" i="9"/>
  <c r="Z216" i="9"/>
  <c r="AA216" i="9"/>
  <c r="Z217" i="9"/>
  <c r="AA217" i="9"/>
  <c r="Z218" i="9"/>
  <c r="AA218" i="9"/>
  <c r="Z219" i="9"/>
  <c r="AA219" i="9"/>
  <c r="Z220" i="9"/>
  <c r="AA220" i="9"/>
  <c r="Z221" i="9"/>
  <c r="AA221" i="9"/>
  <c r="Z222" i="9"/>
  <c r="AA222" i="9"/>
  <c r="Z223" i="9"/>
  <c r="AA223" i="9"/>
  <c r="Z224" i="9"/>
  <c r="AA224" i="9"/>
  <c r="Z225" i="9"/>
  <c r="AA225" i="9"/>
  <c r="Z226" i="9"/>
  <c r="AA226" i="9"/>
  <c r="Z227" i="9"/>
  <c r="AA227" i="9"/>
  <c r="Z228" i="9"/>
  <c r="AA228" i="9"/>
  <c r="Z229" i="9"/>
  <c r="AA229" i="9"/>
  <c r="Z230" i="9"/>
  <c r="AA230" i="9"/>
  <c r="Z231" i="9"/>
  <c r="AA231" i="9"/>
  <c r="Z232" i="9"/>
  <c r="AA232" i="9"/>
  <c r="Z233" i="9"/>
  <c r="AA233" i="9"/>
  <c r="Z234" i="9"/>
  <c r="AA234" i="9"/>
  <c r="Z235" i="9"/>
  <c r="AA235" i="9"/>
  <c r="Z236" i="9"/>
  <c r="AA236" i="9"/>
  <c r="Z237" i="9"/>
  <c r="AA237" i="9"/>
  <c r="Z238" i="9"/>
  <c r="AA238" i="9"/>
  <c r="Z239" i="9"/>
  <c r="AA239" i="9"/>
  <c r="Z240" i="9"/>
  <c r="AA240" i="9"/>
  <c r="Z241" i="9"/>
  <c r="AA241" i="9"/>
  <c r="Z242" i="9"/>
  <c r="AA242" i="9"/>
  <c r="Z243" i="9"/>
  <c r="AA243" i="9"/>
  <c r="Z244" i="9"/>
  <c r="AA244" i="9"/>
  <c r="Z245" i="9"/>
  <c r="AA245" i="9"/>
  <c r="Z246" i="9"/>
  <c r="AA246" i="9"/>
  <c r="Z247" i="9"/>
  <c r="AA247" i="9"/>
  <c r="Z248" i="9"/>
  <c r="AA248" i="9"/>
  <c r="Z249" i="9"/>
  <c r="AA249" i="9"/>
  <c r="Z250" i="9"/>
  <c r="AA250" i="9"/>
  <c r="Z251" i="9"/>
  <c r="AA251" i="9"/>
  <c r="Z252" i="9"/>
  <c r="AA252" i="9"/>
  <c r="Z253" i="9"/>
  <c r="AA253" i="9"/>
  <c r="Z254" i="9"/>
  <c r="AA254" i="9"/>
  <c r="Z255" i="9"/>
  <c r="AA255" i="9"/>
  <c r="Z256" i="9"/>
  <c r="AA256" i="9"/>
  <c r="Z257" i="9"/>
  <c r="AA257" i="9"/>
  <c r="Z258" i="9"/>
  <c r="AA258" i="9"/>
  <c r="Z259" i="9"/>
  <c r="AA259" i="9"/>
  <c r="Z260" i="9"/>
  <c r="AA260" i="9"/>
  <c r="Z261" i="9"/>
  <c r="AA261" i="9"/>
  <c r="Z262" i="9"/>
  <c r="AA262" i="9"/>
  <c r="Z263" i="9"/>
  <c r="AA263" i="9"/>
  <c r="Z264" i="9"/>
  <c r="AA264" i="9"/>
  <c r="Z265" i="9"/>
  <c r="AA265" i="9"/>
  <c r="Z266" i="9"/>
  <c r="AA266" i="9"/>
  <c r="Z267" i="9"/>
  <c r="AA267" i="9"/>
  <c r="Z268" i="9"/>
  <c r="AA268" i="9"/>
  <c r="Z269" i="9"/>
  <c r="AA269" i="9"/>
  <c r="Z270" i="9"/>
  <c r="AA270" i="9"/>
  <c r="Z271" i="9"/>
  <c r="AA271" i="9"/>
  <c r="Z272" i="9"/>
  <c r="AA272" i="9"/>
  <c r="Z273" i="9"/>
  <c r="AA273" i="9"/>
  <c r="Z274" i="9"/>
  <c r="AA274" i="9"/>
  <c r="Z275" i="9"/>
  <c r="AA275" i="9"/>
  <c r="Z276" i="9"/>
  <c r="AA276" i="9"/>
  <c r="Z277" i="9"/>
  <c r="AA277" i="9"/>
  <c r="Z278" i="9"/>
  <c r="AA278" i="9"/>
  <c r="Z279" i="9"/>
  <c r="AA279" i="9"/>
  <c r="Z280" i="9"/>
  <c r="AA280" i="9"/>
  <c r="Z281" i="9"/>
  <c r="AA281" i="9"/>
  <c r="Z282" i="9"/>
  <c r="AA282" i="9"/>
  <c r="Z283" i="9"/>
  <c r="AA283" i="9"/>
  <c r="Z284" i="9"/>
  <c r="AA284" i="9"/>
  <c r="Z285" i="9"/>
  <c r="AA285" i="9"/>
  <c r="Z286" i="9"/>
  <c r="AA286" i="9"/>
  <c r="Z287" i="9"/>
  <c r="AA287" i="9"/>
  <c r="Z288" i="9"/>
  <c r="AA288" i="9"/>
  <c r="Z289" i="9"/>
  <c r="AA289" i="9"/>
  <c r="Z290" i="9"/>
  <c r="AA290" i="9"/>
  <c r="Z291" i="9"/>
  <c r="AA291" i="9"/>
  <c r="Z292" i="9"/>
  <c r="AA292" i="9"/>
  <c r="Z293" i="9"/>
  <c r="AA293" i="9"/>
  <c r="Z294" i="9"/>
  <c r="AA294" i="9"/>
  <c r="Z295" i="9"/>
  <c r="AA295" i="9"/>
  <c r="Z296" i="9"/>
  <c r="AA296" i="9"/>
  <c r="Z297" i="9"/>
  <c r="AA297" i="9"/>
  <c r="Z298" i="9"/>
  <c r="AA298" i="9"/>
  <c r="Z299" i="9"/>
  <c r="AA299" i="9"/>
  <c r="Z300" i="9"/>
  <c r="AA300" i="9"/>
  <c r="Z301" i="9"/>
  <c r="AA301" i="9"/>
  <c r="Z302" i="9"/>
  <c r="AA302" i="9"/>
  <c r="Z303" i="9"/>
  <c r="AA303" i="9"/>
  <c r="Z304" i="9"/>
  <c r="AA304" i="9"/>
  <c r="Z305" i="9"/>
  <c r="AA305" i="9"/>
  <c r="Z306" i="9"/>
  <c r="AA306" i="9"/>
  <c r="AA6" i="9"/>
  <c r="Z6" i="9"/>
  <c r="AC306" i="9"/>
  <c r="AC305" i="9"/>
  <c r="AC304" i="9"/>
  <c r="AC303" i="9"/>
  <c r="AC302" i="9"/>
  <c r="AC301" i="9"/>
  <c r="AC300" i="9"/>
  <c r="AC299" i="9"/>
  <c r="AC298" i="9"/>
  <c r="AC297" i="9"/>
  <c r="AC296" i="9"/>
  <c r="AC295" i="9"/>
  <c r="AC294" i="9"/>
  <c r="AC293" i="9"/>
  <c r="AC292" i="9"/>
  <c r="AC291" i="9"/>
  <c r="AC290" i="9"/>
  <c r="AC289" i="9"/>
  <c r="AC288" i="9"/>
  <c r="AC287" i="9"/>
  <c r="AC286" i="9"/>
  <c r="AC285" i="9"/>
  <c r="AC284" i="9"/>
  <c r="AC283" i="9"/>
  <c r="AC282" i="9"/>
  <c r="AC281" i="9"/>
  <c r="AC280" i="9"/>
  <c r="AC279" i="9"/>
  <c r="AC278" i="9"/>
  <c r="AC277" i="9"/>
  <c r="AC276" i="9"/>
  <c r="AC275" i="9"/>
  <c r="AC274" i="9"/>
  <c r="AC273" i="9"/>
  <c r="AC272" i="9"/>
  <c r="AC271" i="9"/>
  <c r="AC270" i="9"/>
  <c r="AC269" i="9"/>
  <c r="AC268" i="9"/>
  <c r="AC267" i="9"/>
  <c r="AC266" i="9"/>
  <c r="AC265" i="9"/>
  <c r="AC264" i="9"/>
  <c r="AC263" i="9"/>
  <c r="AC262" i="9"/>
  <c r="AC261" i="9"/>
  <c r="AC260" i="9"/>
  <c r="AC259" i="9"/>
  <c r="AC258" i="9"/>
  <c r="AC257" i="9"/>
  <c r="AC256" i="9"/>
  <c r="AC255" i="9"/>
  <c r="AC254" i="9"/>
  <c r="AC253" i="9"/>
  <c r="AC252" i="9"/>
  <c r="AC251" i="9"/>
  <c r="AC250" i="9"/>
  <c r="AC249" i="9"/>
  <c r="AC248" i="9"/>
  <c r="AC247" i="9"/>
  <c r="AC246" i="9"/>
  <c r="AC245" i="9"/>
  <c r="AC244" i="9"/>
  <c r="AC243" i="9"/>
  <c r="AC242" i="9"/>
  <c r="AC241" i="9"/>
  <c r="AC240" i="9"/>
  <c r="AC239" i="9"/>
  <c r="AC238" i="9"/>
  <c r="AC237" i="9"/>
  <c r="AC236" i="9"/>
  <c r="AC235" i="9"/>
  <c r="AC234" i="9"/>
  <c r="AC233" i="9"/>
  <c r="AC232" i="9"/>
  <c r="AC231" i="9"/>
  <c r="AC230" i="9"/>
  <c r="AC229" i="9"/>
  <c r="AC228" i="9"/>
  <c r="AC227" i="9"/>
  <c r="AC226" i="9"/>
  <c r="AC225" i="9"/>
  <c r="AC224" i="9"/>
  <c r="AC223" i="9"/>
  <c r="AC222" i="9"/>
  <c r="AC221" i="9"/>
  <c r="AC220" i="9"/>
  <c r="AC219" i="9"/>
  <c r="AC218" i="9"/>
  <c r="AC217" i="9"/>
  <c r="AC216" i="9"/>
  <c r="AC215" i="9"/>
  <c r="AC214" i="9"/>
  <c r="AC213" i="9"/>
  <c r="AC212" i="9"/>
  <c r="AC211" i="9"/>
  <c r="AC210" i="9"/>
  <c r="AC209" i="9"/>
  <c r="AC208" i="9"/>
  <c r="AC207" i="9"/>
  <c r="AC206" i="9"/>
  <c r="AC205" i="9"/>
  <c r="AC204" i="9"/>
  <c r="AC203" i="9"/>
  <c r="AC202" i="9"/>
  <c r="AC201" i="9"/>
  <c r="AC200" i="9"/>
  <c r="AC199" i="9"/>
  <c r="AC198" i="9"/>
  <c r="AC197" i="9"/>
  <c r="AC196" i="9"/>
  <c r="AC195" i="9"/>
  <c r="AC194" i="9"/>
  <c r="AC193" i="9"/>
  <c r="AC192" i="9"/>
  <c r="AC191" i="9"/>
  <c r="AC190" i="9"/>
  <c r="AC189" i="9"/>
  <c r="AC188" i="9"/>
  <c r="AC187" i="9"/>
  <c r="AC186" i="9"/>
  <c r="AC185" i="9"/>
  <c r="AC184" i="9"/>
  <c r="AC183" i="9"/>
  <c r="AC182" i="9"/>
  <c r="AC181" i="9"/>
  <c r="AC180" i="9"/>
  <c r="AC179" i="9"/>
  <c r="AC178" i="9"/>
  <c r="AC177" i="9"/>
  <c r="AC176" i="9"/>
  <c r="AC175" i="9"/>
  <c r="AC174" i="9"/>
  <c r="AC173" i="9"/>
  <c r="AC172" i="9"/>
  <c r="AC171" i="9"/>
  <c r="AC170" i="9"/>
  <c r="AC169" i="9"/>
  <c r="AC168" i="9"/>
  <c r="AC167" i="9"/>
  <c r="AC166" i="9"/>
  <c r="AC165" i="9"/>
  <c r="AC164" i="9"/>
  <c r="AC163" i="9"/>
  <c r="AC162" i="9"/>
  <c r="AC161" i="9"/>
  <c r="AC160" i="9"/>
  <c r="AC159" i="9"/>
  <c r="AC158" i="9"/>
  <c r="AC157" i="9"/>
  <c r="AC156" i="9"/>
  <c r="AC155" i="9"/>
  <c r="AC154" i="9"/>
  <c r="AC153" i="9"/>
  <c r="AC152" i="9"/>
  <c r="AC151" i="9"/>
  <c r="AC150" i="9"/>
  <c r="AC149" i="9"/>
  <c r="AC148" i="9"/>
  <c r="AC147" i="9"/>
  <c r="AC146" i="9"/>
  <c r="AC145" i="9"/>
  <c r="AC144" i="9"/>
  <c r="AC143" i="9"/>
  <c r="AC142" i="9"/>
  <c r="AC141" i="9"/>
  <c r="AC140" i="9"/>
  <c r="AC139" i="9"/>
  <c r="AC138" i="9"/>
  <c r="AC137" i="9"/>
  <c r="AC136" i="9"/>
  <c r="AC135" i="9"/>
  <c r="AC134" i="9"/>
  <c r="AC133" i="9"/>
  <c r="AC132" i="9"/>
  <c r="AC131" i="9"/>
  <c r="AC130" i="9"/>
  <c r="AC129" i="9"/>
  <c r="AC128" i="9"/>
  <c r="AC127" i="9"/>
  <c r="AC126" i="9"/>
  <c r="AC125" i="9"/>
  <c r="AC124" i="9"/>
  <c r="AC123" i="9"/>
  <c r="AC122" i="9"/>
  <c r="AC121" i="9"/>
  <c r="AC120" i="9"/>
  <c r="AC119" i="9"/>
  <c r="AC118" i="9"/>
  <c r="AC117" i="9"/>
  <c r="AC116" i="9"/>
  <c r="AC115" i="9"/>
  <c r="AC114" i="9"/>
  <c r="AC113" i="9"/>
  <c r="AC112" i="9"/>
  <c r="AC111" i="9"/>
  <c r="AC110" i="9"/>
  <c r="AC109" i="9"/>
  <c r="AC108" i="9"/>
  <c r="AC107" i="9"/>
  <c r="AC106" i="9"/>
  <c r="AC105" i="9"/>
  <c r="AC104" i="9"/>
  <c r="AC103" i="9"/>
  <c r="AC102" i="9"/>
  <c r="AC101" i="9"/>
  <c r="AC100" i="9"/>
  <c r="AC99" i="9"/>
  <c r="AC98" i="9"/>
  <c r="AC97" i="9"/>
  <c r="AC96" i="9"/>
  <c r="AC95" i="9"/>
  <c r="AC94" i="9"/>
  <c r="AC93" i="9"/>
  <c r="AC92" i="9"/>
  <c r="AC91" i="9"/>
  <c r="AC90" i="9"/>
  <c r="AC89" i="9"/>
  <c r="AC88" i="9"/>
  <c r="AC87" i="9"/>
  <c r="AC86" i="9"/>
  <c r="AC85" i="9"/>
  <c r="AC84" i="9"/>
  <c r="AC83" i="9"/>
  <c r="AC82" i="9"/>
  <c r="AC81" i="9"/>
  <c r="AC80" i="9"/>
  <c r="AC79" i="9"/>
  <c r="AC78" i="9"/>
  <c r="AC77" i="9"/>
  <c r="AC76" i="9"/>
  <c r="AC75" i="9"/>
  <c r="AC74" i="9"/>
  <c r="AC73" i="9"/>
  <c r="AC72" i="9"/>
  <c r="AC71" i="9"/>
  <c r="AC70" i="9"/>
  <c r="AC69" i="9"/>
  <c r="AC68" i="9"/>
  <c r="AC67" i="9"/>
  <c r="AC66" i="9"/>
  <c r="AC65" i="9"/>
  <c r="AC64" i="9"/>
  <c r="AC63" i="9"/>
  <c r="AC62" i="9"/>
  <c r="AC61" i="9"/>
  <c r="AC60" i="9"/>
  <c r="AC59" i="9"/>
  <c r="AC58" i="9"/>
  <c r="AC57" i="9"/>
  <c r="AC55" i="9"/>
  <c r="AC54" i="9"/>
  <c r="AC53" i="9"/>
  <c r="AC52" i="9"/>
  <c r="AC51" i="9"/>
  <c r="AC50" i="9"/>
  <c r="AC49" i="9"/>
  <c r="AC48" i="9"/>
  <c r="AC47" i="9"/>
  <c r="AC46" i="9"/>
  <c r="AC45" i="9"/>
  <c r="AC44" i="9"/>
  <c r="AC43" i="9"/>
  <c r="AC42" i="9"/>
  <c r="AC41" i="9"/>
  <c r="AC40" i="9"/>
  <c r="AC39" i="9"/>
  <c r="AC38" i="9"/>
  <c r="AC37" i="9"/>
  <c r="AC36" i="9"/>
  <c r="AC35" i="9"/>
  <c r="AC34" i="9"/>
  <c r="AC33" i="9"/>
  <c r="AC32" i="9"/>
  <c r="AC31" i="9"/>
  <c r="AC30" i="9"/>
  <c r="AC29" i="9"/>
  <c r="AC28" i="9"/>
  <c r="AC27" i="9"/>
  <c r="AC26" i="9"/>
  <c r="AC25" i="9"/>
  <c r="AC24" i="9"/>
  <c r="AC23" i="9"/>
  <c r="AC22" i="9"/>
  <c r="AC21" i="9"/>
  <c r="AC20" i="9"/>
  <c r="AC19" i="9"/>
  <c r="AC18" i="9"/>
  <c r="AC17" i="9"/>
  <c r="AC16" i="9"/>
  <c r="AC15" i="9"/>
  <c r="AC14" i="9"/>
  <c r="AC13" i="9"/>
  <c r="AC12" i="9"/>
  <c r="AC11" i="9"/>
  <c r="AC10" i="9"/>
  <c r="AC9" i="9"/>
  <c r="AC8" i="9"/>
  <c r="AC7" i="9"/>
  <c r="AC6" i="9"/>
  <c r="AC2" i="9"/>
  <c r="AC1" i="9"/>
  <c r="N7" i="9"/>
  <c r="O7" i="9"/>
  <c r="N8" i="9"/>
  <c r="O8" i="9"/>
  <c r="N9" i="9"/>
  <c r="O9" i="9"/>
  <c r="N10" i="9"/>
  <c r="O10" i="9"/>
  <c r="N11" i="9"/>
  <c r="O11" i="9"/>
  <c r="N12" i="9"/>
  <c r="O12" i="9"/>
  <c r="N13" i="9"/>
  <c r="O13" i="9"/>
  <c r="N14" i="9"/>
  <c r="O14" i="9"/>
  <c r="N15" i="9"/>
  <c r="O15" i="9"/>
  <c r="N16" i="9"/>
  <c r="O16" i="9"/>
  <c r="N17" i="9"/>
  <c r="O17" i="9"/>
  <c r="N18" i="9"/>
  <c r="O18" i="9"/>
  <c r="N19" i="9"/>
  <c r="O19" i="9"/>
  <c r="N20" i="9"/>
  <c r="O20" i="9"/>
  <c r="N21" i="9"/>
  <c r="O21" i="9"/>
  <c r="N22" i="9"/>
  <c r="O22" i="9"/>
  <c r="N23" i="9"/>
  <c r="O23" i="9"/>
  <c r="N24" i="9"/>
  <c r="O24" i="9"/>
  <c r="N25" i="9"/>
  <c r="O25" i="9"/>
  <c r="N26" i="9"/>
  <c r="O26" i="9"/>
  <c r="N27" i="9"/>
  <c r="O27" i="9"/>
  <c r="N28" i="9"/>
  <c r="O28" i="9"/>
  <c r="N29" i="9"/>
  <c r="O29" i="9"/>
  <c r="N30" i="9"/>
  <c r="O30" i="9"/>
  <c r="N31" i="9"/>
  <c r="O31" i="9"/>
  <c r="N32" i="9"/>
  <c r="O32" i="9"/>
  <c r="N33" i="9"/>
  <c r="O33" i="9"/>
  <c r="N34" i="9"/>
  <c r="O34" i="9"/>
  <c r="N35" i="9"/>
  <c r="O35" i="9"/>
  <c r="N36" i="9"/>
  <c r="O36" i="9"/>
  <c r="N37" i="9"/>
  <c r="O37" i="9"/>
  <c r="N38" i="9"/>
  <c r="O38" i="9"/>
  <c r="N39" i="9"/>
  <c r="O39" i="9"/>
  <c r="N40" i="9"/>
  <c r="O40" i="9"/>
  <c r="N41" i="9"/>
  <c r="O41" i="9"/>
  <c r="N42" i="9"/>
  <c r="O42" i="9"/>
  <c r="N43" i="9"/>
  <c r="O43" i="9"/>
  <c r="N44" i="9"/>
  <c r="O44" i="9"/>
  <c r="N45" i="9"/>
  <c r="O45" i="9"/>
  <c r="N46" i="9"/>
  <c r="O46" i="9"/>
  <c r="N47" i="9"/>
  <c r="O47" i="9"/>
  <c r="N48" i="9"/>
  <c r="O48" i="9"/>
  <c r="N49" i="9"/>
  <c r="O49" i="9"/>
  <c r="N50" i="9"/>
  <c r="O50" i="9"/>
  <c r="N51" i="9"/>
  <c r="O51" i="9"/>
  <c r="N52" i="9"/>
  <c r="O52" i="9"/>
  <c r="N53" i="9"/>
  <c r="O53" i="9"/>
  <c r="N54" i="9"/>
  <c r="O54" i="9"/>
  <c r="N55" i="9"/>
  <c r="O55" i="9"/>
  <c r="N56" i="9"/>
  <c r="O56" i="9"/>
  <c r="N57" i="9"/>
  <c r="O57" i="9"/>
  <c r="N58" i="9"/>
  <c r="O58" i="9"/>
  <c r="N59" i="9"/>
  <c r="O59" i="9"/>
  <c r="N60" i="9"/>
  <c r="O60" i="9"/>
  <c r="N61" i="9"/>
  <c r="O61" i="9"/>
  <c r="N62" i="9"/>
  <c r="O62" i="9"/>
  <c r="N63" i="9"/>
  <c r="O63" i="9"/>
  <c r="N64" i="9"/>
  <c r="O64" i="9"/>
  <c r="N65" i="9"/>
  <c r="O65" i="9"/>
  <c r="N66" i="9"/>
  <c r="O66" i="9"/>
  <c r="N67" i="9"/>
  <c r="O67" i="9"/>
  <c r="N68" i="9"/>
  <c r="O68" i="9"/>
  <c r="N69" i="9"/>
  <c r="O69" i="9"/>
  <c r="N70" i="9"/>
  <c r="O70" i="9"/>
  <c r="N71" i="9"/>
  <c r="O71" i="9"/>
  <c r="N72" i="9"/>
  <c r="O72" i="9"/>
  <c r="N73" i="9"/>
  <c r="O73" i="9"/>
  <c r="N74" i="9"/>
  <c r="O74" i="9"/>
  <c r="N75" i="9"/>
  <c r="O75" i="9"/>
  <c r="N76" i="9"/>
  <c r="O76" i="9"/>
  <c r="N77" i="9"/>
  <c r="O77" i="9"/>
  <c r="N78" i="9"/>
  <c r="O78" i="9"/>
  <c r="N79" i="9"/>
  <c r="O79" i="9"/>
  <c r="N80" i="9"/>
  <c r="O80" i="9"/>
  <c r="N81" i="9"/>
  <c r="O81" i="9"/>
  <c r="N82" i="9"/>
  <c r="O82" i="9"/>
  <c r="N83" i="9"/>
  <c r="O83" i="9"/>
  <c r="N84" i="9"/>
  <c r="O84" i="9"/>
  <c r="N85" i="9"/>
  <c r="O85" i="9"/>
  <c r="N86" i="9"/>
  <c r="O86" i="9"/>
  <c r="N87" i="9"/>
  <c r="O87" i="9"/>
  <c r="N88" i="9"/>
  <c r="O88" i="9"/>
  <c r="N89" i="9"/>
  <c r="O89" i="9"/>
  <c r="N90" i="9"/>
  <c r="O90" i="9"/>
  <c r="N91" i="9"/>
  <c r="O91" i="9"/>
  <c r="N92" i="9"/>
  <c r="O92" i="9"/>
  <c r="N93" i="9"/>
  <c r="O93" i="9"/>
  <c r="N94" i="9"/>
  <c r="O94" i="9"/>
  <c r="N95" i="9"/>
  <c r="O95" i="9"/>
  <c r="N96" i="9"/>
  <c r="O96" i="9"/>
  <c r="N97" i="9"/>
  <c r="O97" i="9"/>
  <c r="N98" i="9"/>
  <c r="O98" i="9"/>
  <c r="N99" i="9"/>
  <c r="O99" i="9"/>
  <c r="N100" i="9"/>
  <c r="O100" i="9"/>
  <c r="N101" i="9"/>
  <c r="O101" i="9"/>
  <c r="N102" i="9"/>
  <c r="O102" i="9"/>
  <c r="N103" i="9"/>
  <c r="O103" i="9"/>
  <c r="N104" i="9"/>
  <c r="O104" i="9"/>
  <c r="N105" i="9"/>
  <c r="O105" i="9"/>
  <c r="N106" i="9"/>
  <c r="O106" i="9"/>
  <c r="N107" i="9"/>
  <c r="O107" i="9"/>
  <c r="N108" i="9"/>
  <c r="O108" i="9"/>
  <c r="N109" i="9"/>
  <c r="O109" i="9"/>
  <c r="N110" i="9"/>
  <c r="O110" i="9"/>
  <c r="N111" i="9"/>
  <c r="O111" i="9"/>
  <c r="N112" i="9"/>
  <c r="O112" i="9"/>
  <c r="N113" i="9"/>
  <c r="O113" i="9"/>
  <c r="N114" i="9"/>
  <c r="O114" i="9"/>
  <c r="N115" i="9"/>
  <c r="O115" i="9"/>
  <c r="N116" i="9"/>
  <c r="O116" i="9"/>
  <c r="N117" i="9"/>
  <c r="O117" i="9"/>
  <c r="N118" i="9"/>
  <c r="O118" i="9"/>
  <c r="N119" i="9"/>
  <c r="O119" i="9"/>
  <c r="N120" i="9"/>
  <c r="O120" i="9"/>
  <c r="N121" i="9"/>
  <c r="O121" i="9"/>
  <c r="N122" i="9"/>
  <c r="O122" i="9"/>
  <c r="N123" i="9"/>
  <c r="O123" i="9"/>
  <c r="N124" i="9"/>
  <c r="O124" i="9"/>
  <c r="N125" i="9"/>
  <c r="O125" i="9"/>
  <c r="N126" i="9"/>
  <c r="O126" i="9"/>
  <c r="N127" i="9"/>
  <c r="O127" i="9"/>
  <c r="N128" i="9"/>
  <c r="O128" i="9"/>
  <c r="N129" i="9"/>
  <c r="O129" i="9"/>
  <c r="N130" i="9"/>
  <c r="O130" i="9"/>
  <c r="N131" i="9"/>
  <c r="O131" i="9"/>
  <c r="N132" i="9"/>
  <c r="O132" i="9"/>
  <c r="N133" i="9"/>
  <c r="O133" i="9"/>
  <c r="N134" i="9"/>
  <c r="O134" i="9"/>
  <c r="N135" i="9"/>
  <c r="O135" i="9"/>
  <c r="N136" i="9"/>
  <c r="O136" i="9"/>
  <c r="N137" i="9"/>
  <c r="O137" i="9"/>
  <c r="N138" i="9"/>
  <c r="O138" i="9"/>
  <c r="N139" i="9"/>
  <c r="O139" i="9"/>
  <c r="N140" i="9"/>
  <c r="O140" i="9"/>
  <c r="N141" i="9"/>
  <c r="O141" i="9"/>
  <c r="N142" i="9"/>
  <c r="O142" i="9"/>
  <c r="N143" i="9"/>
  <c r="O143" i="9"/>
  <c r="N144" i="9"/>
  <c r="O144" i="9"/>
  <c r="N145" i="9"/>
  <c r="O145" i="9"/>
  <c r="N146" i="9"/>
  <c r="O146" i="9"/>
  <c r="N147" i="9"/>
  <c r="O147" i="9"/>
  <c r="N148" i="9"/>
  <c r="O148" i="9"/>
  <c r="N149" i="9"/>
  <c r="O149" i="9"/>
  <c r="N150" i="9"/>
  <c r="O150" i="9"/>
  <c r="N151" i="9"/>
  <c r="O151" i="9"/>
  <c r="N152" i="9"/>
  <c r="O152" i="9"/>
  <c r="N153" i="9"/>
  <c r="O153" i="9"/>
  <c r="N154" i="9"/>
  <c r="O154" i="9"/>
  <c r="N155" i="9"/>
  <c r="O155" i="9"/>
  <c r="N156" i="9"/>
  <c r="O156" i="9"/>
  <c r="N157" i="9"/>
  <c r="O157" i="9"/>
  <c r="N158" i="9"/>
  <c r="O158" i="9"/>
  <c r="N159" i="9"/>
  <c r="O159" i="9"/>
  <c r="N160" i="9"/>
  <c r="O160" i="9"/>
  <c r="N161" i="9"/>
  <c r="O161" i="9"/>
  <c r="N162" i="9"/>
  <c r="O162" i="9"/>
  <c r="N163" i="9"/>
  <c r="O163" i="9"/>
  <c r="N164" i="9"/>
  <c r="O164" i="9"/>
  <c r="N165" i="9"/>
  <c r="O165" i="9"/>
  <c r="N166" i="9"/>
  <c r="O166" i="9"/>
  <c r="N167" i="9"/>
  <c r="O167" i="9"/>
  <c r="N168" i="9"/>
  <c r="O168" i="9"/>
  <c r="N169" i="9"/>
  <c r="O169" i="9"/>
  <c r="N170" i="9"/>
  <c r="O170" i="9"/>
  <c r="N171" i="9"/>
  <c r="O171" i="9"/>
  <c r="N172" i="9"/>
  <c r="O172" i="9"/>
  <c r="N173" i="9"/>
  <c r="O173" i="9"/>
  <c r="N174" i="9"/>
  <c r="O174" i="9"/>
  <c r="N175" i="9"/>
  <c r="O175" i="9"/>
  <c r="N176" i="9"/>
  <c r="O176" i="9"/>
  <c r="N177" i="9"/>
  <c r="O177" i="9"/>
  <c r="N178" i="9"/>
  <c r="O178" i="9"/>
  <c r="N179" i="9"/>
  <c r="O179" i="9"/>
  <c r="N180" i="9"/>
  <c r="O180" i="9"/>
  <c r="N181" i="9"/>
  <c r="O181" i="9"/>
  <c r="N182" i="9"/>
  <c r="O182" i="9"/>
  <c r="N183" i="9"/>
  <c r="O183" i="9"/>
  <c r="N184" i="9"/>
  <c r="O184" i="9"/>
  <c r="N185" i="9"/>
  <c r="O185" i="9"/>
  <c r="N186" i="9"/>
  <c r="O186" i="9"/>
  <c r="N187" i="9"/>
  <c r="O187" i="9"/>
  <c r="N188" i="9"/>
  <c r="O188" i="9"/>
  <c r="N189" i="9"/>
  <c r="O189" i="9"/>
  <c r="N190" i="9"/>
  <c r="O190" i="9"/>
  <c r="N191" i="9"/>
  <c r="O191" i="9"/>
  <c r="N192" i="9"/>
  <c r="O192" i="9"/>
  <c r="N193" i="9"/>
  <c r="O193" i="9"/>
  <c r="N194" i="9"/>
  <c r="O194" i="9"/>
  <c r="N195" i="9"/>
  <c r="O195" i="9"/>
  <c r="N196" i="9"/>
  <c r="O196" i="9"/>
  <c r="N197" i="9"/>
  <c r="O197" i="9"/>
  <c r="N198" i="9"/>
  <c r="O198" i="9"/>
  <c r="N199" i="9"/>
  <c r="O199" i="9"/>
  <c r="N200" i="9"/>
  <c r="O200" i="9"/>
  <c r="N201" i="9"/>
  <c r="O201" i="9"/>
  <c r="N202" i="9"/>
  <c r="O202" i="9"/>
  <c r="N203" i="9"/>
  <c r="O203" i="9"/>
  <c r="N204" i="9"/>
  <c r="O204" i="9"/>
  <c r="N205" i="9"/>
  <c r="O205" i="9"/>
  <c r="N206" i="9"/>
  <c r="O206" i="9"/>
  <c r="N207" i="9"/>
  <c r="O207" i="9"/>
  <c r="N208" i="9"/>
  <c r="O208" i="9"/>
  <c r="N209" i="9"/>
  <c r="O209" i="9"/>
  <c r="N210" i="9"/>
  <c r="O210" i="9"/>
  <c r="N211" i="9"/>
  <c r="O211" i="9"/>
  <c r="N212" i="9"/>
  <c r="O212" i="9"/>
  <c r="N213" i="9"/>
  <c r="O213" i="9"/>
  <c r="N214" i="9"/>
  <c r="O214" i="9"/>
  <c r="N215" i="9"/>
  <c r="O215" i="9"/>
  <c r="N216" i="9"/>
  <c r="O216" i="9"/>
  <c r="N217" i="9"/>
  <c r="O217" i="9"/>
  <c r="N218" i="9"/>
  <c r="O218" i="9"/>
  <c r="N219" i="9"/>
  <c r="O219" i="9"/>
  <c r="N220" i="9"/>
  <c r="O220" i="9"/>
  <c r="N221" i="9"/>
  <c r="O221" i="9"/>
  <c r="N222" i="9"/>
  <c r="O222" i="9"/>
  <c r="N223" i="9"/>
  <c r="O223" i="9"/>
  <c r="N224" i="9"/>
  <c r="O224" i="9"/>
  <c r="N225" i="9"/>
  <c r="O225" i="9"/>
  <c r="N226" i="9"/>
  <c r="O226" i="9"/>
  <c r="N227" i="9"/>
  <c r="O227" i="9"/>
  <c r="N228" i="9"/>
  <c r="O228" i="9"/>
  <c r="N229" i="9"/>
  <c r="O229" i="9"/>
  <c r="N230" i="9"/>
  <c r="O230" i="9"/>
  <c r="N231" i="9"/>
  <c r="O231" i="9"/>
  <c r="N232" i="9"/>
  <c r="O232" i="9"/>
  <c r="N233" i="9"/>
  <c r="O233" i="9"/>
  <c r="N234" i="9"/>
  <c r="O234" i="9"/>
  <c r="N235" i="9"/>
  <c r="O235" i="9"/>
  <c r="N236" i="9"/>
  <c r="O236" i="9"/>
  <c r="N237" i="9"/>
  <c r="O237" i="9"/>
  <c r="N238" i="9"/>
  <c r="O238" i="9"/>
  <c r="N239" i="9"/>
  <c r="O239" i="9"/>
  <c r="N240" i="9"/>
  <c r="O240" i="9"/>
  <c r="N241" i="9"/>
  <c r="O241" i="9"/>
  <c r="N242" i="9"/>
  <c r="O242" i="9"/>
  <c r="N243" i="9"/>
  <c r="O243" i="9"/>
  <c r="N244" i="9"/>
  <c r="O244" i="9"/>
  <c r="N245" i="9"/>
  <c r="O245" i="9"/>
  <c r="N246" i="9"/>
  <c r="O246" i="9"/>
  <c r="N247" i="9"/>
  <c r="O247" i="9"/>
  <c r="N248" i="9"/>
  <c r="O248" i="9"/>
  <c r="N249" i="9"/>
  <c r="O249" i="9"/>
  <c r="N250" i="9"/>
  <c r="O250" i="9"/>
  <c r="N251" i="9"/>
  <c r="O251" i="9"/>
  <c r="N252" i="9"/>
  <c r="O252" i="9"/>
  <c r="N253" i="9"/>
  <c r="O253" i="9"/>
  <c r="N254" i="9"/>
  <c r="O254" i="9"/>
  <c r="N255" i="9"/>
  <c r="O255" i="9"/>
  <c r="N256" i="9"/>
  <c r="O256" i="9"/>
  <c r="N257" i="9"/>
  <c r="O257" i="9"/>
  <c r="N258" i="9"/>
  <c r="O258" i="9"/>
  <c r="N259" i="9"/>
  <c r="O259" i="9"/>
  <c r="N260" i="9"/>
  <c r="O260" i="9"/>
  <c r="N261" i="9"/>
  <c r="O261" i="9"/>
  <c r="N262" i="9"/>
  <c r="O262" i="9"/>
  <c r="N263" i="9"/>
  <c r="O263" i="9"/>
  <c r="N264" i="9"/>
  <c r="O264" i="9"/>
  <c r="N265" i="9"/>
  <c r="O265" i="9"/>
  <c r="N266" i="9"/>
  <c r="O266" i="9"/>
  <c r="N267" i="9"/>
  <c r="O267" i="9"/>
  <c r="N268" i="9"/>
  <c r="O268" i="9"/>
  <c r="N269" i="9"/>
  <c r="O269" i="9"/>
  <c r="N270" i="9"/>
  <c r="O270" i="9"/>
  <c r="N271" i="9"/>
  <c r="O271" i="9"/>
  <c r="N272" i="9"/>
  <c r="O272" i="9"/>
  <c r="N273" i="9"/>
  <c r="O273" i="9"/>
  <c r="N274" i="9"/>
  <c r="O274" i="9"/>
  <c r="N275" i="9"/>
  <c r="O275" i="9"/>
  <c r="N276" i="9"/>
  <c r="O276" i="9"/>
  <c r="N277" i="9"/>
  <c r="O277" i="9"/>
  <c r="N278" i="9"/>
  <c r="O278" i="9"/>
  <c r="N279" i="9"/>
  <c r="O279" i="9"/>
  <c r="N280" i="9"/>
  <c r="O280" i="9"/>
  <c r="N281" i="9"/>
  <c r="O281" i="9"/>
  <c r="N282" i="9"/>
  <c r="O282" i="9"/>
  <c r="N283" i="9"/>
  <c r="O283" i="9"/>
  <c r="N284" i="9"/>
  <c r="O284" i="9"/>
  <c r="N285" i="9"/>
  <c r="O285" i="9"/>
  <c r="N286" i="9"/>
  <c r="O286" i="9"/>
  <c r="N287" i="9"/>
  <c r="O287" i="9"/>
  <c r="N288" i="9"/>
  <c r="O288" i="9"/>
  <c r="N289" i="9"/>
  <c r="O289" i="9"/>
  <c r="N290" i="9"/>
  <c r="O290" i="9"/>
  <c r="N291" i="9"/>
  <c r="O291" i="9"/>
  <c r="N292" i="9"/>
  <c r="O292" i="9"/>
  <c r="N293" i="9"/>
  <c r="O293" i="9"/>
  <c r="N294" i="9"/>
  <c r="O294" i="9"/>
  <c r="N295" i="9"/>
  <c r="O295" i="9"/>
  <c r="N296" i="9"/>
  <c r="O296" i="9"/>
  <c r="N297" i="9"/>
  <c r="O297" i="9"/>
  <c r="N298" i="9"/>
  <c r="O298" i="9"/>
  <c r="N299" i="9"/>
  <c r="O299" i="9"/>
  <c r="N300" i="9"/>
  <c r="O300" i="9"/>
  <c r="N301" i="9"/>
  <c r="O301" i="9"/>
  <c r="N302" i="9"/>
  <c r="O302" i="9"/>
  <c r="N303" i="9"/>
  <c r="O303" i="9"/>
  <c r="N304" i="9"/>
  <c r="O304" i="9"/>
  <c r="N305" i="9"/>
  <c r="O305" i="9"/>
  <c r="N306" i="9"/>
  <c r="O306" i="9"/>
  <c r="O6" i="9"/>
  <c r="N6" i="9"/>
  <c r="Q306" i="9"/>
  <c r="Q305" i="9"/>
  <c r="Q304" i="9"/>
  <c r="Q303" i="9"/>
  <c r="Q302" i="9"/>
  <c r="Q301" i="9"/>
  <c r="Q300" i="9"/>
  <c r="Q299" i="9"/>
  <c r="Q298" i="9"/>
  <c r="Q297" i="9"/>
  <c r="Q296" i="9"/>
  <c r="Q295" i="9"/>
  <c r="Q294" i="9"/>
  <c r="Q293" i="9"/>
  <c r="Q292" i="9"/>
  <c r="Q291" i="9"/>
  <c r="Q290" i="9"/>
  <c r="Q289" i="9"/>
  <c r="Q288" i="9"/>
  <c r="Q287" i="9"/>
  <c r="Q286" i="9"/>
  <c r="Q285" i="9"/>
  <c r="Q284" i="9"/>
  <c r="Q283" i="9"/>
  <c r="Q282" i="9"/>
  <c r="Q281" i="9"/>
  <c r="Q280" i="9"/>
  <c r="Q279" i="9"/>
  <c r="Q278" i="9"/>
  <c r="Q277" i="9"/>
  <c r="Q276" i="9"/>
  <c r="Q275" i="9"/>
  <c r="Q274" i="9"/>
  <c r="Q273" i="9"/>
  <c r="Q272" i="9"/>
  <c r="Q271" i="9"/>
  <c r="Q270" i="9"/>
  <c r="Q269" i="9"/>
  <c r="Q268" i="9"/>
  <c r="Q267" i="9"/>
  <c r="Q266" i="9"/>
  <c r="Q265" i="9"/>
  <c r="Q264" i="9"/>
  <c r="Q263" i="9"/>
  <c r="Q262" i="9"/>
  <c r="Q261" i="9"/>
  <c r="Q260" i="9"/>
  <c r="Q259" i="9"/>
  <c r="Q258" i="9"/>
  <c r="Q257" i="9"/>
  <c r="Q256" i="9"/>
  <c r="Q255" i="9"/>
  <c r="Q254" i="9"/>
  <c r="Q253" i="9"/>
  <c r="Q252" i="9"/>
  <c r="Q251" i="9"/>
  <c r="Q250" i="9"/>
  <c r="Q249" i="9"/>
  <c r="Q248" i="9"/>
  <c r="Q247" i="9"/>
  <c r="Q246" i="9"/>
  <c r="Q245" i="9"/>
  <c r="Q244" i="9"/>
  <c r="Q243" i="9"/>
  <c r="Q242" i="9"/>
  <c r="Q241" i="9"/>
  <c r="Q240" i="9"/>
  <c r="Q239" i="9"/>
  <c r="Q238" i="9"/>
  <c r="Q237" i="9"/>
  <c r="Q236" i="9"/>
  <c r="Q235" i="9"/>
  <c r="Q234" i="9"/>
  <c r="Q233" i="9"/>
  <c r="Q232" i="9"/>
  <c r="Q231" i="9"/>
  <c r="Q230" i="9"/>
  <c r="Q229" i="9"/>
  <c r="Q228" i="9"/>
  <c r="Q227" i="9"/>
  <c r="Q226" i="9"/>
  <c r="Q225" i="9"/>
  <c r="Q224" i="9"/>
  <c r="Q223" i="9"/>
  <c r="Q222" i="9"/>
  <c r="Q221" i="9"/>
  <c r="Q220" i="9"/>
  <c r="Q219" i="9"/>
  <c r="Q218" i="9"/>
  <c r="Q217" i="9"/>
  <c r="Q216" i="9"/>
  <c r="Q215" i="9"/>
  <c r="Q214" i="9"/>
  <c r="Q213" i="9"/>
  <c r="Q212" i="9"/>
  <c r="Q211" i="9"/>
  <c r="Q210" i="9"/>
  <c r="Q209" i="9"/>
  <c r="Q208" i="9"/>
  <c r="Q207" i="9"/>
  <c r="Q206" i="9"/>
  <c r="Q205" i="9"/>
  <c r="Q204" i="9"/>
  <c r="Q203" i="9"/>
  <c r="Q202" i="9"/>
  <c r="Q201" i="9"/>
  <c r="Q200" i="9"/>
  <c r="Q199" i="9"/>
  <c r="Q198" i="9"/>
  <c r="Q197" i="9"/>
  <c r="Q196" i="9"/>
  <c r="Q195" i="9"/>
  <c r="Q194" i="9"/>
  <c r="Q193" i="9"/>
  <c r="Q192" i="9"/>
  <c r="Q191" i="9"/>
  <c r="Q190" i="9"/>
  <c r="Q189" i="9"/>
  <c r="Q188" i="9"/>
  <c r="Q187" i="9"/>
  <c r="Q186" i="9"/>
  <c r="Q185" i="9"/>
  <c r="Q184" i="9"/>
  <c r="Q183" i="9"/>
  <c r="Q182" i="9"/>
  <c r="Q181" i="9"/>
  <c r="Q180" i="9"/>
  <c r="Q179" i="9"/>
  <c r="Q178" i="9"/>
  <c r="Q177" i="9"/>
  <c r="Q176" i="9"/>
  <c r="Q175" i="9"/>
  <c r="Q174" i="9"/>
  <c r="Q173" i="9"/>
  <c r="Q172" i="9"/>
  <c r="Q171" i="9"/>
  <c r="Q170" i="9"/>
  <c r="Q169" i="9"/>
  <c r="Q168" i="9"/>
  <c r="Q167" i="9"/>
  <c r="Q166" i="9"/>
  <c r="Q165" i="9"/>
  <c r="Q164" i="9"/>
  <c r="Q163" i="9"/>
  <c r="Q162" i="9"/>
  <c r="Q161" i="9"/>
  <c r="Q160" i="9"/>
  <c r="Q159" i="9"/>
  <c r="Q158" i="9"/>
  <c r="Q157" i="9"/>
  <c r="Q156" i="9"/>
  <c r="Q155" i="9"/>
  <c r="Q154" i="9"/>
  <c r="Q153" i="9"/>
  <c r="Q152" i="9"/>
  <c r="Q151" i="9"/>
  <c r="Q150" i="9"/>
  <c r="Q149" i="9"/>
  <c r="Q148" i="9"/>
  <c r="Q147" i="9"/>
  <c r="Q146" i="9"/>
  <c r="Q145" i="9"/>
  <c r="Q144" i="9"/>
  <c r="Q143" i="9"/>
  <c r="Q142" i="9"/>
  <c r="Q141" i="9"/>
  <c r="Q140" i="9"/>
  <c r="Q139" i="9"/>
  <c r="Q138" i="9"/>
  <c r="Q137" i="9"/>
  <c r="Q136" i="9"/>
  <c r="Q135" i="9"/>
  <c r="Q134" i="9"/>
  <c r="Q133" i="9"/>
  <c r="Q132" i="9"/>
  <c r="Q131" i="9"/>
  <c r="Q130" i="9"/>
  <c r="Q129" i="9"/>
  <c r="Q128" i="9"/>
  <c r="Q127" i="9"/>
  <c r="Q126" i="9"/>
  <c r="Q125" i="9"/>
  <c r="Q124" i="9"/>
  <c r="Q123" i="9"/>
  <c r="Q122" i="9"/>
  <c r="Q121" i="9"/>
  <c r="Q120" i="9"/>
  <c r="Q119" i="9"/>
  <c r="Q118" i="9"/>
  <c r="Q117" i="9"/>
  <c r="Q116" i="9"/>
  <c r="Q115" i="9"/>
  <c r="Q114" i="9"/>
  <c r="Q113" i="9"/>
  <c r="Q112" i="9"/>
  <c r="Q111" i="9"/>
  <c r="Q110" i="9"/>
  <c r="Q109" i="9"/>
  <c r="Q108" i="9"/>
  <c r="Q107" i="9"/>
  <c r="Q106" i="9"/>
  <c r="Q105" i="9"/>
  <c r="Q104" i="9"/>
  <c r="Q103" i="9"/>
  <c r="Q102" i="9"/>
  <c r="Q101" i="9"/>
  <c r="Q100" i="9"/>
  <c r="Q99" i="9"/>
  <c r="Q98" i="9"/>
  <c r="Q97" i="9"/>
  <c r="Q96" i="9"/>
  <c r="Q95" i="9"/>
  <c r="Q94" i="9"/>
  <c r="Q93" i="9"/>
  <c r="Q92" i="9"/>
  <c r="Q91" i="9"/>
  <c r="Q90" i="9"/>
  <c r="Q89" i="9"/>
  <c r="Q88" i="9"/>
  <c r="Q87" i="9"/>
  <c r="Q86" i="9"/>
  <c r="Q85" i="9"/>
  <c r="Q84" i="9"/>
  <c r="Q83" i="9"/>
  <c r="Q82" i="9"/>
  <c r="Q81" i="9"/>
  <c r="Q80" i="9"/>
  <c r="Q79" i="9"/>
  <c r="Q78" i="9"/>
  <c r="Q77" i="9"/>
  <c r="Q76" i="9"/>
  <c r="Q75" i="9"/>
  <c r="Q74" i="9"/>
  <c r="Q73" i="9"/>
  <c r="Q72" i="9"/>
  <c r="Q71" i="9"/>
  <c r="Q70" i="9"/>
  <c r="Q69" i="9"/>
  <c r="Q68" i="9"/>
  <c r="Q67" i="9"/>
  <c r="Q66" i="9"/>
  <c r="Q65" i="9"/>
  <c r="Q64" i="9"/>
  <c r="Q63" i="9"/>
  <c r="Q62" i="9"/>
  <c r="Q61" i="9"/>
  <c r="Q60" i="9"/>
  <c r="Q59" i="9"/>
  <c r="Q58" i="9"/>
  <c r="Q57" i="9"/>
  <c r="Q56" i="9"/>
  <c r="Q55" i="9"/>
  <c r="Q54" i="9"/>
  <c r="Q53" i="9"/>
  <c r="Q52" i="9"/>
  <c r="Q51" i="9"/>
  <c r="Q50" i="9"/>
  <c r="Q49" i="9"/>
  <c r="Q48" i="9"/>
  <c r="Q47" i="9"/>
  <c r="Q46" i="9"/>
  <c r="Q45" i="9"/>
  <c r="Q44" i="9"/>
  <c r="Q43" i="9"/>
  <c r="Q42" i="9"/>
  <c r="Q41" i="9"/>
  <c r="Q40" i="9"/>
  <c r="Q39" i="9"/>
  <c r="Q38" i="9"/>
  <c r="Q37" i="9"/>
  <c r="Q36" i="9"/>
  <c r="Q35" i="9"/>
  <c r="Q34" i="9"/>
  <c r="Q33" i="9"/>
  <c r="Q32" i="9"/>
  <c r="Q31" i="9"/>
  <c r="Q30" i="9"/>
  <c r="Q29" i="9"/>
  <c r="Q28" i="9"/>
  <c r="Q27" i="9"/>
  <c r="Q26" i="9"/>
  <c r="Q25" i="9"/>
  <c r="Q24" i="9"/>
  <c r="Q23" i="9"/>
  <c r="Q22" i="9"/>
  <c r="Q21" i="9"/>
  <c r="Q20" i="9"/>
  <c r="Q19" i="9"/>
  <c r="Q18" i="9"/>
  <c r="Q17" i="9"/>
  <c r="Q16" i="9"/>
  <c r="Q15" i="9"/>
  <c r="Q14" i="9"/>
  <c r="Q13" i="9"/>
  <c r="Q12" i="9"/>
  <c r="Q11" i="9"/>
  <c r="Q10" i="9"/>
  <c r="Q9" i="9"/>
  <c r="Q8" i="9"/>
  <c r="Q7" i="9"/>
  <c r="Q6" i="9"/>
  <c r="Q2" i="9"/>
  <c r="Q1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3" i="9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E100" i="9"/>
  <c r="E101" i="9"/>
  <c r="E102" i="9"/>
  <c r="E103" i="9"/>
  <c r="E104" i="9"/>
  <c r="E105" i="9"/>
  <c r="E106" i="9"/>
  <c r="E107" i="9"/>
  <c r="E108" i="9"/>
  <c r="E109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E124" i="9"/>
  <c r="E125" i="9"/>
  <c r="E126" i="9"/>
  <c r="E127" i="9"/>
  <c r="E128" i="9"/>
  <c r="E129" i="9"/>
  <c r="E130" i="9"/>
  <c r="E131" i="9"/>
  <c r="E132" i="9"/>
  <c r="E133" i="9"/>
  <c r="E134" i="9"/>
  <c r="E135" i="9"/>
  <c r="E136" i="9"/>
  <c r="E137" i="9"/>
  <c r="E138" i="9"/>
  <c r="E139" i="9"/>
  <c r="E140" i="9"/>
  <c r="E141" i="9"/>
  <c r="E142" i="9"/>
  <c r="E143" i="9"/>
  <c r="E144" i="9"/>
  <c r="E145" i="9"/>
  <c r="E146" i="9"/>
  <c r="E147" i="9"/>
  <c r="E148" i="9"/>
  <c r="E149" i="9"/>
  <c r="E150" i="9"/>
  <c r="E151" i="9"/>
  <c r="E152" i="9"/>
  <c r="E153" i="9"/>
  <c r="E154" i="9"/>
  <c r="E155" i="9"/>
  <c r="E156" i="9"/>
  <c r="E157" i="9"/>
  <c r="E158" i="9"/>
  <c r="E159" i="9"/>
  <c r="E160" i="9"/>
  <c r="E161" i="9"/>
  <c r="E162" i="9"/>
  <c r="E163" i="9"/>
  <c r="E164" i="9"/>
  <c r="E165" i="9"/>
  <c r="E166" i="9"/>
  <c r="E167" i="9"/>
  <c r="E168" i="9"/>
  <c r="E169" i="9"/>
  <c r="E170" i="9"/>
  <c r="E171" i="9"/>
  <c r="E172" i="9"/>
  <c r="E173" i="9"/>
  <c r="E174" i="9"/>
  <c r="E175" i="9"/>
  <c r="E176" i="9"/>
  <c r="E177" i="9"/>
  <c r="E178" i="9"/>
  <c r="E179" i="9"/>
  <c r="E180" i="9"/>
  <c r="E181" i="9"/>
  <c r="E182" i="9"/>
  <c r="E183" i="9"/>
  <c r="E184" i="9"/>
  <c r="E185" i="9"/>
  <c r="E186" i="9"/>
  <c r="E187" i="9"/>
  <c r="E188" i="9"/>
  <c r="E189" i="9"/>
  <c r="E190" i="9"/>
  <c r="E191" i="9"/>
  <c r="E192" i="9"/>
  <c r="E193" i="9"/>
  <c r="E194" i="9"/>
  <c r="E195" i="9"/>
  <c r="E196" i="9"/>
  <c r="E197" i="9"/>
  <c r="E198" i="9"/>
  <c r="E199" i="9"/>
  <c r="E200" i="9"/>
  <c r="E201" i="9"/>
  <c r="E202" i="9"/>
  <c r="E203" i="9"/>
  <c r="E204" i="9"/>
  <c r="E205" i="9"/>
  <c r="E206" i="9"/>
  <c r="E207" i="9"/>
  <c r="E208" i="9"/>
  <c r="E209" i="9"/>
  <c r="E210" i="9"/>
  <c r="E211" i="9"/>
  <c r="E212" i="9"/>
  <c r="E213" i="9"/>
  <c r="E214" i="9"/>
  <c r="E215" i="9"/>
  <c r="E216" i="9"/>
  <c r="E217" i="9"/>
  <c r="E218" i="9"/>
  <c r="E219" i="9"/>
  <c r="E220" i="9"/>
  <c r="E221" i="9"/>
  <c r="E222" i="9"/>
  <c r="E223" i="9"/>
  <c r="E224" i="9"/>
  <c r="E225" i="9"/>
  <c r="E226" i="9"/>
  <c r="E227" i="9"/>
  <c r="E228" i="9"/>
  <c r="E229" i="9"/>
  <c r="E230" i="9"/>
  <c r="E231" i="9"/>
  <c r="E232" i="9"/>
  <c r="E233" i="9"/>
  <c r="E234" i="9"/>
  <c r="E235" i="9"/>
  <c r="E236" i="9"/>
  <c r="E237" i="9"/>
  <c r="E238" i="9"/>
  <c r="E239" i="9"/>
  <c r="E240" i="9"/>
  <c r="E241" i="9"/>
  <c r="E242" i="9"/>
  <c r="E243" i="9"/>
  <c r="E244" i="9"/>
  <c r="E245" i="9"/>
  <c r="E246" i="9"/>
  <c r="E247" i="9"/>
  <c r="E248" i="9"/>
  <c r="E249" i="9"/>
  <c r="E250" i="9"/>
  <c r="E251" i="9"/>
  <c r="E252" i="9"/>
  <c r="E253" i="9"/>
  <c r="E254" i="9"/>
  <c r="E255" i="9"/>
  <c r="E256" i="9"/>
  <c r="E257" i="9"/>
  <c r="E258" i="9"/>
  <c r="E259" i="9"/>
  <c r="E260" i="9"/>
  <c r="E261" i="9"/>
  <c r="E262" i="9"/>
  <c r="E263" i="9"/>
  <c r="E264" i="9"/>
  <c r="E265" i="9"/>
  <c r="E266" i="9"/>
  <c r="E267" i="9"/>
  <c r="E268" i="9"/>
  <c r="E269" i="9"/>
  <c r="E270" i="9"/>
  <c r="E271" i="9"/>
  <c r="E272" i="9"/>
  <c r="E273" i="9"/>
  <c r="E274" i="9"/>
  <c r="E275" i="9"/>
  <c r="E276" i="9"/>
  <c r="E277" i="9"/>
  <c r="E278" i="9"/>
  <c r="E279" i="9"/>
  <c r="E280" i="9"/>
  <c r="E281" i="9"/>
  <c r="E282" i="9"/>
  <c r="E283" i="9"/>
  <c r="E284" i="9"/>
  <c r="E285" i="9"/>
  <c r="E286" i="9"/>
  <c r="E287" i="9"/>
  <c r="E288" i="9"/>
  <c r="E289" i="9"/>
  <c r="E290" i="9"/>
  <c r="E291" i="9"/>
  <c r="E292" i="9"/>
  <c r="E293" i="9"/>
  <c r="E294" i="9"/>
  <c r="E295" i="9"/>
  <c r="E296" i="9"/>
  <c r="E297" i="9"/>
  <c r="E298" i="9"/>
  <c r="E299" i="9"/>
  <c r="E300" i="9"/>
  <c r="E301" i="9"/>
  <c r="E302" i="9"/>
  <c r="E303" i="9"/>
  <c r="E304" i="9"/>
  <c r="E305" i="9"/>
  <c r="E30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07" i="9"/>
  <c r="B208" i="9"/>
  <c r="B209" i="9"/>
  <c r="B210" i="9"/>
  <c r="B211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243" i="9"/>
  <c r="B244" i="9"/>
  <c r="B245" i="9"/>
  <c r="B246" i="9"/>
  <c r="B247" i="9"/>
  <c r="B248" i="9"/>
  <c r="B249" i="9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81" i="9"/>
  <c r="B282" i="9"/>
  <c r="B283" i="9"/>
  <c r="B284" i="9"/>
  <c r="B285" i="9"/>
  <c r="B286" i="9"/>
  <c r="B287" i="9"/>
  <c r="B288" i="9"/>
  <c r="B289" i="9"/>
  <c r="B290" i="9"/>
  <c r="B291" i="9"/>
  <c r="B292" i="9"/>
  <c r="B293" i="9"/>
  <c r="B294" i="9"/>
  <c r="B295" i="9"/>
  <c r="B296" i="9"/>
  <c r="B297" i="9"/>
  <c r="B298" i="9"/>
  <c r="B299" i="9"/>
  <c r="B300" i="9"/>
  <c r="B301" i="9"/>
  <c r="B302" i="9"/>
  <c r="B303" i="9"/>
  <c r="B304" i="9"/>
  <c r="B305" i="9"/>
  <c r="B306" i="9"/>
  <c r="C6" i="9"/>
  <c r="E2" i="9"/>
  <c r="E1" i="9"/>
  <c r="C3" i="9"/>
  <c r="C1" i="9"/>
  <c r="BM5" i="12" l="1" a="1"/>
  <c r="BM5" i="12" s="1"/>
  <c r="BM7" i="12" a="1"/>
  <c r="BM7" i="12" s="1"/>
  <c r="BM8" i="12" a="1"/>
  <c r="BM8" i="12" s="1"/>
  <c r="BM10" i="12" a="1"/>
  <c r="BM10" i="12" s="1"/>
  <c r="BM12" i="12" a="1"/>
  <c r="BM12" i="12" s="1"/>
  <c r="BM14" i="12" a="1"/>
  <c r="BM14" i="12" s="1"/>
  <c r="BM17" i="12" a="1"/>
  <c r="BM17" i="12" s="1"/>
  <c r="BM19" i="12" a="1"/>
  <c r="BM19" i="12" s="1"/>
  <c r="BM20" i="12" a="1"/>
  <c r="BM20" i="12" s="1"/>
  <c r="BM22" i="12" a="1"/>
  <c r="BM22" i="12" s="1"/>
  <c r="BM24" i="12" a="1"/>
  <c r="BM24" i="12" s="1"/>
  <c r="BM26" i="12" a="1"/>
  <c r="BM26" i="12" s="1"/>
  <c r="BM29" i="12" a="1"/>
  <c r="BM29" i="12" s="1"/>
  <c r="BM31" i="12" a="1"/>
  <c r="BM31" i="12" s="1"/>
  <c r="BM33" i="12" a="1"/>
  <c r="BM33" i="12" s="1"/>
  <c r="BM35" i="12" a="1"/>
  <c r="BM35" i="12" s="1"/>
  <c r="BM36" i="12" a="1"/>
  <c r="BM36" i="12" s="1"/>
  <c r="BM38" i="12" a="1"/>
  <c r="BM38" i="12" s="1"/>
  <c r="BM41" i="12" a="1"/>
  <c r="BM41" i="12" s="1"/>
  <c r="BM43" i="12" a="1"/>
  <c r="BM43" i="12" s="1"/>
  <c r="BM44" i="12" a="1"/>
  <c r="BM44" i="12" s="1"/>
  <c r="BM46" i="12" a="1"/>
  <c r="BM46" i="12" s="1"/>
  <c r="BM48" i="12" a="1"/>
  <c r="BM48" i="12" s="1"/>
  <c r="BM50" i="12" a="1"/>
  <c r="BM50" i="12" s="1"/>
  <c r="BM53" i="12" a="1"/>
  <c r="BM53" i="12" s="1"/>
  <c r="BL4" i="12" a="1"/>
  <c r="BL4" i="12" s="1"/>
  <c r="BL6" i="12" a="1"/>
  <c r="BL6" i="12" s="1"/>
  <c r="BL9" i="12" a="1"/>
  <c r="BL9" i="12" s="1"/>
  <c r="BL11" i="12" a="1"/>
  <c r="BL11" i="12" s="1"/>
  <c r="BL13" i="12" a="1"/>
  <c r="BL13" i="12" s="1"/>
  <c r="BL15" i="12" a="1"/>
  <c r="BL15" i="12" s="1"/>
  <c r="BL16" i="12" a="1"/>
  <c r="BL16" i="12" s="1"/>
  <c r="BL18" i="12" a="1"/>
  <c r="BL18" i="12" s="1"/>
  <c r="BL21" i="12" a="1"/>
  <c r="BL21" i="12" s="1"/>
  <c r="BL23" i="12" a="1"/>
  <c r="BL23" i="12" s="1"/>
  <c r="BL25" i="12" a="1"/>
  <c r="BL25" i="12" s="1"/>
  <c r="BL27" i="12" a="1"/>
  <c r="BL27" i="12" s="1"/>
  <c r="BL28" i="12" a="1"/>
  <c r="BL28" i="12" s="1"/>
  <c r="BL30" i="12" a="1"/>
  <c r="BL30" i="12" s="1"/>
  <c r="BL32" i="12" a="1"/>
  <c r="BL32" i="12" s="1"/>
  <c r="BL34" i="12" a="1"/>
  <c r="BL34" i="12" s="1"/>
  <c r="BL37" i="12" a="1"/>
  <c r="BL37" i="12" s="1"/>
  <c r="BL39" i="12" a="1"/>
  <c r="BL39" i="12" s="1"/>
  <c r="BL40" i="12" a="1"/>
  <c r="BL40" i="12" s="1"/>
  <c r="BL42" i="12" a="1"/>
  <c r="BL42" i="12" s="1"/>
  <c r="BL45" i="12" a="1"/>
  <c r="BL45" i="12" s="1"/>
  <c r="BL47" i="12" a="1"/>
  <c r="BL47" i="12" s="1"/>
  <c r="BL49" i="12" a="1"/>
  <c r="BL49" i="12" s="1"/>
  <c r="BL51" i="12" a="1"/>
  <c r="BL51" i="12" s="1"/>
  <c r="BL52" i="12" a="1"/>
  <c r="BL52" i="12" s="1"/>
  <c r="BL3" i="12" a="1"/>
  <c r="BL3" i="12" s="1"/>
  <c r="BL46" i="12" a="1"/>
  <c r="BL46" i="12" s="1"/>
  <c r="BL50" i="12" a="1"/>
  <c r="BL50" i="12" s="1"/>
  <c r="BM4" i="12" a="1"/>
  <c r="BM4" i="12" s="1"/>
  <c r="BK4" i="12" s="1"/>
  <c r="BM6" i="12" a="1"/>
  <c r="BM6" i="12" s="1"/>
  <c r="BK6" i="12" s="1"/>
  <c r="BM9" i="12" a="1"/>
  <c r="BM9" i="12" s="1"/>
  <c r="BK9" i="12" s="1"/>
  <c r="BM11" i="12" a="1"/>
  <c r="BM11" i="12" s="1"/>
  <c r="BK11" i="12" s="1"/>
  <c r="BM13" i="12" a="1"/>
  <c r="BM13" i="12" s="1"/>
  <c r="BK13" i="12" s="1"/>
  <c r="BM15" i="12" a="1"/>
  <c r="BM15" i="12" s="1"/>
  <c r="BK15" i="12" s="1"/>
  <c r="BM16" i="12" a="1"/>
  <c r="BM16" i="12" s="1"/>
  <c r="BK16" i="12" s="1"/>
  <c r="BM18" i="12" a="1"/>
  <c r="BM18" i="12" s="1"/>
  <c r="BK18" i="12" s="1"/>
  <c r="BM21" i="12" a="1"/>
  <c r="BM21" i="12" s="1"/>
  <c r="BK21" i="12" s="1"/>
  <c r="BM23" i="12" a="1"/>
  <c r="BM23" i="12" s="1"/>
  <c r="BK23" i="12" s="1"/>
  <c r="BM25" i="12" a="1"/>
  <c r="BM25" i="12" s="1"/>
  <c r="BK25" i="12" s="1"/>
  <c r="BM27" i="12" a="1"/>
  <c r="BM27" i="12" s="1"/>
  <c r="BK27" i="12" s="1"/>
  <c r="BM28" i="12" a="1"/>
  <c r="BM28" i="12" s="1"/>
  <c r="BK28" i="12" s="1"/>
  <c r="BM30" i="12" a="1"/>
  <c r="BM30" i="12" s="1"/>
  <c r="BK30" i="12" s="1"/>
  <c r="BM32" i="12" a="1"/>
  <c r="BM32" i="12" s="1"/>
  <c r="BK32" i="12" s="1"/>
  <c r="BM34" i="12" a="1"/>
  <c r="BM34" i="12" s="1"/>
  <c r="BK34" i="12" s="1"/>
  <c r="BM37" i="12" a="1"/>
  <c r="BM37" i="12" s="1"/>
  <c r="BK37" i="12" s="1"/>
  <c r="BM39" i="12" a="1"/>
  <c r="BM39" i="12" s="1"/>
  <c r="BK39" i="12" s="1"/>
  <c r="BM40" i="12" a="1"/>
  <c r="BM40" i="12" s="1"/>
  <c r="BK40" i="12" s="1"/>
  <c r="BM42" i="12" a="1"/>
  <c r="BM42" i="12" s="1"/>
  <c r="BK42" i="12" s="1"/>
  <c r="BM45" i="12" a="1"/>
  <c r="BM45" i="12" s="1"/>
  <c r="BK45" i="12" s="1"/>
  <c r="BM47" i="12" a="1"/>
  <c r="BM47" i="12" s="1"/>
  <c r="BK47" i="12" s="1"/>
  <c r="BM49" i="12" a="1"/>
  <c r="BM49" i="12" s="1"/>
  <c r="BK49" i="12" s="1"/>
  <c r="BM51" i="12" a="1"/>
  <c r="BM51" i="12" s="1"/>
  <c r="BK51" i="12" s="1"/>
  <c r="BM52" i="12" a="1"/>
  <c r="BM52" i="12" s="1"/>
  <c r="BK52" i="12" s="1"/>
  <c r="BM3" i="12" a="1"/>
  <c r="BM3" i="12" s="1"/>
  <c r="BK3" i="12" s="1"/>
  <c r="BL5" i="12" a="1"/>
  <c r="BL5" i="12" s="1"/>
  <c r="BL7" i="12" a="1"/>
  <c r="BL7" i="12" s="1"/>
  <c r="BL8" i="12" a="1"/>
  <c r="BL8" i="12" s="1"/>
  <c r="BL10" i="12" a="1"/>
  <c r="BL10" i="12" s="1"/>
  <c r="BL12" i="12" a="1"/>
  <c r="BL12" i="12" s="1"/>
  <c r="BL14" i="12" a="1"/>
  <c r="BL14" i="12" s="1"/>
  <c r="BL17" i="12" a="1"/>
  <c r="BL17" i="12" s="1"/>
  <c r="BL19" i="12" a="1"/>
  <c r="BL19" i="12" s="1"/>
  <c r="BL20" i="12" a="1"/>
  <c r="BL20" i="12" s="1"/>
  <c r="BL22" i="12" a="1"/>
  <c r="BL22" i="12" s="1"/>
  <c r="BL24" i="12" a="1"/>
  <c r="BL24" i="12" s="1"/>
  <c r="BL26" i="12" a="1"/>
  <c r="BL26" i="12" s="1"/>
  <c r="BL29" i="12" a="1"/>
  <c r="BL29" i="12" s="1"/>
  <c r="BL31" i="12" a="1"/>
  <c r="BL31" i="12" s="1"/>
  <c r="BL33" i="12" a="1"/>
  <c r="BL33" i="12" s="1"/>
  <c r="BL35" i="12" a="1"/>
  <c r="BL35" i="12" s="1"/>
  <c r="BL36" i="12" a="1"/>
  <c r="BL36" i="12" s="1"/>
  <c r="BL38" i="12" a="1"/>
  <c r="BL38" i="12" s="1"/>
  <c r="BL41" i="12" a="1"/>
  <c r="BL41" i="12" s="1"/>
  <c r="BL43" i="12" a="1"/>
  <c r="BL43" i="12" s="1"/>
  <c r="BL44" i="12" a="1"/>
  <c r="BL44" i="12" s="1"/>
  <c r="BL48" i="12" a="1"/>
  <c r="BL48" i="12" s="1"/>
  <c r="BL53" i="12" a="1"/>
  <c r="BL53" i="12" s="1"/>
  <c r="BA4" i="12" a="1"/>
  <c r="BA4" i="12" s="1"/>
  <c r="BA6" i="12" a="1"/>
  <c r="BA6" i="12" s="1"/>
  <c r="BA9" i="12" a="1"/>
  <c r="BA9" i="12" s="1"/>
  <c r="BA11" i="12" a="1"/>
  <c r="BA11" i="12" s="1"/>
  <c r="BA13" i="12" a="1"/>
  <c r="BA13" i="12" s="1"/>
  <c r="BA15" i="12" a="1"/>
  <c r="BA15" i="12" s="1"/>
  <c r="BA16" i="12" a="1"/>
  <c r="BA16" i="12" s="1"/>
  <c r="BA18" i="12" a="1"/>
  <c r="BA18" i="12" s="1"/>
  <c r="BA21" i="12" a="1"/>
  <c r="BA21" i="12" s="1"/>
  <c r="BA23" i="12" a="1"/>
  <c r="BA23" i="12" s="1"/>
  <c r="BA24" i="12" a="1"/>
  <c r="BA24" i="12" s="1"/>
  <c r="BA26" i="12" a="1"/>
  <c r="BA26" i="12" s="1"/>
  <c r="BA29" i="12" a="1"/>
  <c r="BA29" i="12" s="1"/>
  <c r="BA31" i="12" a="1"/>
  <c r="BA31" i="12" s="1"/>
  <c r="BA33" i="12" a="1"/>
  <c r="BA33" i="12" s="1"/>
  <c r="BA35" i="12" a="1"/>
  <c r="BA35" i="12" s="1"/>
  <c r="BA36" i="12" a="1"/>
  <c r="BA36" i="12" s="1"/>
  <c r="BA38" i="12" a="1"/>
  <c r="BA38" i="12" s="1"/>
  <c r="BA41" i="12" a="1"/>
  <c r="BA41" i="12" s="1"/>
  <c r="BA43" i="12" a="1"/>
  <c r="BA43" i="12" s="1"/>
  <c r="BA44" i="12" a="1"/>
  <c r="BA44" i="12" s="1"/>
  <c r="BA46" i="12" a="1"/>
  <c r="BA46" i="12" s="1"/>
  <c r="BA48" i="12" a="1"/>
  <c r="BA48" i="12" s="1"/>
  <c r="BA50" i="12" a="1"/>
  <c r="BA50" i="12" s="1"/>
  <c r="BA53" i="12" a="1"/>
  <c r="BA53" i="12" s="1"/>
  <c r="AZ4" i="12" a="1"/>
  <c r="AZ4" i="12" s="1"/>
  <c r="AZ6" i="12" a="1"/>
  <c r="AZ6" i="12" s="1"/>
  <c r="AZ9" i="12" a="1"/>
  <c r="AZ9" i="12" s="1"/>
  <c r="AZ11" i="12" a="1"/>
  <c r="AZ11" i="12" s="1"/>
  <c r="AZ13" i="12" a="1"/>
  <c r="AZ13" i="12" s="1"/>
  <c r="AZ15" i="12" a="1"/>
  <c r="AZ15" i="12" s="1"/>
  <c r="AZ16" i="12" a="1"/>
  <c r="AZ16" i="12" s="1"/>
  <c r="AZ18" i="12" a="1"/>
  <c r="AZ18" i="12" s="1"/>
  <c r="AZ21" i="12" a="1"/>
  <c r="AZ21" i="12" s="1"/>
  <c r="AZ23" i="12" a="1"/>
  <c r="AZ23" i="12" s="1"/>
  <c r="AZ24" i="12" a="1"/>
  <c r="AZ24" i="12" s="1"/>
  <c r="AZ26" i="12" a="1"/>
  <c r="AZ26" i="12" s="1"/>
  <c r="AZ29" i="12" a="1"/>
  <c r="AZ29" i="12" s="1"/>
  <c r="AZ31" i="12" a="1"/>
  <c r="AZ31" i="12" s="1"/>
  <c r="AZ33" i="12" a="1"/>
  <c r="AZ33" i="12" s="1"/>
  <c r="AZ35" i="12" a="1"/>
  <c r="AZ35" i="12" s="1"/>
  <c r="AZ36" i="12" a="1"/>
  <c r="AZ36" i="12" s="1"/>
  <c r="AZ38" i="12" a="1"/>
  <c r="AZ38" i="12" s="1"/>
  <c r="AZ41" i="12" a="1"/>
  <c r="AZ41" i="12" s="1"/>
  <c r="AZ43" i="12" a="1"/>
  <c r="AZ43" i="12" s="1"/>
  <c r="AZ44" i="12" a="1"/>
  <c r="AZ44" i="12" s="1"/>
  <c r="AZ46" i="12" a="1"/>
  <c r="AZ46" i="12" s="1"/>
  <c r="AZ48" i="12" a="1"/>
  <c r="AZ48" i="12" s="1"/>
  <c r="AZ50" i="12" a="1"/>
  <c r="AZ50" i="12" s="1"/>
  <c r="AZ53" i="12" a="1"/>
  <c r="AZ53" i="12" s="1"/>
  <c r="BA52" i="12" a="1"/>
  <c r="BA52" i="12" s="1"/>
  <c r="BA3" i="12" a="1"/>
  <c r="BA3" i="12" s="1"/>
  <c r="AZ5" i="12" a="1"/>
  <c r="AZ5" i="12" s="1"/>
  <c r="AZ7" i="12" a="1"/>
  <c r="AZ7" i="12" s="1"/>
  <c r="AZ8" i="12" a="1"/>
  <c r="AZ8" i="12" s="1"/>
  <c r="AZ10" i="12" a="1"/>
  <c r="AZ10" i="12" s="1"/>
  <c r="AZ12" i="12" a="1"/>
  <c r="AZ12" i="12" s="1"/>
  <c r="AZ14" i="12" a="1"/>
  <c r="AZ14" i="12" s="1"/>
  <c r="AZ17" i="12" a="1"/>
  <c r="AZ17" i="12" s="1"/>
  <c r="AZ19" i="12" a="1"/>
  <c r="AZ19" i="12" s="1"/>
  <c r="AZ20" i="12" a="1"/>
  <c r="AZ20" i="12" s="1"/>
  <c r="AZ22" i="12" a="1"/>
  <c r="AZ22" i="12" s="1"/>
  <c r="AZ25" i="12" a="1"/>
  <c r="AZ25" i="12" s="1"/>
  <c r="AZ27" i="12" a="1"/>
  <c r="AZ27" i="12" s="1"/>
  <c r="AZ28" i="12" a="1"/>
  <c r="AZ28" i="12" s="1"/>
  <c r="AZ30" i="12" a="1"/>
  <c r="AZ30" i="12" s="1"/>
  <c r="AZ32" i="12" a="1"/>
  <c r="AZ32" i="12" s="1"/>
  <c r="AZ34" i="12" a="1"/>
  <c r="AZ34" i="12" s="1"/>
  <c r="AZ39" i="12" a="1"/>
  <c r="AZ39" i="12" s="1"/>
  <c r="AZ40" i="12" a="1"/>
  <c r="AZ40" i="12" s="1"/>
  <c r="AZ42" i="12" a="1"/>
  <c r="AZ42" i="12" s="1"/>
  <c r="AZ47" i="12" a="1"/>
  <c r="AZ47" i="12" s="1"/>
  <c r="AZ51" i="12" a="1"/>
  <c r="AZ51" i="12" s="1"/>
  <c r="BA5" i="12" a="1"/>
  <c r="BA5" i="12" s="1"/>
  <c r="BA7" i="12" a="1"/>
  <c r="BA7" i="12" s="1"/>
  <c r="BA8" i="12" a="1"/>
  <c r="BA8" i="12" s="1"/>
  <c r="BA10" i="12" a="1"/>
  <c r="BA10" i="12" s="1"/>
  <c r="BA12" i="12" a="1"/>
  <c r="BA12" i="12" s="1"/>
  <c r="BA14" i="12" a="1"/>
  <c r="BA14" i="12" s="1"/>
  <c r="BA17" i="12" a="1"/>
  <c r="BA17" i="12" s="1"/>
  <c r="BA19" i="12" a="1"/>
  <c r="BA19" i="12" s="1"/>
  <c r="BA20" i="12" a="1"/>
  <c r="BA20" i="12" s="1"/>
  <c r="BA22" i="12" a="1"/>
  <c r="BA22" i="12" s="1"/>
  <c r="BA25" i="12" a="1"/>
  <c r="BA25" i="12" s="1"/>
  <c r="BA27" i="12" a="1"/>
  <c r="BA27" i="12" s="1"/>
  <c r="BA28" i="12" a="1"/>
  <c r="BA28" i="12" s="1"/>
  <c r="BA30" i="12" a="1"/>
  <c r="BA30" i="12" s="1"/>
  <c r="BA32" i="12" a="1"/>
  <c r="BA32" i="12" s="1"/>
  <c r="BA34" i="12" a="1"/>
  <c r="BA34" i="12" s="1"/>
  <c r="BA37" i="12" a="1"/>
  <c r="BA37" i="12" s="1"/>
  <c r="BA39" i="12" a="1"/>
  <c r="BA39" i="12" s="1"/>
  <c r="BA40" i="12" a="1"/>
  <c r="BA40" i="12" s="1"/>
  <c r="BA42" i="12" a="1"/>
  <c r="BA42" i="12" s="1"/>
  <c r="BA45" i="12" a="1"/>
  <c r="BA45" i="12" s="1"/>
  <c r="BA47" i="12" a="1"/>
  <c r="BA47" i="12" s="1"/>
  <c r="BA49" i="12" a="1"/>
  <c r="BA49" i="12" s="1"/>
  <c r="BA51" i="12" a="1"/>
  <c r="BA51" i="12" s="1"/>
  <c r="AY51" i="12" s="1"/>
  <c r="AZ37" i="12" a="1"/>
  <c r="AZ37" i="12" s="1"/>
  <c r="AZ45" i="12" a="1"/>
  <c r="AZ45" i="12" s="1"/>
  <c r="AZ49" i="12" a="1"/>
  <c r="AZ49" i="12" s="1"/>
  <c r="AZ52" i="12" a="1"/>
  <c r="AZ52" i="12" s="1"/>
  <c r="AZ3" i="12" a="1"/>
  <c r="AZ3" i="12" s="1"/>
  <c r="AY3" i="12" s="1"/>
  <c r="AO4" i="12" a="1"/>
  <c r="AO4" i="12" s="1"/>
  <c r="AO6" i="12" a="1"/>
  <c r="AO6" i="12" s="1"/>
  <c r="AO9" i="12" a="1"/>
  <c r="AO9" i="12" s="1"/>
  <c r="AO11" i="12" a="1"/>
  <c r="AO11" i="12" s="1"/>
  <c r="AO13" i="12" a="1"/>
  <c r="AO13" i="12" s="1"/>
  <c r="AO15" i="12" a="1"/>
  <c r="AO15" i="12" s="1"/>
  <c r="AO16" i="12" a="1"/>
  <c r="AO16" i="12" s="1"/>
  <c r="AO18" i="12" a="1"/>
  <c r="AO18" i="12" s="1"/>
  <c r="AO21" i="12" a="1"/>
  <c r="AO21" i="12" s="1"/>
  <c r="AO23" i="12" a="1"/>
  <c r="AO23" i="12" s="1"/>
  <c r="AO25" i="12" a="1"/>
  <c r="AO25" i="12" s="1"/>
  <c r="AO27" i="12" a="1"/>
  <c r="AO27" i="12" s="1"/>
  <c r="AO28" i="12" a="1"/>
  <c r="AO28" i="12" s="1"/>
  <c r="AO30" i="12" a="1"/>
  <c r="AO30" i="12" s="1"/>
  <c r="AO32" i="12" a="1"/>
  <c r="AO32" i="12" s="1"/>
  <c r="AO34" i="12" a="1"/>
  <c r="AO34" i="12" s="1"/>
  <c r="AO37" i="12" a="1"/>
  <c r="AO37" i="12" s="1"/>
  <c r="AO39" i="12" a="1"/>
  <c r="AO39" i="12" s="1"/>
  <c r="AO40" i="12" a="1"/>
  <c r="AO40" i="12" s="1"/>
  <c r="AO42" i="12" a="1"/>
  <c r="AO42" i="12" s="1"/>
  <c r="AO45" i="12" a="1"/>
  <c r="AO45" i="12" s="1"/>
  <c r="AO47" i="12" a="1"/>
  <c r="AO47" i="12" s="1"/>
  <c r="AO49" i="12" a="1"/>
  <c r="AO49" i="12" s="1"/>
  <c r="AO51" i="12" a="1"/>
  <c r="AO51" i="12" s="1"/>
  <c r="AO52" i="12" a="1"/>
  <c r="AO52" i="12" s="1"/>
  <c r="AO3" i="12" a="1"/>
  <c r="AO3" i="12" s="1"/>
  <c r="AO38" i="12" a="1"/>
  <c r="AO38" i="12" s="1"/>
  <c r="AO43" i="12" a="1"/>
  <c r="AO43" i="12" s="1"/>
  <c r="AO46" i="12" a="1"/>
  <c r="AO46" i="12" s="1"/>
  <c r="AO50" i="12" a="1"/>
  <c r="AO50" i="12" s="1"/>
  <c r="AO5" i="12" a="1"/>
  <c r="AO5" i="12" s="1"/>
  <c r="AO7" i="12" a="1"/>
  <c r="AO7" i="12" s="1"/>
  <c r="AO8" i="12" a="1"/>
  <c r="AO8" i="12" s="1"/>
  <c r="AO10" i="12" a="1"/>
  <c r="AO10" i="12" s="1"/>
  <c r="AO12" i="12" a="1"/>
  <c r="AO12" i="12" s="1"/>
  <c r="AO14" i="12" a="1"/>
  <c r="AO14" i="12" s="1"/>
  <c r="AO17" i="12" a="1"/>
  <c r="AO17" i="12" s="1"/>
  <c r="AO19" i="12" a="1"/>
  <c r="AO19" i="12" s="1"/>
  <c r="AO20" i="12" a="1"/>
  <c r="AO20" i="12" s="1"/>
  <c r="AO22" i="12" a="1"/>
  <c r="AO22" i="12" s="1"/>
  <c r="AO24" i="12" a="1"/>
  <c r="AO24" i="12" s="1"/>
  <c r="AO26" i="12" a="1"/>
  <c r="AO26" i="12" s="1"/>
  <c r="AO29" i="12" a="1"/>
  <c r="AO29" i="12" s="1"/>
  <c r="AO31" i="12" a="1"/>
  <c r="AO31" i="12" s="1"/>
  <c r="AO33" i="12" a="1"/>
  <c r="AO33" i="12" s="1"/>
  <c r="AO35" i="12" a="1"/>
  <c r="AO35" i="12" s="1"/>
  <c r="AO36" i="12" a="1"/>
  <c r="AO36" i="12" s="1"/>
  <c r="AO41" i="12" a="1"/>
  <c r="AO41" i="12" s="1"/>
  <c r="AO44" i="12" a="1"/>
  <c r="AO44" i="12" s="1"/>
  <c r="AO48" i="12" a="1"/>
  <c r="AO48" i="12" s="1"/>
  <c r="AO53" i="12" a="1"/>
  <c r="AO53" i="12" s="1"/>
  <c r="AB4" i="12" a="1"/>
  <c r="AB4" i="12" s="1"/>
  <c r="AB5" i="12" a="1"/>
  <c r="AB5" i="12" s="1"/>
  <c r="AC6" i="12" a="1"/>
  <c r="AC6" i="12" s="1"/>
  <c r="AC7" i="12" a="1"/>
  <c r="AC7" i="12" s="1"/>
  <c r="AB8" i="12" a="1"/>
  <c r="AB8" i="12" s="1"/>
  <c r="AB9" i="12" a="1"/>
  <c r="AB9" i="12" s="1"/>
  <c r="AC10" i="12" a="1"/>
  <c r="AC10" i="12" s="1"/>
  <c r="AC11" i="12" a="1"/>
  <c r="AC11" i="12" s="1"/>
  <c r="AC12" i="12" a="1"/>
  <c r="AC12" i="12" s="1"/>
  <c r="AC13" i="12" a="1"/>
  <c r="AC13" i="12" s="1"/>
  <c r="AB14" i="12" a="1"/>
  <c r="AB14" i="12" s="1"/>
  <c r="AB15" i="12" a="1"/>
  <c r="AB15" i="12" s="1"/>
  <c r="AC16" i="12" a="1"/>
  <c r="AC16" i="12" s="1"/>
  <c r="AC17" i="12" a="1"/>
  <c r="AC17" i="12" s="1"/>
  <c r="AB18" i="12" a="1"/>
  <c r="AB18" i="12" s="1"/>
  <c r="AB19" i="12" a="1"/>
  <c r="AB19" i="12" s="1"/>
  <c r="AC20" i="12" a="1"/>
  <c r="AC20" i="12" s="1"/>
  <c r="AC21" i="12" a="1"/>
  <c r="AC21" i="12" s="1"/>
  <c r="AB22" i="12" a="1"/>
  <c r="AB22" i="12" s="1"/>
  <c r="AB23" i="12" a="1"/>
  <c r="AB23" i="12" s="1"/>
  <c r="AB24" i="12" a="1"/>
  <c r="AB24" i="12" s="1"/>
  <c r="AB25" i="12" a="1"/>
  <c r="AB25" i="12" s="1"/>
  <c r="AC26" i="12" a="1"/>
  <c r="AC26" i="12" s="1"/>
  <c r="AC27" i="12" a="1"/>
  <c r="AC27" i="12" s="1"/>
  <c r="AB28" i="12" a="1"/>
  <c r="AB28" i="12" s="1"/>
  <c r="AB29" i="12" a="1"/>
  <c r="AB29" i="12" s="1"/>
  <c r="AC30" i="12" a="1"/>
  <c r="AC30" i="12" s="1"/>
  <c r="AC31" i="12" a="1"/>
  <c r="AC31" i="12" s="1"/>
  <c r="AC32" i="12" a="1"/>
  <c r="AC32" i="12" s="1"/>
  <c r="AC33" i="12" a="1"/>
  <c r="AC33" i="12" s="1"/>
  <c r="AB34" i="12" a="1"/>
  <c r="AB34" i="12" s="1"/>
  <c r="AB35" i="12" a="1"/>
  <c r="AB35" i="12" s="1"/>
  <c r="AC36" i="12" a="1"/>
  <c r="AC36" i="12" s="1"/>
  <c r="AC37" i="12" a="1"/>
  <c r="AC37" i="12" s="1"/>
  <c r="AB38" i="12" a="1"/>
  <c r="AB38" i="12" s="1"/>
  <c r="AB39" i="12" a="1"/>
  <c r="AB39" i="12" s="1"/>
  <c r="AC40" i="12" a="1"/>
  <c r="AC40" i="12" s="1"/>
  <c r="AC41" i="12" a="1"/>
  <c r="AC41" i="12" s="1"/>
  <c r="AB42" i="12" a="1"/>
  <c r="AB42" i="12" s="1"/>
  <c r="AB43" i="12" a="1"/>
  <c r="AB43" i="12" s="1"/>
  <c r="AC44" i="12" a="1"/>
  <c r="AC44" i="12" s="1"/>
  <c r="AC45" i="12" a="1"/>
  <c r="AC45" i="12" s="1"/>
  <c r="AC46" i="12" a="1"/>
  <c r="AC46" i="12" s="1"/>
  <c r="AC47" i="12" a="1"/>
  <c r="AC47" i="12" s="1"/>
  <c r="AC48" i="12" a="1"/>
  <c r="AC48" i="12" s="1"/>
  <c r="AC49" i="12" a="1"/>
  <c r="AC49" i="12" s="1"/>
  <c r="AC50" i="12" a="1"/>
  <c r="AC50" i="12" s="1"/>
  <c r="AC51" i="12" a="1"/>
  <c r="AC51" i="12" s="1"/>
  <c r="AC52" i="12" a="1"/>
  <c r="AC52" i="12" s="1"/>
  <c r="AC53" i="12" a="1"/>
  <c r="AC53" i="12" s="1"/>
  <c r="AB3" i="12" a="1"/>
  <c r="AB3" i="12" s="1"/>
  <c r="AB32" i="12" a="1"/>
  <c r="AB32" i="12" s="1"/>
  <c r="AB33" i="12" a="1"/>
  <c r="AB33" i="12" s="1"/>
  <c r="AC35" i="12" a="1"/>
  <c r="AC35" i="12" s="1"/>
  <c r="AA35" i="12" s="1"/>
  <c r="AB37" i="12" a="1"/>
  <c r="AB37" i="12" s="1"/>
  <c r="AC39" i="12" a="1"/>
  <c r="AC39" i="12" s="1"/>
  <c r="AA39" i="12" s="1"/>
  <c r="AB41" i="12" a="1"/>
  <c r="AB41" i="12" s="1"/>
  <c r="AC43" i="12" a="1"/>
  <c r="AC43" i="12" s="1"/>
  <c r="AA43" i="12" s="1"/>
  <c r="AB45" i="12" a="1"/>
  <c r="AB45" i="12" s="1"/>
  <c r="AB47" i="12" a="1"/>
  <c r="AB47" i="12" s="1"/>
  <c r="AB49" i="12" a="1"/>
  <c r="AB49" i="12" s="1"/>
  <c r="AB51" i="12" a="1"/>
  <c r="AB51" i="12" s="1"/>
  <c r="AB53" i="12" a="1"/>
  <c r="AB53" i="12" s="1"/>
  <c r="AC4" i="12" a="1"/>
  <c r="AC4" i="12" s="1"/>
  <c r="AA4" i="12" s="1"/>
  <c r="AC5" i="12" a="1"/>
  <c r="AC5" i="12" s="1"/>
  <c r="AB6" i="12" a="1"/>
  <c r="AB6" i="12" s="1"/>
  <c r="AB7" i="12" a="1"/>
  <c r="AB7" i="12" s="1"/>
  <c r="AC8" i="12" a="1"/>
  <c r="AC8" i="12" s="1"/>
  <c r="AA8" i="12" s="1"/>
  <c r="AC9" i="12" a="1"/>
  <c r="AC9" i="12" s="1"/>
  <c r="AB10" i="12" a="1"/>
  <c r="AB10" i="12" s="1"/>
  <c r="AB11" i="12" a="1"/>
  <c r="AB11" i="12" s="1"/>
  <c r="AB12" i="12" a="1"/>
  <c r="AB12" i="12" s="1"/>
  <c r="AB13" i="12" a="1"/>
  <c r="AB13" i="12" s="1"/>
  <c r="AC14" i="12" a="1"/>
  <c r="AC14" i="12" s="1"/>
  <c r="AA14" i="12" s="1"/>
  <c r="AC15" i="12" a="1"/>
  <c r="AC15" i="12" s="1"/>
  <c r="AB16" i="12" a="1"/>
  <c r="AB16" i="12" s="1"/>
  <c r="AB17" i="12" a="1"/>
  <c r="AB17" i="12" s="1"/>
  <c r="AC18" i="12" a="1"/>
  <c r="AC18" i="12" s="1"/>
  <c r="AA18" i="12" s="1"/>
  <c r="AC19" i="12" a="1"/>
  <c r="AC19" i="12" s="1"/>
  <c r="AB20" i="12" a="1"/>
  <c r="AB20" i="12" s="1"/>
  <c r="AB21" i="12" a="1"/>
  <c r="AB21" i="12" s="1"/>
  <c r="AC22" i="12" a="1"/>
  <c r="AC22" i="12" s="1"/>
  <c r="AC23" i="12" a="1"/>
  <c r="AC23" i="12" s="1"/>
  <c r="AC24" i="12" a="1"/>
  <c r="AC24" i="12" s="1"/>
  <c r="AC25" i="12" a="1"/>
  <c r="AC25" i="12" s="1"/>
  <c r="AB26" i="12" a="1"/>
  <c r="AB26" i="12" s="1"/>
  <c r="AB27" i="12" a="1"/>
  <c r="AB27" i="12" s="1"/>
  <c r="AC28" i="12" a="1"/>
  <c r="AC28" i="12" s="1"/>
  <c r="AC29" i="12" a="1"/>
  <c r="AC29" i="12" s="1"/>
  <c r="AB30" i="12" a="1"/>
  <c r="AB30" i="12" s="1"/>
  <c r="AB31" i="12" a="1"/>
  <c r="AB31" i="12" s="1"/>
  <c r="AC34" i="12" a="1"/>
  <c r="AC34" i="12" s="1"/>
  <c r="AB36" i="12" a="1"/>
  <c r="AB36" i="12" s="1"/>
  <c r="AC38" i="12" a="1"/>
  <c r="AC38" i="12" s="1"/>
  <c r="AB40" i="12" a="1"/>
  <c r="AB40" i="12" s="1"/>
  <c r="AC42" i="12" a="1"/>
  <c r="AC42" i="12" s="1"/>
  <c r="AB44" i="12" a="1"/>
  <c r="AB44" i="12" s="1"/>
  <c r="AB46" i="12" a="1"/>
  <c r="AB46" i="12" s="1"/>
  <c r="AB48" i="12" a="1"/>
  <c r="AB48" i="12" s="1"/>
  <c r="AB50" i="12" a="1"/>
  <c r="AB50" i="12" s="1"/>
  <c r="AB52" i="12" a="1"/>
  <c r="AB52" i="12" s="1"/>
  <c r="AC3" i="12" a="1"/>
  <c r="AC3" i="12" s="1"/>
  <c r="AN5" i="12" a="1"/>
  <c r="AN5" i="12" s="1"/>
  <c r="AN7" i="12" a="1"/>
  <c r="AN7" i="12" s="1"/>
  <c r="AN8" i="12" a="1"/>
  <c r="AN8" i="12" s="1"/>
  <c r="AN10" i="12" a="1"/>
  <c r="AN10" i="12" s="1"/>
  <c r="AN13" i="12" a="1"/>
  <c r="AN13" i="12" s="1"/>
  <c r="AM13" i="12" s="1"/>
  <c r="AN15" i="12" a="1"/>
  <c r="AN15" i="12" s="1"/>
  <c r="AN17" i="12" a="1"/>
  <c r="AN17" i="12" s="1"/>
  <c r="AN19" i="12" a="1"/>
  <c r="AN19" i="12" s="1"/>
  <c r="AN21" i="12" a="1"/>
  <c r="AN21" i="12" s="1"/>
  <c r="AM21" i="12" s="1"/>
  <c r="AN23" i="12" a="1"/>
  <c r="AN23" i="12" s="1"/>
  <c r="AN25" i="12" a="1"/>
  <c r="AN25" i="12" s="1"/>
  <c r="AM25" i="12" s="1"/>
  <c r="AN27" i="12" a="1"/>
  <c r="AN27" i="12" s="1"/>
  <c r="AN29" i="12" a="1"/>
  <c r="AN29" i="12" s="1"/>
  <c r="AN31" i="12" a="1"/>
  <c r="AN31" i="12" s="1"/>
  <c r="AN33" i="12" a="1"/>
  <c r="AN33" i="12" s="1"/>
  <c r="AN35" i="12" a="1"/>
  <c r="AN35" i="12" s="1"/>
  <c r="AN37" i="12" a="1"/>
  <c r="AN37" i="12" s="1"/>
  <c r="AN39" i="12" a="1"/>
  <c r="AN39" i="12" s="1"/>
  <c r="AN41" i="12" a="1"/>
  <c r="AN41" i="12" s="1"/>
  <c r="AM41" i="12" s="1"/>
  <c r="AN43" i="12" a="1"/>
  <c r="AN43" i="12" s="1"/>
  <c r="AN45" i="12" a="1"/>
  <c r="AN45" i="12" s="1"/>
  <c r="AY11" i="12"/>
  <c r="AN4" i="12" a="1"/>
  <c r="AN4" i="12" s="1"/>
  <c r="AM4" i="12" s="1"/>
  <c r="AN6" i="12" a="1"/>
  <c r="AN6" i="12" s="1"/>
  <c r="AN9" i="12" a="1"/>
  <c r="AN9" i="12" s="1"/>
  <c r="AM9" i="12" s="1"/>
  <c r="AN11" i="12" a="1"/>
  <c r="AN11" i="12" s="1"/>
  <c r="AN12" i="12" a="1"/>
  <c r="AN12" i="12" s="1"/>
  <c r="AN14" i="12" a="1"/>
  <c r="AN14" i="12" s="1"/>
  <c r="AN16" i="12" a="1"/>
  <c r="AN16" i="12" s="1"/>
  <c r="AM16" i="12" s="1"/>
  <c r="AN20" i="12" a="1"/>
  <c r="AN20" i="12" s="1"/>
  <c r="AN24" i="12" a="1"/>
  <c r="AN24" i="12" s="1"/>
  <c r="AN28" i="12" a="1"/>
  <c r="AN28" i="12" s="1"/>
  <c r="AM28" i="12" s="1"/>
  <c r="AN32" i="12" a="1"/>
  <c r="AN32" i="12" s="1"/>
  <c r="AM32" i="12" s="1"/>
  <c r="AN36" i="12" a="1"/>
  <c r="AN36" i="12" s="1"/>
  <c r="AN40" i="12" a="1"/>
  <c r="AN40" i="12" s="1"/>
  <c r="AN44" i="12" a="1"/>
  <c r="AN44" i="12" s="1"/>
  <c r="AN47" i="12" a="1"/>
  <c r="AN47" i="12" s="1"/>
  <c r="AM47" i="12" s="1"/>
  <c r="AN49" i="12" a="1"/>
  <c r="AN49" i="12" s="1"/>
  <c r="AM49" i="12" s="1"/>
  <c r="AN51" i="12" a="1"/>
  <c r="AN51" i="12" s="1"/>
  <c r="AM51" i="12" s="1"/>
  <c r="AN53" i="12" a="1"/>
  <c r="AN53" i="12" s="1"/>
  <c r="AN18" i="12" a="1"/>
  <c r="AN18" i="12" s="1"/>
  <c r="AM18" i="12" s="1"/>
  <c r="AN22" i="12" a="1"/>
  <c r="AN22" i="12" s="1"/>
  <c r="AN26" i="12" a="1"/>
  <c r="AN26" i="12" s="1"/>
  <c r="AN30" i="12" a="1"/>
  <c r="AN30" i="12" s="1"/>
  <c r="AN34" i="12" a="1"/>
  <c r="AN34" i="12" s="1"/>
  <c r="AM34" i="12" s="1"/>
  <c r="AN38" i="12" a="1"/>
  <c r="AN38" i="12" s="1"/>
  <c r="AM38" i="12" s="1"/>
  <c r="AN42" i="12" a="1"/>
  <c r="AN42" i="12" s="1"/>
  <c r="AM42" i="12" s="1"/>
  <c r="AN46" i="12" a="1"/>
  <c r="AN46" i="12" s="1"/>
  <c r="AM46" i="12" s="1"/>
  <c r="AN48" i="12" a="1"/>
  <c r="AN48" i="12" s="1"/>
  <c r="AN50" i="12" a="1"/>
  <c r="AN50" i="12" s="1"/>
  <c r="AN52" i="12" a="1"/>
  <c r="AN52" i="12" s="1"/>
  <c r="AM52" i="12" s="1"/>
  <c r="AN3" i="12" a="1"/>
  <c r="AN3" i="12" s="1"/>
  <c r="Q5" i="12" a="1"/>
  <c r="Q5" i="12" s="1"/>
  <c r="Q7" i="12" a="1"/>
  <c r="Q7" i="12" s="1"/>
  <c r="Q8" i="12" a="1"/>
  <c r="Q8" i="12" s="1"/>
  <c r="Q10" i="12" a="1"/>
  <c r="Q10" i="12" s="1"/>
  <c r="Q13" i="12" a="1"/>
  <c r="Q13" i="12" s="1"/>
  <c r="Q15" i="12" a="1"/>
  <c r="Q15" i="12" s="1"/>
  <c r="Q16" i="12" a="1"/>
  <c r="Q16" i="12" s="1"/>
  <c r="Q18" i="12" a="1"/>
  <c r="Q18" i="12" s="1"/>
  <c r="Q21" i="12" a="1"/>
  <c r="Q21" i="12" s="1"/>
  <c r="Q23" i="12" a="1"/>
  <c r="Q23" i="12" s="1"/>
  <c r="Q24" i="12" a="1"/>
  <c r="Q24" i="12" s="1"/>
  <c r="Q26" i="12" a="1"/>
  <c r="Q26" i="12" s="1"/>
  <c r="Q29" i="12" a="1"/>
  <c r="Q29" i="12" s="1"/>
  <c r="Q31" i="12" a="1"/>
  <c r="Q31" i="12" s="1"/>
  <c r="Q32" i="12" a="1"/>
  <c r="Q32" i="12" s="1"/>
  <c r="Q34" i="12" a="1"/>
  <c r="Q34" i="12" s="1"/>
  <c r="Q37" i="12" a="1"/>
  <c r="Q37" i="12" s="1"/>
  <c r="Q39" i="12" a="1"/>
  <c r="Q39" i="12" s="1"/>
  <c r="Q40" i="12" a="1"/>
  <c r="Q40" i="12" s="1"/>
  <c r="Q42" i="12" a="1"/>
  <c r="Q42" i="12" s="1"/>
  <c r="Q45" i="12" a="1"/>
  <c r="Q45" i="12" s="1"/>
  <c r="Q47" i="12" a="1"/>
  <c r="Q47" i="12" s="1"/>
  <c r="Q49" i="12" a="1"/>
  <c r="Q49" i="12" s="1"/>
  <c r="Q51" i="12" a="1"/>
  <c r="Q51" i="12" s="1"/>
  <c r="Q53" i="12" a="1"/>
  <c r="Q53" i="12" s="1"/>
  <c r="P4" i="12" a="1"/>
  <c r="P4" i="12" s="1"/>
  <c r="P6" i="12" a="1"/>
  <c r="P6" i="12" s="1"/>
  <c r="P9" i="12" a="1"/>
  <c r="P9" i="12" s="1"/>
  <c r="P11" i="12" a="1"/>
  <c r="P11" i="12" s="1"/>
  <c r="P12" i="12" a="1"/>
  <c r="P12" i="12" s="1"/>
  <c r="P14" i="12" a="1"/>
  <c r="P14" i="12" s="1"/>
  <c r="P17" i="12" a="1"/>
  <c r="P17" i="12" s="1"/>
  <c r="P19" i="12" a="1"/>
  <c r="P19" i="12" s="1"/>
  <c r="P20" i="12" a="1"/>
  <c r="P20" i="12" s="1"/>
  <c r="P22" i="12" a="1"/>
  <c r="P22" i="12" s="1"/>
  <c r="P25" i="12" a="1"/>
  <c r="P25" i="12" s="1"/>
  <c r="P27" i="12" a="1"/>
  <c r="P27" i="12" s="1"/>
  <c r="P28" i="12" a="1"/>
  <c r="P28" i="12" s="1"/>
  <c r="P30" i="12" a="1"/>
  <c r="P30" i="12" s="1"/>
  <c r="P33" i="12" a="1"/>
  <c r="P33" i="12" s="1"/>
  <c r="P35" i="12" a="1"/>
  <c r="P35" i="12" s="1"/>
  <c r="P36" i="12" a="1"/>
  <c r="P36" i="12" s="1"/>
  <c r="P38" i="12" a="1"/>
  <c r="P38" i="12" s="1"/>
  <c r="P41" i="12" a="1"/>
  <c r="P41" i="12" s="1"/>
  <c r="P43" i="12" a="1"/>
  <c r="P43" i="12" s="1"/>
  <c r="P44" i="12" a="1"/>
  <c r="P44" i="12" s="1"/>
  <c r="P46" i="12" a="1"/>
  <c r="P46" i="12" s="1"/>
  <c r="P49" i="12" a="1"/>
  <c r="P49" i="12" s="1"/>
  <c r="P51" i="12" a="1"/>
  <c r="P51" i="12" s="1"/>
  <c r="P53" i="12" a="1"/>
  <c r="P53" i="12" s="1"/>
  <c r="P32" i="12" a="1"/>
  <c r="P32" i="12" s="1"/>
  <c r="P37" i="12" a="1"/>
  <c r="P37" i="12" s="1"/>
  <c r="P40" i="12" a="1"/>
  <c r="P40" i="12" s="1"/>
  <c r="P45" i="12" a="1"/>
  <c r="P45" i="12" s="1"/>
  <c r="P48" i="12" a="1"/>
  <c r="P48" i="12" s="1"/>
  <c r="P52" i="12" a="1"/>
  <c r="P52" i="12" s="1"/>
  <c r="Q4" i="12" a="1"/>
  <c r="Q4" i="12" s="1"/>
  <c r="Q6" i="12" a="1"/>
  <c r="Q6" i="12" s="1"/>
  <c r="Q9" i="12" a="1"/>
  <c r="Q9" i="12" s="1"/>
  <c r="Q11" i="12" a="1"/>
  <c r="Q11" i="12" s="1"/>
  <c r="Q12" i="12" a="1"/>
  <c r="Q12" i="12" s="1"/>
  <c r="Q14" i="12" a="1"/>
  <c r="Q14" i="12" s="1"/>
  <c r="Q17" i="12" a="1"/>
  <c r="Q17" i="12" s="1"/>
  <c r="Q19" i="12" a="1"/>
  <c r="Q19" i="12" s="1"/>
  <c r="Q20" i="12" a="1"/>
  <c r="Q20" i="12" s="1"/>
  <c r="Q22" i="12" a="1"/>
  <c r="Q22" i="12" s="1"/>
  <c r="Q25" i="12" a="1"/>
  <c r="Q25" i="12" s="1"/>
  <c r="Q27" i="12" a="1"/>
  <c r="Q27" i="12" s="1"/>
  <c r="Q28" i="12" a="1"/>
  <c r="Q28" i="12" s="1"/>
  <c r="Q30" i="12" a="1"/>
  <c r="Q30" i="12" s="1"/>
  <c r="Q33" i="12" a="1"/>
  <c r="Q33" i="12" s="1"/>
  <c r="Q35" i="12" a="1"/>
  <c r="Q35" i="12" s="1"/>
  <c r="Q36" i="12" a="1"/>
  <c r="Q36" i="12" s="1"/>
  <c r="Q38" i="12" a="1"/>
  <c r="Q38" i="12" s="1"/>
  <c r="Q41" i="12" a="1"/>
  <c r="Q41" i="12" s="1"/>
  <c r="Q43" i="12" a="1"/>
  <c r="Q43" i="12" s="1"/>
  <c r="Q44" i="12" a="1"/>
  <c r="Q44" i="12" s="1"/>
  <c r="Q46" i="12" a="1"/>
  <c r="Q46" i="12" s="1"/>
  <c r="Q48" i="12" a="1"/>
  <c r="Q48" i="12" s="1"/>
  <c r="O48" i="12" s="1"/>
  <c r="Q50" i="12" a="1"/>
  <c r="Q50" i="12" s="1"/>
  <c r="Q52" i="12" a="1"/>
  <c r="Q52" i="12" s="1"/>
  <c r="Q3" i="12" a="1"/>
  <c r="Q3" i="12" s="1"/>
  <c r="P5" i="12" a="1"/>
  <c r="P5" i="12" s="1"/>
  <c r="P7" i="12" a="1"/>
  <c r="P7" i="12" s="1"/>
  <c r="P8" i="12" a="1"/>
  <c r="P8" i="12" s="1"/>
  <c r="P10" i="12" a="1"/>
  <c r="P10" i="12" s="1"/>
  <c r="P13" i="12" a="1"/>
  <c r="P13" i="12" s="1"/>
  <c r="P15" i="12" a="1"/>
  <c r="P15" i="12" s="1"/>
  <c r="P16" i="12" a="1"/>
  <c r="P16" i="12" s="1"/>
  <c r="P18" i="12" a="1"/>
  <c r="P18" i="12" s="1"/>
  <c r="P21" i="12" a="1"/>
  <c r="P21" i="12" s="1"/>
  <c r="P23" i="12" a="1"/>
  <c r="P23" i="12" s="1"/>
  <c r="P24" i="12" a="1"/>
  <c r="P24" i="12" s="1"/>
  <c r="P26" i="12" a="1"/>
  <c r="P26" i="12" s="1"/>
  <c r="P29" i="12" a="1"/>
  <c r="P29" i="12" s="1"/>
  <c r="P31" i="12" a="1"/>
  <c r="P31" i="12" s="1"/>
  <c r="P34" i="12" a="1"/>
  <c r="P34" i="12" s="1"/>
  <c r="P39" i="12" a="1"/>
  <c r="P39" i="12" s="1"/>
  <c r="P42" i="12" a="1"/>
  <c r="P42" i="12" s="1"/>
  <c r="P47" i="12" a="1"/>
  <c r="P47" i="12" s="1"/>
  <c r="P50" i="12" a="1"/>
  <c r="P50" i="12" s="1"/>
  <c r="P3" i="12" a="1"/>
  <c r="P3" i="12" s="1"/>
  <c r="E4" i="12" a="1"/>
  <c r="E4" i="12" s="1"/>
  <c r="E6" i="12" a="1"/>
  <c r="E6" i="12" s="1"/>
  <c r="E8" i="12" a="1"/>
  <c r="E8" i="12" s="1"/>
  <c r="E10" i="12" a="1"/>
  <c r="E10" i="12" s="1"/>
  <c r="E50" i="12" a="1"/>
  <c r="E50" i="12" s="1"/>
  <c r="E54" i="12" a="1"/>
  <c r="E54" i="12" s="1"/>
  <c r="D6" i="12" a="1"/>
  <c r="D6" i="12" s="1"/>
  <c r="D11" i="12" a="1"/>
  <c r="D11" i="12" s="1"/>
  <c r="D14" i="12" a="1"/>
  <c r="D14" i="12" s="1"/>
  <c r="D19" i="12" a="1"/>
  <c r="D19" i="12" s="1"/>
  <c r="D22" i="12" a="1"/>
  <c r="D22" i="12" s="1"/>
  <c r="E5" i="12" a="1"/>
  <c r="E5" i="12" s="1"/>
  <c r="E7" i="12" a="1"/>
  <c r="E7" i="12" s="1"/>
  <c r="E9" i="12" a="1"/>
  <c r="E9" i="12" s="1"/>
  <c r="E11" i="12" a="1"/>
  <c r="E11" i="12" s="1"/>
  <c r="E13" i="12" a="1"/>
  <c r="E13" i="12" s="1"/>
  <c r="E15" i="12" a="1"/>
  <c r="E15" i="12" s="1"/>
  <c r="E17" i="12" a="1"/>
  <c r="E17" i="12" s="1"/>
  <c r="E19" i="12" a="1"/>
  <c r="E19" i="12" s="1"/>
  <c r="E21" i="12" a="1"/>
  <c r="E21" i="12" s="1"/>
  <c r="E23" i="12" a="1"/>
  <c r="E23" i="12" s="1"/>
  <c r="E25" i="12" a="1"/>
  <c r="E25" i="12" s="1"/>
  <c r="E27" i="12" a="1"/>
  <c r="E27" i="12" s="1"/>
  <c r="E29" i="12" a="1"/>
  <c r="E29" i="12" s="1"/>
  <c r="E31" i="12" a="1"/>
  <c r="E31" i="12" s="1"/>
  <c r="E33" i="12" a="1"/>
  <c r="E33" i="12" s="1"/>
  <c r="E35" i="12" a="1"/>
  <c r="E35" i="12" s="1"/>
  <c r="E37" i="12" a="1"/>
  <c r="E37" i="12" s="1"/>
  <c r="E39" i="12" a="1"/>
  <c r="E39" i="12" s="1"/>
  <c r="E41" i="12" a="1"/>
  <c r="E41" i="12" s="1"/>
  <c r="E43" i="12" a="1"/>
  <c r="E43" i="12" s="1"/>
  <c r="E45" i="12" a="1"/>
  <c r="E45" i="12" s="1"/>
  <c r="E47" i="12" a="1"/>
  <c r="E47" i="12" s="1"/>
  <c r="E49" i="12" a="1"/>
  <c r="E49" i="12" s="1"/>
  <c r="E51" i="12" a="1"/>
  <c r="E51" i="12" s="1"/>
  <c r="E53" i="12" a="1"/>
  <c r="E53" i="12" s="1"/>
  <c r="E3" i="12" a="1"/>
  <c r="E3" i="12" s="1"/>
  <c r="D5" i="12" a="1"/>
  <c r="D5" i="12" s="1"/>
  <c r="D7" i="12" a="1"/>
  <c r="D7" i="12" s="1"/>
  <c r="D8" i="12" a="1"/>
  <c r="D8" i="12" s="1"/>
  <c r="D10" i="12" a="1"/>
  <c r="D10" i="12" s="1"/>
  <c r="D13" i="12" a="1"/>
  <c r="D13" i="12" s="1"/>
  <c r="D15" i="12" a="1"/>
  <c r="D15" i="12" s="1"/>
  <c r="D16" i="12" a="1"/>
  <c r="D16" i="12" s="1"/>
  <c r="D18" i="12" a="1"/>
  <c r="D18" i="12" s="1"/>
  <c r="D21" i="12" a="1"/>
  <c r="D21" i="12" s="1"/>
  <c r="D23" i="12" a="1"/>
  <c r="D23" i="12" s="1"/>
  <c r="D24" i="12" a="1"/>
  <c r="D24" i="12" s="1"/>
  <c r="D26" i="12" a="1"/>
  <c r="D26" i="12" s="1"/>
  <c r="D29" i="12" a="1"/>
  <c r="D29" i="12" s="1"/>
  <c r="D31" i="12" a="1"/>
  <c r="D31" i="12" s="1"/>
  <c r="D32" i="12" a="1"/>
  <c r="D32" i="12" s="1"/>
  <c r="D34" i="12" a="1"/>
  <c r="D34" i="12" s="1"/>
  <c r="D37" i="12" a="1"/>
  <c r="D37" i="12" s="1"/>
  <c r="D39" i="12" a="1"/>
  <c r="D39" i="12" s="1"/>
  <c r="D40" i="12" a="1"/>
  <c r="D40" i="12" s="1"/>
  <c r="D42" i="12" a="1"/>
  <c r="D42" i="12" s="1"/>
  <c r="D45" i="12" a="1"/>
  <c r="D45" i="12" s="1"/>
  <c r="D47" i="12" a="1"/>
  <c r="D47" i="12" s="1"/>
  <c r="D48" i="12" a="1"/>
  <c r="D48" i="12" s="1"/>
  <c r="D50" i="12" a="1"/>
  <c r="D50" i="12" s="1"/>
  <c r="D53" i="12" a="1"/>
  <c r="D53" i="12" s="1"/>
  <c r="D3" i="12" a="1"/>
  <c r="D3" i="12" s="1"/>
  <c r="E12" i="12" a="1"/>
  <c r="E12" i="12" s="1"/>
  <c r="E14" i="12" a="1"/>
  <c r="E14" i="12" s="1"/>
  <c r="C14" i="12" s="1"/>
  <c r="E16" i="12" a="1"/>
  <c r="E16" i="12" s="1"/>
  <c r="C16" i="12" s="1"/>
  <c r="E18" i="12" a="1"/>
  <c r="E18" i="12" s="1"/>
  <c r="C18" i="12" s="1"/>
  <c r="E20" i="12" a="1"/>
  <c r="E20" i="12" s="1"/>
  <c r="E22" i="12" a="1"/>
  <c r="E22" i="12" s="1"/>
  <c r="C22" i="12" s="1"/>
  <c r="E24" i="12" a="1"/>
  <c r="E24" i="12" s="1"/>
  <c r="C24" i="12" s="1"/>
  <c r="E26" i="12" a="1"/>
  <c r="E26" i="12" s="1"/>
  <c r="C26" i="12" s="1"/>
  <c r="E28" i="12" a="1"/>
  <c r="E28" i="12" s="1"/>
  <c r="E30" i="12" a="1"/>
  <c r="E30" i="12" s="1"/>
  <c r="E32" i="12" a="1"/>
  <c r="E32" i="12" s="1"/>
  <c r="C32" i="12" s="1"/>
  <c r="E34" i="12" a="1"/>
  <c r="E34" i="12" s="1"/>
  <c r="C34" i="12" s="1"/>
  <c r="E36" i="12" a="1"/>
  <c r="E36" i="12" s="1"/>
  <c r="E38" i="12" a="1"/>
  <c r="E38" i="12" s="1"/>
  <c r="E40" i="12" a="1"/>
  <c r="E40" i="12" s="1"/>
  <c r="C40" i="12" s="1"/>
  <c r="E42" i="12" a="1"/>
  <c r="E42" i="12" s="1"/>
  <c r="C42" i="12" s="1"/>
  <c r="E44" i="12" a="1"/>
  <c r="E44" i="12" s="1"/>
  <c r="E46" i="12" a="1"/>
  <c r="E46" i="12" s="1"/>
  <c r="E48" i="12" a="1"/>
  <c r="E48" i="12" s="1"/>
  <c r="C48" i="12" s="1"/>
  <c r="E52" i="12" a="1"/>
  <c r="E52" i="12" s="1"/>
  <c r="D4" i="12" a="1"/>
  <c r="D4" i="12" s="1"/>
  <c r="D9" i="12" a="1"/>
  <c r="D9" i="12" s="1"/>
  <c r="D12" i="12" a="1"/>
  <c r="D12" i="12" s="1"/>
  <c r="D17" i="12" a="1"/>
  <c r="D17" i="12" s="1"/>
  <c r="D20" i="12" a="1"/>
  <c r="D20" i="12" s="1"/>
  <c r="D27" i="12" a="1"/>
  <c r="D27" i="12" s="1"/>
  <c r="D30" i="12" a="1"/>
  <c r="D30" i="12" s="1"/>
  <c r="D33" i="12" a="1"/>
  <c r="D33" i="12" s="1"/>
  <c r="D36" i="12" a="1"/>
  <c r="D36" i="12" s="1"/>
  <c r="D43" i="12" a="1"/>
  <c r="D43" i="12" s="1"/>
  <c r="D46" i="12" a="1"/>
  <c r="D46" i="12" s="1"/>
  <c r="D49" i="12" a="1"/>
  <c r="D49" i="12" s="1"/>
  <c r="D52" i="12" a="1"/>
  <c r="D52" i="12" s="1"/>
  <c r="D25" i="12" a="1"/>
  <c r="D25" i="12" s="1"/>
  <c r="D28" i="12" a="1"/>
  <c r="D28" i="12" s="1"/>
  <c r="D35" i="12" a="1"/>
  <c r="D35" i="12" s="1"/>
  <c r="D38" i="12" a="1"/>
  <c r="D38" i="12" s="1"/>
  <c r="D41" i="12" a="1"/>
  <c r="D41" i="12" s="1"/>
  <c r="D44" i="12" a="1"/>
  <c r="D44" i="12" s="1"/>
  <c r="D51" i="12" a="1"/>
  <c r="D51" i="12" s="1"/>
  <c r="D54" i="12" a="1"/>
  <c r="D54" i="12" s="1"/>
  <c r="BP249" i="1"/>
  <c r="BQ249" i="1"/>
  <c r="BR249" i="1"/>
  <c r="BS249" i="1"/>
  <c r="BM249" i="1"/>
  <c r="BC249" i="1"/>
  <c r="BD249" i="1"/>
  <c r="BE249" i="1"/>
  <c r="BF249" i="1"/>
  <c r="BG249" i="1"/>
  <c r="BA249" i="1"/>
  <c r="AQ249" i="1"/>
  <c r="AR249" i="1"/>
  <c r="AS249" i="1"/>
  <c r="AT249" i="1"/>
  <c r="AU249" i="1"/>
  <c r="AO249" i="1"/>
  <c r="AE249" i="1"/>
  <c r="AF249" i="1"/>
  <c r="AG249" i="1"/>
  <c r="AH249" i="1"/>
  <c r="AI249" i="1"/>
  <c r="AC249" i="1"/>
  <c r="Q249" i="1"/>
  <c r="S249" i="1"/>
  <c r="T249" i="1"/>
  <c r="U249" i="1"/>
  <c r="V249" i="1"/>
  <c r="W249" i="1"/>
  <c r="C201" i="3"/>
  <c r="D201" i="3"/>
  <c r="H201" i="3"/>
  <c r="C202" i="3"/>
  <c r="D202" i="3"/>
  <c r="H202" i="3"/>
  <c r="C203" i="3"/>
  <c r="D203" i="3"/>
  <c r="H203" i="3"/>
  <c r="C204" i="3"/>
  <c r="D204" i="3"/>
  <c r="H204" i="3"/>
  <c r="C205" i="3"/>
  <c r="D205" i="3"/>
  <c r="H205" i="3"/>
  <c r="C206" i="3"/>
  <c r="D206" i="3"/>
  <c r="H206" i="3"/>
  <c r="C207" i="3"/>
  <c r="D207" i="3"/>
  <c r="H207" i="3"/>
  <c r="C208" i="3"/>
  <c r="D208" i="3"/>
  <c r="H208" i="3"/>
  <c r="C209" i="3"/>
  <c r="D209" i="3"/>
  <c r="H209" i="3"/>
  <c r="C210" i="3"/>
  <c r="D210" i="3"/>
  <c r="H210" i="3"/>
  <c r="C211" i="3"/>
  <c r="D211" i="3"/>
  <c r="H211" i="3"/>
  <c r="C212" i="3"/>
  <c r="D212" i="3"/>
  <c r="H212" i="3"/>
  <c r="C213" i="3"/>
  <c r="D213" i="3"/>
  <c r="H213" i="3"/>
  <c r="C214" i="3"/>
  <c r="D214" i="3"/>
  <c r="H214" i="3"/>
  <c r="C215" i="3"/>
  <c r="D215" i="3"/>
  <c r="H215" i="3"/>
  <c r="C216" i="3"/>
  <c r="D216" i="3"/>
  <c r="H216" i="3"/>
  <c r="C217" i="3"/>
  <c r="D217" i="3"/>
  <c r="H217" i="3"/>
  <c r="C218" i="3"/>
  <c r="D218" i="3"/>
  <c r="H218" i="3"/>
  <c r="C219" i="3"/>
  <c r="D219" i="3"/>
  <c r="H219" i="3"/>
  <c r="C220" i="3"/>
  <c r="D220" i="3"/>
  <c r="H220" i="3"/>
  <c r="C221" i="3"/>
  <c r="D221" i="3"/>
  <c r="H221" i="3"/>
  <c r="C222" i="3"/>
  <c r="D222" i="3"/>
  <c r="H222" i="3"/>
  <c r="C223" i="3"/>
  <c r="D223" i="3"/>
  <c r="H223" i="3"/>
  <c r="C224" i="3"/>
  <c r="D224" i="3"/>
  <c r="H224" i="3"/>
  <c r="C225" i="3"/>
  <c r="D225" i="3"/>
  <c r="H225" i="3"/>
  <c r="C226" i="3"/>
  <c r="D226" i="3"/>
  <c r="H226" i="3"/>
  <c r="C227" i="3"/>
  <c r="D227" i="3"/>
  <c r="H227" i="3"/>
  <c r="C228" i="3"/>
  <c r="D228" i="3"/>
  <c r="H228" i="3"/>
  <c r="C229" i="3"/>
  <c r="D229" i="3"/>
  <c r="H229" i="3"/>
  <c r="C230" i="3"/>
  <c r="D230" i="3"/>
  <c r="H230" i="3"/>
  <c r="C231" i="3"/>
  <c r="D231" i="3"/>
  <c r="H231" i="3"/>
  <c r="C232" i="3"/>
  <c r="D232" i="3"/>
  <c r="H232" i="3"/>
  <c r="C233" i="3"/>
  <c r="D233" i="3"/>
  <c r="H233" i="3"/>
  <c r="C234" i="3"/>
  <c r="D234" i="3"/>
  <c r="H234" i="3"/>
  <c r="C235" i="3"/>
  <c r="D235" i="3"/>
  <c r="H235" i="3"/>
  <c r="C236" i="3"/>
  <c r="D236" i="3"/>
  <c r="H236" i="3"/>
  <c r="C237" i="3"/>
  <c r="D237" i="3"/>
  <c r="H237" i="3"/>
  <c r="C238" i="3"/>
  <c r="D238" i="3"/>
  <c r="H238" i="3"/>
  <c r="C239" i="3"/>
  <c r="D239" i="3"/>
  <c r="H239" i="3"/>
  <c r="C240" i="3"/>
  <c r="D240" i="3"/>
  <c r="H240" i="3"/>
  <c r="C241" i="3"/>
  <c r="D241" i="3"/>
  <c r="H241" i="3"/>
  <c r="C242" i="3"/>
  <c r="D242" i="3"/>
  <c r="H242" i="3"/>
  <c r="C243" i="3"/>
  <c r="D243" i="3"/>
  <c r="H243" i="3"/>
  <c r="C244" i="3"/>
  <c r="D244" i="3"/>
  <c r="H244" i="3"/>
  <c r="C245" i="3"/>
  <c r="D245" i="3"/>
  <c r="H245" i="3"/>
  <c r="C246" i="3"/>
  <c r="D246" i="3"/>
  <c r="H246" i="3"/>
  <c r="C247" i="3"/>
  <c r="D247" i="3"/>
  <c r="H247" i="3"/>
  <c r="C248" i="3"/>
  <c r="D248" i="3"/>
  <c r="H248" i="3"/>
  <c r="K201" i="3"/>
  <c r="L201" i="3"/>
  <c r="P201" i="3"/>
  <c r="K202" i="3"/>
  <c r="L202" i="3"/>
  <c r="P202" i="3"/>
  <c r="K203" i="3"/>
  <c r="L203" i="3"/>
  <c r="P203" i="3"/>
  <c r="K204" i="3"/>
  <c r="L204" i="3"/>
  <c r="P204" i="3"/>
  <c r="K205" i="3"/>
  <c r="L205" i="3"/>
  <c r="P205" i="3"/>
  <c r="K206" i="3"/>
  <c r="L206" i="3"/>
  <c r="P206" i="3"/>
  <c r="K207" i="3"/>
  <c r="L207" i="3"/>
  <c r="P207" i="3"/>
  <c r="K208" i="3"/>
  <c r="L208" i="3"/>
  <c r="P208" i="3"/>
  <c r="K209" i="3"/>
  <c r="L209" i="3"/>
  <c r="P209" i="3"/>
  <c r="K210" i="3"/>
  <c r="L210" i="3"/>
  <c r="P210" i="3"/>
  <c r="K211" i="3"/>
  <c r="L211" i="3"/>
  <c r="P211" i="3"/>
  <c r="K212" i="3"/>
  <c r="L212" i="3"/>
  <c r="P212" i="3"/>
  <c r="K213" i="3"/>
  <c r="L213" i="3"/>
  <c r="P213" i="3"/>
  <c r="K214" i="3"/>
  <c r="L214" i="3"/>
  <c r="P214" i="3"/>
  <c r="K215" i="3"/>
  <c r="L215" i="3"/>
  <c r="P215" i="3"/>
  <c r="K216" i="3"/>
  <c r="L216" i="3"/>
  <c r="P216" i="3"/>
  <c r="K217" i="3"/>
  <c r="L217" i="3"/>
  <c r="P217" i="3"/>
  <c r="K218" i="3"/>
  <c r="L218" i="3"/>
  <c r="P218" i="3"/>
  <c r="K219" i="3"/>
  <c r="L219" i="3"/>
  <c r="P219" i="3"/>
  <c r="K220" i="3"/>
  <c r="L220" i="3"/>
  <c r="P220" i="3"/>
  <c r="K221" i="3"/>
  <c r="L221" i="3"/>
  <c r="P221" i="3"/>
  <c r="K222" i="3"/>
  <c r="L222" i="3"/>
  <c r="P222" i="3"/>
  <c r="K223" i="3"/>
  <c r="L223" i="3"/>
  <c r="P223" i="3"/>
  <c r="K224" i="3"/>
  <c r="L224" i="3"/>
  <c r="P224" i="3"/>
  <c r="K225" i="3"/>
  <c r="L225" i="3"/>
  <c r="P225" i="3"/>
  <c r="K226" i="3"/>
  <c r="L226" i="3"/>
  <c r="P226" i="3"/>
  <c r="K227" i="3"/>
  <c r="L227" i="3"/>
  <c r="P227" i="3"/>
  <c r="K228" i="3"/>
  <c r="L228" i="3"/>
  <c r="P228" i="3"/>
  <c r="K229" i="3"/>
  <c r="L229" i="3"/>
  <c r="P229" i="3"/>
  <c r="K230" i="3"/>
  <c r="L230" i="3"/>
  <c r="P230" i="3"/>
  <c r="K231" i="3"/>
  <c r="L231" i="3"/>
  <c r="P231" i="3"/>
  <c r="K232" i="3"/>
  <c r="L232" i="3"/>
  <c r="P232" i="3"/>
  <c r="K233" i="3"/>
  <c r="L233" i="3"/>
  <c r="P233" i="3"/>
  <c r="K234" i="3"/>
  <c r="L234" i="3"/>
  <c r="P234" i="3"/>
  <c r="K235" i="3"/>
  <c r="L235" i="3"/>
  <c r="P235" i="3"/>
  <c r="K236" i="3"/>
  <c r="L236" i="3"/>
  <c r="P236" i="3"/>
  <c r="K237" i="3"/>
  <c r="L237" i="3"/>
  <c r="P237" i="3"/>
  <c r="K238" i="3"/>
  <c r="L238" i="3"/>
  <c r="P238" i="3"/>
  <c r="K239" i="3"/>
  <c r="L239" i="3"/>
  <c r="P239" i="3"/>
  <c r="K240" i="3"/>
  <c r="L240" i="3"/>
  <c r="P240" i="3"/>
  <c r="K241" i="3"/>
  <c r="L241" i="3"/>
  <c r="P241" i="3"/>
  <c r="K242" i="3"/>
  <c r="L242" i="3"/>
  <c r="P242" i="3"/>
  <c r="K243" i="3"/>
  <c r="L243" i="3"/>
  <c r="P243" i="3"/>
  <c r="K244" i="3"/>
  <c r="L244" i="3"/>
  <c r="P244" i="3"/>
  <c r="K245" i="3"/>
  <c r="L245" i="3"/>
  <c r="P245" i="3"/>
  <c r="K246" i="3"/>
  <c r="L246" i="3"/>
  <c r="P246" i="3"/>
  <c r="K247" i="3"/>
  <c r="L247" i="3"/>
  <c r="P247" i="3"/>
  <c r="K248" i="3"/>
  <c r="L248" i="3"/>
  <c r="P248" i="3"/>
  <c r="S201" i="3"/>
  <c r="T201" i="3"/>
  <c r="X201" i="3"/>
  <c r="S202" i="3"/>
  <c r="T202" i="3"/>
  <c r="X202" i="3"/>
  <c r="S203" i="3"/>
  <c r="T203" i="3"/>
  <c r="X203" i="3"/>
  <c r="S204" i="3"/>
  <c r="T204" i="3"/>
  <c r="X204" i="3"/>
  <c r="S205" i="3"/>
  <c r="T205" i="3"/>
  <c r="X205" i="3"/>
  <c r="S206" i="3"/>
  <c r="T206" i="3"/>
  <c r="X206" i="3"/>
  <c r="S207" i="3"/>
  <c r="T207" i="3"/>
  <c r="X207" i="3"/>
  <c r="S208" i="3"/>
  <c r="T208" i="3"/>
  <c r="X208" i="3"/>
  <c r="S209" i="3"/>
  <c r="T209" i="3"/>
  <c r="X209" i="3"/>
  <c r="S210" i="3"/>
  <c r="T210" i="3"/>
  <c r="X210" i="3"/>
  <c r="S211" i="3"/>
  <c r="T211" i="3"/>
  <c r="X211" i="3"/>
  <c r="S212" i="3"/>
  <c r="T212" i="3"/>
  <c r="X212" i="3"/>
  <c r="S213" i="3"/>
  <c r="T213" i="3"/>
  <c r="X213" i="3"/>
  <c r="S214" i="3"/>
  <c r="T214" i="3"/>
  <c r="X214" i="3"/>
  <c r="S215" i="3"/>
  <c r="T215" i="3"/>
  <c r="X215" i="3"/>
  <c r="S216" i="3"/>
  <c r="T216" i="3"/>
  <c r="X216" i="3"/>
  <c r="S217" i="3"/>
  <c r="T217" i="3"/>
  <c r="X217" i="3"/>
  <c r="S218" i="3"/>
  <c r="T218" i="3"/>
  <c r="X218" i="3"/>
  <c r="S219" i="3"/>
  <c r="T219" i="3"/>
  <c r="X219" i="3"/>
  <c r="S220" i="3"/>
  <c r="T220" i="3"/>
  <c r="X220" i="3"/>
  <c r="S221" i="3"/>
  <c r="T221" i="3"/>
  <c r="X221" i="3"/>
  <c r="S222" i="3"/>
  <c r="T222" i="3"/>
  <c r="X222" i="3"/>
  <c r="S223" i="3"/>
  <c r="T223" i="3"/>
  <c r="X223" i="3"/>
  <c r="S224" i="3"/>
  <c r="T224" i="3"/>
  <c r="X224" i="3"/>
  <c r="S225" i="3"/>
  <c r="T225" i="3"/>
  <c r="X225" i="3"/>
  <c r="S226" i="3"/>
  <c r="T226" i="3"/>
  <c r="X226" i="3"/>
  <c r="S227" i="3"/>
  <c r="T227" i="3"/>
  <c r="X227" i="3"/>
  <c r="S228" i="3"/>
  <c r="T228" i="3"/>
  <c r="X228" i="3"/>
  <c r="S229" i="3"/>
  <c r="T229" i="3"/>
  <c r="X229" i="3"/>
  <c r="S230" i="3"/>
  <c r="T230" i="3"/>
  <c r="X230" i="3"/>
  <c r="S231" i="3"/>
  <c r="T231" i="3"/>
  <c r="X231" i="3"/>
  <c r="S232" i="3"/>
  <c r="T232" i="3"/>
  <c r="X232" i="3"/>
  <c r="S233" i="3"/>
  <c r="T233" i="3"/>
  <c r="X233" i="3"/>
  <c r="S234" i="3"/>
  <c r="T234" i="3"/>
  <c r="X234" i="3"/>
  <c r="S235" i="3"/>
  <c r="T235" i="3"/>
  <c r="X235" i="3"/>
  <c r="S236" i="3"/>
  <c r="T236" i="3"/>
  <c r="X236" i="3"/>
  <c r="S237" i="3"/>
  <c r="T237" i="3"/>
  <c r="X237" i="3"/>
  <c r="S238" i="3"/>
  <c r="T238" i="3"/>
  <c r="X238" i="3"/>
  <c r="S239" i="3"/>
  <c r="T239" i="3"/>
  <c r="X239" i="3"/>
  <c r="S240" i="3"/>
  <c r="T240" i="3"/>
  <c r="X240" i="3"/>
  <c r="S241" i="3"/>
  <c r="T241" i="3"/>
  <c r="X241" i="3"/>
  <c r="S242" i="3"/>
  <c r="T242" i="3"/>
  <c r="X242" i="3"/>
  <c r="S243" i="3"/>
  <c r="T243" i="3"/>
  <c r="X243" i="3"/>
  <c r="S244" i="3"/>
  <c r="T244" i="3"/>
  <c r="X244" i="3"/>
  <c r="S245" i="3"/>
  <c r="T245" i="3"/>
  <c r="X245" i="3"/>
  <c r="S246" i="3"/>
  <c r="T246" i="3"/>
  <c r="X246" i="3"/>
  <c r="S247" i="3"/>
  <c r="T247" i="3"/>
  <c r="X247" i="3"/>
  <c r="AA201" i="3"/>
  <c r="AB201" i="3"/>
  <c r="AF201" i="3"/>
  <c r="AA202" i="3"/>
  <c r="AB202" i="3"/>
  <c r="AF202" i="3"/>
  <c r="AA203" i="3"/>
  <c r="AB203" i="3"/>
  <c r="AF203" i="3"/>
  <c r="AA204" i="3"/>
  <c r="AB204" i="3"/>
  <c r="AF204" i="3"/>
  <c r="AA205" i="3"/>
  <c r="AB205" i="3"/>
  <c r="AF205" i="3"/>
  <c r="AA206" i="3"/>
  <c r="AB206" i="3"/>
  <c r="AF206" i="3"/>
  <c r="AA207" i="3"/>
  <c r="AB207" i="3"/>
  <c r="AF207" i="3"/>
  <c r="AA208" i="3"/>
  <c r="AB208" i="3"/>
  <c r="AF208" i="3"/>
  <c r="AA209" i="3"/>
  <c r="AB209" i="3"/>
  <c r="AF209" i="3"/>
  <c r="AA210" i="3"/>
  <c r="AB210" i="3"/>
  <c r="AF210" i="3"/>
  <c r="AA211" i="3"/>
  <c r="AB211" i="3"/>
  <c r="AF211" i="3"/>
  <c r="AA212" i="3"/>
  <c r="AB212" i="3"/>
  <c r="AF212" i="3"/>
  <c r="AA213" i="3"/>
  <c r="AB213" i="3"/>
  <c r="AF213" i="3"/>
  <c r="AA214" i="3"/>
  <c r="AB214" i="3"/>
  <c r="AF214" i="3"/>
  <c r="AA215" i="3"/>
  <c r="AB215" i="3"/>
  <c r="AF215" i="3"/>
  <c r="AA216" i="3"/>
  <c r="AB216" i="3"/>
  <c r="AF216" i="3"/>
  <c r="AA217" i="3"/>
  <c r="AB217" i="3"/>
  <c r="AF217" i="3"/>
  <c r="AA218" i="3"/>
  <c r="AB218" i="3"/>
  <c r="AF218" i="3"/>
  <c r="AA219" i="3"/>
  <c r="AB219" i="3"/>
  <c r="AF219" i="3"/>
  <c r="AA220" i="3"/>
  <c r="AB220" i="3"/>
  <c r="AF220" i="3"/>
  <c r="AA221" i="3"/>
  <c r="AB221" i="3"/>
  <c r="AF221" i="3"/>
  <c r="AA222" i="3"/>
  <c r="AB222" i="3"/>
  <c r="AF222" i="3"/>
  <c r="AA223" i="3"/>
  <c r="AB223" i="3"/>
  <c r="AF223" i="3"/>
  <c r="AA224" i="3"/>
  <c r="AB224" i="3"/>
  <c r="AF224" i="3"/>
  <c r="AA225" i="3"/>
  <c r="AB225" i="3"/>
  <c r="AF225" i="3"/>
  <c r="AA226" i="3"/>
  <c r="AB226" i="3"/>
  <c r="AF226" i="3"/>
  <c r="AA227" i="3"/>
  <c r="AB227" i="3"/>
  <c r="AF227" i="3"/>
  <c r="AA228" i="3"/>
  <c r="AB228" i="3"/>
  <c r="AF228" i="3"/>
  <c r="AA229" i="3"/>
  <c r="AB229" i="3"/>
  <c r="AF229" i="3"/>
  <c r="AA230" i="3"/>
  <c r="AB230" i="3"/>
  <c r="AF230" i="3"/>
  <c r="AA231" i="3"/>
  <c r="AB231" i="3"/>
  <c r="AF231" i="3"/>
  <c r="AA232" i="3"/>
  <c r="AB232" i="3"/>
  <c r="AF232" i="3"/>
  <c r="AA233" i="3"/>
  <c r="AB233" i="3"/>
  <c r="AF233" i="3"/>
  <c r="AA234" i="3"/>
  <c r="AB234" i="3"/>
  <c r="AF234" i="3"/>
  <c r="AA235" i="3"/>
  <c r="AB235" i="3"/>
  <c r="AF235" i="3"/>
  <c r="AA236" i="3"/>
  <c r="AB236" i="3"/>
  <c r="AF236" i="3"/>
  <c r="AA237" i="3"/>
  <c r="AB237" i="3"/>
  <c r="AF237" i="3"/>
  <c r="AA238" i="3"/>
  <c r="AB238" i="3"/>
  <c r="AF238" i="3"/>
  <c r="AA239" i="3"/>
  <c r="AB239" i="3"/>
  <c r="AF239" i="3"/>
  <c r="AA240" i="3"/>
  <c r="AB240" i="3"/>
  <c r="AF240" i="3"/>
  <c r="AA241" i="3"/>
  <c r="AB241" i="3"/>
  <c r="AF241" i="3"/>
  <c r="AA242" i="3"/>
  <c r="AB242" i="3"/>
  <c r="AF242" i="3"/>
  <c r="AA243" i="3"/>
  <c r="AB243" i="3"/>
  <c r="AF243" i="3"/>
  <c r="AA244" i="3"/>
  <c r="AB244" i="3"/>
  <c r="AF244" i="3"/>
  <c r="AA245" i="3"/>
  <c r="AB245" i="3"/>
  <c r="AF245" i="3"/>
  <c r="AA246" i="3"/>
  <c r="AB246" i="3"/>
  <c r="AF246" i="3"/>
  <c r="AA247" i="3"/>
  <c r="AB247" i="3"/>
  <c r="AF247" i="3"/>
  <c r="AA248" i="3"/>
  <c r="AB248" i="3"/>
  <c r="AF248" i="3"/>
  <c r="AI203" i="3"/>
  <c r="AJ203" i="3"/>
  <c r="AN203" i="3"/>
  <c r="AI204" i="3"/>
  <c r="AJ204" i="3"/>
  <c r="AN204" i="3"/>
  <c r="AI205" i="3"/>
  <c r="AJ205" i="3"/>
  <c r="AN205" i="3"/>
  <c r="AI206" i="3"/>
  <c r="AJ206" i="3"/>
  <c r="AN206" i="3"/>
  <c r="AI207" i="3"/>
  <c r="AJ207" i="3"/>
  <c r="AN207" i="3"/>
  <c r="AI208" i="3"/>
  <c r="AJ208" i="3"/>
  <c r="AN208" i="3"/>
  <c r="AI209" i="3"/>
  <c r="AJ209" i="3"/>
  <c r="AN209" i="3"/>
  <c r="AI210" i="3"/>
  <c r="AJ210" i="3"/>
  <c r="AN210" i="3"/>
  <c r="AI211" i="3"/>
  <c r="AJ211" i="3"/>
  <c r="AN211" i="3"/>
  <c r="AI212" i="3"/>
  <c r="AJ212" i="3"/>
  <c r="AN212" i="3"/>
  <c r="AI213" i="3"/>
  <c r="AJ213" i="3"/>
  <c r="AN213" i="3"/>
  <c r="AI214" i="3"/>
  <c r="AJ214" i="3"/>
  <c r="AN214" i="3"/>
  <c r="AI215" i="3"/>
  <c r="AJ215" i="3"/>
  <c r="AN215" i="3"/>
  <c r="AI216" i="3"/>
  <c r="AJ216" i="3"/>
  <c r="AN216" i="3"/>
  <c r="AI217" i="3"/>
  <c r="AJ217" i="3"/>
  <c r="AN217" i="3"/>
  <c r="AI218" i="3"/>
  <c r="AJ218" i="3"/>
  <c r="AN218" i="3"/>
  <c r="AI219" i="3"/>
  <c r="AJ219" i="3"/>
  <c r="AN219" i="3"/>
  <c r="AI220" i="3"/>
  <c r="AJ220" i="3"/>
  <c r="AN220" i="3"/>
  <c r="AI221" i="3"/>
  <c r="AJ221" i="3"/>
  <c r="AN221" i="3"/>
  <c r="AI222" i="3"/>
  <c r="AJ222" i="3"/>
  <c r="AN222" i="3"/>
  <c r="AI223" i="3"/>
  <c r="AJ223" i="3"/>
  <c r="AN223" i="3"/>
  <c r="AI224" i="3"/>
  <c r="AJ224" i="3"/>
  <c r="AN224" i="3"/>
  <c r="AI225" i="3"/>
  <c r="AJ225" i="3"/>
  <c r="AN225" i="3"/>
  <c r="AI226" i="3"/>
  <c r="AJ226" i="3"/>
  <c r="AN226" i="3"/>
  <c r="AI227" i="3"/>
  <c r="AJ227" i="3"/>
  <c r="AN227" i="3"/>
  <c r="AI228" i="3"/>
  <c r="AJ228" i="3"/>
  <c r="AN228" i="3"/>
  <c r="AI229" i="3"/>
  <c r="AJ229" i="3"/>
  <c r="AN229" i="3"/>
  <c r="AI230" i="3"/>
  <c r="AJ230" i="3"/>
  <c r="AN230" i="3"/>
  <c r="AI231" i="3"/>
  <c r="AJ231" i="3"/>
  <c r="AN231" i="3"/>
  <c r="AI232" i="3"/>
  <c r="AJ232" i="3"/>
  <c r="AN232" i="3"/>
  <c r="AI233" i="3"/>
  <c r="AJ233" i="3"/>
  <c r="AN233" i="3"/>
  <c r="AI234" i="3"/>
  <c r="AJ234" i="3"/>
  <c r="AN234" i="3"/>
  <c r="AI235" i="3"/>
  <c r="AJ235" i="3"/>
  <c r="AN235" i="3"/>
  <c r="AI236" i="3"/>
  <c r="AJ236" i="3"/>
  <c r="AN236" i="3"/>
  <c r="AI237" i="3"/>
  <c r="AJ237" i="3"/>
  <c r="AN237" i="3"/>
  <c r="AI238" i="3"/>
  <c r="AJ238" i="3"/>
  <c r="AN238" i="3"/>
  <c r="AI239" i="3"/>
  <c r="AJ239" i="3"/>
  <c r="AN239" i="3"/>
  <c r="AI240" i="3"/>
  <c r="AJ240" i="3"/>
  <c r="AN240" i="3"/>
  <c r="AI241" i="3"/>
  <c r="AJ241" i="3"/>
  <c r="AN241" i="3"/>
  <c r="AI242" i="3"/>
  <c r="AJ242" i="3"/>
  <c r="AN242" i="3"/>
  <c r="AI243" i="3"/>
  <c r="AJ243" i="3"/>
  <c r="AN243" i="3"/>
  <c r="AI244" i="3"/>
  <c r="AJ244" i="3"/>
  <c r="AN244" i="3"/>
  <c r="AI245" i="3"/>
  <c r="AJ245" i="3"/>
  <c r="AN245" i="3"/>
  <c r="AI246" i="3"/>
  <c r="AJ246" i="3"/>
  <c r="AN246" i="3"/>
  <c r="AI247" i="3"/>
  <c r="AJ247" i="3"/>
  <c r="AN247" i="3"/>
  <c r="AI248" i="3"/>
  <c r="AJ248" i="3"/>
  <c r="AN248" i="3"/>
  <c r="AI201" i="3"/>
  <c r="AJ201" i="3"/>
  <c r="AN201" i="3"/>
  <c r="AI202" i="3"/>
  <c r="AJ202" i="3"/>
  <c r="AN202" i="3"/>
  <c r="AV248" i="3"/>
  <c r="AV201" i="3"/>
  <c r="AV202" i="3"/>
  <c r="AV203" i="3"/>
  <c r="AV204" i="3"/>
  <c r="AV205" i="3"/>
  <c r="AV206" i="3"/>
  <c r="AV207" i="3"/>
  <c r="AV208" i="3"/>
  <c r="AV209" i="3"/>
  <c r="AV210" i="3"/>
  <c r="AV211" i="3"/>
  <c r="AV212" i="3"/>
  <c r="AV213" i="3"/>
  <c r="AV214" i="3"/>
  <c r="AV215" i="3"/>
  <c r="AV216" i="3"/>
  <c r="AV217" i="3"/>
  <c r="AV218" i="3"/>
  <c r="AV219" i="3"/>
  <c r="AV220" i="3"/>
  <c r="AV221" i="3"/>
  <c r="AV222" i="3"/>
  <c r="AV223" i="3"/>
  <c r="AV224" i="3"/>
  <c r="AV225" i="3"/>
  <c r="AV226" i="3"/>
  <c r="AV227" i="3"/>
  <c r="AV228" i="3"/>
  <c r="AV229" i="3"/>
  <c r="AV230" i="3"/>
  <c r="AV231" i="3"/>
  <c r="AV232" i="3"/>
  <c r="AV233" i="3"/>
  <c r="AV234" i="3"/>
  <c r="AV235" i="3"/>
  <c r="AV236" i="3"/>
  <c r="AV237" i="3"/>
  <c r="AV238" i="3"/>
  <c r="AV239" i="3"/>
  <c r="AV240" i="3"/>
  <c r="AV241" i="3"/>
  <c r="AV242" i="3"/>
  <c r="AV243" i="3"/>
  <c r="AV244" i="3"/>
  <c r="AV245" i="3"/>
  <c r="AV246" i="3"/>
  <c r="AV247" i="3"/>
  <c r="AQ201" i="3"/>
  <c r="AR201" i="3"/>
  <c r="AQ202" i="3"/>
  <c r="AR202" i="3"/>
  <c r="AQ203" i="3"/>
  <c r="AR203" i="3"/>
  <c r="AQ204" i="3"/>
  <c r="AR204" i="3"/>
  <c r="AQ205" i="3"/>
  <c r="AR205" i="3"/>
  <c r="AQ206" i="3"/>
  <c r="AR206" i="3"/>
  <c r="AQ207" i="3"/>
  <c r="AR207" i="3"/>
  <c r="AQ208" i="3"/>
  <c r="AR208" i="3"/>
  <c r="AQ209" i="3"/>
  <c r="AR209" i="3"/>
  <c r="AQ210" i="3"/>
  <c r="AR210" i="3"/>
  <c r="AQ211" i="3"/>
  <c r="AR211" i="3"/>
  <c r="AQ212" i="3"/>
  <c r="AR212" i="3"/>
  <c r="AQ213" i="3"/>
  <c r="AR213" i="3"/>
  <c r="AQ214" i="3"/>
  <c r="AR214" i="3"/>
  <c r="AQ215" i="3"/>
  <c r="AR215" i="3"/>
  <c r="AQ216" i="3"/>
  <c r="AR216" i="3"/>
  <c r="AQ217" i="3"/>
  <c r="AR217" i="3"/>
  <c r="AQ218" i="3"/>
  <c r="AR218" i="3"/>
  <c r="AQ219" i="3"/>
  <c r="AR219" i="3"/>
  <c r="AQ220" i="3"/>
  <c r="AR220" i="3"/>
  <c r="AQ221" i="3"/>
  <c r="AR221" i="3"/>
  <c r="AQ222" i="3"/>
  <c r="AR222" i="3"/>
  <c r="AQ223" i="3"/>
  <c r="AR223" i="3"/>
  <c r="AQ224" i="3"/>
  <c r="AR224" i="3"/>
  <c r="AQ225" i="3"/>
  <c r="AR225" i="3"/>
  <c r="AQ226" i="3"/>
  <c r="AR226" i="3"/>
  <c r="AQ227" i="3"/>
  <c r="AR227" i="3"/>
  <c r="AQ228" i="3"/>
  <c r="AR228" i="3"/>
  <c r="AQ229" i="3"/>
  <c r="AR229" i="3"/>
  <c r="AQ230" i="3"/>
  <c r="AR230" i="3"/>
  <c r="AQ231" i="3"/>
  <c r="AR231" i="3"/>
  <c r="AQ232" i="3"/>
  <c r="AR232" i="3"/>
  <c r="AQ233" i="3"/>
  <c r="AR233" i="3"/>
  <c r="AQ234" i="3"/>
  <c r="AR234" i="3"/>
  <c r="AQ235" i="3"/>
  <c r="AR235" i="3"/>
  <c r="AQ236" i="3"/>
  <c r="AR236" i="3"/>
  <c r="AQ237" i="3"/>
  <c r="AR237" i="3"/>
  <c r="AQ238" i="3"/>
  <c r="AR238" i="3"/>
  <c r="AQ239" i="3"/>
  <c r="AR239" i="3"/>
  <c r="AQ240" i="3"/>
  <c r="AR240" i="3"/>
  <c r="AQ241" i="3"/>
  <c r="AR241" i="3"/>
  <c r="AQ242" i="3"/>
  <c r="AR242" i="3"/>
  <c r="AQ243" i="3"/>
  <c r="AR243" i="3"/>
  <c r="AQ244" i="3"/>
  <c r="AR244" i="3"/>
  <c r="AQ245" i="3"/>
  <c r="AR245" i="3"/>
  <c r="AQ246" i="3"/>
  <c r="AR246" i="3"/>
  <c r="AQ247" i="3"/>
  <c r="AR247" i="3"/>
  <c r="AQ248" i="3"/>
  <c r="AR248" i="3"/>
  <c r="AA38" i="12" l="1"/>
  <c r="AA34" i="12"/>
  <c r="AA28" i="12"/>
  <c r="AA24" i="12"/>
  <c r="AA22" i="12"/>
  <c r="O6" i="12"/>
  <c r="AY43" i="12"/>
  <c r="AY6" i="12"/>
  <c r="C19" i="12"/>
  <c r="AY9" i="12"/>
  <c r="AY4" i="12"/>
  <c r="AY35" i="12"/>
  <c r="O46" i="12"/>
  <c r="O43" i="12"/>
  <c r="O38" i="12"/>
  <c r="O35" i="12"/>
  <c r="O30" i="12"/>
  <c r="O27" i="12"/>
  <c r="O22" i="12"/>
  <c r="O19" i="12"/>
  <c r="O14" i="12"/>
  <c r="AY46" i="12"/>
  <c r="AY38" i="12"/>
  <c r="AY25" i="12"/>
  <c r="AY20" i="12"/>
  <c r="AY17" i="12"/>
  <c r="AY12" i="12"/>
  <c r="AY30" i="12"/>
  <c r="AY27" i="12"/>
  <c r="AY22" i="12"/>
  <c r="AY19" i="12"/>
  <c r="AY14" i="12"/>
  <c r="AA29" i="12"/>
  <c r="AA25" i="12"/>
  <c r="AA23" i="12"/>
  <c r="AA19" i="12"/>
  <c r="AA15" i="12"/>
  <c r="AA9" i="12"/>
  <c r="AA5" i="12"/>
  <c r="AA3" i="12"/>
  <c r="AA42" i="12"/>
  <c r="AM40" i="12"/>
  <c r="AM45" i="12"/>
  <c r="AM37" i="12"/>
  <c r="AY28" i="12"/>
  <c r="O52" i="12"/>
  <c r="O44" i="12"/>
  <c r="O41" i="12"/>
  <c r="O36" i="12"/>
  <c r="O33" i="12"/>
  <c r="O28" i="12"/>
  <c r="O25" i="12"/>
  <c r="O17" i="12"/>
  <c r="O9" i="12"/>
  <c r="O4" i="12"/>
  <c r="AM3" i="12"/>
  <c r="AM50" i="12"/>
  <c r="AM30" i="12"/>
  <c r="AM22" i="12"/>
  <c r="AM14" i="12"/>
  <c r="AM11" i="12"/>
  <c r="AM6" i="12"/>
  <c r="AM39" i="12"/>
  <c r="AM27" i="12"/>
  <c r="AM23" i="12"/>
  <c r="AM15" i="12"/>
  <c r="AM24" i="12"/>
  <c r="AM12" i="12"/>
  <c r="AM48" i="12"/>
  <c r="AM26" i="12"/>
  <c r="AM43" i="12"/>
  <c r="AM19" i="12"/>
  <c r="AM10" i="12"/>
  <c r="AM7" i="12"/>
  <c r="AM35" i="12"/>
  <c r="AM31" i="12"/>
  <c r="BK50" i="12"/>
  <c r="BK46" i="12"/>
  <c r="BK43" i="12"/>
  <c r="BK38" i="12"/>
  <c r="BK35" i="12"/>
  <c r="BK31" i="12"/>
  <c r="BK26" i="12"/>
  <c r="BK22" i="12"/>
  <c r="BK19" i="12"/>
  <c r="BK14" i="12"/>
  <c r="BK10" i="12"/>
  <c r="BK7" i="12"/>
  <c r="BK53" i="12"/>
  <c r="BK48" i="12"/>
  <c r="BK44" i="12"/>
  <c r="BK41" i="12"/>
  <c r="BK36" i="12"/>
  <c r="BK33" i="12"/>
  <c r="BK29" i="12"/>
  <c r="BK24" i="12"/>
  <c r="BK20" i="12"/>
  <c r="BK17" i="12"/>
  <c r="BK12" i="12"/>
  <c r="BK8" i="12"/>
  <c r="BK5" i="12"/>
  <c r="AM53" i="12"/>
  <c r="AM44" i="12"/>
  <c r="AM36" i="12"/>
  <c r="AM20" i="12"/>
  <c r="AM33" i="12"/>
  <c r="AM29" i="12"/>
  <c r="AM17" i="12"/>
  <c r="AM8" i="12"/>
  <c r="AM5" i="12"/>
  <c r="AA53" i="12"/>
  <c r="AA51" i="12"/>
  <c r="AA49" i="12"/>
  <c r="AA47" i="12"/>
  <c r="AA45" i="12"/>
  <c r="AA41" i="12"/>
  <c r="AA37" i="12"/>
  <c r="AA33" i="12"/>
  <c r="AA31" i="12"/>
  <c r="AA27" i="12"/>
  <c r="AA21" i="12"/>
  <c r="AA17" i="12"/>
  <c r="AA13" i="12"/>
  <c r="AA11" i="12"/>
  <c r="AA7" i="12"/>
  <c r="AA52" i="12"/>
  <c r="AA50" i="12"/>
  <c r="AA48" i="12"/>
  <c r="AA46" i="12"/>
  <c r="AA44" i="12"/>
  <c r="AA40" i="12"/>
  <c r="AA36" i="12"/>
  <c r="AA32" i="12"/>
  <c r="AA30" i="12"/>
  <c r="AA26" i="12"/>
  <c r="AA20" i="12"/>
  <c r="AA16" i="12"/>
  <c r="AA12" i="12"/>
  <c r="AA10" i="12"/>
  <c r="AA6" i="12"/>
  <c r="O50" i="12"/>
  <c r="O20" i="12"/>
  <c r="C11" i="12"/>
  <c r="O11" i="12"/>
  <c r="O12" i="12"/>
  <c r="AY50" i="12"/>
  <c r="AY47" i="12"/>
  <c r="AY42" i="12"/>
  <c r="AY39" i="12"/>
  <c r="AY34" i="12"/>
  <c r="AY31" i="12"/>
  <c r="AY26" i="12"/>
  <c r="AY23" i="12"/>
  <c r="AY18" i="12"/>
  <c r="AY15" i="12"/>
  <c r="AY10" i="12"/>
  <c r="AY7" i="12"/>
  <c r="AY52" i="12"/>
  <c r="AY49" i="12"/>
  <c r="AY44" i="12"/>
  <c r="AY41" i="12"/>
  <c r="AY36" i="12"/>
  <c r="AY33" i="12"/>
  <c r="AY53" i="12"/>
  <c r="AY48" i="12"/>
  <c r="AY45" i="12"/>
  <c r="AY40" i="12"/>
  <c r="AY37" i="12"/>
  <c r="AY32" i="12"/>
  <c r="AY29" i="12"/>
  <c r="AY24" i="12"/>
  <c r="AY21" i="12"/>
  <c r="AY16" i="12"/>
  <c r="AY13" i="12"/>
  <c r="AY8" i="12"/>
  <c r="AY5" i="12"/>
  <c r="O51" i="12"/>
  <c r="O47" i="12"/>
  <c r="O42" i="12"/>
  <c r="O39" i="12"/>
  <c r="O34" i="12"/>
  <c r="O31" i="12"/>
  <c r="O26" i="12"/>
  <c r="O23" i="12"/>
  <c r="O18" i="12"/>
  <c r="O15" i="12"/>
  <c r="O10" i="12"/>
  <c r="O7" i="12"/>
  <c r="O3" i="12"/>
  <c r="O53" i="12"/>
  <c r="O49" i="12"/>
  <c r="O45" i="12"/>
  <c r="O40" i="12"/>
  <c r="O37" i="12"/>
  <c r="O32" i="12"/>
  <c r="O29" i="12"/>
  <c r="O24" i="12"/>
  <c r="O21" i="12"/>
  <c r="O16" i="12"/>
  <c r="O13" i="12"/>
  <c r="O8" i="12"/>
  <c r="O5" i="12"/>
  <c r="C44" i="12"/>
  <c r="C36" i="12"/>
  <c r="C28" i="12"/>
  <c r="C20" i="12"/>
  <c r="C12" i="12"/>
  <c r="C53" i="12"/>
  <c r="C49" i="12"/>
  <c r="C45" i="12"/>
  <c r="C41" i="12"/>
  <c r="C37" i="12"/>
  <c r="C33" i="12"/>
  <c r="C29" i="12"/>
  <c r="C25" i="12"/>
  <c r="C21" i="12"/>
  <c r="C17" i="12"/>
  <c r="C13" i="12"/>
  <c r="C9" i="12"/>
  <c r="C5" i="12"/>
  <c r="C10" i="12"/>
  <c r="C6" i="12"/>
  <c r="C52" i="12"/>
  <c r="C46" i="12"/>
  <c r="C38" i="12"/>
  <c r="C30" i="12"/>
  <c r="C3" i="12"/>
  <c r="C51" i="12"/>
  <c r="C47" i="12"/>
  <c r="C43" i="12"/>
  <c r="C39" i="12"/>
  <c r="C35" i="12"/>
  <c r="C31" i="12"/>
  <c r="C27" i="12"/>
  <c r="C23" i="12"/>
  <c r="C15" i="12"/>
  <c r="C7" i="12"/>
  <c r="C50" i="12"/>
  <c r="C8" i="12"/>
  <c r="C4" i="12"/>
  <c r="K249" i="1"/>
  <c r="J249" i="1"/>
  <c r="C54" i="12" l="1"/>
  <c r="B1" i="1"/>
  <c r="C51" i="7" s="1"/>
  <c r="G51" i="7" l="1"/>
  <c r="H51" i="7"/>
  <c r="F51" i="7"/>
  <c r="E51" i="7"/>
  <c r="D51" i="7"/>
  <c r="D3" i="7"/>
  <c r="BD250" i="1" l="1"/>
  <c r="BE250" i="1"/>
  <c r="AR250" i="1"/>
  <c r="AS250" i="1"/>
  <c r="H3" i="7" l="1"/>
  <c r="G3" i="7"/>
  <c r="F3" i="7"/>
  <c r="E3" i="7"/>
  <c r="H7" i="7" l="1"/>
  <c r="G7" i="7"/>
  <c r="F7" i="7"/>
  <c r="E7" i="7"/>
  <c r="D7" i="7"/>
  <c r="C7" i="7"/>
  <c r="H5" i="7"/>
  <c r="G5" i="7"/>
  <c r="F5" i="7"/>
  <c r="E5" i="7"/>
  <c r="D5" i="7"/>
  <c r="C5" i="7"/>
  <c r="H4" i="7"/>
  <c r="G4" i="7"/>
  <c r="F4" i="7"/>
  <c r="E4" i="7"/>
  <c r="D4" i="7"/>
  <c r="C4" i="7"/>
  <c r="C3" i="7"/>
  <c r="J51" i="7" l="1"/>
  <c r="AS3" i="3"/>
  <c r="AK3" i="3"/>
  <c r="AC3" i="3"/>
  <c r="U3" i="3"/>
  <c r="M3" i="3"/>
  <c r="E3" i="3"/>
  <c r="AS2" i="3"/>
  <c r="AK2" i="3"/>
  <c r="AC2" i="3"/>
  <c r="U2" i="3"/>
  <c r="M2" i="3"/>
  <c r="E2" i="3"/>
  <c r="AU1" i="3"/>
  <c r="AM1" i="3"/>
  <c r="AE1" i="3"/>
  <c r="W1" i="3"/>
  <c r="O1" i="3"/>
  <c r="G1" i="3"/>
  <c r="E1" i="3"/>
  <c r="M1" i="3" s="1"/>
  <c r="U1" i="3" s="1"/>
  <c r="AC1" i="3" s="1"/>
  <c r="AK1" i="3" s="1"/>
  <c r="AS1" i="3" s="1"/>
  <c r="AZ1" i="2"/>
  <c r="AQ1" i="2"/>
  <c r="AH1" i="2"/>
  <c r="Y1" i="2"/>
  <c r="P1" i="2"/>
  <c r="G1" i="2"/>
  <c r="AR7" i="3" l="1"/>
  <c r="AR8" i="3"/>
  <c r="AR9" i="3"/>
  <c r="AR10" i="3"/>
  <c r="AR11" i="3"/>
  <c r="AR12" i="3"/>
  <c r="AR13" i="3"/>
  <c r="AR14" i="3"/>
  <c r="AR15" i="3"/>
  <c r="AR16" i="3"/>
  <c r="AR17" i="3"/>
  <c r="AR18" i="3"/>
  <c r="AR19" i="3"/>
  <c r="AR20" i="3"/>
  <c r="AR21" i="3"/>
  <c r="AR22" i="3"/>
  <c r="AR23" i="3"/>
  <c r="AR24" i="3"/>
  <c r="AR25" i="3"/>
  <c r="AR26" i="3"/>
  <c r="AR27" i="3"/>
  <c r="AR28" i="3"/>
  <c r="AR29" i="3"/>
  <c r="AR30" i="3"/>
  <c r="AR31" i="3"/>
  <c r="AR32" i="3"/>
  <c r="AR33" i="3"/>
  <c r="AR34" i="3"/>
  <c r="AR35" i="3"/>
  <c r="AR36" i="3"/>
  <c r="AR37" i="3"/>
  <c r="AR38" i="3"/>
  <c r="AR39" i="3"/>
  <c r="AR40" i="3"/>
  <c r="AR41" i="3"/>
  <c r="AR42" i="3"/>
  <c r="AR43" i="3"/>
  <c r="AR44" i="3"/>
  <c r="AR45" i="3"/>
  <c r="AR46" i="3"/>
  <c r="AR47" i="3"/>
  <c r="AR48" i="3"/>
  <c r="AR49" i="3"/>
  <c r="AR50" i="3"/>
  <c r="AR51" i="3"/>
  <c r="AR52" i="3"/>
  <c r="AR53" i="3"/>
  <c r="AR54" i="3"/>
  <c r="AR55" i="3"/>
  <c r="AR56" i="3"/>
  <c r="AR57" i="3"/>
  <c r="AR58" i="3"/>
  <c r="AR59" i="3"/>
  <c r="AR60" i="3"/>
  <c r="AR61" i="3"/>
  <c r="AR62" i="3"/>
  <c r="AR63" i="3"/>
  <c r="AR64" i="3"/>
  <c r="AR65" i="3"/>
  <c r="AR66" i="3"/>
  <c r="AR67" i="3"/>
  <c r="AR68" i="3"/>
  <c r="AR69" i="3"/>
  <c r="AR70" i="3"/>
  <c r="AR71" i="3"/>
  <c r="AR72" i="3"/>
  <c r="AR73" i="3"/>
  <c r="AR74" i="3"/>
  <c r="AR75" i="3"/>
  <c r="AR76" i="3"/>
  <c r="AR77" i="3"/>
  <c r="AR78" i="3"/>
  <c r="AR79" i="3"/>
  <c r="AR80" i="3"/>
  <c r="AR81" i="3"/>
  <c r="AR82" i="3"/>
  <c r="AR83" i="3"/>
  <c r="AR84" i="3"/>
  <c r="AR85" i="3"/>
  <c r="AR86" i="3"/>
  <c r="AR87" i="3"/>
  <c r="AR88" i="3"/>
  <c r="AR89" i="3"/>
  <c r="AR90" i="3"/>
  <c r="AR91" i="3"/>
  <c r="AR92" i="3"/>
  <c r="AR93" i="3"/>
  <c r="AR94" i="3"/>
  <c r="AR95" i="3"/>
  <c r="AR96" i="3"/>
  <c r="AR97" i="3"/>
  <c r="AR98" i="3"/>
  <c r="AR99" i="3"/>
  <c r="AR100" i="3"/>
  <c r="AR101" i="3"/>
  <c r="AR102" i="3"/>
  <c r="AR103" i="3"/>
  <c r="AR104" i="3"/>
  <c r="AR105" i="3"/>
  <c r="AR106" i="3"/>
  <c r="AR107" i="3"/>
  <c r="AR108" i="3"/>
  <c r="AR109" i="3"/>
  <c r="AR110" i="3"/>
  <c r="AR111" i="3"/>
  <c r="AR112" i="3"/>
  <c r="AR113" i="3"/>
  <c r="AR114" i="3"/>
  <c r="AR115" i="3"/>
  <c r="AR116" i="3"/>
  <c r="AR117" i="3"/>
  <c r="AR118" i="3"/>
  <c r="AR119" i="3"/>
  <c r="AR120" i="3"/>
  <c r="AR121" i="3"/>
  <c r="AR122" i="3"/>
  <c r="AR123" i="3"/>
  <c r="AR124" i="3"/>
  <c r="AR125" i="3"/>
  <c r="AR126" i="3"/>
  <c r="AR127" i="3"/>
  <c r="AR128" i="3"/>
  <c r="AR129" i="3"/>
  <c r="AR130" i="3"/>
  <c r="AR131" i="3"/>
  <c r="AR132" i="3"/>
  <c r="AR133" i="3"/>
  <c r="AR134" i="3"/>
  <c r="AR135" i="3"/>
  <c r="AR136" i="3"/>
  <c r="AR137" i="3"/>
  <c r="AR138" i="3"/>
  <c r="AR139" i="3"/>
  <c r="AR140" i="3"/>
  <c r="AR141" i="3"/>
  <c r="AR142" i="3"/>
  <c r="AR143" i="3"/>
  <c r="AR144" i="3"/>
  <c r="AR145" i="3"/>
  <c r="AR146" i="3"/>
  <c r="AR147" i="3"/>
  <c r="AR148" i="3"/>
  <c r="AR149" i="3"/>
  <c r="AR150" i="3"/>
  <c r="AR151" i="3"/>
  <c r="AR152" i="3"/>
  <c r="AR153" i="3"/>
  <c r="AR154" i="3"/>
  <c r="AR155" i="3"/>
  <c r="AR156" i="3"/>
  <c r="AR157" i="3"/>
  <c r="AR158" i="3"/>
  <c r="AR159" i="3"/>
  <c r="AR160" i="3"/>
  <c r="AR161" i="3"/>
  <c r="AR162" i="3"/>
  <c r="AR163" i="3"/>
  <c r="AR164" i="3"/>
  <c r="AR165" i="3"/>
  <c r="AR166" i="3"/>
  <c r="AR167" i="3"/>
  <c r="AR168" i="3"/>
  <c r="AR169" i="3"/>
  <c r="AR170" i="3"/>
  <c r="AR171" i="3"/>
  <c r="AR172" i="3"/>
  <c r="AR173" i="3"/>
  <c r="AR174" i="3"/>
  <c r="AR175" i="3"/>
  <c r="AR176" i="3"/>
  <c r="AR177" i="3"/>
  <c r="AR178" i="3"/>
  <c r="AR179" i="3"/>
  <c r="AR180" i="3"/>
  <c r="AR181" i="3"/>
  <c r="AR182" i="3"/>
  <c r="AR183" i="3"/>
  <c r="AR184" i="3"/>
  <c r="AR185" i="3"/>
  <c r="AR186" i="3"/>
  <c r="AR187" i="3"/>
  <c r="AR188" i="3"/>
  <c r="AR189" i="3"/>
  <c r="AR190" i="3"/>
  <c r="AR191" i="3"/>
  <c r="AR192" i="3"/>
  <c r="AR193" i="3"/>
  <c r="AR194" i="3"/>
  <c r="AR195" i="3"/>
  <c r="AR196" i="3"/>
  <c r="AR197" i="3"/>
  <c r="AR198" i="3"/>
  <c r="AR199" i="3"/>
  <c r="AR200" i="3"/>
  <c r="AR6" i="3"/>
  <c r="AQ7" i="3"/>
  <c r="AQ8" i="3"/>
  <c r="AQ9" i="3"/>
  <c r="AQ10" i="3"/>
  <c r="AQ11" i="3"/>
  <c r="AQ12" i="3"/>
  <c r="AQ13" i="3"/>
  <c r="AQ14" i="3"/>
  <c r="AQ15" i="3"/>
  <c r="AQ16" i="3"/>
  <c r="AQ17" i="3"/>
  <c r="AQ18" i="3"/>
  <c r="AQ19" i="3"/>
  <c r="AQ20" i="3"/>
  <c r="AQ21" i="3"/>
  <c r="AQ22" i="3"/>
  <c r="AQ23" i="3"/>
  <c r="AQ24" i="3"/>
  <c r="AQ25" i="3"/>
  <c r="AQ26" i="3"/>
  <c r="AQ27" i="3"/>
  <c r="AQ28" i="3"/>
  <c r="AQ29" i="3"/>
  <c r="AQ30" i="3"/>
  <c r="AQ31" i="3"/>
  <c r="AQ32" i="3"/>
  <c r="AQ33" i="3"/>
  <c r="AQ34" i="3"/>
  <c r="AQ35" i="3"/>
  <c r="AQ36" i="3"/>
  <c r="AQ37" i="3"/>
  <c r="AQ38" i="3"/>
  <c r="AQ39" i="3"/>
  <c r="AQ40" i="3"/>
  <c r="AQ41" i="3"/>
  <c r="AQ42" i="3"/>
  <c r="AQ43" i="3"/>
  <c r="AQ44" i="3"/>
  <c r="AQ45" i="3"/>
  <c r="AQ46" i="3"/>
  <c r="AQ47" i="3"/>
  <c r="AQ48" i="3"/>
  <c r="AQ49" i="3"/>
  <c r="AQ50" i="3"/>
  <c r="AQ51" i="3"/>
  <c r="AQ52" i="3"/>
  <c r="AQ53" i="3"/>
  <c r="AQ54" i="3"/>
  <c r="AQ55" i="3"/>
  <c r="AQ56" i="3"/>
  <c r="AQ57" i="3"/>
  <c r="AQ58" i="3"/>
  <c r="AQ59" i="3"/>
  <c r="AQ60" i="3"/>
  <c r="AQ61" i="3"/>
  <c r="AQ62" i="3"/>
  <c r="AQ63" i="3"/>
  <c r="AQ64" i="3"/>
  <c r="AQ65" i="3"/>
  <c r="AQ66" i="3"/>
  <c r="AQ67" i="3"/>
  <c r="AQ68" i="3"/>
  <c r="AQ69" i="3"/>
  <c r="AQ70" i="3"/>
  <c r="AQ71" i="3"/>
  <c r="AQ72" i="3"/>
  <c r="AQ73" i="3"/>
  <c r="AQ74" i="3"/>
  <c r="AQ75" i="3"/>
  <c r="AQ76" i="3"/>
  <c r="AQ77" i="3"/>
  <c r="AQ78" i="3"/>
  <c r="AQ79" i="3"/>
  <c r="AQ80" i="3"/>
  <c r="AQ81" i="3"/>
  <c r="AQ82" i="3"/>
  <c r="AQ83" i="3"/>
  <c r="AQ84" i="3"/>
  <c r="AQ85" i="3"/>
  <c r="AQ86" i="3"/>
  <c r="AQ87" i="3"/>
  <c r="AQ88" i="3"/>
  <c r="AQ89" i="3"/>
  <c r="AQ90" i="3"/>
  <c r="AQ91" i="3"/>
  <c r="AQ92" i="3"/>
  <c r="AQ93" i="3"/>
  <c r="AQ94" i="3"/>
  <c r="AQ95" i="3"/>
  <c r="AQ96" i="3"/>
  <c r="AQ97" i="3"/>
  <c r="AQ98" i="3"/>
  <c r="AQ99" i="3"/>
  <c r="AQ100" i="3"/>
  <c r="AQ101" i="3"/>
  <c r="AQ102" i="3"/>
  <c r="AQ103" i="3"/>
  <c r="AQ104" i="3"/>
  <c r="AQ105" i="3"/>
  <c r="AQ106" i="3"/>
  <c r="AQ107" i="3"/>
  <c r="AQ108" i="3"/>
  <c r="AQ109" i="3"/>
  <c r="AQ110" i="3"/>
  <c r="AQ111" i="3"/>
  <c r="AQ112" i="3"/>
  <c r="AQ113" i="3"/>
  <c r="AQ114" i="3"/>
  <c r="AQ115" i="3"/>
  <c r="AQ116" i="3"/>
  <c r="AQ117" i="3"/>
  <c r="AQ118" i="3"/>
  <c r="AQ119" i="3"/>
  <c r="AQ120" i="3"/>
  <c r="AQ121" i="3"/>
  <c r="AQ122" i="3"/>
  <c r="AQ123" i="3"/>
  <c r="AQ124" i="3"/>
  <c r="AQ125" i="3"/>
  <c r="AQ126" i="3"/>
  <c r="AQ127" i="3"/>
  <c r="AQ128" i="3"/>
  <c r="AQ129" i="3"/>
  <c r="AQ130" i="3"/>
  <c r="AQ131" i="3"/>
  <c r="AQ132" i="3"/>
  <c r="AQ133" i="3"/>
  <c r="AQ134" i="3"/>
  <c r="AQ135" i="3"/>
  <c r="AQ136" i="3"/>
  <c r="AQ137" i="3"/>
  <c r="AQ138" i="3"/>
  <c r="AQ139" i="3"/>
  <c r="AQ140" i="3"/>
  <c r="AQ141" i="3"/>
  <c r="AQ142" i="3"/>
  <c r="AQ143" i="3"/>
  <c r="AQ144" i="3"/>
  <c r="AQ145" i="3"/>
  <c r="AQ146" i="3"/>
  <c r="AQ147" i="3"/>
  <c r="AQ148" i="3"/>
  <c r="AQ149" i="3"/>
  <c r="AQ150" i="3"/>
  <c r="AQ151" i="3"/>
  <c r="AQ152" i="3"/>
  <c r="AQ153" i="3"/>
  <c r="AQ154" i="3"/>
  <c r="AQ155" i="3"/>
  <c r="AQ156" i="3"/>
  <c r="AQ157" i="3"/>
  <c r="AQ158" i="3"/>
  <c r="AQ159" i="3"/>
  <c r="AQ160" i="3"/>
  <c r="AQ161" i="3"/>
  <c r="AQ162" i="3"/>
  <c r="AQ163" i="3"/>
  <c r="AQ164" i="3"/>
  <c r="AQ165" i="3"/>
  <c r="AQ166" i="3"/>
  <c r="AQ167" i="3"/>
  <c r="AQ168" i="3"/>
  <c r="AQ169" i="3"/>
  <c r="AQ170" i="3"/>
  <c r="AQ171" i="3"/>
  <c r="AQ172" i="3"/>
  <c r="AQ173" i="3"/>
  <c r="AQ174" i="3"/>
  <c r="AQ175" i="3"/>
  <c r="AQ176" i="3"/>
  <c r="AQ177" i="3"/>
  <c r="AQ178" i="3"/>
  <c r="AQ179" i="3"/>
  <c r="AQ180" i="3"/>
  <c r="AQ181" i="3"/>
  <c r="AQ182" i="3"/>
  <c r="AQ183" i="3"/>
  <c r="AQ184" i="3"/>
  <c r="AQ185" i="3"/>
  <c r="AQ186" i="3"/>
  <c r="AQ187" i="3"/>
  <c r="AQ188" i="3"/>
  <c r="AQ189" i="3"/>
  <c r="AQ190" i="3"/>
  <c r="AQ191" i="3"/>
  <c r="AQ192" i="3"/>
  <c r="AQ193" i="3"/>
  <c r="AQ194" i="3"/>
  <c r="AQ195" i="3"/>
  <c r="AQ196" i="3"/>
  <c r="AQ197" i="3"/>
  <c r="AQ198" i="3"/>
  <c r="AQ199" i="3"/>
  <c r="AQ200" i="3"/>
  <c r="AQ6" i="3"/>
  <c r="AJ7" i="3"/>
  <c r="AJ8" i="3"/>
  <c r="AJ9" i="3"/>
  <c r="AJ10" i="3"/>
  <c r="AJ11" i="3"/>
  <c r="AJ12" i="3"/>
  <c r="AJ13" i="3"/>
  <c r="AJ14" i="3"/>
  <c r="AJ15" i="3"/>
  <c r="AJ16" i="3"/>
  <c r="AJ17" i="3"/>
  <c r="AJ18" i="3"/>
  <c r="AJ19" i="3"/>
  <c r="AJ20" i="3"/>
  <c r="AJ21" i="3"/>
  <c r="AJ22" i="3"/>
  <c r="AJ23" i="3"/>
  <c r="AJ24" i="3"/>
  <c r="AJ25" i="3"/>
  <c r="AJ26" i="3"/>
  <c r="AJ27" i="3"/>
  <c r="AJ28" i="3"/>
  <c r="AJ29" i="3"/>
  <c r="AJ30" i="3"/>
  <c r="AJ31" i="3"/>
  <c r="AJ32" i="3"/>
  <c r="AJ33" i="3"/>
  <c r="AJ34" i="3"/>
  <c r="AJ35" i="3"/>
  <c r="AJ36" i="3"/>
  <c r="AJ37" i="3"/>
  <c r="AJ38" i="3"/>
  <c r="AJ39" i="3"/>
  <c r="AJ40" i="3"/>
  <c r="AJ41" i="3"/>
  <c r="AJ42" i="3"/>
  <c r="AJ43" i="3"/>
  <c r="AJ44" i="3"/>
  <c r="AJ45" i="3"/>
  <c r="AJ46" i="3"/>
  <c r="AJ47" i="3"/>
  <c r="AJ48" i="3"/>
  <c r="AJ49" i="3"/>
  <c r="AJ50" i="3"/>
  <c r="AJ51" i="3"/>
  <c r="AJ52" i="3"/>
  <c r="AJ53" i="3"/>
  <c r="AJ54" i="3"/>
  <c r="AJ55" i="3"/>
  <c r="AJ56" i="3"/>
  <c r="AJ57" i="3"/>
  <c r="AJ58" i="3"/>
  <c r="AJ59" i="3"/>
  <c r="AJ60" i="3"/>
  <c r="AJ61" i="3"/>
  <c r="AJ62" i="3"/>
  <c r="AJ63" i="3"/>
  <c r="AJ64" i="3"/>
  <c r="AJ65" i="3"/>
  <c r="AJ66" i="3"/>
  <c r="AJ67" i="3"/>
  <c r="AJ68" i="3"/>
  <c r="AJ69" i="3"/>
  <c r="AJ70" i="3"/>
  <c r="AJ71" i="3"/>
  <c r="AJ72" i="3"/>
  <c r="AJ73" i="3"/>
  <c r="AJ74" i="3"/>
  <c r="AJ75" i="3"/>
  <c r="AJ76" i="3"/>
  <c r="AJ77" i="3"/>
  <c r="AJ78" i="3"/>
  <c r="AJ79" i="3"/>
  <c r="AJ80" i="3"/>
  <c r="AJ81" i="3"/>
  <c r="AJ82" i="3"/>
  <c r="AJ83" i="3"/>
  <c r="AJ84" i="3"/>
  <c r="AJ85" i="3"/>
  <c r="AJ86" i="3"/>
  <c r="AJ87" i="3"/>
  <c r="AJ88" i="3"/>
  <c r="AJ89" i="3"/>
  <c r="AJ90" i="3"/>
  <c r="AJ91" i="3"/>
  <c r="AJ92" i="3"/>
  <c r="AJ93" i="3"/>
  <c r="AJ94" i="3"/>
  <c r="AJ95" i="3"/>
  <c r="AJ96" i="3"/>
  <c r="AJ97" i="3"/>
  <c r="AJ98" i="3"/>
  <c r="AJ99" i="3"/>
  <c r="AJ100" i="3"/>
  <c r="AJ101" i="3"/>
  <c r="AJ102" i="3"/>
  <c r="AJ103" i="3"/>
  <c r="AJ104" i="3"/>
  <c r="AJ105" i="3"/>
  <c r="AJ106" i="3"/>
  <c r="AJ107" i="3"/>
  <c r="AJ108" i="3"/>
  <c r="AJ109" i="3"/>
  <c r="AJ110" i="3"/>
  <c r="AJ111" i="3"/>
  <c r="AJ112" i="3"/>
  <c r="AJ113" i="3"/>
  <c r="AJ114" i="3"/>
  <c r="AJ115" i="3"/>
  <c r="AJ116" i="3"/>
  <c r="AJ117" i="3"/>
  <c r="AJ118" i="3"/>
  <c r="AJ119" i="3"/>
  <c r="AJ120" i="3"/>
  <c r="AJ121" i="3"/>
  <c r="AJ122" i="3"/>
  <c r="AJ123" i="3"/>
  <c r="AJ124" i="3"/>
  <c r="AJ125" i="3"/>
  <c r="AJ126" i="3"/>
  <c r="AJ127" i="3"/>
  <c r="AJ128" i="3"/>
  <c r="AJ129" i="3"/>
  <c r="AJ130" i="3"/>
  <c r="AJ131" i="3"/>
  <c r="AJ132" i="3"/>
  <c r="AJ133" i="3"/>
  <c r="AJ134" i="3"/>
  <c r="AJ135" i="3"/>
  <c r="AJ136" i="3"/>
  <c r="AJ137" i="3"/>
  <c r="AJ138" i="3"/>
  <c r="AJ139" i="3"/>
  <c r="AJ140" i="3"/>
  <c r="AJ141" i="3"/>
  <c r="AJ142" i="3"/>
  <c r="AJ143" i="3"/>
  <c r="AJ144" i="3"/>
  <c r="AJ145" i="3"/>
  <c r="AJ146" i="3"/>
  <c r="AJ147" i="3"/>
  <c r="AJ148" i="3"/>
  <c r="AJ149" i="3"/>
  <c r="AJ150" i="3"/>
  <c r="AJ151" i="3"/>
  <c r="AJ152" i="3"/>
  <c r="AJ153" i="3"/>
  <c r="AJ154" i="3"/>
  <c r="AJ155" i="3"/>
  <c r="AJ156" i="3"/>
  <c r="AJ157" i="3"/>
  <c r="AJ158" i="3"/>
  <c r="AJ159" i="3"/>
  <c r="AJ160" i="3"/>
  <c r="AJ161" i="3"/>
  <c r="AJ162" i="3"/>
  <c r="AJ163" i="3"/>
  <c r="AJ164" i="3"/>
  <c r="AJ165" i="3"/>
  <c r="AJ166" i="3"/>
  <c r="AJ167" i="3"/>
  <c r="AJ168" i="3"/>
  <c r="AJ169" i="3"/>
  <c r="AJ170" i="3"/>
  <c r="AJ171" i="3"/>
  <c r="AJ172" i="3"/>
  <c r="AJ173" i="3"/>
  <c r="AJ174" i="3"/>
  <c r="AJ175" i="3"/>
  <c r="AJ176" i="3"/>
  <c r="AJ177" i="3"/>
  <c r="AJ178" i="3"/>
  <c r="AJ179" i="3"/>
  <c r="AJ180" i="3"/>
  <c r="AJ181" i="3"/>
  <c r="AJ182" i="3"/>
  <c r="AJ183" i="3"/>
  <c r="AJ184" i="3"/>
  <c r="AJ185" i="3"/>
  <c r="AJ186" i="3"/>
  <c r="AJ187" i="3"/>
  <c r="AJ188" i="3"/>
  <c r="AJ189" i="3"/>
  <c r="AJ190" i="3"/>
  <c r="AJ191" i="3"/>
  <c r="AJ192" i="3"/>
  <c r="AJ193" i="3"/>
  <c r="AJ194" i="3"/>
  <c r="AJ195" i="3"/>
  <c r="AJ196" i="3"/>
  <c r="AJ197" i="3"/>
  <c r="AJ198" i="3"/>
  <c r="AJ199" i="3"/>
  <c r="AJ200" i="3"/>
  <c r="AJ6" i="3"/>
  <c r="AI7" i="3"/>
  <c r="AI8" i="3"/>
  <c r="AI9" i="3"/>
  <c r="AI10" i="3"/>
  <c r="AI11" i="3"/>
  <c r="AI12" i="3"/>
  <c r="AI13" i="3"/>
  <c r="AI14" i="3"/>
  <c r="AI15" i="3"/>
  <c r="AI16" i="3"/>
  <c r="AI17" i="3"/>
  <c r="AI18" i="3"/>
  <c r="AI19" i="3"/>
  <c r="AI20" i="3"/>
  <c r="AI21" i="3"/>
  <c r="AI22" i="3"/>
  <c r="AI23" i="3"/>
  <c r="AI24" i="3"/>
  <c r="AI25" i="3"/>
  <c r="AI26" i="3"/>
  <c r="AI27" i="3"/>
  <c r="AI28" i="3"/>
  <c r="AI29" i="3"/>
  <c r="AI30" i="3"/>
  <c r="AI31" i="3"/>
  <c r="AI32" i="3"/>
  <c r="AI33" i="3"/>
  <c r="AI34" i="3"/>
  <c r="AI35" i="3"/>
  <c r="AI36" i="3"/>
  <c r="AI37" i="3"/>
  <c r="AI38" i="3"/>
  <c r="AI39" i="3"/>
  <c r="AI40" i="3"/>
  <c r="AI41" i="3"/>
  <c r="AI42" i="3"/>
  <c r="AI43" i="3"/>
  <c r="AI44" i="3"/>
  <c r="AI45" i="3"/>
  <c r="AI46" i="3"/>
  <c r="AI47" i="3"/>
  <c r="AI48" i="3"/>
  <c r="AI49" i="3"/>
  <c r="AI50" i="3"/>
  <c r="AI51" i="3"/>
  <c r="AI52" i="3"/>
  <c r="AI53" i="3"/>
  <c r="AI54" i="3"/>
  <c r="AI55" i="3"/>
  <c r="AI56" i="3"/>
  <c r="AI57" i="3"/>
  <c r="AI58" i="3"/>
  <c r="AI59" i="3"/>
  <c r="AI60" i="3"/>
  <c r="AI61" i="3"/>
  <c r="AI62" i="3"/>
  <c r="AI63" i="3"/>
  <c r="AI64" i="3"/>
  <c r="AI65" i="3"/>
  <c r="AI66" i="3"/>
  <c r="AI67" i="3"/>
  <c r="AI68" i="3"/>
  <c r="AI69" i="3"/>
  <c r="AI70" i="3"/>
  <c r="AI71" i="3"/>
  <c r="AI72" i="3"/>
  <c r="AI73" i="3"/>
  <c r="AI74" i="3"/>
  <c r="AI75" i="3"/>
  <c r="AI76" i="3"/>
  <c r="AI77" i="3"/>
  <c r="AI78" i="3"/>
  <c r="AI79" i="3"/>
  <c r="AI80" i="3"/>
  <c r="AI81" i="3"/>
  <c r="AI82" i="3"/>
  <c r="AI83" i="3"/>
  <c r="AI84" i="3"/>
  <c r="AI85" i="3"/>
  <c r="AI86" i="3"/>
  <c r="AI87" i="3"/>
  <c r="AI88" i="3"/>
  <c r="AI89" i="3"/>
  <c r="AI90" i="3"/>
  <c r="AI91" i="3"/>
  <c r="AI92" i="3"/>
  <c r="AI93" i="3"/>
  <c r="AI94" i="3"/>
  <c r="AI95" i="3"/>
  <c r="AI96" i="3"/>
  <c r="AI97" i="3"/>
  <c r="AI98" i="3"/>
  <c r="AI99" i="3"/>
  <c r="AI100" i="3"/>
  <c r="AI101" i="3"/>
  <c r="AI102" i="3"/>
  <c r="AI103" i="3"/>
  <c r="AI104" i="3"/>
  <c r="AI105" i="3"/>
  <c r="AI106" i="3"/>
  <c r="AI107" i="3"/>
  <c r="AI108" i="3"/>
  <c r="AI109" i="3"/>
  <c r="AI110" i="3"/>
  <c r="AI111" i="3"/>
  <c r="AI112" i="3"/>
  <c r="AI113" i="3"/>
  <c r="AI114" i="3"/>
  <c r="AI115" i="3"/>
  <c r="AI116" i="3"/>
  <c r="AI117" i="3"/>
  <c r="AI118" i="3"/>
  <c r="AI119" i="3"/>
  <c r="AI120" i="3"/>
  <c r="AI121" i="3"/>
  <c r="AI122" i="3"/>
  <c r="AI123" i="3"/>
  <c r="AI124" i="3"/>
  <c r="AI125" i="3"/>
  <c r="AI126" i="3"/>
  <c r="AI127" i="3"/>
  <c r="AI128" i="3"/>
  <c r="AI129" i="3"/>
  <c r="AI130" i="3"/>
  <c r="AI131" i="3"/>
  <c r="AI132" i="3"/>
  <c r="AI133" i="3"/>
  <c r="AI134" i="3"/>
  <c r="AI135" i="3"/>
  <c r="AI136" i="3"/>
  <c r="AI137" i="3"/>
  <c r="AI138" i="3"/>
  <c r="AI139" i="3"/>
  <c r="AI140" i="3"/>
  <c r="AI141" i="3"/>
  <c r="AI142" i="3"/>
  <c r="AI143" i="3"/>
  <c r="AI144" i="3"/>
  <c r="AI145" i="3"/>
  <c r="AI146" i="3"/>
  <c r="AI147" i="3"/>
  <c r="AI148" i="3"/>
  <c r="AI149" i="3"/>
  <c r="AI150" i="3"/>
  <c r="AI151" i="3"/>
  <c r="AI152" i="3"/>
  <c r="AI153" i="3"/>
  <c r="AI154" i="3"/>
  <c r="AI155" i="3"/>
  <c r="AI156" i="3"/>
  <c r="AI157" i="3"/>
  <c r="AI158" i="3"/>
  <c r="AI159" i="3"/>
  <c r="AI160" i="3"/>
  <c r="AI161" i="3"/>
  <c r="AI162" i="3"/>
  <c r="AI163" i="3"/>
  <c r="AI164" i="3"/>
  <c r="AI165" i="3"/>
  <c r="AI166" i="3"/>
  <c r="AI167" i="3"/>
  <c r="AI168" i="3"/>
  <c r="AI169" i="3"/>
  <c r="AI170" i="3"/>
  <c r="AI171" i="3"/>
  <c r="AI172" i="3"/>
  <c r="AI173" i="3"/>
  <c r="AI174" i="3"/>
  <c r="AI175" i="3"/>
  <c r="AI176" i="3"/>
  <c r="AI177" i="3"/>
  <c r="AI178" i="3"/>
  <c r="AI179" i="3"/>
  <c r="AI180" i="3"/>
  <c r="AI181" i="3"/>
  <c r="AI182" i="3"/>
  <c r="AI183" i="3"/>
  <c r="AI184" i="3"/>
  <c r="AI185" i="3"/>
  <c r="AI186" i="3"/>
  <c r="AI187" i="3"/>
  <c r="AI188" i="3"/>
  <c r="AI189" i="3"/>
  <c r="AI190" i="3"/>
  <c r="AI191" i="3"/>
  <c r="AI192" i="3"/>
  <c r="AI193" i="3"/>
  <c r="AI194" i="3"/>
  <c r="AI195" i="3"/>
  <c r="AI196" i="3"/>
  <c r="AI197" i="3"/>
  <c r="AI198" i="3"/>
  <c r="AI199" i="3"/>
  <c r="AI200" i="3"/>
  <c r="AI6" i="3"/>
  <c r="AZ8" i="1"/>
  <c r="G6" i="7" s="1"/>
  <c r="AB7" i="3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6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6" i="3"/>
  <c r="AN10" i="1"/>
  <c r="AN9" i="1"/>
  <c r="F8" i="7" s="1"/>
  <c r="AN8" i="1"/>
  <c r="F6" i="7" s="1"/>
  <c r="AB10" i="1"/>
  <c r="AB9" i="1"/>
  <c r="E8" i="7" s="1"/>
  <c r="AB8" i="1"/>
  <c r="E6" i="7" s="1"/>
  <c r="P10" i="1"/>
  <c r="P9" i="1"/>
  <c r="D8" i="7" s="1"/>
  <c r="P8" i="1"/>
  <c r="D6" i="7" s="1"/>
  <c r="D10" i="1"/>
  <c r="D9" i="1"/>
  <c r="C8" i="7" s="1"/>
  <c r="D8" i="1"/>
  <c r="C6" i="7" s="1"/>
  <c r="U250" i="1" l="1"/>
  <c r="AD7" i="2" l="1"/>
  <c r="AD8" i="2"/>
  <c r="AD9" i="2"/>
  <c r="AD10" i="2"/>
  <c r="AD11" i="2"/>
  <c r="AD12" i="2"/>
  <c r="AD13" i="2"/>
  <c r="AD14" i="2"/>
  <c r="AD15" i="2"/>
  <c r="AD16" i="2"/>
  <c r="AD17" i="2"/>
  <c r="AD18" i="2"/>
  <c r="AD19" i="2"/>
  <c r="AD20" i="2"/>
  <c r="AD21" i="2"/>
  <c r="AD22" i="2"/>
  <c r="AD23" i="2"/>
  <c r="AD24" i="2"/>
  <c r="AD25" i="2"/>
  <c r="AD26" i="2"/>
  <c r="AD27" i="2"/>
  <c r="AD28" i="2"/>
  <c r="AD29" i="2"/>
  <c r="AD30" i="2"/>
  <c r="AD31" i="2"/>
  <c r="AD32" i="2"/>
  <c r="AD33" i="2"/>
  <c r="AD34" i="2"/>
  <c r="AD35" i="2"/>
  <c r="AD36" i="2"/>
  <c r="AD37" i="2"/>
  <c r="AD38" i="2"/>
  <c r="AD39" i="2"/>
  <c r="AD40" i="2"/>
  <c r="AD41" i="2"/>
  <c r="AD42" i="2"/>
  <c r="AD43" i="2"/>
  <c r="AD44" i="2"/>
  <c r="AD45" i="2"/>
  <c r="AD46" i="2"/>
  <c r="AD47" i="2"/>
  <c r="AD48" i="2"/>
  <c r="AD49" i="2"/>
  <c r="AD50" i="2"/>
  <c r="AD51" i="2"/>
  <c r="AD52" i="2"/>
  <c r="AD53" i="2"/>
  <c r="AD54" i="2"/>
  <c r="AD55" i="2"/>
  <c r="AD56" i="2"/>
  <c r="AD57" i="2"/>
  <c r="AD58" i="2"/>
  <c r="AD59" i="2"/>
  <c r="AD60" i="2"/>
  <c r="AD61" i="2"/>
  <c r="AD62" i="2"/>
  <c r="AD63" i="2"/>
  <c r="AD64" i="2"/>
  <c r="AD65" i="2"/>
  <c r="AD66" i="2"/>
  <c r="AD67" i="2"/>
  <c r="AD68" i="2"/>
  <c r="AD69" i="2"/>
  <c r="AD70" i="2"/>
  <c r="AD71" i="2"/>
  <c r="AD72" i="2"/>
  <c r="AD73" i="2"/>
  <c r="AD74" i="2"/>
  <c r="AD75" i="2"/>
  <c r="AD76" i="2"/>
  <c r="AD77" i="2"/>
  <c r="AD78" i="2"/>
  <c r="AD79" i="2"/>
  <c r="AD80" i="2"/>
  <c r="AD81" i="2"/>
  <c r="AD82" i="2"/>
  <c r="AD83" i="2"/>
  <c r="AD84" i="2"/>
  <c r="AD85" i="2"/>
  <c r="AD86" i="2"/>
  <c r="AD87" i="2"/>
  <c r="AD88" i="2"/>
  <c r="AD89" i="2"/>
  <c r="AD90" i="2"/>
  <c r="AD91" i="2"/>
  <c r="AD92" i="2"/>
  <c r="AD93" i="2"/>
  <c r="AD94" i="2"/>
  <c r="AD95" i="2"/>
  <c r="AD96" i="2"/>
  <c r="AD97" i="2"/>
  <c r="AD98" i="2"/>
  <c r="AD99" i="2"/>
  <c r="AD100" i="2"/>
  <c r="AD101" i="2"/>
  <c r="AD102" i="2"/>
  <c r="AD103" i="2"/>
  <c r="AD104" i="2"/>
  <c r="AD105" i="2"/>
  <c r="AD106" i="2"/>
  <c r="AD107" i="2"/>
  <c r="AD108" i="2"/>
  <c r="AD109" i="2"/>
  <c r="AD110" i="2"/>
  <c r="AD111" i="2"/>
  <c r="AD112" i="2"/>
  <c r="AD113" i="2"/>
  <c r="AD114" i="2"/>
  <c r="AD115" i="2"/>
  <c r="AD116" i="2"/>
  <c r="AD117" i="2"/>
  <c r="AD118" i="2"/>
  <c r="AD119" i="2"/>
  <c r="AD120" i="2"/>
  <c r="AD121" i="2"/>
  <c r="AD122" i="2"/>
  <c r="AD123" i="2"/>
  <c r="AD124" i="2"/>
  <c r="AD125" i="2"/>
  <c r="AD126" i="2"/>
  <c r="AD127" i="2"/>
  <c r="AD128" i="2"/>
  <c r="AD129" i="2"/>
  <c r="AD130" i="2"/>
  <c r="AD131" i="2"/>
  <c r="AD132" i="2"/>
  <c r="AD133" i="2"/>
  <c r="AD134" i="2"/>
  <c r="AD135" i="2"/>
  <c r="AD136" i="2"/>
  <c r="AD137" i="2"/>
  <c r="AD138" i="2"/>
  <c r="AD139" i="2"/>
  <c r="AD140" i="2"/>
  <c r="AD141" i="2"/>
  <c r="AD142" i="2"/>
  <c r="AD143" i="2"/>
  <c r="AD144" i="2"/>
  <c r="AD145" i="2"/>
  <c r="AD146" i="2"/>
  <c r="AD147" i="2"/>
  <c r="AD148" i="2"/>
  <c r="AD149" i="2"/>
  <c r="AD150" i="2"/>
  <c r="AD151" i="2"/>
  <c r="AD152" i="2"/>
  <c r="AD153" i="2"/>
  <c r="AD154" i="2"/>
  <c r="AD155" i="2"/>
  <c r="AD156" i="2"/>
  <c r="AD157" i="2"/>
  <c r="AD158" i="2"/>
  <c r="AD159" i="2"/>
  <c r="AD160" i="2"/>
  <c r="AD161" i="2"/>
  <c r="AD162" i="2"/>
  <c r="AD163" i="2"/>
  <c r="AD164" i="2"/>
  <c r="AD165" i="2"/>
  <c r="AD166" i="2"/>
  <c r="AD167" i="2"/>
  <c r="AD168" i="2"/>
  <c r="AD169" i="2"/>
  <c r="AD170" i="2"/>
  <c r="AD171" i="2"/>
  <c r="AD172" i="2"/>
  <c r="AD173" i="2"/>
  <c r="AD174" i="2"/>
  <c r="AD175" i="2"/>
  <c r="AD176" i="2"/>
  <c r="AD177" i="2"/>
  <c r="AD178" i="2"/>
  <c r="AD179" i="2"/>
  <c r="AD180" i="2"/>
  <c r="AD181" i="2"/>
  <c r="AD182" i="2"/>
  <c r="AD183" i="2"/>
  <c r="AD184" i="2"/>
  <c r="AD185" i="2"/>
  <c r="AD186" i="2"/>
  <c r="AD187" i="2"/>
  <c r="AD188" i="2"/>
  <c r="AD189" i="2"/>
  <c r="AD190" i="2"/>
  <c r="AD191" i="2"/>
  <c r="AD192" i="2"/>
  <c r="AD193" i="2"/>
  <c r="AD194" i="2"/>
  <c r="AD195" i="2"/>
  <c r="AD196" i="2"/>
  <c r="AD197" i="2"/>
  <c r="AD198" i="2"/>
  <c r="AD199" i="2"/>
  <c r="AD200" i="2"/>
  <c r="AD6" i="2"/>
  <c r="BR250" i="1"/>
  <c r="BQ250" i="1" l="1"/>
  <c r="BP250" i="1"/>
  <c r="BO249" i="1"/>
  <c r="AS3" i="4"/>
  <c r="AS2" i="4"/>
  <c r="AK3" i="4"/>
  <c r="AK2" i="4"/>
  <c r="AC3" i="4"/>
  <c r="AC2" i="4"/>
  <c r="BN2" i="1"/>
  <c r="BK1" i="9" s="1"/>
  <c r="BB2" i="1"/>
  <c r="AY1" i="9" s="1"/>
  <c r="AP2" i="1"/>
  <c r="AM1" i="9" s="1"/>
  <c r="AD2" i="1"/>
  <c r="AA1" i="9" s="1"/>
  <c r="R2" i="1"/>
  <c r="O1" i="9" s="1"/>
  <c r="AH250" i="1"/>
  <c r="AF250" i="1"/>
  <c r="AG250" i="1"/>
  <c r="V250" i="1"/>
  <c r="AQ7" i="4" l="1"/>
  <c r="AQ8" i="4"/>
  <c r="AQ9" i="4"/>
  <c r="AQ10" i="4"/>
  <c r="AQ11" i="4"/>
  <c r="AQ12" i="4"/>
  <c r="AQ13" i="4"/>
  <c r="AQ14" i="4"/>
  <c r="AQ15" i="4"/>
  <c r="AQ16" i="4"/>
  <c r="AQ17" i="4"/>
  <c r="AQ18" i="4"/>
  <c r="AQ19" i="4"/>
  <c r="AQ20" i="4"/>
  <c r="AQ21" i="4"/>
  <c r="AQ22" i="4"/>
  <c r="AQ23" i="4"/>
  <c r="AQ24" i="4"/>
  <c r="AQ25" i="4"/>
  <c r="AQ26" i="4"/>
  <c r="AQ27" i="4"/>
  <c r="AQ28" i="4"/>
  <c r="AQ29" i="4"/>
  <c r="AQ30" i="4"/>
  <c r="AQ31" i="4"/>
  <c r="AQ32" i="4"/>
  <c r="AQ33" i="4"/>
  <c r="AQ34" i="4"/>
  <c r="AQ35" i="4"/>
  <c r="AQ36" i="4"/>
  <c r="AQ37" i="4"/>
  <c r="AQ38" i="4"/>
  <c r="AQ39" i="4"/>
  <c r="AQ40" i="4"/>
  <c r="AQ41" i="4"/>
  <c r="AQ42" i="4"/>
  <c r="AQ43" i="4"/>
  <c r="AQ44" i="4"/>
  <c r="AQ45" i="4"/>
  <c r="AQ46" i="4"/>
  <c r="AQ47" i="4"/>
  <c r="AQ48" i="4"/>
  <c r="AQ49" i="4"/>
  <c r="AQ50" i="4"/>
  <c r="AQ51" i="4"/>
  <c r="AQ52" i="4"/>
  <c r="AQ53" i="4"/>
  <c r="AQ54" i="4"/>
  <c r="AQ55" i="4"/>
  <c r="AQ56" i="4"/>
  <c r="AQ57" i="4"/>
  <c r="AQ58" i="4"/>
  <c r="AQ59" i="4"/>
  <c r="AQ60" i="4"/>
  <c r="AQ61" i="4"/>
  <c r="AQ62" i="4"/>
  <c r="AQ63" i="4"/>
  <c r="AQ64" i="4"/>
  <c r="AQ65" i="4"/>
  <c r="AQ66" i="4"/>
  <c r="AQ67" i="4"/>
  <c r="AQ68" i="4"/>
  <c r="AQ69" i="4"/>
  <c r="AQ70" i="4"/>
  <c r="AQ71" i="4"/>
  <c r="AQ72" i="4"/>
  <c r="AQ73" i="4"/>
  <c r="AQ74" i="4"/>
  <c r="AQ75" i="4"/>
  <c r="AQ76" i="4"/>
  <c r="AQ77" i="4"/>
  <c r="AQ78" i="4"/>
  <c r="AQ79" i="4"/>
  <c r="AQ80" i="4"/>
  <c r="AQ81" i="4"/>
  <c r="AQ82" i="4"/>
  <c r="AQ83" i="4"/>
  <c r="AQ84" i="4"/>
  <c r="AQ85" i="4"/>
  <c r="AQ86" i="4"/>
  <c r="AQ87" i="4"/>
  <c r="AQ88" i="4"/>
  <c r="AQ89" i="4"/>
  <c r="AQ90" i="4"/>
  <c r="AQ91" i="4"/>
  <c r="AQ92" i="4"/>
  <c r="AQ93" i="4"/>
  <c r="AQ94" i="4"/>
  <c r="AQ95" i="4"/>
  <c r="AQ96" i="4"/>
  <c r="AQ97" i="4"/>
  <c r="AQ98" i="4"/>
  <c r="AQ99" i="4"/>
  <c r="AQ100" i="4"/>
  <c r="AQ101" i="4"/>
  <c r="AQ102" i="4"/>
  <c r="AQ103" i="4"/>
  <c r="AQ104" i="4"/>
  <c r="AQ105" i="4"/>
  <c r="AQ106" i="4"/>
  <c r="AQ107" i="4"/>
  <c r="AQ108" i="4"/>
  <c r="AQ109" i="4"/>
  <c r="AQ110" i="4"/>
  <c r="AQ111" i="4"/>
  <c r="AQ112" i="4"/>
  <c r="AQ113" i="4"/>
  <c r="AQ114" i="4"/>
  <c r="AQ115" i="4"/>
  <c r="AQ116" i="4"/>
  <c r="AQ117" i="4"/>
  <c r="AQ118" i="4"/>
  <c r="AQ119" i="4"/>
  <c r="AQ120" i="4"/>
  <c r="AQ121" i="4"/>
  <c r="AQ122" i="4"/>
  <c r="AQ123" i="4"/>
  <c r="AQ124" i="4"/>
  <c r="AQ125" i="4"/>
  <c r="AQ126" i="4"/>
  <c r="AQ127" i="4"/>
  <c r="AQ128" i="4"/>
  <c r="AQ129" i="4"/>
  <c r="AQ130" i="4"/>
  <c r="AQ131" i="4"/>
  <c r="AQ132" i="4"/>
  <c r="AQ133" i="4"/>
  <c r="AQ134" i="4"/>
  <c r="AQ135" i="4"/>
  <c r="AQ136" i="4"/>
  <c r="AQ137" i="4"/>
  <c r="AQ138" i="4"/>
  <c r="AQ139" i="4"/>
  <c r="AQ140" i="4"/>
  <c r="AQ141" i="4"/>
  <c r="AQ142" i="4"/>
  <c r="AQ143" i="4"/>
  <c r="AQ144" i="4"/>
  <c r="AQ145" i="4"/>
  <c r="AQ146" i="4"/>
  <c r="AQ147" i="4"/>
  <c r="AQ148" i="4"/>
  <c r="AQ149" i="4"/>
  <c r="AQ150" i="4"/>
  <c r="AQ151" i="4"/>
  <c r="AQ152" i="4"/>
  <c r="AQ153" i="4"/>
  <c r="AQ154" i="4"/>
  <c r="AQ155" i="4"/>
  <c r="AQ156" i="4"/>
  <c r="AQ157" i="4"/>
  <c r="AQ158" i="4"/>
  <c r="AQ159" i="4"/>
  <c r="AQ160" i="4"/>
  <c r="AQ161" i="4"/>
  <c r="AQ162" i="4"/>
  <c r="AQ163" i="4"/>
  <c r="AQ164" i="4"/>
  <c r="AQ165" i="4"/>
  <c r="AQ166" i="4"/>
  <c r="AQ167" i="4"/>
  <c r="AQ168" i="4"/>
  <c r="AQ169" i="4"/>
  <c r="AQ170" i="4"/>
  <c r="AQ171" i="4"/>
  <c r="AQ172" i="4"/>
  <c r="AQ173" i="4"/>
  <c r="AQ174" i="4"/>
  <c r="AQ175" i="4"/>
  <c r="AQ176" i="4"/>
  <c r="AQ177" i="4"/>
  <c r="AQ178" i="4"/>
  <c r="AQ179" i="4"/>
  <c r="AQ180" i="4"/>
  <c r="AQ181" i="4"/>
  <c r="AQ182" i="4"/>
  <c r="AQ183" i="4"/>
  <c r="AQ184" i="4"/>
  <c r="AQ185" i="4"/>
  <c r="AQ186" i="4"/>
  <c r="AQ187" i="4"/>
  <c r="AQ188" i="4"/>
  <c r="AQ189" i="4"/>
  <c r="AQ190" i="4"/>
  <c r="AQ191" i="4"/>
  <c r="AQ192" i="4"/>
  <c r="AQ193" i="4"/>
  <c r="AQ194" i="4"/>
  <c r="AQ195" i="4"/>
  <c r="AQ196" i="4"/>
  <c r="AQ197" i="4"/>
  <c r="AQ198" i="4"/>
  <c r="AQ199" i="4"/>
  <c r="AQ200" i="4"/>
  <c r="AQ6" i="4"/>
  <c r="AI7" i="4"/>
  <c r="AI8" i="4"/>
  <c r="AI9" i="4"/>
  <c r="AI10" i="4"/>
  <c r="AI11" i="4"/>
  <c r="AI12" i="4"/>
  <c r="AI13" i="4"/>
  <c r="AI14" i="4"/>
  <c r="AI15" i="4"/>
  <c r="AI16" i="4"/>
  <c r="AI17" i="4"/>
  <c r="AI18" i="4"/>
  <c r="AI19" i="4"/>
  <c r="AI20" i="4"/>
  <c r="AI21" i="4"/>
  <c r="AI22" i="4"/>
  <c r="AI23" i="4"/>
  <c r="AI24" i="4"/>
  <c r="AI25" i="4"/>
  <c r="AI26" i="4"/>
  <c r="AI27" i="4"/>
  <c r="AI28" i="4"/>
  <c r="AI29" i="4"/>
  <c r="AI30" i="4"/>
  <c r="AI31" i="4"/>
  <c r="AI32" i="4"/>
  <c r="AI33" i="4"/>
  <c r="AI34" i="4"/>
  <c r="AI35" i="4"/>
  <c r="AI36" i="4"/>
  <c r="AI37" i="4"/>
  <c r="AI38" i="4"/>
  <c r="AI39" i="4"/>
  <c r="AI40" i="4"/>
  <c r="AI41" i="4"/>
  <c r="AI42" i="4"/>
  <c r="AI43" i="4"/>
  <c r="AI44" i="4"/>
  <c r="AI45" i="4"/>
  <c r="AI46" i="4"/>
  <c r="AI47" i="4"/>
  <c r="AI48" i="4"/>
  <c r="AI49" i="4"/>
  <c r="AI50" i="4"/>
  <c r="AI51" i="4"/>
  <c r="AI52" i="4"/>
  <c r="AI53" i="4"/>
  <c r="AI54" i="4"/>
  <c r="AI55" i="4"/>
  <c r="AI56" i="4"/>
  <c r="AI57" i="4"/>
  <c r="AI58" i="4"/>
  <c r="AI59" i="4"/>
  <c r="AI60" i="4"/>
  <c r="AI61" i="4"/>
  <c r="AI62" i="4"/>
  <c r="AI63" i="4"/>
  <c r="AI64" i="4"/>
  <c r="AI65" i="4"/>
  <c r="AI66" i="4"/>
  <c r="AI67" i="4"/>
  <c r="AI68" i="4"/>
  <c r="AI69" i="4"/>
  <c r="AI70" i="4"/>
  <c r="AI71" i="4"/>
  <c r="AI72" i="4"/>
  <c r="AI73" i="4"/>
  <c r="AI74" i="4"/>
  <c r="AI75" i="4"/>
  <c r="AI76" i="4"/>
  <c r="AI77" i="4"/>
  <c r="AI78" i="4"/>
  <c r="AI79" i="4"/>
  <c r="AI80" i="4"/>
  <c r="AI81" i="4"/>
  <c r="AI82" i="4"/>
  <c r="AI83" i="4"/>
  <c r="AI84" i="4"/>
  <c r="AI85" i="4"/>
  <c r="AI86" i="4"/>
  <c r="AI87" i="4"/>
  <c r="AI88" i="4"/>
  <c r="AI89" i="4"/>
  <c r="AI90" i="4"/>
  <c r="AI91" i="4"/>
  <c r="AI92" i="4"/>
  <c r="AI93" i="4"/>
  <c r="AI94" i="4"/>
  <c r="AI95" i="4"/>
  <c r="AI96" i="4"/>
  <c r="AI97" i="4"/>
  <c r="AI98" i="4"/>
  <c r="AI99" i="4"/>
  <c r="AI100" i="4"/>
  <c r="AI101" i="4"/>
  <c r="AI102" i="4"/>
  <c r="AI103" i="4"/>
  <c r="AI104" i="4"/>
  <c r="AI105" i="4"/>
  <c r="AI106" i="4"/>
  <c r="AI107" i="4"/>
  <c r="AI108" i="4"/>
  <c r="AI109" i="4"/>
  <c r="AI110" i="4"/>
  <c r="AI111" i="4"/>
  <c r="AI112" i="4"/>
  <c r="AI113" i="4"/>
  <c r="AI114" i="4"/>
  <c r="AI115" i="4"/>
  <c r="AI116" i="4"/>
  <c r="AI117" i="4"/>
  <c r="AI118" i="4"/>
  <c r="AI119" i="4"/>
  <c r="AI120" i="4"/>
  <c r="AI121" i="4"/>
  <c r="AI122" i="4"/>
  <c r="AI123" i="4"/>
  <c r="AI124" i="4"/>
  <c r="AI125" i="4"/>
  <c r="AI126" i="4"/>
  <c r="AI127" i="4"/>
  <c r="AI128" i="4"/>
  <c r="AI129" i="4"/>
  <c r="AI130" i="4"/>
  <c r="AI131" i="4"/>
  <c r="AI132" i="4"/>
  <c r="AI133" i="4"/>
  <c r="AI134" i="4"/>
  <c r="AI135" i="4"/>
  <c r="AI136" i="4"/>
  <c r="AI137" i="4"/>
  <c r="AI138" i="4"/>
  <c r="AI139" i="4"/>
  <c r="AI140" i="4"/>
  <c r="AI141" i="4"/>
  <c r="AI142" i="4"/>
  <c r="AI143" i="4"/>
  <c r="AI144" i="4"/>
  <c r="AI145" i="4"/>
  <c r="AI146" i="4"/>
  <c r="AI147" i="4"/>
  <c r="AI148" i="4"/>
  <c r="AI149" i="4"/>
  <c r="AI150" i="4"/>
  <c r="AI151" i="4"/>
  <c r="AI152" i="4"/>
  <c r="AI153" i="4"/>
  <c r="AI154" i="4"/>
  <c r="AI155" i="4"/>
  <c r="AI156" i="4"/>
  <c r="AI157" i="4"/>
  <c r="AI158" i="4"/>
  <c r="AI159" i="4"/>
  <c r="AI160" i="4"/>
  <c r="AI161" i="4"/>
  <c r="AI162" i="4"/>
  <c r="AI163" i="4"/>
  <c r="AI164" i="4"/>
  <c r="AI165" i="4"/>
  <c r="AI166" i="4"/>
  <c r="AI167" i="4"/>
  <c r="AI168" i="4"/>
  <c r="AI169" i="4"/>
  <c r="AI170" i="4"/>
  <c r="AI171" i="4"/>
  <c r="AI172" i="4"/>
  <c r="AI173" i="4"/>
  <c r="AI174" i="4"/>
  <c r="AI175" i="4"/>
  <c r="AI176" i="4"/>
  <c r="AI177" i="4"/>
  <c r="AI178" i="4"/>
  <c r="AI179" i="4"/>
  <c r="AI180" i="4"/>
  <c r="AI181" i="4"/>
  <c r="AI182" i="4"/>
  <c r="AI183" i="4"/>
  <c r="AI184" i="4"/>
  <c r="AI185" i="4"/>
  <c r="AI186" i="4"/>
  <c r="AI187" i="4"/>
  <c r="AI188" i="4"/>
  <c r="AI189" i="4"/>
  <c r="AI190" i="4"/>
  <c r="AI191" i="4"/>
  <c r="AI192" i="4"/>
  <c r="AI193" i="4"/>
  <c r="AI194" i="4"/>
  <c r="AI195" i="4"/>
  <c r="AI196" i="4"/>
  <c r="AI197" i="4"/>
  <c r="AI198" i="4"/>
  <c r="AI199" i="4"/>
  <c r="AI200" i="4"/>
  <c r="AI6" i="4"/>
  <c r="AV7" i="2"/>
  <c r="AV8" i="2"/>
  <c r="AV9" i="2"/>
  <c r="AV10" i="2"/>
  <c r="AV11" i="2"/>
  <c r="AV12" i="2"/>
  <c r="AV13" i="2"/>
  <c r="AV14" i="2"/>
  <c r="AV15" i="2"/>
  <c r="AV16" i="2"/>
  <c r="AV17" i="2"/>
  <c r="AV18" i="2"/>
  <c r="AV19" i="2"/>
  <c r="AV20" i="2"/>
  <c r="AV21" i="2"/>
  <c r="AV22" i="2"/>
  <c r="AV23" i="2"/>
  <c r="AV24" i="2"/>
  <c r="AV25" i="2"/>
  <c r="AV26" i="2"/>
  <c r="AV27" i="2"/>
  <c r="AV28" i="2"/>
  <c r="AV29" i="2"/>
  <c r="AV30" i="2"/>
  <c r="AV31" i="2"/>
  <c r="AV32" i="2"/>
  <c r="AV33" i="2"/>
  <c r="AV34" i="2"/>
  <c r="AV35" i="2"/>
  <c r="AV36" i="2"/>
  <c r="AV37" i="2"/>
  <c r="AV38" i="2"/>
  <c r="AV39" i="2"/>
  <c r="AV40" i="2"/>
  <c r="AV41" i="2"/>
  <c r="AV42" i="2"/>
  <c r="AV43" i="2"/>
  <c r="AV44" i="2"/>
  <c r="AV45" i="2"/>
  <c r="AV46" i="2"/>
  <c r="AV47" i="2"/>
  <c r="AV48" i="2"/>
  <c r="AV49" i="2"/>
  <c r="AV50" i="2"/>
  <c r="AV51" i="2"/>
  <c r="AV52" i="2"/>
  <c r="AV53" i="2"/>
  <c r="AV54" i="2"/>
  <c r="AV55" i="2"/>
  <c r="AV56" i="2"/>
  <c r="AV57" i="2"/>
  <c r="AV58" i="2"/>
  <c r="AV59" i="2"/>
  <c r="AV60" i="2"/>
  <c r="AV61" i="2"/>
  <c r="AV62" i="2"/>
  <c r="AV63" i="2"/>
  <c r="AV64" i="2"/>
  <c r="AV65" i="2"/>
  <c r="AV66" i="2"/>
  <c r="AV67" i="2"/>
  <c r="AV68" i="2"/>
  <c r="AV69" i="2"/>
  <c r="AV70" i="2"/>
  <c r="AV71" i="2"/>
  <c r="AV72" i="2"/>
  <c r="AV73" i="2"/>
  <c r="AV74" i="2"/>
  <c r="AV75" i="2"/>
  <c r="AV76" i="2"/>
  <c r="AV77" i="2"/>
  <c r="AV78" i="2"/>
  <c r="AV79" i="2"/>
  <c r="AV80" i="2"/>
  <c r="AV81" i="2"/>
  <c r="AV82" i="2"/>
  <c r="AV83" i="2"/>
  <c r="AV84" i="2"/>
  <c r="AV85" i="2"/>
  <c r="AV86" i="2"/>
  <c r="AV87" i="2"/>
  <c r="AV88" i="2"/>
  <c r="AV89" i="2"/>
  <c r="AV90" i="2"/>
  <c r="AV91" i="2"/>
  <c r="AV92" i="2"/>
  <c r="AV93" i="2"/>
  <c r="AV94" i="2"/>
  <c r="AV95" i="2"/>
  <c r="AV96" i="2"/>
  <c r="AV97" i="2"/>
  <c r="AV98" i="2"/>
  <c r="AV99" i="2"/>
  <c r="AV100" i="2"/>
  <c r="AV101" i="2"/>
  <c r="AV102" i="2"/>
  <c r="AV103" i="2"/>
  <c r="AV104" i="2"/>
  <c r="AV105" i="2"/>
  <c r="AV106" i="2"/>
  <c r="AV107" i="2"/>
  <c r="AV108" i="2"/>
  <c r="AV109" i="2"/>
  <c r="AV110" i="2"/>
  <c r="AV111" i="2"/>
  <c r="AV112" i="2"/>
  <c r="AV113" i="2"/>
  <c r="AV114" i="2"/>
  <c r="AV115" i="2"/>
  <c r="AV116" i="2"/>
  <c r="AV117" i="2"/>
  <c r="AV118" i="2"/>
  <c r="AV119" i="2"/>
  <c r="AV120" i="2"/>
  <c r="AV121" i="2"/>
  <c r="AV122" i="2"/>
  <c r="AV123" i="2"/>
  <c r="AV124" i="2"/>
  <c r="AV125" i="2"/>
  <c r="AV126" i="2"/>
  <c r="AV127" i="2"/>
  <c r="AV128" i="2"/>
  <c r="AV129" i="2"/>
  <c r="AV130" i="2"/>
  <c r="AV131" i="2"/>
  <c r="AV132" i="2"/>
  <c r="AV133" i="2"/>
  <c r="AV134" i="2"/>
  <c r="AV135" i="2"/>
  <c r="AV136" i="2"/>
  <c r="AV137" i="2"/>
  <c r="AV138" i="2"/>
  <c r="AV139" i="2"/>
  <c r="AV140" i="2"/>
  <c r="AV141" i="2"/>
  <c r="AV142" i="2"/>
  <c r="AV143" i="2"/>
  <c r="AV144" i="2"/>
  <c r="AV145" i="2"/>
  <c r="AV146" i="2"/>
  <c r="AV147" i="2"/>
  <c r="AV148" i="2"/>
  <c r="AV149" i="2"/>
  <c r="AV150" i="2"/>
  <c r="AV151" i="2"/>
  <c r="AV152" i="2"/>
  <c r="AV153" i="2"/>
  <c r="AV154" i="2"/>
  <c r="AV155" i="2"/>
  <c r="AV156" i="2"/>
  <c r="AV157" i="2"/>
  <c r="AV158" i="2"/>
  <c r="AV159" i="2"/>
  <c r="AV160" i="2"/>
  <c r="AV161" i="2"/>
  <c r="AV162" i="2"/>
  <c r="AV163" i="2"/>
  <c r="AV164" i="2"/>
  <c r="AV165" i="2"/>
  <c r="AV166" i="2"/>
  <c r="AV167" i="2"/>
  <c r="AV168" i="2"/>
  <c r="AV169" i="2"/>
  <c r="AV170" i="2"/>
  <c r="AV171" i="2"/>
  <c r="AV172" i="2"/>
  <c r="AV173" i="2"/>
  <c r="AV174" i="2"/>
  <c r="AV175" i="2"/>
  <c r="AV176" i="2"/>
  <c r="AV177" i="2"/>
  <c r="AV178" i="2"/>
  <c r="AV179" i="2"/>
  <c r="AV180" i="2"/>
  <c r="AV181" i="2"/>
  <c r="AV182" i="2"/>
  <c r="AV183" i="2"/>
  <c r="AV184" i="2"/>
  <c r="AV185" i="2"/>
  <c r="AV186" i="2"/>
  <c r="AV187" i="2"/>
  <c r="AV188" i="2"/>
  <c r="AV189" i="2"/>
  <c r="AV190" i="2"/>
  <c r="AV191" i="2"/>
  <c r="AV192" i="2"/>
  <c r="AV193" i="2"/>
  <c r="AV194" i="2"/>
  <c r="AV195" i="2"/>
  <c r="AV196" i="2"/>
  <c r="AV197" i="2"/>
  <c r="AV198" i="2"/>
  <c r="AV199" i="2"/>
  <c r="AV200" i="2"/>
  <c r="AV6" i="2"/>
  <c r="AM7" i="2"/>
  <c r="AM8" i="2"/>
  <c r="AM9" i="2"/>
  <c r="AM10" i="2"/>
  <c r="AM11" i="2"/>
  <c r="AM12" i="2"/>
  <c r="AM13" i="2"/>
  <c r="AM14" i="2"/>
  <c r="AM15" i="2"/>
  <c r="AM16" i="2"/>
  <c r="AM17" i="2"/>
  <c r="AM18" i="2"/>
  <c r="AM19" i="2"/>
  <c r="AM20" i="2"/>
  <c r="AM21" i="2"/>
  <c r="AM22" i="2"/>
  <c r="AM23" i="2"/>
  <c r="AM24" i="2"/>
  <c r="AM25" i="2"/>
  <c r="AM26" i="2"/>
  <c r="AM27" i="2"/>
  <c r="AM28" i="2"/>
  <c r="AM29" i="2"/>
  <c r="AM30" i="2"/>
  <c r="AM31" i="2"/>
  <c r="AM32" i="2"/>
  <c r="AM33" i="2"/>
  <c r="AM34" i="2"/>
  <c r="AM35" i="2"/>
  <c r="AM36" i="2"/>
  <c r="AM37" i="2"/>
  <c r="AM38" i="2"/>
  <c r="AM39" i="2"/>
  <c r="AM40" i="2"/>
  <c r="AM41" i="2"/>
  <c r="AM42" i="2"/>
  <c r="AM43" i="2"/>
  <c r="AM44" i="2"/>
  <c r="AM45" i="2"/>
  <c r="AM46" i="2"/>
  <c r="AM47" i="2"/>
  <c r="AM48" i="2"/>
  <c r="AM49" i="2"/>
  <c r="AM50" i="2"/>
  <c r="AM51" i="2"/>
  <c r="AM52" i="2"/>
  <c r="AM53" i="2"/>
  <c r="AM54" i="2"/>
  <c r="AM55" i="2"/>
  <c r="AM56" i="2"/>
  <c r="AM57" i="2"/>
  <c r="AM58" i="2"/>
  <c r="AM59" i="2"/>
  <c r="AM60" i="2"/>
  <c r="AM61" i="2"/>
  <c r="AM62" i="2"/>
  <c r="AM63" i="2"/>
  <c r="AM64" i="2"/>
  <c r="AM65" i="2"/>
  <c r="AM66" i="2"/>
  <c r="AM67" i="2"/>
  <c r="AM68" i="2"/>
  <c r="AM69" i="2"/>
  <c r="AM70" i="2"/>
  <c r="AM71" i="2"/>
  <c r="AM72" i="2"/>
  <c r="AM73" i="2"/>
  <c r="AM74" i="2"/>
  <c r="AM75" i="2"/>
  <c r="AM76" i="2"/>
  <c r="AM77" i="2"/>
  <c r="AM78" i="2"/>
  <c r="AM79" i="2"/>
  <c r="AM80" i="2"/>
  <c r="AM81" i="2"/>
  <c r="AM82" i="2"/>
  <c r="AM83" i="2"/>
  <c r="AM84" i="2"/>
  <c r="AM85" i="2"/>
  <c r="AM86" i="2"/>
  <c r="AM87" i="2"/>
  <c r="AM88" i="2"/>
  <c r="AM89" i="2"/>
  <c r="AM90" i="2"/>
  <c r="AM91" i="2"/>
  <c r="AM92" i="2"/>
  <c r="AM93" i="2"/>
  <c r="AM94" i="2"/>
  <c r="AM95" i="2"/>
  <c r="AM96" i="2"/>
  <c r="AM97" i="2"/>
  <c r="AM98" i="2"/>
  <c r="AM99" i="2"/>
  <c r="AM100" i="2"/>
  <c r="AM101" i="2"/>
  <c r="AM102" i="2"/>
  <c r="AM103" i="2"/>
  <c r="AM104" i="2"/>
  <c r="AM105" i="2"/>
  <c r="AM106" i="2"/>
  <c r="AM107" i="2"/>
  <c r="AM108" i="2"/>
  <c r="AM109" i="2"/>
  <c r="AM110" i="2"/>
  <c r="AM111" i="2"/>
  <c r="AM112" i="2"/>
  <c r="AM113" i="2"/>
  <c r="AM114" i="2"/>
  <c r="AM115" i="2"/>
  <c r="AM116" i="2"/>
  <c r="AM117" i="2"/>
  <c r="AM118" i="2"/>
  <c r="AM119" i="2"/>
  <c r="AM120" i="2"/>
  <c r="AM121" i="2"/>
  <c r="AM122" i="2"/>
  <c r="AM123" i="2"/>
  <c r="AM124" i="2"/>
  <c r="AM125" i="2"/>
  <c r="AM126" i="2"/>
  <c r="AM127" i="2"/>
  <c r="AM128" i="2"/>
  <c r="AM129" i="2"/>
  <c r="AM130" i="2"/>
  <c r="AM131" i="2"/>
  <c r="AM132" i="2"/>
  <c r="AM133" i="2"/>
  <c r="AM134" i="2"/>
  <c r="AM135" i="2"/>
  <c r="AM136" i="2"/>
  <c r="AM137" i="2"/>
  <c r="AM138" i="2"/>
  <c r="AM139" i="2"/>
  <c r="AM140" i="2"/>
  <c r="AM141" i="2"/>
  <c r="AM142" i="2"/>
  <c r="AM143" i="2"/>
  <c r="AM144" i="2"/>
  <c r="AM145" i="2"/>
  <c r="AM146" i="2"/>
  <c r="AM147" i="2"/>
  <c r="AM148" i="2"/>
  <c r="AM149" i="2"/>
  <c r="AM150" i="2"/>
  <c r="AM151" i="2"/>
  <c r="AM152" i="2"/>
  <c r="AM153" i="2"/>
  <c r="AM154" i="2"/>
  <c r="AM155" i="2"/>
  <c r="AM156" i="2"/>
  <c r="AM157" i="2"/>
  <c r="AM158" i="2"/>
  <c r="AM159" i="2"/>
  <c r="AM160" i="2"/>
  <c r="AM161" i="2"/>
  <c r="AM162" i="2"/>
  <c r="AM163" i="2"/>
  <c r="AM164" i="2"/>
  <c r="AM165" i="2"/>
  <c r="AM166" i="2"/>
  <c r="AM167" i="2"/>
  <c r="AM168" i="2"/>
  <c r="AM169" i="2"/>
  <c r="AM170" i="2"/>
  <c r="AM171" i="2"/>
  <c r="AM172" i="2"/>
  <c r="AM173" i="2"/>
  <c r="AM174" i="2"/>
  <c r="AM175" i="2"/>
  <c r="AM176" i="2"/>
  <c r="AM177" i="2"/>
  <c r="AM178" i="2"/>
  <c r="AM179" i="2"/>
  <c r="AM180" i="2"/>
  <c r="AM181" i="2"/>
  <c r="AM182" i="2"/>
  <c r="AM183" i="2"/>
  <c r="AM184" i="2"/>
  <c r="AM185" i="2"/>
  <c r="AM186" i="2"/>
  <c r="AM187" i="2"/>
  <c r="AM188" i="2"/>
  <c r="AM189" i="2"/>
  <c r="AM190" i="2"/>
  <c r="AM191" i="2"/>
  <c r="AM192" i="2"/>
  <c r="AM193" i="2"/>
  <c r="AM194" i="2"/>
  <c r="AM195" i="2"/>
  <c r="AM196" i="2"/>
  <c r="AM197" i="2"/>
  <c r="AM198" i="2"/>
  <c r="AM199" i="2"/>
  <c r="AM200" i="2"/>
  <c r="AM6" i="2"/>
  <c r="AA6" i="4"/>
  <c r="S7" i="4"/>
  <c r="S8" i="4"/>
  <c r="S9" i="4"/>
  <c r="S10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S46" i="4"/>
  <c r="S47" i="4"/>
  <c r="S48" i="4"/>
  <c r="S49" i="4"/>
  <c r="S50" i="4"/>
  <c r="S51" i="4"/>
  <c r="S52" i="4"/>
  <c r="S53" i="4"/>
  <c r="S54" i="4"/>
  <c r="S55" i="4"/>
  <c r="S56" i="4"/>
  <c r="S57" i="4"/>
  <c r="S58" i="4"/>
  <c r="S59" i="4"/>
  <c r="S60" i="4"/>
  <c r="S61" i="4"/>
  <c r="S62" i="4"/>
  <c r="S63" i="4"/>
  <c r="S64" i="4"/>
  <c r="S65" i="4"/>
  <c r="S66" i="4"/>
  <c r="S67" i="4"/>
  <c r="S68" i="4"/>
  <c r="S69" i="4"/>
  <c r="S70" i="4"/>
  <c r="S71" i="4"/>
  <c r="S72" i="4"/>
  <c r="S73" i="4"/>
  <c r="S74" i="4"/>
  <c r="S75" i="4"/>
  <c r="S76" i="4"/>
  <c r="S77" i="4"/>
  <c r="S78" i="4"/>
  <c r="S79" i="4"/>
  <c r="S80" i="4"/>
  <c r="S81" i="4"/>
  <c r="S82" i="4"/>
  <c r="S83" i="4"/>
  <c r="S84" i="4"/>
  <c r="S85" i="4"/>
  <c r="S86" i="4"/>
  <c r="S87" i="4"/>
  <c r="S88" i="4"/>
  <c r="S89" i="4"/>
  <c r="S90" i="4"/>
  <c r="S91" i="4"/>
  <c r="S92" i="4"/>
  <c r="S93" i="4"/>
  <c r="S94" i="4"/>
  <c r="S95" i="4"/>
  <c r="S96" i="4"/>
  <c r="S97" i="4"/>
  <c r="S98" i="4"/>
  <c r="S99" i="4"/>
  <c r="S100" i="4"/>
  <c r="S101" i="4"/>
  <c r="S102" i="4"/>
  <c r="S103" i="4"/>
  <c r="S104" i="4"/>
  <c r="S105" i="4"/>
  <c r="S106" i="4"/>
  <c r="S107" i="4"/>
  <c r="S108" i="4"/>
  <c r="S109" i="4"/>
  <c r="S110" i="4"/>
  <c r="S111" i="4"/>
  <c r="S112" i="4"/>
  <c r="S113" i="4"/>
  <c r="S114" i="4"/>
  <c r="S115" i="4"/>
  <c r="S116" i="4"/>
  <c r="S117" i="4"/>
  <c r="S118" i="4"/>
  <c r="S119" i="4"/>
  <c r="S120" i="4"/>
  <c r="S121" i="4"/>
  <c r="S122" i="4"/>
  <c r="S123" i="4"/>
  <c r="S124" i="4"/>
  <c r="S125" i="4"/>
  <c r="S126" i="4"/>
  <c r="S127" i="4"/>
  <c r="S128" i="4"/>
  <c r="S129" i="4"/>
  <c r="S130" i="4"/>
  <c r="S131" i="4"/>
  <c r="S132" i="4"/>
  <c r="S133" i="4"/>
  <c r="S134" i="4"/>
  <c r="S135" i="4"/>
  <c r="S136" i="4"/>
  <c r="S137" i="4"/>
  <c r="S138" i="4"/>
  <c r="S139" i="4"/>
  <c r="S140" i="4"/>
  <c r="S141" i="4"/>
  <c r="S142" i="4"/>
  <c r="S143" i="4"/>
  <c r="S144" i="4"/>
  <c r="S145" i="4"/>
  <c r="S146" i="4"/>
  <c r="S147" i="4"/>
  <c r="S148" i="4"/>
  <c r="S149" i="4"/>
  <c r="S150" i="4"/>
  <c r="S151" i="4"/>
  <c r="S152" i="4"/>
  <c r="S153" i="4"/>
  <c r="S154" i="4"/>
  <c r="S155" i="4"/>
  <c r="S156" i="4"/>
  <c r="S157" i="4"/>
  <c r="S158" i="4"/>
  <c r="S159" i="4"/>
  <c r="S160" i="4"/>
  <c r="S161" i="4"/>
  <c r="S162" i="4"/>
  <c r="S163" i="4"/>
  <c r="S164" i="4"/>
  <c r="S165" i="4"/>
  <c r="S166" i="4"/>
  <c r="S167" i="4"/>
  <c r="S168" i="4"/>
  <c r="S169" i="4"/>
  <c r="S170" i="4"/>
  <c r="S171" i="4"/>
  <c r="S172" i="4"/>
  <c r="S173" i="4"/>
  <c r="S174" i="4"/>
  <c r="S175" i="4"/>
  <c r="S176" i="4"/>
  <c r="S177" i="4"/>
  <c r="S178" i="4"/>
  <c r="S179" i="4"/>
  <c r="S180" i="4"/>
  <c r="S181" i="4"/>
  <c r="S182" i="4"/>
  <c r="S183" i="4"/>
  <c r="S184" i="4"/>
  <c r="S185" i="4"/>
  <c r="S186" i="4"/>
  <c r="S187" i="4"/>
  <c r="S188" i="4"/>
  <c r="S189" i="4"/>
  <c r="S190" i="4"/>
  <c r="S191" i="4"/>
  <c r="S192" i="4"/>
  <c r="S193" i="4"/>
  <c r="S194" i="4"/>
  <c r="S195" i="4"/>
  <c r="S196" i="4"/>
  <c r="S197" i="4"/>
  <c r="S198" i="4"/>
  <c r="S199" i="4"/>
  <c r="S200" i="4"/>
  <c r="S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6" i="4"/>
  <c r="T250" i="1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6" i="2"/>
  <c r="I249" i="1" l="1"/>
  <c r="I250" i="1"/>
  <c r="H249" i="1"/>
  <c r="H250" i="1"/>
  <c r="BL8" i="1"/>
  <c r="BL9" i="1"/>
  <c r="H8" i="7" s="1"/>
  <c r="BL10" i="1"/>
  <c r="BL15" i="1"/>
  <c r="BL16" i="1" s="1"/>
  <c r="BL17" i="1" s="1"/>
  <c r="BL18" i="1" s="1"/>
  <c r="BL19" i="1" s="1"/>
  <c r="BL20" i="1" s="1"/>
  <c r="BL21" i="1" s="1"/>
  <c r="BL22" i="1" s="1"/>
  <c r="BL23" i="1" s="1"/>
  <c r="BL24" i="1" s="1"/>
  <c r="BL25" i="1" s="1"/>
  <c r="BL26" i="1" s="1"/>
  <c r="BL27" i="1" s="1"/>
  <c r="BL28" i="1" s="1"/>
  <c r="BL29" i="1" s="1"/>
  <c r="BL30" i="1" s="1"/>
  <c r="BL31" i="1" s="1"/>
  <c r="BL32" i="1" s="1"/>
  <c r="BL33" i="1" s="1"/>
  <c r="BL34" i="1" s="1"/>
  <c r="BL35" i="1" s="1"/>
  <c r="BL36" i="1" s="1"/>
  <c r="BL37" i="1" s="1"/>
  <c r="BL38" i="1" s="1"/>
  <c r="BL39" i="1" s="1"/>
  <c r="BL40" i="1" s="1"/>
  <c r="BL41" i="1" s="1"/>
  <c r="BL42" i="1" s="1"/>
  <c r="BL43" i="1" s="1"/>
  <c r="BL44" i="1" s="1"/>
  <c r="BL45" i="1" s="1"/>
  <c r="BL46" i="1" s="1"/>
  <c r="BL47" i="1" s="1"/>
  <c r="BL48" i="1" s="1"/>
  <c r="BL49" i="1" s="1"/>
  <c r="BL50" i="1" s="1"/>
  <c r="BL51" i="1" s="1"/>
  <c r="BL52" i="1" s="1"/>
  <c r="BL53" i="1" s="1"/>
  <c r="BL54" i="1" s="1"/>
  <c r="BL55" i="1" s="1"/>
  <c r="BL56" i="1" s="1"/>
  <c r="BL57" i="1" s="1"/>
  <c r="BL58" i="1" s="1"/>
  <c r="BL59" i="1" s="1"/>
  <c r="BL60" i="1" s="1"/>
  <c r="BL61" i="1" s="1"/>
  <c r="BL62" i="1" s="1"/>
  <c r="BL63" i="1" s="1"/>
  <c r="BL64" i="1" s="1"/>
  <c r="BL65" i="1" s="1"/>
  <c r="BL66" i="1" s="1"/>
  <c r="BL67" i="1" s="1"/>
  <c r="BL68" i="1" s="1"/>
  <c r="BL69" i="1" s="1"/>
  <c r="BL70" i="1" s="1"/>
  <c r="BL71" i="1" s="1"/>
  <c r="BL72" i="1" s="1"/>
  <c r="BL73" i="1" s="1"/>
  <c r="BL74" i="1" s="1"/>
  <c r="BL75" i="1" s="1"/>
  <c r="BL76" i="1" s="1"/>
  <c r="BL77" i="1" s="1"/>
  <c r="BL78" i="1" s="1"/>
  <c r="BL79" i="1" s="1"/>
  <c r="BL80" i="1" s="1"/>
  <c r="BL81" i="1" s="1"/>
  <c r="BL82" i="1" s="1"/>
  <c r="BL83" i="1" s="1"/>
  <c r="BL84" i="1" s="1"/>
  <c r="BL85" i="1" s="1"/>
  <c r="BL86" i="1" s="1"/>
  <c r="BL87" i="1" s="1"/>
  <c r="BL88" i="1" s="1"/>
  <c r="BL89" i="1" s="1"/>
  <c r="BL90" i="1" s="1"/>
  <c r="BL91" i="1" s="1"/>
  <c r="BL92" i="1" s="1"/>
  <c r="BL93" i="1" s="1"/>
  <c r="BL94" i="1" s="1"/>
  <c r="BL95" i="1" s="1"/>
  <c r="BL96" i="1" s="1"/>
  <c r="BL97" i="1" s="1"/>
  <c r="BL98" i="1" s="1"/>
  <c r="BL99" i="1" s="1"/>
  <c r="BL100" i="1" s="1"/>
  <c r="BL101" i="1" s="1"/>
  <c r="BL102" i="1" s="1"/>
  <c r="BL103" i="1" s="1"/>
  <c r="BL104" i="1" s="1"/>
  <c r="BL105" i="1" s="1"/>
  <c r="BL106" i="1" s="1"/>
  <c r="BL107" i="1" s="1"/>
  <c r="BL108" i="1" s="1"/>
  <c r="BL109" i="1" s="1"/>
  <c r="BL110" i="1" s="1"/>
  <c r="BL111" i="1" s="1"/>
  <c r="BL112" i="1" s="1"/>
  <c r="BL113" i="1" s="1"/>
  <c r="BL114" i="1" s="1"/>
  <c r="BL115" i="1" s="1"/>
  <c r="BL116" i="1" s="1"/>
  <c r="BL117" i="1" s="1"/>
  <c r="BL118" i="1" s="1"/>
  <c r="BL119" i="1" s="1"/>
  <c r="BL120" i="1" s="1"/>
  <c r="BL121" i="1" s="1"/>
  <c r="BL122" i="1" s="1"/>
  <c r="BL123" i="1" s="1"/>
  <c r="BL124" i="1" s="1"/>
  <c r="BL125" i="1" s="1"/>
  <c r="BL126" i="1" s="1"/>
  <c r="BL127" i="1" s="1"/>
  <c r="BL128" i="1" s="1"/>
  <c r="BL129" i="1" s="1"/>
  <c r="BL130" i="1" s="1"/>
  <c r="BL131" i="1" s="1"/>
  <c r="BL132" i="1" s="1"/>
  <c r="BL133" i="1" s="1"/>
  <c r="BL134" i="1" s="1"/>
  <c r="BL135" i="1" s="1"/>
  <c r="BL136" i="1" s="1"/>
  <c r="BL137" i="1" s="1"/>
  <c r="BL138" i="1" s="1"/>
  <c r="BL139" i="1" s="1"/>
  <c r="BL140" i="1" s="1"/>
  <c r="BL141" i="1" s="1"/>
  <c r="BL142" i="1" s="1"/>
  <c r="BL143" i="1" s="1"/>
  <c r="BL144" i="1" s="1"/>
  <c r="BL145" i="1" s="1"/>
  <c r="BL146" i="1" s="1"/>
  <c r="BL147" i="1" s="1"/>
  <c r="BL148" i="1" s="1"/>
  <c r="BL149" i="1" s="1"/>
  <c r="BL150" i="1" s="1"/>
  <c r="BL151" i="1" s="1"/>
  <c r="BL152" i="1" s="1"/>
  <c r="BL153" i="1" s="1"/>
  <c r="BL154" i="1" s="1"/>
  <c r="BL155" i="1" s="1"/>
  <c r="BL156" i="1" s="1"/>
  <c r="BL157" i="1" s="1"/>
  <c r="BL158" i="1" s="1"/>
  <c r="BL159" i="1" s="1"/>
  <c r="BL160" i="1" s="1"/>
  <c r="BL161" i="1" s="1"/>
  <c r="BL162" i="1" s="1"/>
  <c r="BL163" i="1" s="1"/>
  <c r="BL164" i="1" s="1"/>
  <c r="BL165" i="1" s="1"/>
  <c r="BL166" i="1" s="1"/>
  <c r="BL167" i="1" s="1"/>
  <c r="BL168" i="1" s="1"/>
  <c r="BL169" i="1" s="1"/>
  <c r="BL170" i="1" s="1"/>
  <c r="BL171" i="1" s="1"/>
  <c r="BL172" i="1" s="1"/>
  <c r="BL173" i="1" s="1"/>
  <c r="BL174" i="1" s="1"/>
  <c r="BL175" i="1" s="1"/>
  <c r="BL176" i="1" s="1"/>
  <c r="BL177" i="1" s="1"/>
  <c r="BL178" i="1" s="1"/>
  <c r="BL179" i="1" s="1"/>
  <c r="BL180" i="1" s="1"/>
  <c r="BL181" i="1" s="1"/>
  <c r="BL182" i="1" s="1"/>
  <c r="BL183" i="1" s="1"/>
  <c r="BL184" i="1" s="1"/>
  <c r="BL185" i="1" s="1"/>
  <c r="BL186" i="1" s="1"/>
  <c r="BL187" i="1" s="1"/>
  <c r="BL188" i="1" s="1"/>
  <c r="BL189" i="1" s="1"/>
  <c r="BL190" i="1" s="1"/>
  <c r="BL191" i="1" s="1"/>
  <c r="BL192" i="1" s="1"/>
  <c r="BL193" i="1" s="1"/>
  <c r="BL194" i="1" s="1"/>
  <c r="BL195" i="1" s="1"/>
  <c r="BL196" i="1" s="1"/>
  <c r="BL197" i="1" s="1"/>
  <c r="BL198" i="1" s="1"/>
  <c r="BL199" i="1" s="1"/>
  <c r="BL200" i="1" s="1"/>
  <c r="BL201" i="1" s="1"/>
  <c r="BL202" i="1" s="1"/>
  <c r="BL203" i="1" s="1"/>
  <c r="BL204" i="1" s="1"/>
  <c r="BL205" i="1" s="1"/>
  <c r="BL206" i="1" s="1"/>
  <c r="BL207" i="1" s="1"/>
  <c r="BL208" i="1" s="1"/>
  <c r="BL209" i="1" s="1"/>
  <c r="BL210" i="1" s="1"/>
  <c r="BL211" i="1" s="1"/>
  <c r="BL212" i="1" s="1"/>
  <c r="BL213" i="1" s="1"/>
  <c r="BL214" i="1" s="1"/>
  <c r="BL215" i="1" s="1"/>
  <c r="BL216" i="1" s="1"/>
  <c r="BL217" i="1" s="1"/>
  <c r="BL218" i="1" s="1"/>
  <c r="BL219" i="1" s="1"/>
  <c r="BL220" i="1" s="1"/>
  <c r="BL221" i="1" s="1"/>
  <c r="BL222" i="1" s="1"/>
  <c r="BL223" i="1" s="1"/>
  <c r="BL224" i="1" s="1"/>
  <c r="BL225" i="1" s="1"/>
  <c r="BL226" i="1" s="1"/>
  <c r="BL227" i="1" s="1"/>
  <c r="BL228" i="1" s="1"/>
  <c r="BL229" i="1" s="1"/>
  <c r="BL230" i="1" s="1"/>
  <c r="BL231" i="1" s="1"/>
  <c r="BL232" i="1" s="1"/>
  <c r="BL233" i="1" s="1"/>
  <c r="BL234" i="1" s="1"/>
  <c r="BL235" i="1" s="1"/>
  <c r="BL236" i="1" s="1"/>
  <c r="BL237" i="1" s="1"/>
  <c r="BL238" i="1" s="1"/>
  <c r="BL239" i="1" s="1"/>
  <c r="BL240" i="1" s="1"/>
  <c r="BL241" i="1" s="1"/>
  <c r="BL242" i="1" s="1"/>
  <c r="BL243" i="1" s="1"/>
  <c r="BL244" i="1" s="1"/>
  <c r="BL245" i="1" s="1"/>
  <c r="BL246" i="1" s="1"/>
  <c r="BL247" i="1" s="1"/>
  <c r="BL248" i="1" s="1"/>
  <c r="AZ15" i="1"/>
  <c r="AZ16" i="1" s="1"/>
  <c r="AZ17" i="1" s="1"/>
  <c r="AZ18" i="1" s="1"/>
  <c r="AZ19" i="1" s="1"/>
  <c r="AZ20" i="1" s="1"/>
  <c r="AZ21" i="1" s="1"/>
  <c r="AZ22" i="1" s="1"/>
  <c r="AZ23" i="1" s="1"/>
  <c r="AZ24" i="1" s="1"/>
  <c r="AZ25" i="1" s="1"/>
  <c r="AZ26" i="1" s="1"/>
  <c r="AZ27" i="1" s="1"/>
  <c r="AZ28" i="1" s="1"/>
  <c r="AZ29" i="1" s="1"/>
  <c r="AZ30" i="1" s="1"/>
  <c r="AZ31" i="1" s="1"/>
  <c r="AZ32" i="1" s="1"/>
  <c r="AZ33" i="1" s="1"/>
  <c r="AZ34" i="1" s="1"/>
  <c r="AZ35" i="1" s="1"/>
  <c r="AZ36" i="1" s="1"/>
  <c r="AZ37" i="1" s="1"/>
  <c r="AZ38" i="1" s="1"/>
  <c r="AZ39" i="1" s="1"/>
  <c r="AZ40" i="1" s="1"/>
  <c r="AZ41" i="1" s="1"/>
  <c r="AZ42" i="1" s="1"/>
  <c r="AZ43" i="1" s="1"/>
  <c r="AZ44" i="1" s="1"/>
  <c r="AZ45" i="1" s="1"/>
  <c r="AZ46" i="1" s="1"/>
  <c r="AZ47" i="1" s="1"/>
  <c r="AZ48" i="1" s="1"/>
  <c r="AZ49" i="1" s="1"/>
  <c r="AZ50" i="1" s="1"/>
  <c r="AZ51" i="1" s="1"/>
  <c r="AZ52" i="1" s="1"/>
  <c r="AZ53" i="1" s="1"/>
  <c r="AZ54" i="1" s="1"/>
  <c r="AZ55" i="1" s="1"/>
  <c r="AZ56" i="1" s="1"/>
  <c r="AZ57" i="1" s="1"/>
  <c r="AZ58" i="1" s="1"/>
  <c r="AZ59" i="1" s="1"/>
  <c r="AZ60" i="1" s="1"/>
  <c r="AZ61" i="1" s="1"/>
  <c r="AZ62" i="1" s="1"/>
  <c r="AZ63" i="1" s="1"/>
  <c r="AZ64" i="1" s="1"/>
  <c r="AZ65" i="1" s="1"/>
  <c r="AZ66" i="1" s="1"/>
  <c r="AZ67" i="1" s="1"/>
  <c r="AZ68" i="1" s="1"/>
  <c r="AZ69" i="1" s="1"/>
  <c r="AZ70" i="1" s="1"/>
  <c r="AZ71" i="1" s="1"/>
  <c r="AZ72" i="1" s="1"/>
  <c r="AZ73" i="1" s="1"/>
  <c r="AZ74" i="1" s="1"/>
  <c r="AZ75" i="1" s="1"/>
  <c r="AZ76" i="1" s="1"/>
  <c r="AZ77" i="1" s="1"/>
  <c r="AZ78" i="1" s="1"/>
  <c r="AZ79" i="1" s="1"/>
  <c r="AZ80" i="1" s="1"/>
  <c r="AZ81" i="1" s="1"/>
  <c r="AZ82" i="1" s="1"/>
  <c r="AZ83" i="1" s="1"/>
  <c r="AZ84" i="1" s="1"/>
  <c r="AZ85" i="1" s="1"/>
  <c r="AZ86" i="1" s="1"/>
  <c r="AZ87" i="1" s="1"/>
  <c r="AZ88" i="1" s="1"/>
  <c r="AZ89" i="1" s="1"/>
  <c r="AZ90" i="1" s="1"/>
  <c r="AZ91" i="1" s="1"/>
  <c r="AZ92" i="1" s="1"/>
  <c r="AZ93" i="1" s="1"/>
  <c r="AZ94" i="1" s="1"/>
  <c r="AZ95" i="1" s="1"/>
  <c r="AZ96" i="1" s="1"/>
  <c r="AZ97" i="1" s="1"/>
  <c r="AZ98" i="1" s="1"/>
  <c r="AZ99" i="1" s="1"/>
  <c r="AZ100" i="1" s="1"/>
  <c r="AZ101" i="1" s="1"/>
  <c r="AZ102" i="1" s="1"/>
  <c r="AZ103" i="1" s="1"/>
  <c r="AZ104" i="1" s="1"/>
  <c r="AZ105" i="1" s="1"/>
  <c r="AZ106" i="1" s="1"/>
  <c r="AZ107" i="1" s="1"/>
  <c r="AZ108" i="1" s="1"/>
  <c r="AZ109" i="1" s="1"/>
  <c r="AZ110" i="1" s="1"/>
  <c r="AZ111" i="1" s="1"/>
  <c r="AZ112" i="1" s="1"/>
  <c r="AZ113" i="1" s="1"/>
  <c r="AZ114" i="1" s="1"/>
  <c r="AZ115" i="1" s="1"/>
  <c r="AZ116" i="1" s="1"/>
  <c r="AZ117" i="1" s="1"/>
  <c r="AZ118" i="1" s="1"/>
  <c r="AZ119" i="1" s="1"/>
  <c r="AZ120" i="1" s="1"/>
  <c r="AZ121" i="1" s="1"/>
  <c r="AZ122" i="1" s="1"/>
  <c r="AZ123" i="1" s="1"/>
  <c r="AZ124" i="1" s="1"/>
  <c r="AZ125" i="1" s="1"/>
  <c r="AZ126" i="1" s="1"/>
  <c r="AZ127" i="1" s="1"/>
  <c r="AZ128" i="1" s="1"/>
  <c r="AZ129" i="1" s="1"/>
  <c r="AZ130" i="1" s="1"/>
  <c r="AZ131" i="1" s="1"/>
  <c r="AZ132" i="1" s="1"/>
  <c r="AZ133" i="1" s="1"/>
  <c r="AZ134" i="1" s="1"/>
  <c r="AZ135" i="1" s="1"/>
  <c r="AZ136" i="1" s="1"/>
  <c r="AZ137" i="1" s="1"/>
  <c r="AZ138" i="1" s="1"/>
  <c r="AZ139" i="1" s="1"/>
  <c r="AZ140" i="1" s="1"/>
  <c r="AZ141" i="1" s="1"/>
  <c r="AZ142" i="1" s="1"/>
  <c r="AZ143" i="1" s="1"/>
  <c r="AZ144" i="1" s="1"/>
  <c r="AZ145" i="1" s="1"/>
  <c r="AZ146" i="1" s="1"/>
  <c r="AZ147" i="1" s="1"/>
  <c r="AZ148" i="1" s="1"/>
  <c r="AZ149" i="1" s="1"/>
  <c r="AZ150" i="1" s="1"/>
  <c r="AZ151" i="1" s="1"/>
  <c r="AZ152" i="1" s="1"/>
  <c r="AZ153" i="1" s="1"/>
  <c r="AZ154" i="1" s="1"/>
  <c r="AZ155" i="1" s="1"/>
  <c r="AZ156" i="1" s="1"/>
  <c r="AZ157" i="1" s="1"/>
  <c r="AZ158" i="1" s="1"/>
  <c r="AZ159" i="1" s="1"/>
  <c r="AZ160" i="1" s="1"/>
  <c r="AZ161" i="1" s="1"/>
  <c r="AZ162" i="1" s="1"/>
  <c r="AZ163" i="1" s="1"/>
  <c r="AZ164" i="1" s="1"/>
  <c r="AZ165" i="1" s="1"/>
  <c r="AZ166" i="1" s="1"/>
  <c r="AZ167" i="1" s="1"/>
  <c r="AZ168" i="1" s="1"/>
  <c r="AZ169" i="1" s="1"/>
  <c r="AZ170" i="1" s="1"/>
  <c r="AZ171" i="1" s="1"/>
  <c r="AZ172" i="1" s="1"/>
  <c r="AZ173" i="1" s="1"/>
  <c r="AZ174" i="1" s="1"/>
  <c r="AZ175" i="1" s="1"/>
  <c r="AZ176" i="1" s="1"/>
  <c r="AZ177" i="1" s="1"/>
  <c r="AZ178" i="1" s="1"/>
  <c r="AZ179" i="1" s="1"/>
  <c r="AZ180" i="1" s="1"/>
  <c r="AZ181" i="1" s="1"/>
  <c r="AZ182" i="1" s="1"/>
  <c r="AZ183" i="1" s="1"/>
  <c r="AZ184" i="1" s="1"/>
  <c r="AZ185" i="1" s="1"/>
  <c r="AZ186" i="1" s="1"/>
  <c r="AZ187" i="1" s="1"/>
  <c r="AZ188" i="1" s="1"/>
  <c r="AZ189" i="1" s="1"/>
  <c r="AZ190" i="1" s="1"/>
  <c r="AZ191" i="1" s="1"/>
  <c r="AZ192" i="1" s="1"/>
  <c r="AZ193" i="1" s="1"/>
  <c r="AZ194" i="1" s="1"/>
  <c r="AZ195" i="1" s="1"/>
  <c r="AZ196" i="1" s="1"/>
  <c r="AZ197" i="1" s="1"/>
  <c r="AZ198" i="1" s="1"/>
  <c r="AZ199" i="1" s="1"/>
  <c r="AZ200" i="1" s="1"/>
  <c r="AZ201" i="1" s="1"/>
  <c r="AZ202" i="1" s="1"/>
  <c r="AZ203" i="1" s="1"/>
  <c r="AZ204" i="1" s="1"/>
  <c r="AZ205" i="1" s="1"/>
  <c r="AZ206" i="1" s="1"/>
  <c r="AZ207" i="1" s="1"/>
  <c r="AZ208" i="1" s="1"/>
  <c r="AZ209" i="1" s="1"/>
  <c r="AZ210" i="1" s="1"/>
  <c r="AZ211" i="1" s="1"/>
  <c r="AZ212" i="1" s="1"/>
  <c r="AZ213" i="1" s="1"/>
  <c r="AZ214" i="1" s="1"/>
  <c r="AZ215" i="1" s="1"/>
  <c r="AZ216" i="1" s="1"/>
  <c r="AZ217" i="1" s="1"/>
  <c r="AZ218" i="1" s="1"/>
  <c r="AZ219" i="1" s="1"/>
  <c r="AZ220" i="1" s="1"/>
  <c r="AZ221" i="1" s="1"/>
  <c r="AZ222" i="1" s="1"/>
  <c r="AZ223" i="1" s="1"/>
  <c r="AZ224" i="1" s="1"/>
  <c r="AZ225" i="1" s="1"/>
  <c r="AZ226" i="1" s="1"/>
  <c r="AZ227" i="1" s="1"/>
  <c r="AZ228" i="1" s="1"/>
  <c r="AZ229" i="1" s="1"/>
  <c r="AZ230" i="1" s="1"/>
  <c r="AZ231" i="1" s="1"/>
  <c r="AZ232" i="1" s="1"/>
  <c r="AZ233" i="1" s="1"/>
  <c r="AZ234" i="1" s="1"/>
  <c r="AZ235" i="1" s="1"/>
  <c r="AZ236" i="1" s="1"/>
  <c r="AZ237" i="1" s="1"/>
  <c r="AZ238" i="1" s="1"/>
  <c r="AZ239" i="1" s="1"/>
  <c r="AZ240" i="1" s="1"/>
  <c r="AZ241" i="1" s="1"/>
  <c r="AZ242" i="1" s="1"/>
  <c r="AZ243" i="1" s="1"/>
  <c r="AZ244" i="1" s="1"/>
  <c r="AZ245" i="1" s="1"/>
  <c r="AZ246" i="1" s="1"/>
  <c r="AZ247" i="1" s="1"/>
  <c r="AZ248" i="1" s="1"/>
  <c r="AZ10" i="1"/>
  <c r="AZ9" i="1"/>
  <c r="G8" i="7" s="1"/>
  <c r="AY15" i="1"/>
  <c r="AN15" i="1"/>
  <c r="AN16" i="1" s="1"/>
  <c r="AN17" i="1" s="1"/>
  <c r="AN18" i="1" s="1"/>
  <c r="AN19" i="1" s="1"/>
  <c r="AN20" i="1" s="1"/>
  <c r="AN21" i="1" s="1"/>
  <c r="AN22" i="1" s="1"/>
  <c r="AN23" i="1" s="1"/>
  <c r="AN24" i="1" s="1"/>
  <c r="AN25" i="1" s="1"/>
  <c r="AN26" i="1" s="1"/>
  <c r="AN27" i="1" s="1"/>
  <c r="AN28" i="1" s="1"/>
  <c r="AN29" i="1" s="1"/>
  <c r="AN30" i="1" s="1"/>
  <c r="AN31" i="1" s="1"/>
  <c r="AN32" i="1" s="1"/>
  <c r="AN33" i="1" s="1"/>
  <c r="AN34" i="1" s="1"/>
  <c r="AN35" i="1" s="1"/>
  <c r="AN36" i="1" s="1"/>
  <c r="AN37" i="1" s="1"/>
  <c r="AN38" i="1" s="1"/>
  <c r="AN39" i="1" s="1"/>
  <c r="AN40" i="1" s="1"/>
  <c r="AN41" i="1" s="1"/>
  <c r="AN42" i="1" s="1"/>
  <c r="AN43" i="1" s="1"/>
  <c r="AN44" i="1" s="1"/>
  <c r="AN45" i="1" s="1"/>
  <c r="AN46" i="1" s="1"/>
  <c r="AN47" i="1" s="1"/>
  <c r="AN48" i="1" s="1"/>
  <c r="AN49" i="1" s="1"/>
  <c r="AN50" i="1" s="1"/>
  <c r="AN51" i="1" s="1"/>
  <c r="AN52" i="1" s="1"/>
  <c r="AN53" i="1" s="1"/>
  <c r="AN54" i="1" s="1"/>
  <c r="AN55" i="1" s="1"/>
  <c r="AN56" i="1" s="1"/>
  <c r="AN57" i="1" s="1"/>
  <c r="AN58" i="1" s="1"/>
  <c r="AN59" i="1" s="1"/>
  <c r="AN60" i="1" s="1"/>
  <c r="AN61" i="1" s="1"/>
  <c r="AN62" i="1" s="1"/>
  <c r="AN63" i="1" s="1"/>
  <c r="AN64" i="1" s="1"/>
  <c r="AN65" i="1" s="1"/>
  <c r="AN66" i="1" s="1"/>
  <c r="AN67" i="1" s="1"/>
  <c r="AN68" i="1" s="1"/>
  <c r="AN69" i="1" s="1"/>
  <c r="AN70" i="1" s="1"/>
  <c r="AN71" i="1" s="1"/>
  <c r="AN72" i="1" s="1"/>
  <c r="AN73" i="1" s="1"/>
  <c r="AN74" i="1" s="1"/>
  <c r="AN75" i="1" s="1"/>
  <c r="AN76" i="1" s="1"/>
  <c r="AN77" i="1" s="1"/>
  <c r="AN78" i="1" s="1"/>
  <c r="AN79" i="1" s="1"/>
  <c r="AN80" i="1" s="1"/>
  <c r="AN81" i="1" s="1"/>
  <c r="AN82" i="1" s="1"/>
  <c r="AN83" i="1" s="1"/>
  <c r="AN84" i="1" s="1"/>
  <c r="AN85" i="1" s="1"/>
  <c r="AN86" i="1" s="1"/>
  <c r="AN87" i="1" s="1"/>
  <c r="AN88" i="1" s="1"/>
  <c r="AN89" i="1" s="1"/>
  <c r="AN90" i="1" s="1"/>
  <c r="AN91" i="1" s="1"/>
  <c r="AN92" i="1" s="1"/>
  <c r="AN93" i="1" s="1"/>
  <c r="AN94" i="1" s="1"/>
  <c r="AN95" i="1" s="1"/>
  <c r="AN96" i="1" s="1"/>
  <c r="AN97" i="1" s="1"/>
  <c r="AN98" i="1" s="1"/>
  <c r="AN99" i="1" s="1"/>
  <c r="AN100" i="1" s="1"/>
  <c r="AN101" i="1" s="1"/>
  <c r="AN102" i="1" s="1"/>
  <c r="AN103" i="1" s="1"/>
  <c r="AN104" i="1" s="1"/>
  <c r="AN105" i="1" s="1"/>
  <c r="AN106" i="1" s="1"/>
  <c r="AN107" i="1" s="1"/>
  <c r="AN108" i="1" s="1"/>
  <c r="AN109" i="1" s="1"/>
  <c r="AN110" i="1" s="1"/>
  <c r="AN111" i="1" s="1"/>
  <c r="AN112" i="1" s="1"/>
  <c r="AN113" i="1" s="1"/>
  <c r="AN114" i="1" s="1"/>
  <c r="AN115" i="1" s="1"/>
  <c r="AN116" i="1" s="1"/>
  <c r="AN117" i="1" s="1"/>
  <c r="AN118" i="1" s="1"/>
  <c r="AN119" i="1" s="1"/>
  <c r="AN120" i="1" s="1"/>
  <c r="AN121" i="1" s="1"/>
  <c r="AN122" i="1" s="1"/>
  <c r="AN123" i="1" s="1"/>
  <c r="AN124" i="1" s="1"/>
  <c r="AN125" i="1" s="1"/>
  <c r="AN126" i="1" s="1"/>
  <c r="AN127" i="1" s="1"/>
  <c r="AN128" i="1" s="1"/>
  <c r="AN129" i="1" s="1"/>
  <c r="AN130" i="1" s="1"/>
  <c r="AN131" i="1" s="1"/>
  <c r="AN132" i="1" s="1"/>
  <c r="AN133" i="1" s="1"/>
  <c r="AN134" i="1" s="1"/>
  <c r="AN135" i="1" s="1"/>
  <c r="AN136" i="1" s="1"/>
  <c r="AN137" i="1" s="1"/>
  <c r="AN138" i="1" s="1"/>
  <c r="AN139" i="1" s="1"/>
  <c r="AN140" i="1" s="1"/>
  <c r="AN141" i="1" s="1"/>
  <c r="AN142" i="1" s="1"/>
  <c r="AN143" i="1" s="1"/>
  <c r="AN144" i="1" s="1"/>
  <c r="AN145" i="1" s="1"/>
  <c r="AN146" i="1" s="1"/>
  <c r="AN147" i="1" s="1"/>
  <c r="AN148" i="1" s="1"/>
  <c r="AN149" i="1" s="1"/>
  <c r="AN150" i="1" s="1"/>
  <c r="AN151" i="1" s="1"/>
  <c r="AN152" i="1" s="1"/>
  <c r="AN153" i="1" s="1"/>
  <c r="AN154" i="1" s="1"/>
  <c r="AN155" i="1" s="1"/>
  <c r="AN156" i="1" s="1"/>
  <c r="AN157" i="1" s="1"/>
  <c r="AN158" i="1" s="1"/>
  <c r="AN159" i="1" s="1"/>
  <c r="AN160" i="1" s="1"/>
  <c r="AN161" i="1" s="1"/>
  <c r="AN162" i="1" s="1"/>
  <c r="AN163" i="1" s="1"/>
  <c r="AN164" i="1" s="1"/>
  <c r="AN165" i="1" s="1"/>
  <c r="AN166" i="1" s="1"/>
  <c r="AN167" i="1" s="1"/>
  <c r="AN168" i="1" s="1"/>
  <c r="AN169" i="1" s="1"/>
  <c r="AN170" i="1" s="1"/>
  <c r="AN171" i="1" s="1"/>
  <c r="AN172" i="1" s="1"/>
  <c r="AN173" i="1" s="1"/>
  <c r="AN174" i="1" s="1"/>
  <c r="AN175" i="1" s="1"/>
  <c r="AN176" i="1" s="1"/>
  <c r="AN177" i="1" s="1"/>
  <c r="AN178" i="1" s="1"/>
  <c r="AN179" i="1" s="1"/>
  <c r="AN180" i="1" s="1"/>
  <c r="AN181" i="1" s="1"/>
  <c r="AN182" i="1" s="1"/>
  <c r="AN183" i="1" s="1"/>
  <c r="AN184" i="1" s="1"/>
  <c r="AN185" i="1" s="1"/>
  <c r="AN186" i="1" s="1"/>
  <c r="AN187" i="1" s="1"/>
  <c r="AN188" i="1" s="1"/>
  <c r="AN189" i="1" s="1"/>
  <c r="AN190" i="1" s="1"/>
  <c r="AN191" i="1" s="1"/>
  <c r="AN192" i="1" s="1"/>
  <c r="AN193" i="1" s="1"/>
  <c r="AN194" i="1" s="1"/>
  <c r="AN195" i="1" s="1"/>
  <c r="AN196" i="1" s="1"/>
  <c r="AN197" i="1" s="1"/>
  <c r="AN198" i="1" s="1"/>
  <c r="AN199" i="1" s="1"/>
  <c r="AN200" i="1" s="1"/>
  <c r="AN201" i="1" s="1"/>
  <c r="AN202" i="1" s="1"/>
  <c r="AN203" i="1" s="1"/>
  <c r="AN204" i="1" s="1"/>
  <c r="AN205" i="1" s="1"/>
  <c r="AN206" i="1" s="1"/>
  <c r="AN207" i="1" s="1"/>
  <c r="AN208" i="1" s="1"/>
  <c r="AN209" i="1" s="1"/>
  <c r="AN210" i="1" s="1"/>
  <c r="AN211" i="1" s="1"/>
  <c r="AN212" i="1" s="1"/>
  <c r="AN213" i="1" s="1"/>
  <c r="AN214" i="1" s="1"/>
  <c r="AN215" i="1" s="1"/>
  <c r="AN216" i="1" s="1"/>
  <c r="AN217" i="1" s="1"/>
  <c r="AN218" i="1" s="1"/>
  <c r="AN219" i="1" s="1"/>
  <c r="AN220" i="1" s="1"/>
  <c r="AN221" i="1" s="1"/>
  <c r="AN222" i="1" s="1"/>
  <c r="AN223" i="1" s="1"/>
  <c r="AN224" i="1" s="1"/>
  <c r="AN225" i="1" s="1"/>
  <c r="AN226" i="1" s="1"/>
  <c r="AN227" i="1" s="1"/>
  <c r="AN228" i="1" s="1"/>
  <c r="AN229" i="1" s="1"/>
  <c r="AN230" i="1" s="1"/>
  <c r="AN231" i="1" s="1"/>
  <c r="AN232" i="1" s="1"/>
  <c r="AN233" i="1" s="1"/>
  <c r="AN234" i="1" s="1"/>
  <c r="AN235" i="1" s="1"/>
  <c r="AN236" i="1" s="1"/>
  <c r="AN237" i="1" s="1"/>
  <c r="AN238" i="1" s="1"/>
  <c r="AN239" i="1" s="1"/>
  <c r="AN240" i="1" s="1"/>
  <c r="AN241" i="1" s="1"/>
  <c r="AN242" i="1" s="1"/>
  <c r="AN243" i="1" s="1"/>
  <c r="AN244" i="1" s="1"/>
  <c r="AN245" i="1" s="1"/>
  <c r="AN246" i="1" s="1"/>
  <c r="AN247" i="1" s="1"/>
  <c r="AN248" i="1" s="1"/>
  <c r="AN11" i="1"/>
  <c r="AM15" i="1"/>
  <c r="AB15" i="1"/>
  <c r="AB16" i="1" s="1"/>
  <c r="AB17" i="1" s="1"/>
  <c r="AB18" i="1" s="1"/>
  <c r="AB19" i="1" s="1"/>
  <c r="AB20" i="1" s="1"/>
  <c r="AB21" i="1" s="1"/>
  <c r="AB22" i="1" s="1"/>
  <c r="AB23" i="1" s="1"/>
  <c r="AB24" i="1" s="1"/>
  <c r="AB25" i="1" s="1"/>
  <c r="AB26" i="1" s="1"/>
  <c r="AB27" i="1" s="1"/>
  <c r="AB28" i="1" s="1"/>
  <c r="AB29" i="1" s="1"/>
  <c r="AB30" i="1" s="1"/>
  <c r="AB31" i="1" s="1"/>
  <c r="AB32" i="1" s="1"/>
  <c r="AB33" i="1" s="1"/>
  <c r="AB34" i="1" s="1"/>
  <c r="AB35" i="1" s="1"/>
  <c r="AB36" i="1" s="1"/>
  <c r="AB37" i="1" s="1"/>
  <c r="AB38" i="1" s="1"/>
  <c r="AB39" i="1" s="1"/>
  <c r="AB40" i="1" s="1"/>
  <c r="AB41" i="1" s="1"/>
  <c r="AB42" i="1" s="1"/>
  <c r="AB43" i="1" s="1"/>
  <c r="AB44" i="1" s="1"/>
  <c r="AB45" i="1" s="1"/>
  <c r="AB46" i="1" s="1"/>
  <c r="AB47" i="1" s="1"/>
  <c r="AB48" i="1" s="1"/>
  <c r="AB49" i="1" s="1"/>
  <c r="AB50" i="1" s="1"/>
  <c r="AB51" i="1" s="1"/>
  <c r="AB52" i="1" s="1"/>
  <c r="AB53" i="1" s="1"/>
  <c r="AB54" i="1" s="1"/>
  <c r="AB55" i="1" s="1"/>
  <c r="AB56" i="1" s="1"/>
  <c r="AB57" i="1" s="1"/>
  <c r="AB58" i="1" s="1"/>
  <c r="AB59" i="1" s="1"/>
  <c r="AB60" i="1" s="1"/>
  <c r="AB61" i="1" s="1"/>
  <c r="AB62" i="1" s="1"/>
  <c r="AB63" i="1" s="1"/>
  <c r="AB64" i="1" s="1"/>
  <c r="AB65" i="1" s="1"/>
  <c r="AB66" i="1" s="1"/>
  <c r="AB67" i="1" s="1"/>
  <c r="AB68" i="1" s="1"/>
  <c r="AB69" i="1" s="1"/>
  <c r="AB70" i="1" s="1"/>
  <c r="AB71" i="1" s="1"/>
  <c r="AB72" i="1" s="1"/>
  <c r="AB73" i="1" s="1"/>
  <c r="AB74" i="1" s="1"/>
  <c r="AB75" i="1" s="1"/>
  <c r="AB76" i="1" s="1"/>
  <c r="AB77" i="1" s="1"/>
  <c r="AB78" i="1" s="1"/>
  <c r="AB79" i="1" s="1"/>
  <c r="AB80" i="1" s="1"/>
  <c r="AB81" i="1" s="1"/>
  <c r="AB82" i="1" s="1"/>
  <c r="AB83" i="1" s="1"/>
  <c r="AB84" i="1" s="1"/>
  <c r="AB85" i="1" s="1"/>
  <c r="AB86" i="1" s="1"/>
  <c r="AB87" i="1" s="1"/>
  <c r="AB88" i="1" s="1"/>
  <c r="AB89" i="1" s="1"/>
  <c r="AB90" i="1" s="1"/>
  <c r="AB91" i="1" s="1"/>
  <c r="AB92" i="1" s="1"/>
  <c r="AB93" i="1" s="1"/>
  <c r="AB94" i="1" s="1"/>
  <c r="AB95" i="1" s="1"/>
  <c r="AB96" i="1" s="1"/>
  <c r="AB97" i="1" s="1"/>
  <c r="AB98" i="1" s="1"/>
  <c r="AB99" i="1" s="1"/>
  <c r="AB100" i="1" s="1"/>
  <c r="AB101" i="1" s="1"/>
  <c r="AB102" i="1" s="1"/>
  <c r="AB103" i="1" s="1"/>
  <c r="AB104" i="1" s="1"/>
  <c r="AB105" i="1" s="1"/>
  <c r="AB106" i="1" s="1"/>
  <c r="AB107" i="1" s="1"/>
  <c r="AB108" i="1" s="1"/>
  <c r="AB109" i="1" s="1"/>
  <c r="AB110" i="1" s="1"/>
  <c r="AB111" i="1" s="1"/>
  <c r="AB112" i="1" s="1"/>
  <c r="AB113" i="1" s="1"/>
  <c r="AB114" i="1" s="1"/>
  <c r="AB115" i="1" s="1"/>
  <c r="AB116" i="1" s="1"/>
  <c r="AB117" i="1" s="1"/>
  <c r="AB118" i="1" s="1"/>
  <c r="AB119" i="1" s="1"/>
  <c r="AB120" i="1" s="1"/>
  <c r="AB121" i="1" s="1"/>
  <c r="AB122" i="1" s="1"/>
  <c r="AB123" i="1" s="1"/>
  <c r="AB124" i="1" s="1"/>
  <c r="AB125" i="1" s="1"/>
  <c r="AB126" i="1" s="1"/>
  <c r="AB127" i="1" s="1"/>
  <c r="AB128" i="1" s="1"/>
  <c r="AB129" i="1" s="1"/>
  <c r="AB130" i="1" s="1"/>
  <c r="AB131" i="1" s="1"/>
  <c r="AB132" i="1" s="1"/>
  <c r="AB133" i="1" s="1"/>
  <c r="AB134" i="1" s="1"/>
  <c r="AB135" i="1" s="1"/>
  <c r="AB136" i="1" s="1"/>
  <c r="AB137" i="1" s="1"/>
  <c r="AB138" i="1" s="1"/>
  <c r="AB139" i="1" s="1"/>
  <c r="AB140" i="1" s="1"/>
  <c r="AB141" i="1" s="1"/>
  <c r="AB142" i="1" s="1"/>
  <c r="AB143" i="1" s="1"/>
  <c r="AB144" i="1" s="1"/>
  <c r="AB145" i="1" s="1"/>
  <c r="AB146" i="1" s="1"/>
  <c r="AB147" i="1" s="1"/>
  <c r="AB148" i="1" s="1"/>
  <c r="AB149" i="1" s="1"/>
  <c r="AB150" i="1" s="1"/>
  <c r="AB151" i="1" s="1"/>
  <c r="AB152" i="1" s="1"/>
  <c r="AB153" i="1" s="1"/>
  <c r="AB154" i="1" s="1"/>
  <c r="AB155" i="1" s="1"/>
  <c r="AB156" i="1" s="1"/>
  <c r="AB157" i="1" s="1"/>
  <c r="AB158" i="1" s="1"/>
  <c r="AB159" i="1" s="1"/>
  <c r="AB160" i="1" s="1"/>
  <c r="AB161" i="1" s="1"/>
  <c r="AB162" i="1" s="1"/>
  <c r="AB163" i="1" s="1"/>
  <c r="AB164" i="1" s="1"/>
  <c r="AB165" i="1" s="1"/>
  <c r="AB166" i="1" s="1"/>
  <c r="AB167" i="1" s="1"/>
  <c r="AB168" i="1" s="1"/>
  <c r="AB169" i="1" s="1"/>
  <c r="AB170" i="1" s="1"/>
  <c r="AB171" i="1" s="1"/>
  <c r="AB172" i="1" s="1"/>
  <c r="AB173" i="1" s="1"/>
  <c r="AB174" i="1" s="1"/>
  <c r="AB175" i="1" s="1"/>
  <c r="AB176" i="1" s="1"/>
  <c r="AB177" i="1" s="1"/>
  <c r="AB178" i="1" s="1"/>
  <c r="AB179" i="1" s="1"/>
  <c r="AB180" i="1" s="1"/>
  <c r="AB181" i="1" s="1"/>
  <c r="AB182" i="1" s="1"/>
  <c r="AB183" i="1" s="1"/>
  <c r="AB184" i="1" s="1"/>
  <c r="AB185" i="1" s="1"/>
  <c r="AB186" i="1" s="1"/>
  <c r="AB187" i="1" s="1"/>
  <c r="AB188" i="1" s="1"/>
  <c r="AB189" i="1" s="1"/>
  <c r="AB190" i="1" s="1"/>
  <c r="AB191" i="1" s="1"/>
  <c r="AB192" i="1" s="1"/>
  <c r="AB193" i="1" s="1"/>
  <c r="AB194" i="1" s="1"/>
  <c r="AB195" i="1" s="1"/>
  <c r="AB196" i="1" s="1"/>
  <c r="AB197" i="1" s="1"/>
  <c r="AB198" i="1" s="1"/>
  <c r="AB199" i="1" s="1"/>
  <c r="AB200" i="1" s="1"/>
  <c r="AB201" i="1" s="1"/>
  <c r="AB202" i="1" s="1"/>
  <c r="AB203" i="1" s="1"/>
  <c r="AB204" i="1" s="1"/>
  <c r="AB205" i="1" s="1"/>
  <c r="AB206" i="1" s="1"/>
  <c r="AB207" i="1" s="1"/>
  <c r="AB208" i="1" s="1"/>
  <c r="AB209" i="1" s="1"/>
  <c r="AB210" i="1" s="1"/>
  <c r="AB211" i="1" s="1"/>
  <c r="AB212" i="1" s="1"/>
  <c r="AB213" i="1" s="1"/>
  <c r="AB214" i="1" s="1"/>
  <c r="AB215" i="1" s="1"/>
  <c r="AB216" i="1" s="1"/>
  <c r="AB217" i="1" s="1"/>
  <c r="AB218" i="1" s="1"/>
  <c r="AB219" i="1" s="1"/>
  <c r="AB220" i="1" s="1"/>
  <c r="AB221" i="1" s="1"/>
  <c r="AB222" i="1" s="1"/>
  <c r="AB223" i="1" s="1"/>
  <c r="AB224" i="1" s="1"/>
  <c r="AB225" i="1" s="1"/>
  <c r="AB226" i="1" s="1"/>
  <c r="AB227" i="1" s="1"/>
  <c r="AB228" i="1" s="1"/>
  <c r="AB229" i="1" s="1"/>
  <c r="AB230" i="1" s="1"/>
  <c r="AB231" i="1" s="1"/>
  <c r="AB232" i="1" s="1"/>
  <c r="AB233" i="1" s="1"/>
  <c r="AB234" i="1" s="1"/>
  <c r="AB235" i="1" s="1"/>
  <c r="AB236" i="1" s="1"/>
  <c r="AB237" i="1" s="1"/>
  <c r="AB238" i="1" s="1"/>
  <c r="AB239" i="1" s="1"/>
  <c r="AB240" i="1" s="1"/>
  <c r="AB241" i="1" s="1"/>
  <c r="AB242" i="1" s="1"/>
  <c r="AB243" i="1" s="1"/>
  <c r="AB244" i="1" s="1"/>
  <c r="AB245" i="1" s="1"/>
  <c r="AB246" i="1" s="1"/>
  <c r="AB247" i="1" s="1"/>
  <c r="AB248" i="1" s="1"/>
  <c r="AA15" i="1"/>
  <c r="P15" i="1"/>
  <c r="P16" i="1" s="1"/>
  <c r="P17" i="1" s="1"/>
  <c r="P18" i="1" s="1"/>
  <c r="P19" i="1" s="1"/>
  <c r="P20" i="1" s="1"/>
  <c r="P21" i="1" s="1"/>
  <c r="P22" i="1" s="1"/>
  <c r="P23" i="1" s="1"/>
  <c r="P24" i="1" s="1"/>
  <c r="P25" i="1" s="1"/>
  <c r="P26" i="1" s="1"/>
  <c r="P27" i="1" s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  <c r="P42" i="1" s="1"/>
  <c r="P43" i="1" s="1"/>
  <c r="P44" i="1" s="1"/>
  <c r="P45" i="1" s="1"/>
  <c r="P46" i="1" s="1"/>
  <c r="P47" i="1" s="1"/>
  <c r="P48" i="1" s="1"/>
  <c r="P49" i="1" s="1"/>
  <c r="P50" i="1" s="1"/>
  <c r="P51" i="1" s="1"/>
  <c r="P52" i="1" s="1"/>
  <c r="P53" i="1" s="1"/>
  <c r="P54" i="1" s="1"/>
  <c r="P55" i="1" s="1"/>
  <c r="P56" i="1" s="1"/>
  <c r="P57" i="1" s="1"/>
  <c r="P58" i="1" s="1"/>
  <c r="P59" i="1" s="1"/>
  <c r="P60" i="1" s="1"/>
  <c r="P61" i="1" s="1"/>
  <c r="P62" i="1" s="1"/>
  <c r="P63" i="1" s="1"/>
  <c r="P64" i="1" s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P102" i="1" s="1"/>
  <c r="P103" i="1" s="1"/>
  <c r="P104" i="1" s="1"/>
  <c r="P105" i="1" s="1"/>
  <c r="P106" i="1" s="1"/>
  <c r="P107" i="1" s="1"/>
  <c r="P108" i="1" s="1"/>
  <c r="P109" i="1" s="1"/>
  <c r="P110" i="1" s="1"/>
  <c r="P111" i="1" s="1"/>
  <c r="P112" i="1" s="1"/>
  <c r="P113" i="1" s="1"/>
  <c r="P114" i="1" s="1"/>
  <c r="P115" i="1" s="1"/>
  <c r="P116" i="1" s="1"/>
  <c r="P117" i="1" s="1"/>
  <c r="P118" i="1" s="1"/>
  <c r="P119" i="1" s="1"/>
  <c r="P120" i="1" s="1"/>
  <c r="P121" i="1" s="1"/>
  <c r="P122" i="1" s="1"/>
  <c r="P123" i="1" s="1"/>
  <c r="P124" i="1" s="1"/>
  <c r="P125" i="1" s="1"/>
  <c r="P126" i="1" s="1"/>
  <c r="P127" i="1" s="1"/>
  <c r="P128" i="1" s="1"/>
  <c r="P129" i="1" s="1"/>
  <c r="P130" i="1" s="1"/>
  <c r="P131" i="1" s="1"/>
  <c r="P132" i="1" s="1"/>
  <c r="P133" i="1" s="1"/>
  <c r="P134" i="1" s="1"/>
  <c r="P135" i="1" s="1"/>
  <c r="P136" i="1" s="1"/>
  <c r="P137" i="1" s="1"/>
  <c r="P138" i="1" s="1"/>
  <c r="P139" i="1" s="1"/>
  <c r="P140" i="1" s="1"/>
  <c r="P141" i="1" s="1"/>
  <c r="P142" i="1" s="1"/>
  <c r="P143" i="1" s="1"/>
  <c r="P144" i="1" s="1"/>
  <c r="P145" i="1" s="1"/>
  <c r="P146" i="1" s="1"/>
  <c r="P147" i="1" s="1"/>
  <c r="P148" i="1" s="1"/>
  <c r="P149" i="1" s="1"/>
  <c r="P150" i="1" s="1"/>
  <c r="P151" i="1" s="1"/>
  <c r="P152" i="1" s="1"/>
  <c r="P153" i="1" s="1"/>
  <c r="P154" i="1" s="1"/>
  <c r="P155" i="1" s="1"/>
  <c r="P156" i="1" s="1"/>
  <c r="P157" i="1" s="1"/>
  <c r="P158" i="1" s="1"/>
  <c r="P159" i="1" s="1"/>
  <c r="P160" i="1" s="1"/>
  <c r="P161" i="1" s="1"/>
  <c r="P162" i="1" s="1"/>
  <c r="P163" i="1" s="1"/>
  <c r="P164" i="1" s="1"/>
  <c r="P165" i="1" s="1"/>
  <c r="P166" i="1" s="1"/>
  <c r="P167" i="1" s="1"/>
  <c r="P168" i="1" s="1"/>
  <c r="P169" i="1" s="1"/>
  <c r="P170" i="1" s="1"/>
  <c r="P171" i="1" s="1"/>
  <c r="P172" i="1" s="1"/>
  <c r="P173" i="1" s="1"/>
  <c r="P174" i="1" s="1"/>
  <c r="P175" i="1" s="1"/>
  <c r="P176" i="1" s="1"/>
  <c r="P177" i="1" s="1"/>
  <c r="P178" i="1" s="1"/>
  <c r="P179" i="1" s="1"/>
  <c r="P180" i="1" s="1"/>
  <c r="P181" i="1" s="1"/>
  <c r="P182" i="1" s="1"/>
  <c r="P183" i="1" s="1"/>
  <c r="P184" i="1" s="1"/>
  <c r="P185" i="1" s="1"/>
  <c r="P186" i="1" s="1"/>
  <c r="P187" i="1" s="1"/>
  <c r="P188" i="1" s="1"/>
  <c r="P189" i="1" s="1"/>
  <c r="P190" i="1" s="1"/>
  <c r="P191" i="1" s="1"/>
  <c r="P192" i="1" s="1"/>
  <c r="P193" i="1" s="1"/>
  <c r="P194" i="1" s="1"/>
  <c r="P195" i="1" s="1"/>
  <c r="P196" i="1" s="1"/>
  <c r="P197" i="1" s="1"/>
  <c r="P198" i="1" s="1"/>
  <c r="P199" i="1" s="1"/>
  <c r="P200" i="1" s="1"/>
  <c r="P201" i="1" s="1"/>
  <c r="P202" i="1" s="1"/>
  <c r="P203" i="1" s="1"/>
  <c r="P204" i="1" s="1"/>
  <c r="P205" i="1" s="1"/>
  <c r="P206" i="1" s="1"/>
  <c r="P207" i="1" s="1"/>
  <c r="P208" i="1" s="1"/>
  <c r="P209" i="1" s="1"/>
  <c r="P210" i="1" s="1"/>
  <c r="P211" i="1" s="1"/>
  <c r="P212" i="1" s="1"/>
  <c r="P213" i="1" s="1"/>
  <c r="P214" i="1" s="1"/>
  <c r="P215" i="1" s="1"/>
  <c r="P216" i="1" s="1"/>
  <c r="P217" i="1" s="1"/>
  <c r="P218" i="1" s="1"/>
  <c r="P219" i="1" s="1"/>
  <c r="P220" i="1" s="1"/>
  <c r="P221" i="1" s="1"/>
  <c r="P222" i="1" s="1"/>
  <c r="P223" i="1" s="1"/>
  <c r="P224" i="1" s="1"/>
  <c r="P225" i="1" s="1"/>
  <c r="P226" i="1" s="1"/>
  <c r="P227" i="1" s="1"/>
  <c r="P228" i="1" s="1"/>
  <c r="P229" i="1" s="1"/>
  <c r="P230" i="1" s="1"/>
  <c r="P231" i="1" s="1"/>
  <c r="P232" i="1" s="1"/>
  <c r="P233" i="1" s="1"/>
  <c r="P234" i="1" s="1"/>
  <c r="P235" i="1" s="1"/>
  <c r="P236" i="1" s="1"/>
  <c r="P237" i="1" s="1"/>
  <c r="P238" i="1" s="1"/>
  <c r="P239" i="1" s="1"/>
  <c r="P240" i="1" s="1"/>
  <c r="P241" i="1" s="1"/>
  <c r="P242" i="1" s="1"/>
  <c r="P243" i="1" s="1"/>
  <c r="P244" i="1" s="1"/>
  <c r="P245" i="1" s="1"/>
  <c r="P246" i="1" s="1"/>
  <c r="P247" i="1" s="1"/>
  <c r="P248" i="1" s="1"/>
  <c r="O15" i="1"/>
  <c r="AQ15" i="1" l="1"/>
  <c r="AU15" i="1"/>
  <c r="AT15" i="1"/>
  <c r="AS15" i="1"/>
  <c r="AO15" i="1"/>
  <c r="AR15" i="1"/>
  <c r="AH15" i="1"/>
  <c r="AG15" i="1"/>
  <c r="AI15" i="1"/>
  <c r="AC15" i="1"/>
  <c r="AE15" i="1"/>
  <c r="AF15" i="1"/>
  <c r="U15" i="1"/>
  <c r="T15" i="1"/>
  <c r="S15" i="1"/>
  <c r="V15" i="1"/>
  <c r="Q15" i="1"/>
  <c r="W15" i="1"/>
  <c r="BC15" i="1"/>
  <c r="BG15" i="1"/>
  <c r="BE15" i="1"/>
  <c r="BF15" i="1"/>
  <c r="BD15" i="1"/>
  <c r="BA15" i="1"/>
  <c r="Z15" i="1"/>
  <c r="BK15" i="1"/>
  <c r="H6" i="7"/>
  <c r="J8" i="7"/>
  <c r="AX15" i="1"/>
  <c r="AL15" i="1"/>
  <c r="N15" i="1"/>
  <c r="BL11" i="1"/>
  <c r="AY16" i="1"/>
  <c r="BK16" i="1"/>
  <c r="BK17" i="1" s="1"/>
  <c r="AZ11" i="1"/>
  <c r="AB11" i="1"/>
  <c r="P11" i="1"/>
  <c r="AM16" i="1"/>
  <c r="AA16" i="1"/>
  <c r="O16" i="1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6" i="2"/>
  <c r="AW200" i="2"/>
  <c r="AN200" i="2"/>
  <c r="AE200" i="2"/>
  <c r="V200" i="2"/>
  <c r="U200" i="2"/>
  <c r="L200" i="2"/>
  <c r="C200" i="2"/>
  <c r="AW199" i="2"/>
  <c r="AN199" i="2"/>
  <c r="AE199" i="2"/>
  <c r="V199" i="2"/>
  <c r="U199" i="2"/>
  <c r="L199" i="2"/>
  <c r="C199" i="2"/>
  <c r="AW198" i="2"/>
  <c r="AN198" i="2"/>
  <c r="AE198" i="2"/>
  <c r="V198" i="2"/>
  <c r="U198" i="2"/>
  <c r="L198" i="2"/>
  <c r="C198" i="2"/>
  <c r="AW197" i="2"/>
  <c r="AN197" i="2"/>
  <c r="AE197" i="2"/>
  <c r="V197" i="2"/>
  <c r="U197" i="2"/>
  <c r="L197" i="2"/>
  <c r="C197" i="2"/>
  <c r="AW196" i="2"/>
  <c r="AN196" i="2"/>
  <c r="AE196" i="2"/>
  <c r="V196" i="2"/>
  <c r="U196" i="2"/>
  <c r="L196" i="2"/>
  <c r="C196" i="2"/>
  <c r="AW195" i="2"/>
  <c r="AN195" i="2"/>
  <c r="AE195" i="2"/>
  <c r="V195" i="2"/>
  <c r="U195" i="2"/>
  <c r="L195" i="2"/>
  <c r="C195" i="2"/>
  <c r="AW194" i="2"/>
  <c r="AN194" i="2"/>
  <c r="AE194" i="2"/>
  <c r="V194" i="2"/>
  <c r="U194" i="2"/>
  <c r="L194" i="2"/>
  <c r="C194" i="2"/>
  <c r="AW193" i="2"/>
  <c r="AN193" i="2"/>
  <c r="AE193" i="2"/>
  <c r="V193" i="2"/>
  <c r="U193" i="2"/>
  <c r="L193" i="2"/>
  <c r="C193" i="2"/>
  <c r="AW192" i="2"/>
  <c r="AN192" i="2"/>
  <c r="AE192" i="2"/>
  <c r="V192" i="2"/>
  <c r="U192" i="2"/>
  <c r="L192" i="2"/>
  <c r="C192" i="2"/>
  <c r="AW191" i="2"/>
  <c r="AN191" i="2"/>
  <c r="AE191" i="2"/>
  <c r="V191" i="2"/>
  <c r="U191" i="2"/>
  <c r="L191" i="2"/>
  <c r="C191" i="2"/>
  <c r="AW190" i="2"/>
  <c r="AN190" i="2"/>
  <c r="AE190" i="2"/>
  <c r="V190" i="2"/>
  <c r="U190" i="2"/>
  <c r="L190" i="2"/>
  <c r="C190" i="2"/>
  <c r="AW189" i="2"/>
  <c r="AN189" i="2"/>
  <c r="AE189" i="2"/>
  <c r="V189" i="2"/>
  <c r="U189" i="2"/>
  <c r="L189" i="2"/>
  <c r="C189" i="2"/>
  <c r="AW188" i="2"/>
  <c r="AN188" i="2"/>
  <c r="AE188" i="2"/>
  <c r="V188" i="2"/>
  <c r="U188" i="2"/>
  <c r="L188" i="2"/>
  <c r="C188" i="2"/>
  <c r="AW187" i="2"/>
  <c r="AN187" i="2"/>
  <c r="AE187" i="2"/>
  <c r="V187" i="2"/>
  <c r="U187" i="2"/>
  <c r="L187" i="2"/>
  <c r="C187" i="2"/>
  <c r="AW186" i="2"/>
  <c r="AN186" i="2"/>
  <c r="AE186" i="2"/>
  <c r="V186" i="2"/>
  <c r="U186" i="2"/>
  <c r="L186" i="2"/>
  <c r="C186" i="2"/>
  <c r="AW185" i="2"/>
  <c r="AN185" i="2"/>
  <c r="AE185" i="2"/>
  <c r="V185" i="2"/>
  <c r="U185" i="2"/>
  <c r="L185" i="2"/>
  <c r="C185" i="2"/>
  <c r="AW184" i="2"/>
  <c r="AN184" i="2"/>
  <c r="AE184" i="2"/>
  <c r="V184" i="2"/>
  <c r="U184" i="2"/>
  <c r="L184" i="2"/>
  <c r="C184" i="2"/>
  <c r="AW183" i="2"/>
  <c r="AN183" i="2"/>
  <c r="AE183" i="2"/>
  <c r="V183" i="2"/>
  <c r="U183" i="2"/>
  <c r="L183" i="2"/>
  <c r="C183" i="2"/>
  <c r="AW182" i="2"/>
  <c r="AN182" i="2"/>
  <c r="AE182" i="2"/>
  <c r="V182" i="2"/>
  <c r="U182" i="2"/>
  <c r="L182" i="2"/>
  <c r="C182" i="2"/>
  <c r="AW181" i="2"/>
  <c r="AN181" i="2"/>
  <c r="AE181" i="2"/>
  <c r="V181" i="2"/>
  <c r="U181" i="2"/>
  <c r="L181" i="2"/>
  <c r="C181" i="2"/>
  <c r="AW180" i="2"/>
  <c r="AN180" i="2"/>
  <c r="AE180" i="2"/>
  <c r="V180" i="2"/>
  <c r="U180" i="2"/>
  <c r="L180" i="2"/>
  <c r="C180" i="2"/>
  <c r="AW179" i="2"/>
  <c r="AN179" i="2"/>
  <c r="AE179" i="2"/>
  <c r="V179" i="2"/>
  <c r="U179" i="2"/>
  <c r="L179" i="2"/>
  <c r="C179" i="2"/>
  <c r="AW178" i="2"/>
  <c r="AN178" i="2"/>
  <c r="AE178" i="2"/>
  <c r="V178" i="2"/>
  <c r="U178" i="2"/>
  <c r="L178" i="2"/>
  <c r="C178" i="2"/>
  <c r="AW177" i="2"/>
  <c r="AN177" i="2"/>
  <c r="AE177" i="2"/>
  <c r="V177" i="2"/>
  <c r="U177" i="2"/>
  <c r="L177" i="2"/>
  <c r="C177" i="2"/>
  <c r="AW176" i="2"/>
  <c r="AN176" i="2"/>
  <c r="AE176" i="2"/>
  <c r="V176" i="2"/>
  <c r="U176" i="2"/>
  <c r="L176" i="2"/>
  <c r="C176" i="2"/>
  <c r="AW175" i="2"/>
  <c r="AN175" i="2"/>
  <c r="AE175" i="2"/>
  <c r="V175" i="2"/>
  <c r="U175" i="2"/>
  <c r="L175" i="2"/>
  <c r="C175" i="2"/>
  <c r="AW174" i="2"/>
  <c r="AN174" i="2"/>
  <c r="AE174" i="2"/>
  <c r="V174" i="2"/>
  <c r="U174" i="2"/>
  <c r="L174" i="2"/>
  <c r="C174" i="2"/>
  <c r="AW173" i="2"/>
  <c r="AN173" i="2"/>
  <c r="AE173" i="2"/>
  <c r="V173" i="2"/>
  <c r="U173" i="2"/>
  <c r="L173" i="2"/>
  <c r="C173" i="2"/>
  <c r="AW172" i="2"/>
  <c r="AN172" i="2"/>
  <c r="AE172" i="2"/>
  <c r="V172" i="2"/>
  <c r="U172" i="2"/>
  <c r="L172" i="2"/>
  <c r="C172" i="2"/>
  <c r="AW171" i="2"/>
  <c r="AN171" i="2"/>
  <c r="AE171" i="2"/>
  <c r="V171" i="2"/>
  <c r="U171" i="2"/>
  <c r="L171" i="2"/>
  <c r="C171" i="2"/>
  <c r="AW170" i="2"/>
  <c r="AN170" i="2"/>
  <c r="AE170" i="2"/>
  <c r="V170" i="2"/>
  <c r="U170" i="2"/>
  <c r="L170" i="2"/>
  <c r="C170" i="2"/>
  <c r="AW169" i="2"/>
  <c r="AN169" i="2"/>
  <c r="AE169" i="2"/>
  <c r="V169" i="2"/>
  <c r="U169" i="2"/>
  <c r="L169" i="2"/>
  <c r="C169" i="2"/>
  <c r="AW168" i="2"/>
  <c r="AN168" i="2"/>
  <c r="AE168" i="2"/>
  <c r="V168" i="2"/>
  <c r="U168" i="2"/>
  <c r="L168" i="2"/>
  <c r="C168" i="2"/>
  <c r="AW167" i="2"/>
  <c r="AN167" i="2"/>
  <c r="AE167" i="2"/>
  <c r="V167" i="2"/>
  <c r="U167" i="2"/>
  <c r="L167" i="2"/>
  <c r="C167" i="2"/>
  <c r="AW166" i="2"/>
  <c r="AN166" i="2"/>
  <c r="AE166" i="2"/>
  <c r="V166" i="2"/>
  <c r="U166" i="2"/>
  <c r="L166" i="2"/>
  <c r="C166" i="2"/>
  <c r="AW165" i="2"/>
  <c r="AN165" i="2"/>
  <c r="AE165" i="2"/>
  <c r="V165" i="2"/>
  <c r="U165" i="2"/>
  <c r="L165" i="2"/>
  <c r="C165" i="2"/>
  <c r="AW164" i="2"/>
  <c r="AN164" i="2"/>
  <c r="AE164" i="2"/>
  <c r="V164" i="2"/>
  <c r="U164" i="2"/>
  <c r="L164" i="2"/>
  <c r="C164" i="2"/>
  <c r="AW163" i="2"/>
  <c r="AN163" i="2"/>
  <c r="AE163" i="2"/>
  <c r="V163" i="2"/>
  <c r="U163" i="2"/>
  <c r="L163" i="2"/>
  <c r="C163" i="2"/>
  <c r="AW162" i="2"/>
  <c r="AN162" i="2"/>
  <c r="AE162" i="2"/>
  <c r="V162" i="2"/>
  <c r="U162" i="2"/>
  <c r="L162" i="2"/>
  <c r="C162" i="2"/>
  <c r="AW161" i="2"/>
  <c r="AN161" i="2"/>
  <c r="AE161" i="2"/>
  <c r="V161" i="2"/>
  <c r="U161" i="2"/>
  <c r="L161" i="2"/>
  <c r="C161" i="2"/>
  <c r="AW160" i="2"/>
  <c r="AN160" i="2"/>
  <c r="AE160" i="2"/>
  <c r="V160" i="2"/>
  <c r="U160" i="2"/>
  <c r="L160" i="2"/>
  <c r="C160" i="2"/>
  <c r="AW159" i="2"/>
  <c r="AN159" i="2"/>
  <c r="AE159" i="2"/>
  <c r="V159" i="2"/>
  <c r="U159" i="2"/>
  <c r="L159" i="2"/>
  <c r="C159" i="2"/>
  <c r="AW158" i="2"/>
  <c r="AN158" i="2"/>
  <c r="AE158" i="2"/>
  <c r="V158" i="2"/>
  <c r="U158" i="2"/>
  <c r="L158" i="2"/>
  <c r="C158" i="2"/>
  <c r="AW157" i="2"/>
  <c r="AN157" i="2"/>
  <c r="AE157" i="2"/>
  <c r="V157" i="2"/>
  <c r="U157" i="2"/>
  <c r="L157" i="2"/>
  <c r="C157" i="2"/>
  <c r="AW156" i="2"/>
  <c r="AN156" i="2"/>
  <c r="AE156" i="2"/>
  <c r="V156" i="2"/>
  <c r="U156" i="2"/>
  <c r="L156" i="2"/>
  <c r="C156" i="2"/>
  <c r="AW155" i="2"/>
  <c r="AN155" i="2"/>
  <c r="AE155" i="2"/>
  <c r="V155" i="2"/>
  <c r="U155" i="2"/>
  <c r="L155" i="2"/>
  <c r="C155" i="2"/>
  <c r="AW154" i="2"/>
  <c r="AN154" i="2"/>
  <c r="AE154" i="2"/>
  <c r="V154" i="2"/>
  <c r="U154" i="2"/>
  <c r="L154" i="2"/>
  <c r="C154" i="2"/>
  <c r="AW153" i="2"/>
  <c r="AN153" i="2"/>
  <c r="AE153" i="2"/>
  <c r="V153" i="2"/>
  <c r="U153" i="2"/>
  <c r="L153" i="2"/>
  <c r="C153" i="2"/>
  <c r="AW152" i="2"/>
  <c r="AN152" i="2"/>
  <c r="AE152" i="2"/>
  <c r="V152" i="2"/>
  <c r="U152" i="2"/>
  <c r="L152" i="2"/>
  <c r="C152" i="2"/>
  <c r="AW151" i="2"/>
  <c r="AN151" i="2"/>
  <c r="AE151" i="2"/>
  <c r="V151" i="2"/>
  <c r="U151" i="2"/>
  <c r="L151" i="2"/>
  <c r="C151" i="2"/>
  <c r="AW150" i="2"/>
  <c r="AN150" i="2"/>
  <c r="AE150" i="2"/>
  <c r="V150" i="2"/>
  <c r="U150" i="2"/>
  <c r="L150" i="2"/>
  <c r="C150" i="2"/>
  <c r="AW149" i="2"/>
  <c r="AN149" i="2"/>
  <c r="AE149" i="2"/>
  <c r="V149" i="2"/>
  <c r="U149" i="2"/>
  <c r="L149" i="2"/>
  <c r="C149" i="2"/>
  <c r="AW148" i="2"/>
  <c r="AN148" i="2"/>
  <c r="AE148" i="2"/>
  <c r="V148" i="2"/>
  <c r="U148" i="2"/>
  <c r="L148" i="2"/>
  <c r="C148" i="2"/>
  <c r="AW147" i="2"/>
  <c r="AN147" i="2"/>
  <c r="AE147" i="2"/>
  <c r="V147" i="2"/>
  <c r="U147" i="2"/>
  <c r="L147" i="2"/>
  <c r="C147" i="2"/>
  <c r="AW146" i="2"/>
  <c r="AN146" i="2"/>
  <c r="AE146" i="2"/>
  <c r="V146" i="2"/>
  <c r="U146" i="2"/>
  <c r="L146" i="2"/>
  <c r="C146" i="2"/>
  <c r="AW145" i="2"/>
  <c r="AN145" i="2"/>
  <c r="AE145" i="2"/>
  <c r="V145" i="2"/>
  <c r="U145" i="2"/>
  <c r="L145" i="2"/>
  <c r="C145" i="2"/>
  <c r="AW144" i="2"/>
  <c r="AN144" i="2"/>
  <c r="AE144" i="2"/>
  <c r="V144" i="2"/>
  <c r="U144" i="2"/>
  <c r="L144" i="2"/>
  <c r="C144" i="2"/>
  <c r="AW143" i="2"/>
  <c r="AN143" i="2"/>
  <c r="AE143" i="2"/>
  <c r="V143" i="2"/>
  <c r="U143" i="2"/>
  <c r="L143" i="2"/>
  <c r="C143" i="2"/>
  <c r="AW142" i="2"/>
  <c r="AN142" i="2"/>
  <c r="AE142" i="2"/>
  <c r="V142" i="2"/>
  <c r="U142" i="2"/>
  <c r="L142" i="2"/>
  <c r="C142" i="2"/>
  <c r="AW141" i="2"/>
  <c r="AN141" i="2"/>
  <c r="AE141" i="2"/>
  <c r="V141" i="2"/>
  <c r="U141" i="2"/>
  <c r="L141" i="2"/>
  <c r="C141" i="2"/>
  <c r="AW140" i="2"/>
  <c r="AN140" i="2"/>
  <c r="AE140" i="2"/>
  <c r="V140" i="2"/>
  <c r="U140" i="2"/>
  <c r="L140" i="2"/>
  <c r="C140" i="2"/>
  <c r="AW139" i="2"/>
  <c r="AN139" i="2"/>
  <c r="AE139" i="2"/>
  <c r="V139" i="2"/>
  <c r="U139" i="2"/>
  <c r="L139" i="2"/>
  <c r="C139" i="2"/>
  <c r="AW138" i="2"/>
  <c r="AN138" i="2"/>
  <c r="AE138" i="2"/>
  <c r="V138" i="2"/>
  <c r="U138" i="2"/>
  <c r="L138" i="2"/>
  <c r="C138" i="2"/>
  <c r="AW137" i="2"/>
  <c r="AN137" i="2"/>
  <c r="AE137" i="2"/>
  <c r="V137" i="2"/>
  <c r="U137" i="2"/>
  <c r="L137" i="2"/>
  <c r="C137" i="2"/>
  <c r="AW136" i="2"/>
  <c r="AN136" i="2"/>
  <c r="AE136" i="2"/>
  <c r="V136" i="2"/>
  <c r="U136" i="2"/>
  <c r="L136" i="2"/>
  <c r="C136" i="2"/>
  <c r="AW135" i="2"/>
  <c r="AN135" i="2"/>
  <c r="AE135" i="2"/>
  <c r="V135" i="2"/>
  <c r="U135" i="2"/>
  <c r="L135" i="2"/>
  <c r="C135" i="2"/>
  <c r="AW134" i="2"/>
  <c r="AN134" i="2"/>
  <c r="AE134" i="2"/>
  <c r="V134" i="2"/>
  <c r="U134" i="2"/>
  <c r="L134" i="2"/>
  <c r="C134" i="2"/>
  <c r="AW133" i="2"/>
  <c r="AN133" i="2"/>
  <c r="AE133" i="2"/>
  <c r="V133" i="2"/>
  <c r="U133" i="2"/>
  <c r="L133" i="2"/>
  <c r="C133" i="2"/>
  <c r="AW132" i="2"/>
  <c r="AN132" i="2"/>
  <c r="AE132" i="2"/>
  <c r="V132" i="2"/>
  <c r="U132" i="2"/>
  <c r="L132" i="2"/>
  <c r="C132" i="2"/>
  <c r="AW131" i="2"/>
  <c r="AN131" i="2"/>
  <c r="AE131" i="2"/>
  <c r="V131" i="2"/>
  <c r="U131" i="2"/>
  <c r="L131" i="2"/>
  <c r="C131" i="2"/>
  <c r="AW130" i="2"/>
  <c r="AN130" i="2"/>
  <c r="AE130" i="2"/>
  <c r="V130" i="2"/>
  <c r="U130" i="2"/>
  <c r="L130" i="2"/>
  <c r="C130" i="2"/>
  <c r="AW129" i="2"/>
  <c r="AN129" i="2"/>
  <c r="AE129" i="2"/>
  <c r="V129" i="2"/>
  <c r="U129" i="2"/>
  <c r="L129" i="2"/>
  <c r="C129" i="2"/>
  <c r="AW128" i="2"/>
  <c r="AN128" i="2"/>
  <c r="AE128" i="2"/>
  <c r="V128" i="2"/>
  <c r="U128" i="2"/>
  <c r="L128" i="2"/>
  <c r="C128" i="2"/>
  <c r="AW127" i="2"/>
  <c r="AN127" i="2"/>
  <c r="AE127" i="2"/>
  <c r="V127" i="2"/>
  <c r="U127" i="2"/>
  <c r="L127" i="2"/>
  <c r="C127" i="2"/>
  <c r="AW126" i="2"/>
  <c r="AN126" i="2"/>
  <c r="AE126" i="2"/>
  <c r="V126" i="2"/>
  <c r="U126" i="2"/>
  <c r="L126" i="2"/>
  <c r="C126" i="2"/>
  <c r="AW125" i="2"/>
  <c r="AN125" i="2"/>
  <c r="AE125" i="2"/>
  <c r="V125" i="2"/>
  <c r="U125" i="2"/>
  <c r="L125" i="2"/>
  <c r="C125" i="2"/>
  <c r="AW124" i="2"/>
  <c r="AN124" i="2"/>
  <c r="AE124" i="2"/>
  <c r="V124" i="2"/>
  <c r="U124" i="2"/>
  <c r="L124" i="2"/>
  <c r="C124" i="2"/>
  <c r="AW123" i="2"/>
  <c r="AN123" i="2"/>
  <c r="AE123" i="2"/>
  <c r="V123" i="2"/>
  <c r="U123" i="2"/>
  <c r="L123" i="2"/>
  <c r="C123" i="2"/>
  <c r="AW122" i="2"/>
  <c r="AN122" i="2"/>
  <c r="AE122" i="2"/>
  <c r="V122" i="2"/>
  <c r="U122" i="2"/>
  <c r="L122" i="2"/>
  <c r="C122" i="2"/>
  <c r="AW121" i="2"/>
  <c r="AN121" i="2"/>
  <c r="AE121" i="2"/>
  <c r="V121" i="2"/>
  <c r="U121" i="2"/>
  <c r="L121" i="2"/>
  <c r="C121" i="2"/>
  <c r="AW120" i="2"/>
  <c r="AN120" i="2"/>
  <c r="AE120" i="2"/>
  <c r="V120" i="2"/>
  <c r="U120" i="2"/>
  <c r="L120" i="2"/>
  <c r="C120" i="2"/>
  <c r="AW119" i="2"/>
  <c r="AN119" i="2"/>
  <c r="AE119" i="2"/>
  <c r="V119" i="2"/>
  <c r="U119" i="2"/>
  <c r="L119" i="2"/>
  <c r="C119" i="2"/>
  <c r="AW118" i="2"/>
  <c r="AN118" i="2"/>
  <c r="AE118" i="2"/>
  <c r="V118" i="2"/>
  <c r="U118" i="2"/>
  <c r="L118" i="2"/>
  <c r="C118" i="2"/>
  <c r="AW117" i="2"/>
  <c r="AN117" i="2"/>
  <c r="AE117" i="2"/>
  <c r="V117" i="2"/>
  <c r="U117" i="2"/>
  <c r="L117" i="2"/>
  <c r="C117" i="2"/>
  <c r="AW116" i="2"/>
  <c r="AN116" i="2"/>
  <c r="AE116" i="2"/>
  <c r="V116" i="2"/>
  <c r="U116" i="2"/>
  <c r="L116" i="2"/>
  <c r="C116" i="2"/>
  <c r="AW115" i="2"/>
  <c r="AN115" i="2"/>
  <c r="AE115" i="2"/>
  <c r="V115" i="2"/>
  <c r="U115" i="2"/>
  <c r="L115" i="2"/>
  <c r="C115" i="2"/>
  <c r="AW114" i="2"/>
  <c r="AN114" i="2"/>
  <c r="AE114" i="2"/>
  <c r="V114" i="2"/>
  <c r="U114" i="2"/>
  <c r="L114" i="2"/>
  <c r="C114" i="2"/>
  <c r="AW113" i="2"/>
  <c r="AN113" i="2"/>
  <c r="AE113" i="2"/>
  <c r="V113" i="2"/>
  <c r="U113" i="2"/>
  <c r="L113" i="2"/>
  <c r="C113" i="2"/>
  <c r="AW112" i="2"/>
  <c r="AN112" i="2"/>
  <c r="AE112" i="2"/>
  <c r="V112" i="2"/>
  <c r="U112" i="2"/>
  <c r="L112" i="2"/>
  <c r="C112" i="2"/>
  <c r="AW111" i="2"/>
  <c r="AN111" i="2"/>
  <c r="AE111" i="2"/>
  <c r="V111" i="2"/>
  <c r="U111" i="2"/>
  <c r="L111" i="2"/>
  <c r="C111" i="2"/>
  <c r="AW110" i="2"/>
  <c r="AN110" i="2"/>
  <c r="AE110" i="2"/>
  <c r="V110" i="2"/>
  <c r="U110" i="2"/>
  <c r="L110" i="2"/>
  <c r="C110" i="2"/>
  <c r="AW109" i="2"/>
  <c r="AN109" i="2"/>
  <c r="AE109" i="2"/>
  <c r="V109" i="2"/>
  <c r="U109" i="2"/>
  <c r="L109" i="2"/>
  <c r="C109" i="2"/>
  <c r="AW108" i="2"/>
  <c r="AN108" i="2"/>
  <c r="AE108" i="2"/>
  <c r="V108" i="2"/>
  <c r="U108" i="2"/>
  <c r="L108" i="2"/>
  <c r="C108" i="2"/>
  <c r="AW107" i="2"/>
  <c r="AN107" i="2"/>
  <c r="AE107" i="2"/>
  <c r="V107" i="2"/>
  <c r="U107" i="2"/>
  <c r="L107" i="2"/>
  <c r="C107" i="2"/>
  <c r="AW106" i="2"/>
  <c r="AN106" i="2"/>
  <c r="AE106" i="2"/>
  <c r="V106" i="2"/>
  <c r="U106" i="2"/>
  <c r="L106" i="2"/>
  <c r="C106" i="2"/>
  <c r="AW105" i="2"/>
  <c r="AN105" i="2"/>
  <c r="AE105" i="2"/>
  <c r="V105" i="2"/>
  <c r="U105" i="2"/>
  <c r="L105" i="2"/>
  <c r="C105" i="2"/>
  <c r="AW104" i="2"/>
  <c r="AN104" i="2"/>
  <c r="AE104" i="2"/>
  <c r="V104" i="2"/>
  <c r="U104" i="2"/>
  <c r="L104" i="2"/>
  <c r="C104" i="2"/>
  <c r="AW103" i="2"/>
  <c r="AN103" i="2"/>
  <c r="AE103" i="2"/>
  <c r="V103" i="2"/>
  <c r="U103" i="2"/>
  <c r="L103" i="2"/>
  <c r="C103" i="2"/>
  <c r="AW102" i="2"/>
  <c r="AN102" i="2"/>
  <c r="AE102" i="2"/>
  <c r="V102" i="2"/>
  <c r="U102" i="2"/>
  <c r="L102" i="2"/>
  <c r="C102" i="2"/>
  <c r="AW101" i="2"/>
  <c r="AN101" i="2"/>
  <c r="AE101" i="2"/>
  <c r="V101" i="2"/>
  <c r="U101" i="2"/>
  <c r="L101" i="2"/>
  <c r="C101" i="2"/>
  <c r="AW100" i="2"/>
  <c r="AN100" i="2"/>
  <c r="AE100" i="2"/>
  <c r="V100" i="2"/>
  <c r="U100" i="2"/>
  <c r="L100" i="2"/>
  <c r="C100" i="2"/>
  <c r="AW99" i="2"/>
  <c r="AN99" i="2"/>
  <c r="AE99" i="2"/>
  <c r="V99" i="2"/>
  <c r="U99" i="2"/>
  <c r="L99" i="2"/>
  <c r="C99" i="2"/>
  <c r="AW98" i="2"/>
  <c r="AN98" i="2"/>
  <c r="AE98" i="2"/>
  <c r="V98" i="2"/>
  <c r="U98" i="2"/>
  <c r="L98" i="2"/>
  <c r="C98" i="2"/>
  <c r="AW97" i="2"/>
  <c r="AN97" i="2"/>
  <c r="AE97" i="2"/>
  <c r="V97" i="2"/>
  <c r="U97" i="2"/>
  <c r="L97" i="2"/>
  <c r="C97" i="2"/>
  <c r="AW96" i="2"/>
  <c r="AN96" i="2"/>
  <c r="AE96" i="2"/>
  <c r="V96" i="2"/>
  <c r="U96" i="2"/>
  <c r="L96" i="2"/>
  <c r="C96" i="2"/>
  <c r="AW95" i="2"/>
  <c r="AN95" i="2"/>
  <c r="AE95" i="2"/>
  <c r="V95" i="2"/>
  <c r="U95" i="2"/>
  <c r="L95" i="2"/>
  <c r="C95" i="2"/>
  <c r="AW94" i="2"/>
  <c r="AN94" i="2"/>
  <c r="AE94" i="2"/>
  <c r="V94" i="2"/>
  <c r="U94" i="2"/>
  <c r="L94" i="2"/>
  <c r="C94" i="2"/>
  <c r="AW93" i="2"/>
  <c r="AN93" i="2"/>
  <c r="AE93" i="2"/>
  <c r="V93" i="2"/>
  <c r="U93" i="2"/>
  <c r="L93" i="2"/>
  <c r="C93" i="2"/>
  <c r="AW92" i="2"/>
  <c r="AN92" i="2"/>
  <c r="AE92" i="2"/>
  <c r="V92" i="2"/>
  <c r="U92" i="2"/>
  <c r="L92" i="2"/>
  <c r="C92" i="2"/>
  <c r="AW91" i="2"/>
  <c r="AN91" i="2"/>
  <c r="AE91" i="2"/>
  <c r="V91" i="2"/>
  <c r="U91" i="2"/>
  <c r="L91" i="2"/>
  <c r="C91" i="2"/>
  <c r="AW90" i="2"/>
  <c r="AN90" i="2"/>
  <c r="AE90" i="2"/>
  <c r="V90" i="2"/>
  <c r="U90" i="2"/>
  <c r="L90" i="2"/>
  <c r="C90" i="2"/>
  <c r="AW89" i="2"/>
  <c r="AN89" i="2"/>
  <c r="AE89" i="2"/>
  <c r="V89" i="2"/>
  <c r="U89" i="2"/>
  <c r="L89" i="2"/>
  <c r="C89" i="2"/>
  <c r="AW88" i="2"/>
  <c r="AN88" i="2"/>
  <c r="AE88" i="2"/>
  <c r="V88" i="2"/>
  <c r="U88" i="2"/>
  <c r="L88" i="2"/>
  <c r="C88" i="2"/>
  <c r="AW87" i="2"/>
  <c r="AN87" i="2"/>
  <c r="AE87" i="2"/>
  <c r="V87" i="2"/>
  <c r="U87" i="2"/>
  <c r="L87" i="2"/>
  <c r="C87" i="2"/>
  <c r="AW86" i="2"/>
  <c r="AN86" i="2"/>
  <c r="AE86" i="2"/>
  <c r="V86" i="2"/>
  <c r="U86" i="2"/>
  <c r="L86" i="2"/>
  <c r="C86" i="2"/>
  <c r="AW85" i="2"/>
  <c r="AN85" i="2"/>
  <c r="AE85" i="2"/>
  <c r="V85" i="2"/>
  <c r="U85" i="2"/>
  <c r="L85" i="2"/>
  <c r="C85" i="2"/>
  <c r="AW84" i="2"/>
  <c r="AN84" i="2"/>
  <c r="AE84" i="2"/>
  <c r="V84" i="2"/>
  <c r="U84" i="2"/>
  <c r="L84" i="2"/>
  <c r="C84" i="2"/>
  <c r="AW83" i="2"/>
  <c r="AN83" i="2"/>
  <c r="AE83" i="2"/>
  <c r="V83" i="2"/>
  <c r="U83" i="2"/>
  <c r="L83" i="2"/>
  <c r="C83" i="2"/>
  <c r="AW82" i="2"/>
  <c r="AN82" i="2"/>
  <c r="AE82" i="2"/>
  <c r="V82" i="2"/>
  <c r="U82" i="2"/>
  <c r="L82" i="2"/>
  <c r="C82" i="2"/>
  <c r="AW81" i="2"/>
  <c r="AN81" i="2"/>
  <c r="AE81" i="2"/>
  <c r="V81" i="2"/>
  <c r="U81" i="2"/>
  <c r="L81" i="2"/>
  <c r="C81" i="2"/>
  <c r="AW80" i="2"/>
  <c r="AN80" i="2"/>
  <c r="AE80" i="2"/>
  <c r="V80" i="2"/>
  <c r="U80" i="2"/>
  <c r="L80" i="2"/>
  <c r="C80" i="2"/>
  <c r="AW79" i="2"/>
  <c r="AN79" i="2"/>
  <c r="AE79" i="2"/>
  <c r="V79" i="2"/>
  <c r="U79" i="2"/>
  <c r="L79" i="2"/>
  <c r="C79" i="2"/>
  <c r="AW78" i="2"/>
  <c r="AN78" i="2"/>
  <c r="AE78" i="2"/>
  <c r="V78" i="2"/>
  <c r="U78" i="2"/>
  <c r="L78" i="2"/>
  <c r="C78" i="2"/>
  <c r="AW77" i="2"/>
  <c r="AN77" i="2"/>
  <c r="AE77" i="2"/>
  <c r="V77" i="2"/>
  <c r="U77" i="2"/>
  <c r="L77" i="2"/>
  <c r="C77" i="2"/>
  <c r="AW76" i="2"/>
  <c r="AN76" i="2"/>
  <c r="AE76" i="2"/>
  <c r="V76" i="2"/>
  <c r="U76" i="2"/>
  <c r="L76" i="2"/>
  <c r="C76" i="2"/>
  <c r="AW75" i="2"/>
  <c r="AN75" i="2"/>
  <c r="AE75" i="2"/>
  <c r="V75" i="2"/>
  <c r="U75" i="2"/>
  <c r="L75" i="2"/>
  <c r="C75" i="2"/>
  <c r="AW74" i="2"/>
  <c r="AN74" i="2"/>
  <c r="AE74" i="2"/>
  <c r="V74" i="2"/>
  <c r="U74" i="2"/>
  <c r="L74" i="2"/>
  <c r="C74" i="2"/>
  <c r="AW73" i="2"/>
  <c r="AN73" i="2"/>
  <c r="AE73" i="2"/>
  <c r="V73" i="2"/>
  <c r="U73" i="2"/>
  <c r="L73" i="2"/>
  <c r="C73" i="2"/>
  <c r="AW72" i="2"/>
  <c r="AN72" i="2"/>
  <c r="AE72" i="2"/>
  <c r="V72" i="2"/>
  <c r="U72" i="2"/>
  <c r="L72" i="2"/>
  <c r="C72" i="2"/>
  <c r="AW71" i="2"/>
  <c r="AN71" i="2"/>
  <c r="AE71" i="2"/>
  <c r="V71" i="2"/>
  <c r="U71" i="2"/>
  <c r="L71" i="2"/>
  <c r="C71" i="2"/>
  <c r="AW70" i="2"/>
  <c r="AN70" i="2"/>
  <c r="AE70" i="2"/>
  <c r="V70" i="2"/>
  <c r="U70" i="2"/>
  <c r="L70" i="2"/>
  <c r="C70" i="2"/>
  <c r="AW69" i="2"/>
  <c r="AN69" i="2"/>
  <c r="AE69" i="2"/>
  <c r="V69" i="2"/>
  <c r="U69" i="2"/>
  <c r="L69" i="2"/>
  <c r="C69" i="2"/>
  <c r="AW68" i="2"/>
  <c r="AN68" i="2"/>
  <c r="AE68" i="2"/>
  <c r="V68" i="2"/>
  <c r="U68" i="2"/>
  <c r="L68" i="2"/>
  <c r="C68" i="2"/>
  <c r="AW67" i="2"/>
  <c r="AN67" i="2"/>
  <c r="AE67" i="2"/>
  <c r="V67" i="2"/>
  <c r="U67" i="2"/>
  <c r="L67" i="2"/>
  <c r="C67" i="2"/>
  <c r="AW66" i="2"/>
  <c r="AN66" i="2"/>
  <c r="AE66" i="2"/>
  <c r="V66" i="2"/>
  <c r="U66" i="2"/>
  <c r="L66" i="2"/>
  <c r="C66" i="2"/>
  <c r="AW65" i="2"/>
  <c r="AN65" i="2"/>
  <c r="AE65" i="2"/>
  <c r="V65" i="2"/>
  <c r="U65" i="2"/>
  <c r="L65" i="2"/>
  <c r="C65" i="2"/>
  <c r="AW64" i="2"/>
  <c r="AN64" i="2"/>
  <c r="AE64" i="2"/>
  <c r="V64" i="2"/>
  <c r="U64" i="2"/>
  <c r="L64" i="2"/>
  <c r="C64" i="2"/>
  <c r="AW63" i="2"/>
  <c r="AN63" i="2"/>
  <c r="AE63" i="2"/>
  <c r="V63" i="2"/>
  <c r="U63" i="2"/>
  <c r="L63" i="2"/>
  <c r="C63" i="2"/>
  <c r="AW62" i="2"/>
  <c r="AN62" i="2"/>
  <c r="AE62" i="2"/>
  <c r="V62" i="2"/>
  <c r="U62" i="2"/>
  <c r="L62" i="2"/>
  <c r="C62" i="2"/>
  <c r="AW61" i="2"/>
  <c r="AN61" i="2"/>
  <c r="AE61" i="2"/>
  <c r="V61" i="2"/>
  <c r="U61" i="2"/>
  <c r="L61" i="2"/>
  <c r="C61" i="2"/>
  <c r="AW60" i="2"/>
  <c r="AN60" i="2"/>
  <c r="AE60" i="2"/>
  <c r="V60" i="2"/>
  <c r="U60" i="2"/>
  <c r="L60" i="2"/>
  <c r="C60" i="2"/>
  <c r="AW59" i="2"/>
  <c r="AN59" i="2"/>
  <c r="AE59" i="2"/>
  <c r="V59" i="2"/>
  <c r="U59" i="2"/>
  <c r="L59" i="2"/>
  <c r="C59" i="2"/>
  <c r="AW58" i="2"/>
  <c r="AN58" i="2"/>
  <c r="AE58" i="2"/>
  <c r="V58" i="2"/>
  <c r="U58" i="2"/>
  <c r="L58" i="2"/>
  <c r="C58" i="2"/>
  <c r="AW57" i="2"/>
  <c r="AN57" i="2"/>
  <c r="AE57" i="2"/>
  <c r="V57" i="2"/>
  <c r="U57" i="2"/>
  <c r="L57" i="2"/>
  <c r="C57" i="2"/>
  <c r="AW56" i="2"/>
  <c r="AN56" i="2"/>
  <c r="AE56" i="2"/>
  <c r="V56" i="2"/>
  <c r="U56" i="2"/>
  <c r="L56" i="2"/>
  <c r="C56" i="2"/>
  <c r="AW55" i="2"/>
  <c r="AN55" i="2"/>
  <c r="AE55" i="2"/>
  <c r="V55" i="2"/>
  <c r="U55" i="2"/>
  <c r="L55" i="2"/>
  <c r="C55" i="2"/>
  <c r="AW54" i="2"/>
  <c r="AN54" i="2"/>
  <c r="AE54" i="2"/>
  <c r="V54" i="2"/>
  <c r="U54" i="2"/>
  <c r="L54" i="2"/>
  <c r="C54" i="2"/>
  <c r="AW53" i="2"/>
  <c r="AN53" i="2"/>
  <c r="AE53" i="2"/>
  <c r="V53" i="2"/>
  <c r="U53" i="2"/>
  <c r="L53" i="2"/>
  <c r="C53" i="2"/>
  <c r="AW52" i="2"/>
  <c r="AN52" i="2"/>
  <c r="AE52" i="2"/>
  <c r="V52" i="2"/>
  <c r="U52" i="2"/>
  <c r="L52" i="2"/>
  <c r="C52" i="2"/>
  <c r="AW51" i="2"/>
  <c r="AN51" i="2"/>
  <c r="AE51" i="2"/>
  <c r="V51" i="2"/>
  <c r="U51" i="2"/>
  <c r="L51" i="2"/>
  <c r="C51" i="2"/>
  <c r="AW50" i="2"/>
  <c r="AN50" i="2"/>
  <c r="AE50" i="2"/>
  <c r="V50" i="2"/>
  <c r="U50" i="2"/>
  <c r="L50" i="2"/>
  <c r="C50" i="2"/>
  <c r="AW49" i="2"/>
  <c r="AN49" i="2"/>
  <c r="AE49" i="2"/>
  <c r="V49" i="2"/>
  <c r="U49" i="2"/>
  <c r="L49" i="2"/>
  <c r="C49" i="2"/>
  <c r="AW48" i="2"/>
  <c r="AN48" i="2"/>
  <c r="AE48" i="2"/>
  <c r="V48" i="2"/>
  <c r="U48" i="2"/>
  <c r="L48" i="2"/>
  <c r="C48" i="2"/>
  <c r="AW47" i="2"/>
  <c r="AN47" i="2"/>
  <c r="AE47" i="2"/>
  <c r="V47" i="2"/>
  <c r="U47" i="2"/>
  <c r="L47" i="2"/>
  <c r="C47" i="2"/>
  <c r="AW46" i="2"/>
  <c r="AN46" i="2"/>
  <c r="AE46" i="2"/>
  <c r="V46" i="2"/>
  <c r="U46" i="2"/>
  <c r="L46" i="2"/>
  <c r="C46" i="2"/>
  <c r="AW45" i="2"/>
  <c r="AN45" i="2"/>
  <c r="AE45" i="2"/>
  <c r="V45" i="2"/>
  <c r="U45" i="2"/>
  <c r="L45" i="2"/>
  <c r="C45" i="2"/>
  <c r="AW44" i="2"/>
  <c r="AN44" i="2"/>
  <c r="AE44" i="2"/>
  <c r="V44" i="2"/>
  <c r="U44" i="2"/>
  <c r="L44" i="2"/>
  <c r="C44" i="2"/>
  <c r="AW43" i="2"/>
  <c r="AN43" i="2"/>
  <c r="AE43" i="2"/>
  <c r="V43" i="2"/>
  <c r="U43" i="2"/>
  <c r="L43" i="2"/>
  <c r="C43" i="2"/>
  <c r="AW42" i="2"/>
  <c r="AN42" i="2"/>
  <c r="AE42" i="2"/>
  <c r="V42" i="2"/>
  <c r="U42" i="2"/>
  <c r="L42" i="2"/>
  <c r="C42" i="2"/>
  <c r="AW41" i="2"/>
  <c r="AN41" i="2"/>
  <c r="AE41" i="2"/>
  <c r="V41" i="2"/>
  <c r="U41" i="2"/>
  <c r="L41" i="2"/>
  <c r="C41" i="2"/>
  <c r="AW40" i="2"/>
  <c r="AN40" i="2"/>
  <c r="AE40" i="2"/>
  <c r="V40" i="2"/>
  <c r="U40" i="2"/>
  <c r="L40" i="2"/>
  <c r="C40" i="2"/>
  <c r="AW39" i="2"/>
  <c r="AN39" i="2"/>
  <c r="AE39" i="2"/>
  <c r="V39" i="2"/>
  <c r="U39" i="2"/>
  <c r="L39" i="2"/>
  <c r="C39" i="2"/>
  <c r="AW38" i="2"/>
  <c r="AN38" i="2"/>
  <c r="AE38" i="2"/>
  <c r="V38" i="2"/>
  <c r="U38" i="2"/>
  <c r="L38" i="2"/>
  <c r="C38" i="2"/>
  <c r="AW37" i="2"/>
  <c r="AN37" i="2"/>
  <c r="AE37" i="2"/>
  <c r="V37" i="2"/>
  <c r="U37" i="2"/>
  <c r="L37" i="2"/>
  <c r="C37" i="2"/>
  <c r="AW36" i="2"/>
  <c r="AN36" i="2"/>
  <c r="AE36" i="2"/>
  <c r="V36" i="2"/>
  <c r="U36" i="2"/>
  <c r="L36" i="2"/>
  <c r="C36" i="2"/>
  <c r="AW35" i="2"/>
  <c r="AN35" i="2"/>
  <c r="AE35" i="2"/>
  <c r="V35" i="2"/>
  <c r="U35" i="2"/>
  <c r="L35" i="2"/>
  <c r="C35" i="2"/>
  <c r="AW34" i="2"/>
  <c r="AN34" i="2"/>
  <c r="AE34" i="2"/>
  <c r="V34" i="2"/>
  <c r="U34" i="2"/>
  <c r="L34" i="2"/>
  <c r="C34" i="2"/>
  <c r="AW33" i="2"/>
  <c r="AN33" i="2"/>
  <c r="AE33" i="2"/>
  <c r="V33" i="2"/>
  <c r="U33" i="2"/>
  <c r="L33" i="2"/>
  <c r="C33" i="2"/>
  <c r="AW32" i="2"/>
  <c r="AN32" i="2"/>
  <c r="AE32" i="2"/>
  <c r="V32" i="2"/>
  <c r="U32" i="2"/>
  <c r="L32" i="2"/>
  <c r="C32" i="2"/>
  <c r="AW31" i="2"/>
  <c r="AN31" i="2"/>
  <c r="AE31" i="2"/>
  <c r="V31" i="2"/>
  <c r="U31" i="2"/>
  <c r="L31" i="2"/>
  <c r="C31" i="2"/>
  <c r="AW30" i="2"/>
  <c r="AN30" i="2"/>
  <c r="AE30" i="2"/>
  <c r="V30" i="2"/>
  <c r="U30" i="2"/>
  <c r="L30" i="2"/>
  <c r="C30" i="2"/>
  <c r="AW29" i="2"/>
  <c r="AN29" i="2"/>
  <c r="AE29" i="2"/>
  <c r="V29" i="2"/>
  <c r="U29" i="2"/>
  <c r="L29" i="2"/>
  <c r="C29" i="2"/>
  <c r="AW28" i="2"/>
  <c r="AN28" i="2"/>
  <c r="AE28" i="2"/>
  <c r="V28" i="2"/>
  <c r="U28" i="2"/>
  <c r="L28" i="2"/>
  <c r="C28" i="2"/>
  <c r="AW27" i="2"/>
  <c r="AN27" i="2"/>
  <c r="AE27" i="2"/>
  <c r="V27" i="2"/>
  <c r="U27" i="2"/>
  <c r="L27" i="2"/>
  <c r="C27" i="2"/>
  <c r="AW26" i="2"/>
  <c r="AN26" i="2"/>
  <c r="AE26" i="2"/>
  <c r="V26" i="2"/>
  <c r="U26" i="2"/>
  <c r="L26" i="2"/>
  <c r="C26" i="2"/>
  <c r="AW25" i="2"/>
  <c r="AN25" i="2"/>
  <c r="AE25" i="2"/>
  <c r="V25" i="2"/>
  <c r="U25" i="2"/>
  <c r="L25" i="2"/>
  <c r="C25" i="2"/>
  <c r="AW24" i="2"/>
  <c r="AN24" i="2"/>
  <c r="AE24" i="2"/>
  <c r="V24" i="2"/>
  <c r="U24" i="2"/>
  <c r="L24" i="2"/>
  <c r="C24" i="2"/>
  <c r="AW23" i="2"/>
  <c r="AN23" i="2"/>
  <c r="AE23" i="2"/>
  <c r="V23" i="2"/>
  <c r="U23" i="2"/>
  <c r="L23" i="2"/>
  <c r="C23" i="2"/>
  <c r="AW22" i="2"/>
  <c r="AN22" i="2"/>
  <c r="AE22" i="2"/>
  <c r="V22" i="2"/>
  <c r="U22" i="2"/>
  <c r="L22" i="2"/>
  <c r="C22" i="2"/>
  <c r="AW21" i="2"/>
  <c r="AN21" i="2"/>
  <c r="AE21" i="2"/>
  <c r="V21" i="2"/>
  <c r="U21" i="2"/>
  <c r="L21" i="2"/>
  <c r="C21" i="2"/>
  <c r="AW20" i="2"/>
  <c r="AN20" i="2"/>
  <c r="AE20" i="2"/>
  <c r="V20" i="2"/>
  <c r="U20" i="2"/>
  <c r="L20" i="2"/>
  <c r="C20" i="2"/>
  <c r="AW19" i="2"/>
  <c r="AN19" i="2"/>
  <c r="AE19" i="2"/>
  <c r="V19" i="2"/>
  <c r="U19" i="2"/>
  <c r="L19" i="2"/>
  <c r="C19" i="2"/>
  <c r="AW18" i="2"/>
  <c r="AN18" i="2"/>
  <c r="AE18" i="2"/>
  <c r="V18" i="2"/>
  <c r="U18" i="2"/>
  <c r="L18" i="2"/>
  <c r="C18" i="2"/>
  <c r="AW17" i="2"/>
  <c r="AN17" i="2"/>
  <c r="AE17" i="2"/>
  <c r="V17" i="2"/>
  <c r="U17" i="2"/>
  <c r="L17" i="2"/>
  <c r="C17" i="2"/>
  <c r="AW16" i="2"/>
  <c r="AN16" i="2"/>
  <c r="AE16" i="2"/>
  <c r="V16" i="2"/>
  <c r="U16" i="2"/>
  <c r="L16" i="2"/>
  <c r="C16" i="2"/>
  <c r="AW15" i="2"/>
  <c r="AN15" i="2"/>
  <c r="AE15" i="2"/>
  <c r="V15" i="2"/>
  <c r="U15" i="2"/>
  <c r="L15" i="2"/>
  <c r="C15" i="2"/>
  <c r="AW14" i="2"/>
  <c r="AN14" i="2"/>
  <c r="AE14" i="2"/>
  <c r="V14" i="2"/>
  <c r="U14" i="2"/>
  <c r="L14" i="2"/>
  <c r="C14" i="2"/>
  <c r="AW13" i="2"/>
  <c r="AN13" i="2"/>
  <c r="AE13" i="2"/>
  <c r="V13" i="2"/>
  <c r="U13" i="2"/>
  <c r="L13" i="2"/>
  <c r="C13" i="2"/>
  <c r="AW12" i="2"/>
  <c r="AN12" i="2"/>
  <c r="AE12" i="2"/>
  <c r="V12" i="2"/>
  <c r="U12" i="2"/>
  <c r="L12" i="2"/>
  <c r="C12" i="2"/>
  <c r="AW11" i="2"/>
  <c r="AN11" i="2"/>
  <c r="AE11" i="2"/>
  <c r="V11" i="2"/>
  <c r="U11" i="2"/>
  <c r="L11" i="2"/>
  <c r="C11" i="2"/>
  <c r="AW10" i="2"/>
  <c r="AN10" i="2"/>
  <c r="AE10" i="2"/>
  <c r="V10" i="2"/>
  <c r="U10" i="2"/>
  <c r="L10" i="2"/>
  <c r="C10" i="2"/>
  <c r="AW9" i="2"/>
  <c r="AN9" i="2"/>
  <c r="AE9" i="2"/>
  <c r="V9" i="2"/>
  <c r="U9" i="2"/>
  <c r="L9" i="2"/>
  <c r="C9" i="2"/>
  <c r="AW8" i="2"/>
  <c r="AN8" i="2"/>
  <c r="AE8" i="2"/>
  <c r="V8" i="2"/>
  <c r="U8" i="2"/>
  <c r="L8" i="2"/>
  <c r="C8" i="2"/>
  <c r="AW7" i="2"/>
  <c r="AN7" i="2"/>
  <c r="AE7" i="2"/>
  <c r="V7" i="2"/>
  <c r="U7" i="2"/>
  <c r="L7" i="2"/>
  <c r="C7" i="2"/>
  <c r="AW6" i="2"/>
  <c r="AN6" i="2"/>
  <c r="AE6" i="2"/>
  <c r="V6" i="2"/>
  <c r="U6" i="2"/>
  <c r="L6" i="2"/>
  <c r="C6" i="2"/>
  <c r="E1" i="2"/>
  <c r="N1" i="2" s="1"/>
  <c r="W1" i="2" s="1"/>
  <c r="AF1" i="2" s="1"/>
  <c r="AO1" i="2" s="1"/>
  <c r="AX1" i="2" s="1"/>
  <c r="AQ16" i="1" l="1"/>
  <c r="AR16" i="1"/>
  <c r="AS16" i="1"/>
  <c r="AT16" i="1"/>
  <c r="AU16" i="1"/>
  <c r="AO16" i="1"/>
  <c r="AH16" i="1"/>
  <c r="AI16" i="1"/>
  <c r="AE16" i="1"/>
  <c r="AF16" i="1"/>
  <c r="AC16" i="1"/>
  <c r="AG16" i="1"/>
  <c r="S16" i="1"/>
  <c r="T16" i="1"/>
  <c r="U16" i="1"/>
  <c r="V16" i="1"/>
  <c r="W16" i="1"/>
  <c r="Q16" i="1"/>
  <c r="BF16" i="1"/>
  <c r="BG16" i="1"/>
  <c r="BC16" i="1"/>
  <c r="BD16" i="1"/>
  <c r="BA16" i="1"/>
  <c r="BE16" i="1"/>
  <c r="BP17" i="1"/>
  <c r="BQ17" i="1"/>
  <c r="BR17" i="1"/>
  <c r="BS17" i="1"/>
  <c r="BM17" i="1"/>
  <c r="BP16" i="1"/>
  <c r="BQ16" i="1"/>
  <c r="BR16" i="1"/>
  <c r="BS16" i="1"/>
  <c r="BM16" i="1"/>
  <c r="BR15" i="1"/>
  <c r="BQ15" i="1"/>
  <c r="BP15" i="1"/>
  <c r="BO15" i="1"/>
  <c r="BM15" i="1"/>
  <c r="BN15" i="1" s="1"/>
  <c r="BS15" i="1"/>
  <c r="BJ17" i="1"/>
  <c r="BJ16" i="1"/>
  <c r="BJ15" i="1"/>
  <c r="Z16" i="1"/>
  <c r="AX16" i="1"/>
  <c r="AL16" i="1"/>
  <c r="N16" i="1"/>
  <c r="BB15" i="1"/>
  <c r="AY17" i="1"/>
  <c r="BH15" i="1"/>
  <c r="AJ15" i="1"/>
  <c r="X15" i="1"/>
  <c r="BO17" i="1"/>
  <c r="BO16" i="1"/>
  <c r="AV15" i="1"/>
  <c r="BK18" i="1"/>
  <c r="AM17" i="1"/>
  <c r="AP15" i="1"/>
  <c r="AD15" i="1"/>
  <c r="AA17" i="1"/>
  <c r="O17" i="1"/>
  <c r="R15" i="1"/>
  <c r="AQ17" i="1" l="1"/>
  <c r="AR17" i="1"/>
  <c r="AS17" i="1"/>
  <c r="AT17" i="1"/>
  <c r="AU17" i="1"/>
  <c r="AO17" i="1"/>
  <c r="AE17" i="1"/>
  <c r="AF17" i="1"/>
  <c r="AG17" i="1"/>
  <c r="AH17" i="1"/>
  <c r="AI17" i="1"/>
  <c r="AC17" i="1"/>
  <c r="Q17" i="1"/>
  <c r="U17" i="1"/>
  <c r="V17" i="1"/>
  <c r="W17" i="1"/>
  <c r="S17" i="1"/>
  <c r="T17" i="1"/>
  <c r="BC17" i="1"/>
  <c r="BD17" i="1"/>
  <c r="BE17" i="1"/>
  <c r="BF17" i="1"/>
  <c r="BG17" i="1"/>
  <c r="BA17" i="1"/>
  <c r="BP18" i="1"/>
  <c r="BQ18" i="1"/>
  <c r="BR18" i="1"/>
  <c r="BS18" i="1"/>
  <c r="BM18" i="1"/>
  <c r="BT15" i="1"/>
  <c r="BT16" i="1" s="1"/>
  <c r="BT17" i="1" s="1"/>
  <c r="BJ18" i="1"/>
  <c r="BN16" i="1"/>
  <c r="BN17" i="1" s="1"/>
  <c r="Z17" i="1"/>
  <c r="AX17" i="1"/>
  <c r="AY18" i="1"/>
  <c r="AL17" i="1"/>
  <c r="N17" i="1"/>
  <c r="BH16" i="1"/>
  <c r="AJ16" i="1"/>
  <c r="X16" i="1"/>
  <c r="BO18" i="1"/>
  <c r="BB16" i="1"/>
  <c r="AV16" i="1"/>
  <c r="BK19" i="1"/>
  <c r="AM18" i="1"/>
  <c r="AP16" i="1"/>
  <c r="AA18" i="1"/>
  <c r="AD16" i="1"/>
  <c r="R16" i="1"/>
  <c r="O18" i="1"/>
  <c r="AT18" i="1" l="1"/>
  <c r="AU18" i="1"/>
  <c r="AQ18" i="1"/>
  <c r="AR18" i="1"/>
  <c r="AO18" i="1"/>
  <c r="AS18" i="1"/>
  <c r="AF18" i="1"/>
  <c r="AG18" i="1"/>
  <c r="AH18" i="1"/>
  <c r="AI18" i="1"/>
  <c r="AC18" i="1"/>
  <c r="AE18" i="1"/>
  <c r="Q18" i="1"/>
  <c r="S18" i="1"/>
  <c r="T18" i="1"/>
  <c r="U18" i="1"/>
  <c r="V18" i="1"/>
  <c r="W18" i="1"/>
  <c r="BD18" i="1"/>
  <c r="BE18" i="1"/>
  <c r="BF18" i="1"/>
  <c r="BG18" i="1"/>
  <c r="BA18" i="1"/>
  <c r="BC18" i="1"/>
  <c r="AY19" i="1"/>
  <c r="BP19" i="1"/>
  <c r="BQ19" i="1"/>
  <c r="BR19" i="1"/>
  <c r="BM19" i="1"/>
  <c r="BS19" i="1"/>
  <c r="BJ19" i="1"/>
  <c r="BB17" i="1"/>
  <c r="Z18" i="1"/>
  <c r="BH17" i="1"/>
  <c r="AX18" i="1"/>
  <c r="AL18" i="1"/>
  <c r="N18" i="1"/>
  <c r="BT18" i="1"/>
  <c r="X17" i="1"/>
  <c r="BN18" i="1"/>
  <c r="AJ17" i="1"/>
  <c r="BO19" i="1"/>
  <c r="AV17" i="1"/>
  <c r="AD17" i="1"/>
  <c r="BK20" i="1"/>
  <c r="AP17" i="1"/>
  <c r="AM19" i="1"/>
  <c r="AA19" i="1"/>
  <c r="O19" i="1"/>
  <c r="R17" i="1"/>
  <c r="AQ19" i="1" l="1"/>
  <c r="AR19" i="1"/>
  <c r="AS19" i="1"/>
  <c r="AT19" i="1"/>
  <c r="AU19" i="1"/>
  <c r="AO19" i="1"/>
  <c r="AI19" i="1"/>
  <c r="AE19" i="1"/>
  <c r="AF19" i="1"/>
  <c r="AG19" i="1"/>
  <c r="AH19" i="1"/>
  <c r="AC19" i="1"/>
  <c r="S19" i="1"/>
  <c r="T19" i="1"/>
  <c r="Q19" i="1"/>
  <c r="U19" i="1"/>
  <c r="V19" i="1"/>
  <c r="W19" i="1"/>
  <c r="BG19" i="1"/>
  <c r="BC19" i="1"/>
  <c r="BD19" i="1"/>
  <c r="BE19" i="1"/>
  <c r="BA19" i="1"/>
  <c r="BF19" i="1"/>
  <c r="BB18" i="1"/>
  <c r="AY20" i="1"/>
  <c r="AX19" i="1"/>
  <c r="BP20" i="1"/>
  <c r="BQ20" i="1"/>
  <c r="BR20" i="1"/>
  <c r="BS20" i="1"/>
  <c r="BM20" i="1"/>
  <c r="BJ20" i="1"/>
  <c r="BH18" i="1"/>
  <c r="Z19" i="1"/>
  <c r="AX20" i="1"/>
  <c r="AL19" i="1"/>
  <c r="N19" i="1"/>
  <c r="BT19" i="1"/>
  <c r="BN19" i="1"/>
  <c r="X18" i="1"/>
  <c r="AJ18" i="1"/>
  <c r="BO20" i="1"/>
  <c r="AV18" i="1"/>
  <c r="AD18" i="1"/>
  <c r="BK21" i="1"/>
  <c r="AY21" i="1"/>
  <c r="AM20" i="1"/>
  <c r="AP18" i="1"/>
  <c r="AA20" i="1"/>
  <c r="R18" i="1"/>
  <c r="O20" i="1"/>
  <c r="BB19" i="1" l="1"/>
  <c r="AR20" i="1"/>
  <c r="AS20" i="1"/>
  <c r="AT20" i="1"/>
  <c r="AU20" i="1"/>
  <c r="AO20" i="1"/>
  <c r="AQ20" i="1"/>
  <c r="AE20" i="1"/>
  <c r="AF20" i="1"/>
  <c r="AG20" i="1"/>
  <c r="AH20" i="1"/>
  <c r="AI20" i="1"/>
  <c r="AC20" i="1"/>
  <c r="V20" i="1"/>
  <c r="W20" i="1"/>
  <c r="Q20" i="1"/>
  <c r="S20" i="1"/>
  <c r="T20" i="1"/>
  <c r="U20" i="1"/>
  <c r="BH19" i="1"/>
  <c r="BC20" i="1"/>
  <c r="BD20" i="1"/>
  <c r="BE20" i="1"/>
  <c r="BF20" i="1"/>
  <c r="BG20" i="1"/>
  <c r="BA20" i="1"/>
  <c r="BE21" i="1"/>
  <c r="BF21" i="1"/>
  <c r="BG21" i="1"/>
  <c r="BC21" i="1"/>
  <c r="BD21" i="1"/>
  <c r="BA21" i="1"/>
  <c r="BP21" i="1"/>
  <c r="BQ21" i="1"/>
  <c r="BR21" i="1"/>
  <c r="BS21" i="1"/>
  <c r="BM21" i="1"/>
  <c r="BJ21" i="1"/>
  <c r="Z20" i="1"/>
  <c r="AX21" i="1"/>
  <c r="AL20" i="1"/>
  <c r="N20" i="1"/>
  <c r="BN20" i="1"/>
  <c r="BT20" i="1"/>
  <c r="X19" i="1"/>
  <c r="AJ19" i="1"/>
  <c r="BO21" i="1"/>
  <c r="AV19" i="1"/>
  <c r="AD19" i="1"/>
  <c r="AP19" i="1"/>
  <c r="BK22" i="1"/>
  <c r="AY22" i="1"/>
  <c r="AM21" i="1"/>
  <c r="AA21" i="1"/>
  <c r="O21" i="1"/>
  <c r="R19" i="1"/>
  <c r="AU21" i="1" l="1"/>
  <c r="AQ21" i="1"/>
  <c r="AR21" i="1"/>
  <c r="AS21" i="1"/>
  <c r="AO21" i="1"/>
  <c r="AT21" i="1"/>
  <c r="AG21" i="1"/>
  <c r="AH21" i="1"/>
  <c r="AI21" i="1"/>
  <c r="AE21" i="1"/>
  <c r="AF21" i="1"/>
  <c r="AC21" i="1"/>
  <c r="S21" i="1"/>
  <c r="T21" i="1"/>
  <c r="Q21" i="1"/>
  <c r="U21" i="1"/>
  <c r="V21" i="1"/>
  <c r="W21" i="1"/>
  <c r="BH20" i="1"/>
  <c r="BH21" i="1" s="1"/>
  <c r="BB20" i="1"/>
  <c r="BC22" i="1"/>
  <c r="BD22" i="1"/>
  <c r="BE22" i="1"/>
  <c r="BF22" i="1"/>
  <c r="BG22" i="1"/>
  <c r="BA22" i="1"/>
  <c r="BP22" i="1"/>
  <c r="BQ22" i="1"/>
  <c r="BR22" i="1"/>
  <c r="BS22" i="1"/>
  <c r="BM22" i="1"/>
  <c r="BB21" i="1"/>
  <c r="BJ22" i="1"/>
  <c r="Z21" i="1"/>
  <c r="AX22" i="1"/>
  <c r="AL21" i="1"/>
  <c r="N21" i="1"/>
  <c r="BN21" i="1"/>
  <c r="BT21" i="1"/>
  <c r="X20" i="1"/>
  <c r="AJ20" i="1"/>
  <c r="BO22" i="1"/>
  <c r="AV20" i="1"/>
  <c r="AD20" i="1"/>
  <c r="AP20" i="1"/>
  <c r="R20" i="1"/>
  <c r="BK23" i="1"/>
  <c r="AY23" i="1"/>
  <c r="AM22" i="1"/>
  <c r="AA22" i="1"/>
  <c r="O22" i="1"/>
  <c r="E1" i="4"/>
  <c r="M1" i="4" s="1"/>
  <c r="U1" i="4" s="1"/>
  <c r="AQ22" i="1" l="1"/>
  <c r="AR22" i="1"/>
  <c r="AS22" i="1"/>
  <c r="AT22" i="1"/>
  <c r="AU22" i="1"/>
  <c r="AO22" i="1"/>
  <c r="AE22" i="1"/>
  <c r="AF22" i="1"/>
  <c r="AG22" i="1"/>
  <c r="AH22" i="1"/>
  <c r="AI22" i="1"/>
  <c r="AC22" i="1"/>
  <c r="T22" i="1"/>
  <c r="U22" i="1"/>
  <c r="V22" i="1"/>
  <c r="W22" i="1"/>
  <c r="Q22" i="1"/>
  <c r="S22" i="1"/>
  <c r="BC23" i="1"/>
  <c r="BD23" i="1"/>
  <c r="BE23" i="1"/>
  <c r="BF23" i="1"/>
  <c r="BG23" i="1"/>
  <c r="BA23" i="1"/>
  <c r="BP23" i="1"/>
  <c r="BQ23" i="1"/>
  <c r="BR23" i="1"/>
  <c r="BS23" i="1"/>
  <c r="BM23" i="1"/>
  <c r="BN22" i="1"/>
  <c r="BJ23" i="1"/>
  <c r="Z22" i="1"/>
  <c r="AX23" i="1"/>
  <c r="AL22" i="1"/>
  <c r="N22" i="1"/>
  <c r="BB22" i="1"/>
  <c r="BT22" i="1"/>
  <c r="BH22" i="1"/>
  <c r="X21" i="1"/>
  <c r="AJ21" i="1"/>
  <c r="R21" i="1"/>
  <c r="BO23" i="1"/>
  <c r="AV21" i="1"/>
  <c r="AD21" i="1"/>
  <c r="AC1" i="4"/>
  <c r="AK1" i="4"/>
  <c r="AP21" i="1"/>
  <c r="BK24" i="1"/>
  <c r="AY24" i="1"/>
  <c r="AM23" i="1"/>
  <c r="AA23" i="1"/>
  <c r="O23" i="1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S39" i="3"/>
  <c r="T39" i="3"/>
  <c r="S40" i="3"/>
  <c r="T40" i="3"/>
  <c r="S41" i="3"/>
  <c r="T41" i="3"/>
  <c r="S42" i="3"/>
  <c r="T42" i="3"/>
  <c r="S43" i="3"/>
  <c r="T43" i="3"/>
  <c r="S44" i="3"/>
  <c r="T44" i="3"/>
  <c r="S45" i="3"/>
  <c r="T45" i="3"/>
  <c r="S46" i="3"/>
  <c r="T46" i="3"/>
  <c r="S47" i="3"/>
  <c r="T47" i="3"/>
  <c r="S48" i="3"/>
  <c r="T48" i="3"/>
  <c r="S49" i="3"/>
  <c r="T49" i="3"/>
  <c r="S50" i="3"/>
  <c r="T50" i="3"/>
  <c r="S51" i="3"/>
  <c r="T51" i="3"/>
  <c r="S52" i="3"/>
  <c r="T52" i="3"/>
  <c r="S53" i="3"/>
  <c r="T53" i="3"/>
  <c r="S54" i="3"/>
  <c r="T54" i="3"/>
  <c r="S55" i="3"/>
  <c r="T55" i="3"/>
  <c r="S56" i="3"/>
  <c r="T56" i="3"/>
  <c r="S57" i="3"/>
  <c r="T57" i="3"/>
  <c r="S58" i="3"/>
  <c r="T58" i="3"/>
  <c r="S59" i="3"/>
  <c r="T59" i="3"/>
  <c r="S60" i="3"/>
  <c r="T60" i="3"/>
  <c r="S61" i="3"/>
  <c r="T61" i="3"/>
  <c r="S62" i="3"/>
  <c r="T62" i="3"/>
  <c r="S63" i="3"/>
  <c r="T63" i="3"/>
  <c r="S64" i="3"/>
  <c r="T64" i="3"/>
  <c r="S65" i="3"/>
  <c r="T65" i="3"/>
  <c r="S66" i="3"/>
  <c r="T66" i="3"/>
  <c r="S67" i="3"/>
  <c r="T67" i="3"/>
  <c r="S68" i="3"/>
  <c r="T68" i="3"/>
  <c r="S69" i="3"/>
  <c r="T69" i="3"/>
  <c r="S70" i="3"/>
  <c r="T70" i="3"/>
  <c r="S71" i="3"/>
  <c r="T71" i="3"/>
  <c r="S72" i="3"/>
  <c r="T72" i="3"/>
  <c r="S73" i="3"/>
  <c r="T73" i="3"/>
  <c r="S74" i="3"/>
  <c r="T74" i="3"/>
  <c r="S75" i="3"/>
  <c r="T75" i="3"/>
  <c r="S76" i="3"/>
  <c r="T76" i="3"/>
  <c r="S77" i="3"/>
  <c r="T77" i="3"/>
  <c r="S78" i="3"/>
  <c r="T78" i="3"/>
  <c r="S79" i="3"/>
  <c r="T79" i="3"/>
  <c r="S80" i="3"/>
  <c r="T80" i="3"/>
  <c r="S81" i="3"/>
  <c r="T81" i="3"/>
  <c r="S82" i="3"/>
  <c r="T82" i="3"/>
  <c r="S83" i="3"/>
  <c r="T83" i="3"/>
  <c r="S84" i="3"/>
  <c r="T84" i="3"/>
  <c r="S85" i="3"/>
  <c r="T85" i="3"/>
  <c r="S86" i="3"/>
  <c r="T86" i="3"/>
  <c r="S87" i="3"/>
  <c r="T87" i="3"/>
  <c r="S88" i="3"/>
  <c r="T88" i="3"/>
  <c r="S89" i="3"/>
  <c r="T89" i="3"/>
  <c r="S90" i="3"/>
  <c r="T90" i="3"/>
  <c r="S91" i="3"/>
  <c r="T91" i="3"/>
  <c r="S92" i="3"/>
  <c r="T92" i="3"/>
  <c r="S93" i="3"/>
  <c r="T93" i="3"/>
  <c r="S94" i="3"/>
  <c r="T94" i="3"/>
  <c r="S95" i="3"/>
  <c r="T95" i="3"/>
  <c r="S96" i="3"/>
  <c r="T96" i="3"/>
  <c r="S97" i="3"/>
  <c r="T97" i="3"/>
  <c r="S98" i="3"/>
  <c r="T98" i="3"/>
  <c r="S99" i="3"/>
  <c r="T99" i="3"/>
  <c r="S100" i="3"/>
  <c r="T100" i="3"/>
  <c r="S101" i="3"/>
  <c r="T101" i="3"/>
  <c r="S102" i="3"/>
  <c r="T102" i="3"/>
  <c r="S103" i="3"/>
  <c r="T103" i="3"/>
  <c r="S104" i="3"/>
  <c r="T104" i="3"/>
  <c r="S105" i="3"/>
  <c r="T105" i="3"/>
  <c r="S106" i="3"/>
  <c r="T106" i="3"/>
  <c r="S107" i="3"/>
  <c r="T107" i="3"/>
  <c r="S108" i="3"/>
  <c r="T108" i="3"/>
  <c r="S109" i="3"/>
  <c r="T109" i="3"/>
  <c r="S110" i="3"/>
  <c r="T110" i="3"/>
  <c r="S111" i="3"/>
  <c r="T111" i="3"/>
  <c r="S112" i="3"/>
  <c r="T112" i="3"/>
  <c r="S113" i="3"/>
  <c r="T113" i="3"/>
  <c r="S114" i="3"/>
  <c r="T114" i="3"/>
  <c r="S115" i="3"/>
  <c r="T115" i="3"/>
  <c r="S116" i="3"/>
  <c r="T116" i="3"/>
  <c r="S117" i="3"/>
  <c r="T117" i="3"/>
  <c r="S118" i="3"/>
  <c r="T118" i="3"/>
  <c r="S119" i="3"/>
  <c r="T119" i="3"/>
  <c r="S120" i="3"/>
  <c r="T120" i="3"/>
  <c r="S121" i="3"/>
  <c r="T121" i="3"/>
  <c r="S122" i="3"/>
  <c r="T122" i="3"/>
  <c r="S123" i="3"/>
  <c r="T123" i="3"/>
  <c r="S124" i="3"/>
  <c r="T124" i="3"/>
  <c r="S125" i="3"/>
  <c r="T125" i="3"/>
  <c r="S126" i="3"/>
  <c r="T126" i="3"/>
  <c r="S127" i="3"/>
  <c r="T127" i="3"/>
  <c r="S128" i="3"/>
  <c r="T128" i="3"/>
  <c r="S129" i="3"/>
  <c r="T129" i="3"/>
  <c r="S130" i="3"/>
  <c r="T130" i="3"/>
  <c r="S131" i="3"/>
  <c r="T131" i="3"/>
  <c r="S132" i="3"/>
  <c r="T132" i="3"/>
  <c r="S133" i="3"/>
  <c r="T133" i="3"/>
  <c r="S134" i="3"/>
  <c r="T134" i="3"/>
  <c r="S135" i="3"/>
  <c r="T135" i="3"/>
  <c r="S136" i="3"/>
  <c r="T136" i="3"/>
  <c r="S137" i="3"/>
  <c r="T137" i="3"/>
  <c r="S138" i="3"/>
  <c r="T138" i="3"/>
  <c r="S139" i="3"/>
  <c r="T139" i="3"/>
  <c r="S140" i="3"/>
  <c r="T140" i="3"/>
  <c r="S141" i="3"/>
  <c r="T141" i="3"/>
  <c r="S142" i="3"/>
  <c r="T142" i="3"/>
  <c r="S143" i="3"/>
  <c r="T143" i="3"/>
  <c r="S144" i="3"/>
  <c r="T144" i="3"/>
  <c r="S145" i="3"/>
  <c r="T145" i="3"/>
  <c r="S146" i="3"/>
  <c r="T146" i="3"/>
  <c r="S147" i="3"/>
  <c r="T147" i="3"/>
  <c r="S148" i="3"/>
  <c r="T148" i="3"/>
  <c r="S149" i="3"/>
  <c r="T149" i="3"/>
  <c r="S150" i="3"/>
  <c r="T150" i="3"/>
  <c r="S151" i="3"/>
  <c r="T151" i="3"/>
  <c r="S152" i="3"/>
  <c r="T152" i="3"/>
  <c r="S153" i="3"/>
  <c r="T153" i="3"/>
  <c r="S154" i="3"/>
  <c r="T154" i="3"/>
  <c r="S155" i="3"/>
  <c r="T155" i="3"/>
  <c r="S156" i="3"/>
  <c r="T156" i="3"/>
  <c r="S157" i="3"/>
  <c r="T157" i="3"/>
  <c r="S158" i="3"/>
  <c r="T158" i="3"/>
  <c r="S159" i="3"/>
  <c r="T159" i="3"/>
  <c r="S160" i="3"/>
  <c r="T160" i="3"/>
  <c r="S161" i="3"/>
  <c r="T161" i="3"/>
  <c r="S162" i="3"/>
  <c r="T162" i="3"/>
  <c r="S163" i="3"/>
  <c r="T163" i="3"/>
  <c r="S164" i="3"/>
  <c r="T164" i="3"/>
  <c r="S165" i="3"/>
  <c r="T165" i="3"/>
  <c r="S166" i="3"/>
  <c r="T166" i="3"/>
  <c r="S167" i="3"/>
  <c r="T167" i="3"/>
  <c r="S168" i="3"/>
  <c r="T168" i="3"/>
  <c r="S169" i="3"/>
  <c r="T169" i="3"/>
  <c r="S170" i="3"/>
  <c r="T170" i="3"/>
  <c r="S171" i="3"/>
  <c r="T171" i="3"/>
  <c r="S172" i="3"/>
  <c r="T172" i="3"/>
  <c r="S173" i="3"/>
  <c r="T173" i="3"/>
  <c r="S174" i="3"/>
  <c r="T174" i="3"/>
  <c r="S175" i="3"/>
  <c r="T175" i="3"/>
  <c r="S176" i="3"/>
  <c r="T176" i="3"/>
  <c r="S177" i="3"/>
  <c r="T177" i="3"/>
  <c r="S178" i="3"/>
  <c r="T178" i="3"/>
  <c r="S179" i="3"/>
  <c r="T179" i="3"/>
  <c r="S180" i="3"/>
  <c r="T180" i="3"/>
  <c r="S181" i="3"/>
  <c r="T181" i="3"/>
  <c r="S182" i="3"/>
  <c r="T182" i="3"/>
  <c r="S183" i="3"/>
  <c r="T183" i="3"/>
  <c r="S184" i="3"/>
  <c r="T184" i="3"/>
  <c r="S185" i="3"/>
  <c r="T185" i="3"/>
  <c r="S186" i="3"/>
  <c r="T186" i="3"/>
  <c r="S187" i="3"/>
  <c r="T187" i="3"/>
  <c r="S188" i="3"/>
  <c r="T188" i="3"/>
  <c r="S189" i="3"/>
  <c r="T189" i="3"/>
  <c r="S190" i="3"/>
  <c r="T190" i="3"/>
  <c r="S191" i="3"/>
  <c r="T191" i="3"/>
  <c r="S192" i="3"/>
  <c r="T192" i="3"/>
  <c r="S193" i="3"/>
  <c r="T193" i="3"/>
  <c r="S194" i="3"/>
  <c r="T194" i="3"/>
  <c r="S195" i="3"/>
  <c r="T195" i="3"/>
  <c r="S196" i="3"/>
  <c r="T196" i="3"/>
  <c r="S197" i="3"/>
  <c r="T197" i="3"/>
  <c r="S198" i="3"/>
  <c r="T198" i="3"/>
  <c r="S199" i="3"/>
  <c r="T199" i="3"/>
  <c r="S200" i="3"/>
  <c r="T200" i="3"/>
  <c r="AS1" i="4" l="1"/>
  <c r="AS23" i="1"/>
  <c r="AT23" i="1"/>
  <c r="AU23" i="1"/>
  <c r="AQ23" i="1"/>
  <c r="AR23" i="1"/>
  <c r="AO23" i="1"/>
  <c r="AE23" i="1"/>
  <c r="AF23" i="1"/>
  <c r="AG23" i="1"/>
  <c r="AH23" i="1"/>
  <c r="AI23" i="1"/>
  <c r="AC23" i="1"/>
  <c r="W23" i="1"/>
  <c r="S23" i="1"/>
  <c r="T23" i="1"/>
  <c r="Q23" i="1"/>
  <c r="U23" i="1"/>
  <c r="V23" i="1"/>
  <c r="BF24" i="1"/>
  <c r="BG24" i="1"/>
  <c r="BC24" i="1"/>
  <c r="BD24" i="1"/>
  <c r="BA24" i="1"/>
  <c r="BE24" i="1"/>
  <c r="BP24" i="1"/>
  <c r="BQ24" i="1"/>
  <c r="BR24" i="1"/>
  <c r="BS24" i="1"/>
  <c r="BM24" i="1"/>
  <c r="BN23" i="1"/>
  <c r="BJ24" i="1"/>
  <c r="Z23" i="1"/>
  <c r="AX24" i="1"/>
  <c r="AL23" i="1"/>
  <c r="N23" i="1"/>
  <c r="BB23" i="1"/>
  <c r="BT23" i="1"/>
  <c r="BH23" i="1"/>
  <c r="AP22" i="1"/>
  <c r="R22" i="1"/>
  <c r="X22" i="1"/>
  <c r="AJ22" i="1"/>
  <c r="BO24" i="1"/>
  <c r="AV22" i="1"/>
  <c r="AD22" i="1"/>
  <c r="BK25" i="1"/>
  <c r="AY25" i="1"/>
  <c r="AM24" i="1"/>
  <c r="AA24" i="1"/>
  <c r="O24" i="1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6" i="3"/>
  <c r="BN24" i="1" l="1"/>
  <c r="AQ24" i="1"/>
  <c r="AR24" i="1"/>
  <c r="AS24" i="1"/>
  <c r="AT24" i="1"/>
  <c r="AU24" i="1"/>
  <c r="AO24" i="1"/>
  <c r="AH24" i="1"/>
  <c r="AI24" i="1"/>
  <c r="AE24" i="1"/>
  <c r="AF24" i="1"/>
  <c r="AG24" i="1"/>
  <c r="AC24" i="1"/>
  <c r="S24" i="1"/>
  <c r="T24" i="1"/>
  <c r="U24" i="1"/>
  <c r="V24" i="1"/>
  <c r="W24" i="1"/>
  <c r="Q24" i="1"/>
  <c r="BC25" i="1"/>
  <c r="BD25" i="1"/>
  <c r="BE25" i="1"/>
  <c r="BF25" i="1"/>
  <c r="BG25" i="1"/>
  <c r="BA25" i="1"/>
  <c r="BB24" i="1"/>
  <c r="BP25" i="1"/>
  <c r="BQ25" i="1"/>
  <c r="BR25" i="1"/>
  <c r="BS25" i="1"/>
  <c r="BM25" i="1"/>
  <c r="BN25" i="1" s="1"/>
  <c r="BJ25" i="1"/>
  <c r="Z24" i="1"/>
  <c r="AX25" i="1"/>
  <c r="AL24" i="1"/>
  <c r="N24" i="1"/>
  <c r="AP23" i="1"/>
  <c r="BT24" i="1"/>
  <c r="BH24" i="1"/>
  <c r="X23" i="1"/>
  <c r="AJ23" i="1"/>
  <c r="BO25" i="1"/>
  <c r="AV23" i="1"/>
  <c r="AD23" i="1"/>
  <c r="R23" i="1"/>
  <c r="BK26" i="1"/>
  <c r="AY26" i="1"/>
  <c r="AM25" i="1"/>
  <c r="AA25" i="1"/>
  <c r="O25" i="1"/>
  <c r="BB25" i="1" l="1"/>
  <c r="AQ25" i="1"/>
  <c r="AR25" i="1"/>
  <c r="AS25" i="1"/>
  <c r="AT25" i="1"/>
  <c r="AU25" i="1"/>
  <c r="AO25" i="1"/>
  <c r="AE25" i="1"/>
  <c r="AF25" i="1"/>
  <c r="AG25" i="1"/>
  <c r="AH25" i="1"/>
  <c r="AI25" i="1"/>
  <c r="AC25" i="1"/>
  <c r="Q25" i="1"/>
  <c r="U25" i="1"/>
  <c r="V25" i="1"/>
  <c r="W25" i="1"/>
  <c r="S25" i="1"/>
  <c r="T25" i="1"/>
  <c r="BD26" i="1"/>
  <c r="BE26" i="1"/>
  <c r="BF26" i="1"/>
  <c r="BG26" i="1"/>
  <c r="BC26" i="1"/>
  <c r="BA26" i="1"/>
  <c r="BB26" i="1" s="1"/>
  <c r="BP26" i="1"/>
  <c r="BQ26" i="1"/>
  <c r="BR26" i="1"/>
  <c r="BS26" i="1"/>
  <c r="BM26" i="1"/>
  <c r="BN26" i="1" s="1"/>
  <c r="AP24" i="1"/>
  <c r="BJ26" i="1"/>
  <c r="Z25" i="1"/>
  <c r="AX26" i="1"/>
  <c r="AL25" i="1"/>
  <c r="N25" i="1"/>
  <c r="BT25" i="1"/>
  <c r="BH25" i="1"/>
  <c r="R24" i="1"/>
  <c r="X24" i="1"/>
  <c r="AJ24" i="1"/>
  <c r="AD24" i="1"/>
  <c r="BO26" i="1"/>
  <c r="AV24" i="1"/>
  <c r="BK27" i="1"/>
  <c r="AY27" i="1"/>
  <c r="AM26" i="1"/>
  <c r="AA26" i="1"/>
  <c r="O26" i="1"/>
  <c r="AP25" i="1" l="1"/>
  <c r="AT26" i="1"/>
  <c r="AU26" i="1"/>
  <c r="AQ26" i="1"/>
  <c r="AR26" i="1"/>
  <c r="AS26" i="1"/>
  <c r="AO26" i="1"/>
  <c r="AF26" i="1"/>
  <c r="AG26" i="1"/>
  <c r="AH26" i="1"/>
  <c r="AI26" i="1"/>
  <c r="AE26" i="1"/>
  <c r="AC26" i="1"/>
  <c r="Q26" i="1"/>
  <c r="S26" i="1"/>
  <c r="T26" i="1"/>
  <c r="U26" i="1"/>
  <c r="V26" i="1"/>
  <c r="W26" i="1"/>
  <c r="BG27" i="1"/>
  <c r="BC27" i="1"/>
  <c r="BD27" i="1"/>
  <c r="BE27" i="1"/>
  <c r="BF27" i="1"/>
  <c r="BA27" i="1"/>
  <c r="BP27" i="1"/>
  <c r="BQ27" i="1"/>
  <c r="BR27" i="1"/>
  <c r="BM27" i="1"/>
  <c r="BN27" i="1" s="1"/>
  <c r="BS27" i="1"/>
  <c r="BJ27" i="1"/>
  <c r="Z26" i="1"/>
  <c r="AX27" i="1"/>
  <c r="AL26" i="1"/>
  <c r="N26" i="1"/>
  <c r="BT26" i="1"/>
  <c r="BH26" i="1"/>
  <c r="X25" i="1"/>
  <c r="AJ25" i="1"/>
  <c r="AD25" i="1"/>
  <c r="BO27" i="1"/>
  <c r="AV25" i="1"/>
  <c r="R25" i="1"/>
  <c r="BK28" i="1"/>
  <c r="AY28" i="1"/>
  <c r="AM27" i="1"/>
  <c r="AA27" i="1"/>
  <c r="O27" i="1"/>
  <c r="S7" i="3"/>
  <c r="T7" i="3"/>
  <c r="S8" i="3"/>
  <c r="T8" i="3"/>
  <c r="S9" i="3"/>
  <c r="T9" i="3"/>
  <c r="S10" i="3"/>
  <c r="T10" i="3"/>
  <c r="S11" i="3"/>
  <c r="T11" i="3"/>
  <c r="S12" i="3"/>
  <c r="T12" i="3"/>
  <c r="S13" i="3"/>
  <c r="T13" i="3"/>
  <c r="S14" i="3"/>
  <c r="T14" i="3"/>
  <c r="S15" i="3"/>
  <c r="T15" i="3"/>
  <c r="S16" i="3"/>
  <c r="T16" i="3"/>
  <c r="S17" i="3"/>
  <c r="T17" i="3"/>
  <c r="S18" i="3"/>
  <c r="T18" i="3"/>
  <c r="S19" i="3"/>
  <c r="T19" i="3"/>
  <c r="S20" i="3"/>
  <c r="T20" i="3"/>
  <c r="S21" i="3"/>
  <c r="T21" i="3"/>
  <c r="S22" i="3"/>
  <c r="T22" i="3"/>
  <c r="S23" i="3"/>
  <c r="T23" i="3"/>
  <c r="S24" i="3"/>
  <c r="T24" i="3"/>
  <c r="S25" i="3"/>
  <c r="T25" i="3"/>
  <c r="S26" i="3"/>
  <c r="T26" i="3"/>
  <c r="S27" i="3"/>
  <c r="T27" i="3"/>
  <c r="S28" i="3"/>
  <c r="T28" i="3"/>
  <c r="S29" i="3"/>
  <c r="T29" i="3"/>
  <c r="S30" i="3"/>
  <c r="T30" i="3"/>
  <c r="S31" i="3"/>
  <c r="T31" i="3"/>
  <c r="S32" i="3"/>
  <c r="T32" i="3"/>
  <c r="S33" i="3"/>
  <c r="T33" i="3"/>
  <c r="S34" i="3"/>
  <c r="T34" i="3"/>
  <c r="S35" i="3"/>
  <c r="T35" i="3"/>
  <c r="S36" i="3"/>
  <c r="T36" i="3"/>
  <c r="S37" i="3"/>
  <c r="T37" i="3"/>
  <c r="S38" i="3"/>
  <c r="T38" i="3"/>
  <c r="T6" i="3"/>
  <c r="S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6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80" i="3"/>
  <c r="L81" i="3"/>
  <c r="L82" i="3"/>
  <c r="L83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AP26" i="1" l="1"/>
  <c r="AQ27" i="1"/>
  <c r="AR27" i="1"/>
  <c r="AS27" i="1"/>
  <c r="AT27" i="1"/>
  <c r="AU27" i="1"/>
  <c r="AO27" i="1"/>
  <c r="AI27" i="1"/>
  <c r="AE27" i="1"/>
  <c r="AF27" i="1"/>
  <c r="AG27" i="1"/>
  <c r="AH27" i="1"/>
  <c r="AC27" i="1"/>
  <c r="S27" i="1"/>
  <c r="T27" i="1"/>
  <c r="Q27" i="1"/>
  <c r="U27" i="1"/>
  <c r="V27" i="1"/>
  <c r="W27" i="1"/>
  <c r="BC28" i="1"/>
  <c r="BD28" i="1"/>
  <c r="BE28" i="1"/>
  <c r="BF28" i="1"/>
  <c r="BG28" i="1"/>
  <c r="BA28" i="1"/>
  <c r="BP28" i="1"/>
  <c r="BQ28" i="1"/>
  <c r="BR28" i="1"/>
  <c r="BS28" i="1"/>
  <c r="BM28" i="1"/>
  <c r="BJ28" i="1"/>
  <c r="Z27" i="1"/>
  <c r="AX28" i="1"/>
  <c r="AL27" i="1"/>
  <c r="N27" i="1"/>
  <c r="BB27" i="1"/>
  <c r="BT27" i="1"/>
  <c r="BH27" i="1"/>
  <c r="X26" i="1"/>
  <c r="AJ26" i="1"/>
  <c r="AD26" i="1"/>
  <c r="BO28" i="1"/>
  <c r="AV26" i="1"/>
  <c r="R26" i="1"/>
  <c r="BK29" i="1"/>
  <c r="AY29" i="1"/>
  <c r="AM28" i="1"/>
  <c r="AA28" i="1"/>
  <c r="O28" i="1"/>
  <c r="U3" i="4"/>
  <c r="U2" i="4"/>
  <c r="M3" i="4"/>
  <c r="M2" i="4"/>
  <c r="AV200" i="4"/>
  <c r="AR200" i="4"/>
  <c r="AV199" i="4"/>
  <c r="AR199" i="4"/>
  <c r="AV198" i="4"/>
  <c r="AR198" i="4"/>
  <c r="AV197" i="4"/>
  <c r="AR197" i="4"/>
  <c r="AV196" i="4"/>
  <c r="AR196" i="4"/>
  <c r="AV195" i="4"/>
  <c r="AR195" i="4"/>
  <c r="AV194" i="4"/>
  <c r="AR194" i="4"/>
  <c r="AV193" i="4"/>
  <c r="AR193" i="4"/>
  <c r="AV192" i="4"/>
  <c r="AR192" i="4"/>
  <c r="AV191" i="4"/>
  <c r="AR191" i="4"/>
  <c r="AV190" i="4"/>
  <c r="AR190" i="4"/>
  <c r="AV189" i="4"/>
  <c r="AR189" i="4"/>
  <c r="AV188" i="4"/>
  <c r="AR188" i="4"/>
  <c r="AV187" i="4"/>
  <c r="AR187" i="4"/>
  <c r="AV186" i="4"/>
  <c r="AR186" i="4"/>
  <c r="AV185" i="4"/>
  <c r="AR185" i="4"/>
  <c r="AV184" i="4"/>
  <c r="AR184" i="4"/>
  <c r="AV183" i="4"/>
  <c r="AR183" i="4"/>
  <c r="AV182" i="4"/>
  <c r="AR182" i="4"/>
  <c r="AV181" i="4"/>
  <c r="AR181" i="4"/>
  <c r="AV180" i="4"/>
  <c r="AR180" i="4"/>
  <c r="AV179" i="4"/>
  <c r="AR179" i="4"/>
  <c r="AV178" i="4"/>
  <c r="AR178" i="4"/>
  <c r="AV177" i="4"/>
  <c r="AR177" i="4"/>
  <c r="AV176" i="4"/>
  <c r="AR176" i="4"/>
  <c r="AV175" i="4"/>
  <c r="AR175" i="4"/>
  <c r="AV174" i="4"/>
  <c r="AR174" i="4"/>
  <c r="AV173" i="4"/>
  <c r="AR173" i="4"/>
  <c r="AV172" i="4"/>
  <c r="AR172" i="4"/>
  <c r="AV171" i="4"/>
  <c r="AR171" i="4"/>
  <c r="AV170" i="4"/>
  <c r="AR170" i="4"/>
  <c r="AV169" i="4"/>
  <c r="AR169" i="4"/>
  <c r="AV168" i="4"/>
  <c r="AR168" i="4"/>
  <c r="AV167" i="4"/>
  <c r="AR167" i="4"/>
  <c r="AV166" i="4"/>
  <c r="AR166" i="4"/>
  <c r="AV165" i="4"/>
  <c r="AR165" i="4"/>
  <c r="AV164" i="4"/>
  <c r="AR164" i="4"/>
  <c r="AV163" i="4"/>
  <c r="AR163" i="4"/>
  <c r="AV162" i="4"/>
  <c r="AR162" i="4"/>
  <c r="AV161" i="4"/>
  <c r="AR161" i="4"/>
  <c r="AV160" i="4"/>
  <c r="AR160" i="4"/>
  <c r="AV159" i="4"/>
  <c r="AR159" i="4"/>
  <c r="AV158" i="4"/>
  <c r="AR158" i="4"/>
  <c r="AV157" i="4"/>
  <c r="AR157" i="4"/>
  <c r="AV156" i="4"/>
  <c r="AR156" i="4"/>
  <c r="AV155" i="4"/>
  <c r="AR155" i="4"/>
  <c r="AV154" i="4"/>
  <c r="AR154" i="4"/>
  <c r="AV153" i="4"/>
  <c r="AR153" i="4"/>
  <c r="AV152" i="4"/>
  <c r="AR152" i="4"/>
  <c r="AV151" i="4"/>
  <c r="AR151" i="4"/>
  <c r="AV150" i="4"/>
  <c r="AR150" i="4"/>
  <c r="AV149" i="4"/>
  <c r="AR149" i="4"/>
  <c r="AV148" i="4"/>
  <c r="AR148" i="4"/>
  <c r="AV147" i="4"/>
  <c r="AR147" i="4"/>
  <c r="AV146" i="4"/>
  <c r="AR146" i="4"/>
  <c r="AV145" i="4"/>
  <c r="AR145" i="4"/>
  <c r="AV144" i="4"/>
  <c r="AR144" i="4"/>
  <c r="AV143" i="4"/>
  <c r="AR143" i="4"/>
  <c r="AV142" i="4"/>
  <c r="AR142" i="4"/>
  <c r="AV141" i="4"/>
  <c r="AR141" i="4"/>
  <c r="AV140" i="4"/>
  <c r="AR140" i="4"/>
  <c r="AV139" i="4"/>
  <c r="AR139" i="4"/>
  <c r="AV138" i="4"/>
  <c r="AR138" i="4"/>
  <c r="AV137" i="4"/>
  <c r="AR137" i="4"/>
  <c r="AV136" i="4"/>
  <c r="AR136" i="4"/>
  <c r="AV135" i="4"/>
  <c r="AR135" i="4"/>
  <c r="AV134" i="4"/>
  <c r="AR134" i="4"/>
  <c r="AV133" i="4"/>
  <c r="AR133" i="4"/>
  <c r="AV132" i="4"/>
  <c r="AR132" i="4"/>
  <c r="AV131" i="4"/>
  <c r="AR131" i="4"/>
  <c r="AV130" i="4"/>
  <c r="AR130" i="4"/>
  <c r="AV129" i="4"/>
  <c r="AR129" i="4"/>
  <c r="AV128" i="4"/>
  <c r="AR128" i="4"/>
  <c r="AV127" i="4"/>
  <c r="AR127" i="4"/>
  <c r="AV126" i="4"/>
  <c r="AR126" i="4"/>
  <c r="AV125" i="4"/>
  <c r="AR125" i="4"/>
  <c r="AV124" i="4"/>
  <c r="AR124" i="4"/>
  <c r="AV123" i="4"/>
  <c r="AR123" i="4"/>
  <c r="AV122" i="4"/>
  <c r="AR122" i="4"/>
  <c r="AV121" i="4"/>
  <c r="AR121" i="4"/>
  <c r="AV120" i="4"/>
  <c r="AR120" i="4"/>
  <c r="AV119" i="4"/>
  <c r="AR119" i="4"/>
  <c r="AV118" i="4"/>
  <c r="AR118" i="4"/>
  <c r="AV117" i="4"/>
  <c r="AR117" i="4"/>
  <c r="AV116" i="4"/>
  <c r="AR116" i="4"/>
  <c r="AV115" i="4"/>
  <c r="AR115" i="4"/>
  <c r="AV114" i="4"/>
  <c r="AR114" i="4"/>
  <c r="AV113" i="4"/>
  <c r="AR113" i="4"/>
  <c r="AV112" i="4"/>
  <c r="AR112" i="4"/>
  <c r="AV111" i="4"/>
  <c r="AR111" i="4"/>
  <c r="AV110" i="4"/>
  <c r="AR110" i="4"/>
  <c r="AV109" i="4"/>
  <c r="AR109" i="4"/>
  <c r="AV108" i="4"/>
  <c r="AR108" i="4"/>
  <c r="AV107" i="4"/>
  <c r="AR107" i="4"/>
  <c r="AV106" i="4"/>
  <c r="AR106" i="4"/>
  <c r="AV105" i="4"/>
  <c r="AR105" i="4"/>
  <c r="AV104" i="4"/>
  <c r="AR104" i="4"/>
  <c r="AV103" i="4"/>
  <c r="AR103" i="4"/>
  <c r="AV102" i="4"/>
  <c r="AR102" i="4"/>
  <c r="AV101" i="4"/>
  <c r="AR101" i="4"/>
  <c r="AV100" i="4"/>
  <c r="AR100" i="4"/>
  <c r="AV99" i="4"/>
  <c r="AR99" i="4"/>
  <c r="AV98" i="4"/>
  <c r="AR98" i="4"/>
  <c r="AV97" i="4"/>
  <c r="AR97" i="4"/>
  <c r="AV96" i="4"/>
  <c r="AR96" i="4"/>
  <c r="AV95" i="4"/>
  <c r="AR95" i="4"/>
  <c r="AV94" i="4"/>
  <c r="AR94" i="4"/>
  <c r="AV93" i="4"/>
  <c r="AR93" i="4"/>
  <c r="AV92" i="4"/>
  <c r="AR92" i="4"/>
  <c r="AV91" i="4"/>
  <c r="AR91" i="4"/>
  <c r="AV90" i="4"/>
  <c r="AR90" i="4"/>
  <c r="AV89" i="4"/>
  <c r="AR89" i="4"/>
  <c r="AV88" i="4"/>
  <c r="AR88" i="4"/>
  <c r="AV87" i="4"/>
  <c r="AR87" i="4"/>
  <c r="AV86" i="4"/>
  <c r="AR86" i="4"/>
  <c r="AV85" i="4"/>
  <c r="AR85" i="4"/>
  <c r="AV84" i="4"/>
  <c r="AR84" i="4"/>
  <c r="AV83" i="4"/>
  <c r="AR83" i="4"/>
  <c r="AV82" i="4"/>
  <c r="AR82" i="4"/>
  <c r="AV81" i="4"/>
  <c r="AR81" i="4"/>
  <c r="AV80" i="4"/>
  <c r="AR80" i="4"/>
  <c r="AV79" i="4"/>
  <c r="AR79" i="4"/>
  <c r="AV78" i="4"/>
  <c r="AR78" i="4"/>
  <c r="AV77" i="4"/>
  <c r="AR77" i="4"/>
  <c r="AV76" i="4"/>
  <c r="AR76" i="4"/>
  <c r="AV75" i="4"/>
  <c r="AR75" i="4"/>
  <c r="AV74" i="4"/>
  <c r="AR74" i="4"/>
  <c r="AV73" i="4"/>
  <c r="AR73" i="4"/>
  <c r="AV72" i="4"/>
  <c r="AR72" i="4"/>
  <c r="AV71" i="4"/>
  <c r="AR71" i="4"/>
  <c r="AV70" i="4"/>
  <c r="AR70" i="4"/>
  <c r="AV69" i="4"/>
  <c r="AR69" i="4"/>
  <c r="AV68" i="4"/>
  <c r="AR68" i="4"/>
  <c r="AV67" i="4"/>
  <c r="AR67" i="4"/>
  <c r="AV66" i="4"/>
  <c r="AR66" i="4"/>
  <c r="AV65" i="4"/>
  <c r="AR65" i="4"/>
  <c r="AV64" i="4"/>
  <c r="AR64" i="4"/>
  <c r="AV63" i="4"/>
  <c r="AR63" i="4"/>
  <c r="AV62" i="4"/>
  <c r="AR62" i="4"/>
  <c r="AV61" i="4"/>
  <c r="AR61" i="4"/>
  <c r="AV60" i="4"/>
  <c r="AR60" i="4"/>
  <c r="AV59" i="4"/>
  <c r="AR59" i="4"/>
  <c r="AV58" i="4"/>
  <c r="AR58" i="4"/>
  <c r="AV57" i="4"/>
  <c r="AR57" i="4"/>
  <c r="AV56" i="4"/>
  <c r="AR56" i="4"/>
  <c r="AV55" i="4"/>
  <c r="AR55" i="4"/>
  <c r="AV54" i="4"/>
  <c r="AR54" i="4"/>
  <c r="AV53" i="4"/>
  <c r="AR53" i="4"/>
  <c r="AV52" i="4"/>
  <c r="AR52" i="4"/>
  <c r="AV51" i="4"/>
  <c r="AR51" i="4"/>
  <c r="AV50" i="4"/>
  <c r="AR50" i="4"/>
  <c r="AV49" i="4"/>
  <c r="AR49" i="4"/>
  <c r="AV48" i="4"/>
  <c r="AR48" i="4"/>
  <c r="AV47" i="4"/>
  <c r="AR47" i="4"/>
  <c r="AV46" i="4"/>
  <c r="AR46" i="4"/>
  <c r="AV45" i="4"/>
  <c r="AR45" i="4"/>
  <c r="AV44" i="4"/>
  <c r="AR44" i="4"/>
  <c r="AV43" i="4"/>
  <c r="AR43" i="4"/>
  <c r="AV42" i="4"/>
  <c r="AR42" i="4"/>
  <c r="AV41" i="4"/>
  <c r="AR41" i="4"/>
  <c r="AV40" i="4"/>
  <c r="AR40" i="4"/>
  <c r="AV39" i="4"/>
  <c r="AR39" i="4"/>
  <c r="AV38" i="4"/>
  <c r="AR38" i="4"/>
  <c r="AV37" i="4"/>
  <c r="AR37" i="4"/>
  <c r="AV36" i="4"/>
  <c r="AR36" i="4"/>
  <c r="AV35" i="4"/>
  <c r="AR35" i="4"/>
  <c r="AV34" i="4"/>
  <c r="AR34" i="4"/>
  <c r="AV33" i="4"/>
  <c r="AR33" i="4"/>
  <c r="AV32" i="4"/>
  <c r="AR32" i="4"/>
  <c r="AV31" i="4"/>
  <c r="AR31" i="4"/>
  <c r="AV30" i="4"/>
  <c r="AR30" i="4"/>
  <c r="AV29" i="4"/>
  <c r="AR29" i="4"/>
  <c r="AV28" i="4"/>
  <c r="AR28" i="4"/>
  <c r="AV27" i="4"/>
  <c r="AR27" i="4"/>
  <c r="AV26" i="4"/>
  <c r="AR26" i="4"/>
  <c r="AV25" i="4"/>
  <c r="AR25" i="4"/>
  <c r="AV24" i="4"/>
  <c r="AR24" i="4"/>
  <c r="AV23" i="4"/>
  <c r="AR23" i="4"/>
  <c r="AV22" i="4"/>
  <c r="AR22" i="4"/>
  <c r="AV21" i="4"/>
  <c r="AR21" i="4"/>
  <c r="AV20" i="4"/>
  <c r="AR20" i="4"/>
  <c r="AV19" i="4"/>
  <c r="AR19" i="4"/>
  <c r="AV18" i="4"/>
  <c r="AR18" i="4"/>
  <c r="AV17" i="4"/>
  <c r="AR17" i="4"/>
  <c r="AV16" i="4"/>
  <c r="AR16" i="4"/>
  <c r="AV15" i="4"/>
  <c r="AR15" i="4"/>
  <c r="AV14" i="4"/>
  <c r="AR14" i="4"/>
  <c r="AV13" i="4"/>
  <c r="AR13" i="4"/>
  <c r="AV12" i="4"/>
  <c r="AR12" i="4"/>
  <c r="AV11" i="4"/>
  <c r="AR11" i="4"/>
  <c r="AV10" i="4"/>
  <c r="AR10" i="4"/>
  <c r="AV9" i="4"/>
  <c r="AR9" i="4"/>
  <c r="AV8" i="4"/>
  <c r="AR8" i="4"/>
  <c r="AV7" i="4"/>
  <c r="AR7" i="4"/>
  <c r="AV6" i="4"/>
  <c r="AR6" i="4"/>
  <c r="AN200" i="4"/>
  <c r="AJ200" i="4"/>
  <c r="AN199" i="4"/>
  <c r="AJ199" i="4"/>
  <c r="AN198" i="4"/>
  <c r="AJ198" i="4"/>
  <c r="AN197" i="4"/>
  <c r="AJ197" i="4"/>
  <c r="AN196" i="4"/>
  <c r="AJ196" i="4"/>
  <c r="AN195" i="4"/>
  <c r="AJ195" i="4"/>
  <c r="AN194" i="4"/>
  <c r="AJ194" i="4"/>
  <c r="AN193" i="4"/>
  <c r="AJ193" i="4"/>
  <c r="AN192" i="4"/>
  <c r="AJ192" i="4"/>
  <c r="AN191" i="4"/>
  <c r="AJ191" i="4"/>
  <c r="AN190" i="4"/>
  <c r="AJ190" i="4"/>
  <c r="AN189" i="4"/>
  <c r="AJ189" i="4"/>
  <c r="AN188" i="4"/>
  <c r="AJ188" i="4"/>
  <c r="AN187" i="4"/>
  <c r="AJ187" i="4"/>
  <c r="AN186" i="4"/>
  <c r="AJ186" i="4"/>
  <c r="AN185" i="4"/>
  <c r="AJ185" i="4"/>
  <c r="AN184" i="4"/>
  <c r="AJ184" i="4"/>
  <c r="AN183" i="4"/>
  <c r="AJ183" i="4"/>
  <c r="AN182" i="4"/>
  <c r="AJ182" i="4"/>
  <c r="AN181" i="4"/>
  <c r="AJ181" i="4"/>
  <c r="AN180" i="4"/>
  <c r="AJ180" i="4"/>
  <c r="AN179" i="4"/>
  <c r="AJ179" i="4"/>
  <c r="AN178" i="4"/>
  <c r="AJ178" i="4"/>
  <c r="AN177" i="4"/>
  <c r="AJ177" i="4"/>
  <c r="AN176" i="4"/>
  <c r="AJ176" i="4"/>
  <c r="AN175" i="4"/>
  <c r="AJ175" i="4"/>
  <c r="AN174" i="4"/>
  <c r="AJ174" i="4"/>
  <c r="AN173" i="4"/>
  <c r="AJ173" i="4"/>
  <c r="AN172" i="4"/>
  <c r="AJ172" i="4"/>
  <c r="AN171" i="4"/>
  <c r="AJ171" i="4"/>
  <c r="AN170" i="4"/>
  <c r="AJ170" i="4"/>
  <c r="AN169" i="4"/>
  <c r="AJ169" i="4"/>
  <c r="AN168" i="4"/>
  <c r="AJ168" i="4"/>
  <c r="AN167" i="4"/>
  <c r="AJ167" i="4"/>
  <c r="AN166" i="4"/>
  <c r="AJ166" i="4"/>
  <c r="AN165" i="4"/>
  <c r="AJ165" i="4"/>
  <c r="AN164" i="4"/>
  <c r="AJ164" i="4"/>
  <c r="AN163" i="4"/>
  <c r="AJ163" i="4"/>
  <c r="AN162" i="4"/>
  <c r="AJ162" i="4"/>
  <c r="AN161" i="4"/>
  <c r="AJ161" i="4"/>
  <c r="AN160" i="4"/>
  <c r="AJ160" i="4"/>
  <c r="AN159" i="4"/>
  <c r="AJ159" i="4"/>
  <c r="AN158" i="4"/>
  <c r="AJ158" i="4"/>
  <c r="AN157" i="4"/>
  <c r="AJ157" i="4"/>
  <c r="AN156" i="4"/>
  <c r="AJ156" i="4"/>
  <c r="AN155" i="4"/>
  <c r="AJ155" i="4"/>
  <c r="AN154" i="4"/>
  <c r="AJ154" i="4"/>
  <c r="AN153" i="4"/>
  <c r="AJ153" i="4"/>
  <c r="AN152" i="4"/>
  <c r="AJ152" i="4"/>
  <c r="AN151" i="4"/>
  <c r="AJ151" i="4"/>
  <c r="AN150" i="4"/>
  <c r="AJ150" i="4"/>
  <c r="AN149" i="4"/>
  <c r="AJ149" i="4"/>
  <c r="AN148" i="4"/>
  <c r="AJ148" i="4"/>
  <c r="AN147" i="4"/>
  <c r="AJ147" i="4"/>
  <c r="AN146" i="4"/>
  <c r="AJ146" i="4"/>
  <c r="AN145" i="4"/>
  <c r="AJ145" i="4"/>
  <c r="AN144" i="4"/>
  <c r="AJ144" i="4"/>
  <c r="AN143" i="4"/>
  <c r="AJ143" i="4"/>
  <c r="AN142" i="4"/>
  <c r="AJ142" i="4"/>
  <c r="AN141" i="4"/>
  <c r="AJ141" i="4"/>
  <c r="AN140" i="4"/>
  <c r="AJ140" i="4"/>
  <c r="AN139" i="4"/>
  <c r="AJ139" i="4"/>
  <c r="AN138" i="4"/>
  <c r="AJ138" i="4"/>
  <c r="AN137" i="4"/>
  <c r="AJ137" i="4"/>
  <c r="AN136" i="4"/>
  <c r="AJ136" i="4"/>
  <c r="AN135" i="4"/>
  <c r="AJ135" i="4"/>
  <c r="AN134" i="4"/>
  <c r="AJ134" i="4"/>
  <c r="AN133" i="4"/>
  <c r="AJ133" i="4"/>
  <c r="AN132" i="4"/>
  <c r="AJ132" i="4"/>
  <c r="AN131" i="4"/>
  <c r="AJ131" i="4"/>
  <c r="AN130" i="4"/>
  <c r="AJ130" i="4"/>
  <c r="AN129" i="4"/>
  <c r="AJ129" i="4"/>
  <c r="AN128" i="4"/>
  <c r="AJ128" i="4"/>
  <c r="AN127" i="4"/>
  <c r="AJ127" i="4"/>
  <c r="AN126" i="4"/>
  <c r="AJ126" i="4"/>
  <c r="AN125" i="4"/>
  <c r="AJ125" i="4"/>
  <c r="AN124" i="4"/>
  <c r="AJ124" i="4"/>
  <c r="AN123" i="4"/>
  <c r="AJ123" i="4"/>
  <c r="AN122" i="4"/>
  <c r="AJ122" i="4"/>
  <c r="AN121" i="4"/>
  <c r="AJ121" i="4"/>
  <c r="AN120" i="4"/>
  <c r="AJ120" i="4"/>
  <c r="AN119" i="4"/>
  <c r="AJ119" i="4"/>
  <c r="AN118" i="4"/>
  <c r="AJ118" i="4"/>
  <c r="AN117" i="4"/>
  <c r="AJ117" i="4"/>
  <c r="AN116" i="4"/>
  <c r="AJ116" i="4"/>
  <c r="AN115" i="4"/>
  <c r="AJ115" i="4"/>
  <c r="AN114" i="4"/>
  <c r="AJ114" i="4"/>
  <c r="AN113" i="4"/>
  <c r="AJ113" i="4"/>
  <c r="AN112" i="4"/>
  <c r="AJ112" i="4"/>
  <c r="AN111" i="4"/>
  <c r="AJ111" i="4"/>
  <c r="AN110" i="4"/>
  <c r="AJ110" i="4"/>
  <c r="AN109" i="4"/>
  <c r="AJ109" i="4"/>
  <c r="AN108" i="4"/>
  <c r="AJ108" i="4"/>
  <c r="AN107" i="4"/>
  <c r="AJ107" i="4"/>
  <c r="AN106" i="4"/>
  <c r="AJ106" i="4"/>
  <c r="AN105" i="4"/>
  <c r="AJ105" i="4"/>
  <c r="AN104" i="4"/>
  <c r="AJ104" i="4"/>
  <c r="AN103" i="4"/>
  <c r="AJ103" i="4"/>
  <c r="AN102" i="4"/>
  <c r="AJ102" i="4"/>
  <c r="AN101" i="4"/>
  <c r="AJ101" i="4"/>
  <c r="AN100" i="4"/>
  <c r="AJ100" i="4"/>
  <c r="AN99" i="4"/>
  <c r="AJ99" i="4"/>
  <c r="AN98" i="4"/>
  <c r="AJ98" i="4"/>
  <c r="AN97" i="4"/>
  <c r="AJ97" i="4"/>
  <c r="AN96" i="4"/>
  <c r="AJ96" i="4"/>
  <c r="AN95" i="4"/>
  <c r="AJ95" i="4"/>
  <c r="AN94" i="4"/>
  <c r="AJ94" i="4"/>
  <c r="AN93" i="4"/>
  <c r="AJ93" i="4"/>
  <c r="AN92" i="4"/>
  <c r="AJ92" i="4"/>
  <c r="AN91" i="4"/>
  <c r="AJ91" i="4"/>
  <c r="AN90" i="4"/>
  <c r="AJ90" i="4"/>
  <c r="AN89" i="4"/>
  <c r="AJ89" i="4"/>
  <c r="AN88" i="4"/>
  <c r="AJ88" i="4"/>
  <c r="AN87" i="4"/>
  <c r="AJ87" i="4"/>
  <c r="AN86" i="4"/>
  <c r="AJ86" i="4"/>
  <c r="AN85" i="4"/>
  <c r="AJ85" i="4"/>
  <c r="AN84" i="4"/>
  <c r="AJ84" i="4"/>
  <c r="AN83" i="4"/>
  <c r="AJ83" i="4"/>
  <c r="AN82" i="4"/>
  <c r="AJ82" i="4"/>
  <c r="AN81" i="4"/>
  <c r="AJ81" i="4"/>
  <c r="AN80" i="4"/>
  <c r="AJ80" i="4"/>
  <c r="AN79" i="4"/>
  <c r="AJ79" i="4"/>
  <c r="AN78" i="4"/>
  <c r="AJ78" i="4"/>
  <c r="AN77" i="4"/>
  <c r="AJ77" i="4"/>
  <c r="AN76" i="4"/>
  <c r="AJ76" i="4"/>
  <c r="AN75" i="4"/>
  <c r="AJ75" i="4"/>
  <c r="AN74" i="4"/>
  <c r="AJ74" i="4"/>
  <c r="AN73" i="4"/>
  <c r="AJ73" i="4"/>
  <c r="AN72" i="4"/>
  <c r="AJ72" i="4"/>
  <c r="AN71" i="4"/>
  <c r="AJ71" i="4"/>
  <c r="AN70" i="4"/>
  <c r="AJ70" i="4"/>
  <c r="AN69" i="4"/>
  <c r="AJ69" i="4"/>
  <c r="AN68" i="4"/>
  <c r="AJ68" i="4"/>
  <c r="AN67" i="4"/>
  <c r="AJ67" i="4"/>
  <c r="AN66" i="4"/>
  <c r="AJ66" i="4"/>
  <c r="AN65" i="4"/>
  <c r="AJ65" i="4"/>
  <c r="AN64" i="4"/>
  <c r="AJ64" i="4"/>
  <c r="AN63" i="4"/>
  <c r="AJ63" i="4"/>
  <c r="AN62" i="4"/>
  <c r="AJ62" i="4"/>
  <c r="AN61" i="4"/>
  <c r="AJ61" i="4"/>
  <c r="AN60" i="4"/>
  <c r="AJ60" i="4"/>
  <c r="AN59" i="4"/>
  <c r="AJ59" i="4"/>
  <c r="AN58" i="4"/>
  <c r="AJ58" i="4"/>
  <c r="AN57" i="4"/>
  <c r="AJ57" i="4"/>
  <c r="AN56" i="4"/>
  <c r="AJ56" i="4"/>
  <c r="AN55" i="4"/>
  <c r="AJ55" i="4"/>
  <c r="AN54" i="4"/>
  <c r="AJ54" i="4"/>
  <c r="AN53" i="4"/>
  <c r="AJ53" i="4"/>
  <c r="AN52" i="4"/>
  <c r="AJ52" i="4"/>
  <c r="AN51" i="4"/>
  <c r="AJ51" i="4"/>
  <c r="AN50" i="4"/>
  <c r="AJ50" i="4"/>
  <c r="AN49" i="4"/>
  <c r="AJ49" i="4"/>
  <c r="AN48" i="4"/>
  <c r="AJ48" i="4"/>
  <c r="AN47" i="4"/>
  <c r="AJ47" i="4"/>
  <c r="AN46" i="4"/>
  <c r="AJ46" i="4"/>
  <c r="AN45" i="4"/>
  <c r="AJ45" i="4"/>
  <c r="AN44" i="4"/>
  <c r="AJ44" i="4"/>
  <c r="AN43" i="4"/>
  <c r="AJ43" i="4"/>
  <c r="AN42" i="4"/>
  <c r="AJ42" i="4"/>
  <c r="AN41" i="4"/>
  <c r="AJ41" i="4"/>
  <c r="AN40" i="4"/>
  <c r="AJ40" i="4"/>
  <c r="AN39" i="4"/>
  <c r="AJ39" i="4"/>
  <c r="AN38" i="4"/>
  <c r="AJ38" i="4"/>
  <c r="AN37" i="4"/>
  <c r="AJ37" i="4"/>
  <c r="AN36" i="4"/>
  <c r="AJ36" i="4"/>
  <c r="AN35" i="4"/>
  <c r="AJ35" i="4"/>
  <c r="AN34" i="4"/>
  <c r="AJ34" i="4"/>
  <c r="AN33" i="4"/>
  <c r="AJ33" i="4"/>
  <c r="AN32" i="4"/>
  <c r="AJ32" i="4"/>
  <c r="AN31" i="4"/>
  <c r="AJ31" i="4"/>
  <c r="AN30" i="4"/>
  <c r="AJ30" i="4"/>
  <c r="AN29" i="4"/>
  <c r="AJ29" i="4"/>
  <c r="AN28" i="4"/>
  <c r="AJ28" i="4"/>
  <c r="AN27" i="4"/>
  <c r="AJ27" i="4"/>
  <c r="AN26" i="4"/>
  <c r="AJ26" i="4"/>
  <c r="AN25" i="4"/>
  <c r="AJ25" i="4"/>
  <c r="AN24" i="4"/>
  <c r="AJ24" i="4"/>
  <c r="AN23" i="4"/>
  <c r="AJ23" i="4"/>
  <c r="AN22" i="4"/>
  <c r="AJ22" i="4"/>
  <c r="AN21" i="4"/>
  <c r="AJ21" i="4"/>
  <c r="AN20" i="4"/>
  <c r="AJ20" i="4"/>
  <c r="AN19" i="4"/>
  <c r="AJ19" i="4"/>
  <c r="AN18" i="4"/>
  <c r="AJ18" i="4"/>
  <c r="AN17" i="4"/>
  <c r="AJ17" i="4"/>
  <c r="AN16" i="4"/>
  <c r="AJ16" i="4"/>
  <c r="AN15" i="4"/>
  <c r="AJ15" i="4"/>
  <c r="AN14" i="4"/>
  <c r="AJ14" i="4"/>
  <c r="AN13" i="4"/>
  <c r="AJ13" i="4"/>
  <c r="AN12" i="4"/>
  <c r="AJ12" i="4"/>
  <c r="AN11" i="4"/>
  <c r="AJ11" i="4"/>
  <c r="AN10" i="4"/>
  <c r="AJ10" i="4"/>
  <c r="AN9" i="4"/>
  <c r="AJ9" i="4"/>
  <c r="AN8" i="4"/>
  <c r="AJ8" i="4"/>
  <c r="AN7" i="4"/>
  <c r="AJ7" i="4"/>
  <c r="AN6" i="4"/>
  <c r="AJ6" i="4"/>
  <c r="AF200" i="4"/>
  <c r="AB200" i="4"/>
  <c r="AA200" i="4"/>
  <c r="AF199" i="4"/>
  <c r="AB199" i="4"/>
  <c r="AA199" i="4"/>
  <c r="AF198" i="4"/>
  <c r="AB198" i="4"/>
  <c r="AA198" i="4"/>
  <c r="AF197" i="4"/>
  <c r="AB197" i="4"/>
  <c r="AA197" i="4"/>
  <c r="AF196" i="4"/>
  <c r="AB196" i="4"/>
  <c r="AA196" i="4"/>
  <c r="AF195" i="4"/>
  <c r="AB195" i="4"/>
  <c r="AA195" i="4"/>
  <c r="AF194" i="4"/>
  <c r="AB194" i="4"/>
  <c r="AA194" i="4"/>
  <c r="AF193" i="4"/>
  <c r="AB193" i="4"/>
  <c r="AA193" i="4"/>
  <c r="AF192" i="4"/>
  <c r="AB192" i="4"/>
  <c r="AA192" i="4"/>
  <c r="AF191" i="4"/>
  <c r="AB191" i="4"/>
  <c r="AA191" i="4"/>
  <c r="AF190" i="4"/>
  <c r="AB190" i="4"/>
  <c r="AA190" i="4"/>
  <c r="AF189" i="4"/>
  <c r="AB189" i="4"/>
  <c r="AA189" i="4"/>
  <c r="AF188" i="4"/>
  <c r="AB188" i="4"/>
  <c r="AA188" i="4"/>
  <c r="AF187" i="4"/>
  <c r="AB187" i="4"/>
  <c r="AA187" i="4"/>
  <c r="AF186" i="4"/>
  <c r="AB186" i="4"/>
  <c r="AA186" i="4"/>
  <c r="AF185" i="4"/>
  <c r="AB185" i="4"/>
  <c r="AA185" i="4"/>
  <c r="AF184" i="4"/>
  <c r="AB184" i="4"/>
  <c r="AA184" i="4"/>
  <c r="AF183" i="4"/>
  <c r="AB183" i="4"/>
  <c r="AA183" i="4"/>
  <c r="AF182" i="4"/>
  <c r="AB182" i="4"/>
  <c r="AA182" i="4"/>
  <c r="AF181" i="4"/>
  <c r="AB181" i="4"/>
  <c r="AA181" i="4"/>
  <c r="AF180" i="4"/>
  <c r="AB180" i="4"/>
  <c r="AA180" i="4"/>
  <c r="AF179" i="4"/>
  <c r="AB179" i="4"/>
  <c r="AA179" i="4"/>
  <c r="AF178" i="4"/>
  <c r="AB178" i="4"/>
  <c r="AA178" i="4"/>
  <c r="AF177" i="4"/>
  <c r="AB177" i="4"/>
  <c r="AA177" i="4"/>
  <c r="AF176" i="4"/>
  <c r="AB176" i="4"/>
  <c r="AA176" i="4"/>
  <c r="AF175" i="4"/>
  <c r="AB175" i="4"/>
  <c r="AA175" i="4"/>
  <c r="AF174" i="4"/>
  <c r="AB174" i="4"/>
  <c r="AA174" i="4"/>
  <c r="AF173" i="4"/>
  <c r="AB173" i="4"/>
  <c r="AA173" i="4"/>
  <c r="AF172" i="4"/>
  <c r="AB172" i="4"/>
  <c r="AA172" i="4"/>
  <c r="AF171" i="4"/>
  <c r="AB171" i="4"/>
  <c r="AA171" i="4"/>
  <c r="AF170" i="4"/>
  <c r="AB170" i="4"/>
  <c r="AA170" i="4"/>
  <c r="AF169" i="4"/>
  <c r="AB169" i="4"/>
  <c r="AA169" i="4"/>
  <c r="AF168" i="4"/>
  <c r="AB168" i="4"/>
  <c r="AA168" i="4"/>
  <c r="AF167" i="4"/>
  <c r="AB167" i="4"/>
  <c r="AA167" i="4"/>
  <c r="AF166" i="4"/>
  <c r="AB166" i="4"/>
  <c r="AA166" i="4"/>
  <c r="AF165" i="4"/>
  <c r="AB165" i="4"/>
  <c r="AA165" i="4"/>
  <c r="AF164" i="4"/>
  <c r="AB164" i="4"/>
  <c r="AA164" i="4"/>
  <c r="AF163" i="4"/>
  <c r="AB163" i="4"/>
  <c r="AA163" i="4"/>
  <c r="AF162" i="4"/>
  <c r="AB162" i="4"/>
  <c r="AA162" i="4"/>
  <c r="AF161" i="4"/>
  <c r="AB161" i="4"/>
  <c r="AA161" i="4"/>
  <c r="AF160" i="4"/>
  <c r="AB160" i="4"/>
  <c r="AA160" i="4"/>
  <c r="AF159" i="4"/>
  <c r="AB159" i="4"/>
  <c r="AA159" i="4"/>
  <c r="AF158" i="4"/>
  <c r="AB158" i="4"/>
  <c r="AA158" i="4"/>
  <c r="AF157" i="4"/>
  <c r="AB157" i="4"/>
  <c r="AA157" i="4"/>
  <c r="AF156" i="4"/>
  <c r="AB156" i="4"/>
  <c r="AA156" i="4"/>
  <c r="AF155" i="4"/>
  <c r="AB155" i="4"/>
  <c r="AA155" i="4"/>
  <c r="AF154" i="4"/>
  <c r="AB154" i="4"/>
  <c r="AA154" i="4"/>
  <c r="AF153" i="4"/>
  <c r="AB153" i="4"/>
  <c r="AA153" i="4"/>
  <c r="AF152" i="4"/>
  <c r="AB152" i="4"/>
  <c r="AA152" i="4"/>
  <c r="AF151" i="4"/>
  <c r="AB151" i="4"/>
  <c r="AA151" i="4"/>
  <c r="AF150" i="4"/>
  <c r="AB150" i="4"/>
  <c r="AA150" i="4"/>
  <c r="AF149" i="4"/>
  <c r="AB149" i="4"/>
  <c r="AA149" i="4"/>
  <c r="AF148" i="4"/>
  <c r="AB148" i="4"/>
  <c r="AA148" i="4"/>
  <c r="AF147" i="4"/>
  <c r="AB147" i="4"/>
  <c r="AA147" i="4"/>
  <c r="AF146" i="4"/>
  <c r="AB146" i="4"/>
  <c r="AA146" i="4"/>
  <c r="AF145" i="4"/>
  <c r="AB145" i="4"/>
  <c r="AA145" i="4"/>
  <c r="AF144" i="4"/>
  <c r="AB144" i="4"/>
  <c r="AA144" i="4"/>
  <c r="AF143" i="4"/>
  <c r="AB143" i="4"/>
  <c r="AA143" i="4"/>
  <c r="AF142" i="4"/>
  <c r="AB142" i="4"/>
  <c r="AA142" i="4"/>
  <c r="AF141" i="4"/>
  <c r="AB141" i="4"/>
  <c r="AA141" i="4"/>
  <c r="AF140" i="4"/>
  <c r="AB140" i="4"/>
  <c r="AA140" i="4"/>
  <c r="AF139" i="4"/>
  <c r="AB139" i="4"/>
  <c r="AA139" i="4"/>
  <c r="AF138" i="4"/>
  <c r="AB138" i="4"/>
  <c r="AA138" i="4"/>
  <c r="AF137" i="4"/>
  <c r="AB137" i="4"/>
  <c r="AA137" i="4"/>
  <c r="AF136" i="4"/>
  <c r="AB136" i="4"/>
  <c r="AA136" i="4"/>
  <c r="AF135" i="4"/>
  <c r="AB135" i="4"/>
  <c r="AA135" i="4"/>
  <c r="AF134" i="4"/>
  <c r="AB134" i="4"/>
  <c r="AA134" i="4"/>
  <c r="AF133" i="4"/>
  <c r="AB133" i="4"/>
  <c r="AA133" i="4"/>
  <c r="AF132" i="4"/>
  <c r="AB132" i="4"/>
  <c r="AA132" i="4"/>
  <c r="AF131" i="4"/>
  <c r="AB131" i="4"/>
  <c r="AA131" i="4"/>
  <c r="AF130" i="4"/>
  <c r="AB130" i="4"/>
  <c r="AA130" i="4"/>
  <c r="AF129" i="4"/>
  <c r="AB129" i="4"/>
  <c r="AA129" i="4"/>
  <c r="AF128" i="4"/>
  <c r="AB128" i="4"/>
  <c r="AA128" i="4"/>
  <c r="AF127" i="4"/>
  <c r="AB127" i="4"/>
  <c r="AA127" i="4"/>
  <c r="AF126" i="4"/>
  <c r="AB126" i="4"/>
  <c r="AA126" i="4"/>
  <c r="AF125" i="4"/>
  <c r="AB125" i="4"/>
  <c r="AA125" i="4"/>
  <c r="AF124" i="4"/>
  <c r="AB124" i="4"/>
  <c r="AA124" i="4"/>
  <c r="AF123" i="4"/>
  <c r="AB123" i="4"/>
  <c r="AA123" i="4"/>
  <c r="AF122" i="4"/>
  <c r="AB122" i="4"/>
  <c r="AA122" i="4"/>
  <c r="AF121" i="4"/>
  <c r="AB121" i="4"/>
  <c r="AA121" i="4"/>
  <c r="AF120" i="4"/>
  <c r="AB120" i="4"/>
  <c r="AA120" i="4"/>
  <c r="AF119" i="4"/>
  <c r="AB119" i="4"/>
  <c r="AA119" i="4"/>
  <c r="AF118" i="4"/>
  <c r="AB118" i="4"/>
  <c r="AA118" i="4"/>
  <c r="AF117" i="4"/>
  <c r="AB117" i="4"/>
  <c r="AA117" i="4"/>
  <c r="AF116" i="4"/>
  <c r="AB116" i="4"/>
  <c r="AA116" i="4"/>
  <c r="AF115" i="4"/>
  <c r="AB115" i="4"/>
  <c r="AA115" i="4"/>
  <c r="AF114" i="4"/>
  <c r="AB114" i="4"/>
  <c r="AA114" i="4"/>
  <c r="AF113" i="4"/>
  <c r="AB113" i="4"/>
  <c r="AA113" i="4"/>
  <c r="AF112" i="4"/>
  <c r="AB112" i="4"/>
  <c r="AA112" i="4"/>
  <c r="AF111" i="4"/>
  <c r="AB111" i="4"/>
  <c r="AA111" i="4"/>
  <c r="AF110" i="4"/>
  <c r="AB110" i="4"/>
  <c r="AA110" i="4"/>
  <c r="AF109" i="4"/>
  <c r="AB109" i="4"/>
  <c r="AA109" i="4"/>
  <c r="AF108" i="4"/>
  <c r="AB108" i="4"/>
  <c r="AA108" i="4"/>
  <c r="AF107" i="4"/>
  <c r="AB107" i="4"/>
  <c r="AA107" i="4"/>
  <c r="AF106" i="4"/>
  <c r="AB106" i="4"/>
  <c r="AA106" i="4"/>
  <c r="AF105" i="4"/>
  <c r="AB105" i="4"/>
  <c r="AA105" i="4"/>
  <c r="AF104" i="4"/>
  <c r="AB104" i="4"/>
  <c r="AA104" i="4"/>
  <c r="AF103" i="4"/>
  <c r="AB103" i="4"/>
  <c r="AA103" i="4"/>
  <c r="AF102" i="4"/>
  <c r="AB102" i="4"/>
  <c r="AA102" i="4"/>
  <c r="AF101" i="4"/>
  <c r="AB101" i="4"/>
  <c r="AA101" i="4"/>
  <c r="AF100" i="4"/>
  <c r="AB100" i="4"/>
  <c r="AA100" i="4"/>
  <c r="AF99" i="4"/>
  <c r="AB99" i="4"/>
  <c r="AA99" i="4"/>
  <c r="AF98" i="4"/>
  <c r="AB98" i="4"/>
  <c r="AA98" i="4"/>
  <c r="AF97" i="4"/>
  <c r="AB97" i="4"/>
  <c r="AA97" i="4"/>
  <c r="AF96" i="4"/>
  <c r="AB96" i="4"/>
  <c r="AA96" i="4"/>
  <c r="AF95" i="4"/>
  <c r="AB95" i="4"/>
  <c r="AA95" i="4"/>
  <c r="AF94" i="4"/>
  <c r="AB94" i="4"/>
  <c r="AA94" i="4"/>
  <c r="AF93" i="4"/>
  <c r="AB93" i="4"/>
  <c r="AA93" i="4"/>
  <c r="AF92" i="4"/>
  <c r="AB92" i="4"/>
  <c r="AA92" i="4"/>
  <c r="AF91" i="4"/>
  <c r="AB91" i="4"/>
  <c r="AA91" i="4"/>
  <c r="AF90" i="4"/>
  <c r="AB90" i="4"/>
  <c r="AA90" i="4"/>
  <c r="AF89" i="4"/>
  <c r="AB89" i="4"/>
  <c r="AA89" i="4"/>
  <c r="AF88" i="4"/>
  <c r="AB88" i="4"/>
  <c r="AA88" i="4"/>
  <c r="AF87" i="4"/>
  <c r="AB87" i="4"/>
  <c r="AA87" i="4"/>
  <c r="AF86" i="4"/>
  <c r="AB86" i="4"/>
  <c r="AA86" i="4"/>
  <c r="AF85" i="4"/>
  <c r="AB85" i="4"/>
  <c r="AA85" i="4"/>
  <c r="AF84" i="4"/>
  <c r="AB84" i="4"/>
  <c r="AA84" i="4"/>
  <c r="AF83" i="4"/>
  <c r="AB83" i="4"/>
  <c r="AA83" i="4"/>
  <c r="AF82" i="4"/>
  <c r="AB82" i="4"/>
  <c r="AA82" i="4"/>
  <c r="AF81" i="4"/>
  <c r="AB81" i="4"/>
  <c r="AA81" i="4"/>
  <c r="AF80" i="4"/>
  <c r="AB80" i="4"/>
  <c r="AA80" i="4"/>
  <c r="AF79" i="4"/>
  <c r="AB79" i="4"/>
  <c r="AA79" i="4"/>
  <c r="AF78" i="4"/>
  <c r="AB78" i="4"/>
  <c r="AA78" i="4"/>
  <c r="AF77" i="4"/>
  <c r="AB77" i="4"/>
  <c r="AA77" i="4"/>
  <c r="AF76" i="4"/>
  <c r="AB76" i="4"/>
  <c r="AA76" i="4"/>
  <c r="AF75" i="4"/>
  <c r="AB75" i="4"/>
  <c r="AA75" i="4"/>
  <c r="AF74" i="4"/>
  <c r="AB74" i="4"/>
  <c r="AA74" i="4"/>
  <c r="AF73" i="4"/>
  <c r="AB73" i="4"/>
  <c r="AA73" i="4"/>
  <c r="AF72" i="4"/>
  <c r="AB72" i="4"/>
  <c r="AA72" i="4"/>
  <c r="AF71" i="4"/>
  <c r="AB71" i="4"/>
  <c r="AA71" i="4"/>
  <c r="AF70" i="4"/>
  <c r="AB70" i="4"/>
  <c r="AA70" i="4"/>
  <c r="AF69" i="4"/>
  <c r="AB69" i="4"/>
  <c r="AA69" i="4"/>
  <c r="AF68" i="4"/>
  <c r="AB68" i="4"/>
  <c r="AA68" i="4"/>
  <c r="AF67" i="4"/>
  <c r="AB67" i="4"/>
  <c r="AA67" i="4"/>
  <c r="AF66" i="4"/>
  <c r="AB66" i="4"/>
  <c r="AA66" i="4"/>
  <c r="AF65" i="4"/>
  <c r="AB65" i="4"/>
  <c r="AA65" i="4"/>
  <c r="AF64" i="4"/>
  <c r="AB64" i="4"/>
  <c r="AA64" i="4"/>
  <c r="AF63" i="4"/>
  <c r="AB63" i="4"/>
  <c r="AA63" i="4"/>
  <c r="AF62" i="4"/>
  <c r="AB62" i="4"/>
  <c r="AA62" i="4"/>
  <c r="AF61" i="4"/>
  <c r="AB61" i="4"/>
  <c r="AA61" i="4"/>
  <c r="AF60" i="4"/>
  <c r="AB60" i="4"/>
  <c r="AA60" i="4"/>
  <c r="AF59" i="4"/>
  <c r="AB59" i="4"/>
  <c r="AA59" i="4"/>
  <c r="AF58" i="4"/>
  <c r="AB58" i="4"/>
  <c r="AA58" i="4"/>
  <c r="AF57" i="4"/>
  <c r="AB57" i="4"/>
  <c r="AA57" i="4"/>
  <c r="AF56" i="4"/>
  <c r="AB56" i="4"/>
  <c r="AA56" i="4"/>
  <c r="AF55" i="4"/>
  <c r="AB55" i="4"/>
  <c r="AA55" i="4"/>
  <c r="AF54" i="4"/>
  <c r="AB54" i="4"/>
  <c r="AA54" i="4"/>
  <c r="AF53" i="4"/>
  <c r="AB53" i="4"/>
  <c r="AA53" i="4"/>
  <c r="AF52" i="4"/>
  <c r="AB52" i="4"/>
  <c r="AA52" i="4"/>
  <c r="AF51" i="4"/>
  <c r="AB51" i="4"/>
  <c r="AA51" i="4"/>
  <c r="AF50" i="4"/>
  <c r="AB50" i="4"/>
  <c r="AA50" i="4"/>
  <c r="AF49" i="4"/>
  <c r="AB49" i="4"/>
  <c r="AA49" i="4"/>
  <c r="AF48" i="4"/>
  <c r="AB48" i="4"/>
  <c r="AA48" i="4"/>
  <c r="AF47" i="4"/>
  <c r="AB47" i="4"/>
  <c r="AA47" i="4"/>
  <c r="AF46" i="4"/>
  <c r="AB46" i="4"/>
  <c r="AA46" i="4"/>
  <c r="AF45" i="4"/>
  <c r="AB45" i="4"/>
  <c r="AA45" i="4"/>
  <c r="AF44" i="4"/>
  <c r="AB44" i="4"/>
  <c r="AA44" i="4"/>
  <c r="AF43" i="4"/>
  <c r="AB43" i="4"/>
  <c r="AA43" i="4"/>
  <c r="AF42" i="4"/>
  <c r="AB42" i="4"/>
  <c r="AA42" i="4"/>
  <c r="AF41" i="4"/>
  <c r="AB41" i="4"/>
  <c r="AA41" i="4"/>
  <c r="AF40" i="4"/>
  <c r="AB40" i="4"/>
  <c r="AA40" i="4"/>
  <c r="AF39" i="4"/>
  <c r="AB39" i="4"/>
  <c r="AA39" i="4"/>
  <c r="AF38" i="4"/>
  <c r="AB38" i="4"/>
  <c r="AA38" i="4"/>
  <c r="AF37" i="4"/>
  <c r="AB37" i="4"/>
  <c r="AA37" i="4"/>
  <c r="AF36" i="4"/>
  <c r="AB36" i="4"/>
  <c r="AA36" i="4"/>
  <c r="AF35" i="4"/>
  <c r="AB35" i="4"/>
  <c r="AA35" i="4"/>
  <c r="AF34" i="4"/>
  <c r="AB34" i="4"/>
  <c r="AA34" i="4"/>
  <c r="AF33" i="4"/>
  <c r="AB33" i="4"/>
  <c r="AA33" i="4"/>
  <c r="AF32" i="4"/>
  <c r="AB32" i="4"/>
  <c r="AA32" i="4"/>
  <c r="AF31" i="4"/>
  <c r="AB31" i="4"/>
  <c r="AA31" i="4"/>
  <c r="AF30" i="4"/>
  <c r="AB30" i="4"/>
  <c r="AA30" i="4"/>
  <c r="AF29" i="4"/>
  <c r="AB29" i="4"/>
  <c r="AA29" i="4"/>
  <c r="AF28" i="4"/>
  <c r="AB28" i="4"/>
  <c r="AA28" i="4"/>
  <c r="AF27" i="4"/>
  <c r="AB27" i="4"/>
  <c r="AA27" i="4"/>
  <c r="AF26" i="4"/>
  <c r="AB26" i="4"/>
  <c r="AA26" i="4"/>
  <c r="AF25" i="4"/>
  <c r="AB25" i="4"/>
  <c r="AA25" i="4"/>
  <c r="AF24" i="4"/>
  <c r="AB24" i="4"/>
  <c r="AA24" i="4"/>
  <c r="AF23" i="4"/>
  <c r="AB23" i="4"/>
  <c r="AA23" i="4"/>
  <c r="AF22" i="4"/>
  <c r="AB22" i="4"/>
  <c r="AA22" i="4"/>
  <c r="AF21" i="4"/>
  <c r="AB21" i="4"/>
  <c r="AA21" i="4"/>
  <c r="AF20" i="4"/>
  <c r="AB20" i="4"/>
  <c r="AA20" i="4"/>
  <c r="AF19" i="4"/>
  <c r="AB19" i="4"/>
  <c r="AA19" i="4"/>
  <c r="AF18" i="4"/>
  <c r="AB18" i="4"/>
  <c r="AA18" i="4"/>
  <c r="AF17" i="4"/>
  <c r="AB17" i="4"/>
  <c r="AA17" i="4"/>
  <c r="AF16" i="4"/>
  <c r="AB16" i="4"/>
  <c r="AA16" i="4"/>
  <c r="AF15" i="4"/>
  <c r="AB15" i="4"/>
  <c r="AA15" i="4"/>
  <c r="AF14" i="4"/>
  <c r="AB14" i="4"/>
  <c r="AA14" i="4"/>
  <c r="AF13" i="4"/>
  <c r="AB13" i="4"/>
  <c r="AA13" i="4"/>
  <c r="AF12" i="4"/>
  <c r="AB12" i="4"/>
  <c r="AA12" i="4"/>
  <c r="AF11" i="4"/>
  <c r="AB11" i="4"/>
  <c r="AA11" i="4"/>
  <c r="AF10" i="4"/>
  <c r="AB10" i="4"/>
  <c r="AA10" i="4"/>
  <c r="AF9" i="4"/>
  <c r="AB9" i="4"/>
  <c r="AA9" i="4"/>
  <c r="AF8" i="4"/>
  <c r="AB8" i="4"/>
  <c r="AA8" i="4"/>
  <c r="AF7" i="4"/>
  <c r="AB7" i="4"/>
  <c r="AA7" i="4"/>
  <c r="AF6" i="4"/>
  <c r="AB6" i="4"/>
  <c r="X200" i="4"/>
  <c r="T200" i="4"/>
  <c r="X199" i="4"/>
  <c r="T199" i="4"/>
  <c r="X198" i="4"/>
  <c r="T198" i="4"/>
  <c r="X197" i="4"/>
  <c r="T197" i="4"/>
  <c r="X196" i="4"/>
  <c r="T196" i="4"/>
  <c r="X195" i="4"/>
  <c r="T195" i="4"/>
  <c r="X194" i="4"/>
  <c r="T194" i="4"/>
  <c r="X193" i="4"/>
  <c r="T193" i="4"/>
  <c r="X192" i="4"/>
  <c r="T192" i="4"/>
  <c r="X191" i="4"/>
  <c r="T191" i="4"/>
  <c r="X190" i="4"/>
  <c r="T190" i="4"/>
  <c r="X189" i="4"/>
  <c r="T189" i="4"/>
  <c r="X188" i="4"/>
  <c r="T188" i="4"/>
  <c r="X187" i="4"/>
  <c r="T187" i="4"/>
  <c r="X186" i="4"/>
  <c r="T186" i="4"/>
  <c r="X185" i="4"/>
  <c r="T185" i="4"/>
  <c r="X184" i="4"/>
  <c r="T184" i="4"/>
  <c r="X183" i="4"/>
  <c r="T183" i="4"/>
  <c r="X182" i="4"/>
  <c r="T182" i="4"/>
  <c r="X181" i="4"/>
  <c r="T181" i="4"/>
  <c r="X180" i="4"/>
  <c r="T180" i="4"/>
  <c r="X179" i="4"/>
  <c r="T179" i="4"/>
  <c r="X178" i="4"/>
  <c r="T178" i="4"/>
  <c r="X177" i="4"/>
  <c r="T177" i="4"/>
  <c r="X176" i="4"/>
  <c r="T176" i="4"/>
  <c r="X175" i="4"/>
  <c r="T175" i="4"/>
  <c r="X174" i="4"/>
  <c r="T174" i="4"/>
  <c r="X173" i="4"/>
  <c r="T173" i="4"/>
  <c r="X172" i="4"/>
  <c r="T172" i="4"/>
  <c r="X171" i="4"/>
  <c r="T171" i="4"/>
  <c r="X170" i="4"/>
  <c r="T170" i="4"/>
  <c r="X169" i="4"/>
  <c r="T169" i="4"/>
  <c r="X168" i="4"/>
  <c r="T168" i="4"/>
  <c r="X167" i="4"/>
  <c r="T167" i="4"/>
  <c r="X166" i="4"/>
  <c r="T166" i="4"/>
  <c r="X165" i="4"/>
  <c r="T165" i="4"/>
  <c r="X164" i="4"/>
  <c r="T164" i="4"/>
  <c r="X163" i="4"/>
  <c r="T163" i="4"/>
  <c r="X162" i="4"/>
  <c r="T162" i="4"/>
  <c r="X161" i="4"/>
  <c r="T161" i="4"/>
  <c r="X160" i="4"/>
  <c r="T160" i="4"/>
  <c r="X159" i="4"/>
  <c r="T159" i="4"/>
  <c r="X158" i="4"/>
  <c r="T158" i="4"/>
  <c r="X157" i="4"/>
  <c r="T157" i="4"/>
  <c r="X156" i="4"/>
  <c r="T156" i="4"/>
  <c r="X155" i="4"/>
  <c r="T155" i="4"/>
  <c r="X154" i="4"/>
  <c r="T154" i="4"/>
  <c r="X153" i="4"/>
  <c r="T153" i="4"/>
  <c r="X152" i="4"/>
  <c r="T152" i="4"/>
  <c r="X151" i="4"/>
  <c r="T151" i="4"/>
  <c r="X150" i="4"/>
  <c r="T150" i="4"/>
  <c r="X149" i="4"/>
  <c r="T149" i="4"/>
  <c r="X148" i="4"/>
  <c r="T148" i="4"/>
  <c r="X147" i="4"/>
  <c r="T147" i="4"/>
  <c r="X146" i="4"/>
  <c r="T146" i="4"/>
  <c r="X145" i="4"/>
  <c r="T145" i="4"/>
  <c r="X144" i="4"/>
  <c r="T144" i="4"/>
  <c r="X143" i="4"/>
  <c r="T143" i="4"/>
  <c r="X142" i="4"/>
  <c r="T142" i="4"/>
  <c r="X141" i="4"/>
  <c r="T141" i="4"/>
  <c r="X140" i="4"/>
  <c r="T140" i="4"/>
  <c r="X139" i="4"/>
  <c r="T139" i="4"/>
  <c r="X138" i="4"/>
  <c r="T138" i="4"/>
  <c r="X137" i="4"/>
  <c r="T137" i="4"/>
  <c r="X136" i="4"/>
  <c r="T136" i="4"/>
  <c r="X135" i="4"/>
  <c r="T135" i="4"/>
  <c r="X134" i="4"/>
  <c r="T134" i="4"/>
  <c r="X133" i="4"/>
  <c r="T133" i="4"/>
  <c r="X132" i="4"/>
  <c r="T132" i="4"/>
  <c r="X131" i="4"/>
  <c r="T131" i="4"/>
  <c r="X130" i="4"/>
  <c r="T130" i="4"/>
  <c r="X129" i="4"/>
  <c r="T129" i="4"/>
  <c r="X128" i="4"/>
  <c r="T128" i="4"/>
  <c r="X127" i="4"/>
  <c r="T127" i="4"/>
  <c r="X126" i="4"/>
  <c r="T126" i="4"/>
  <c r="X125" i="4"/>
  <c r="T125" i="4"/>
  <c r="X124" i="4"/>
  <c r="T124" i="4"/>
  <c r="X123" i="4"/>
  <c r="T123" i="4"/>
  <c r="X122" i="4"/>
  <c r="T122" i="4"/>
  <c r="X121" i="4"/>
  <c r="T121" i="4"/>
  <c r="X120" i="4"/>
  <c r="T120" i="4"/>
  <c r="X119" i="4"/>
  <c r="T119" i="4"/>
  <c r="X118" i="4"/>
  <c r="T118" i="4"/>
  <c r="X117" i="4"/>
  <c r="T117" i="4"/>
  <c r="X116" i="4"/>
  <c r="T116" i="4"/>
  <c r="X115" i="4"/>
  <c r="T115" i="4"/>
  <c r="X114" i="4"/>
  <c r="T114" i="4"/>
  <c r="X113" i="4"/>
  <c r="T113" i="4"/>
  <c r="X112" i="4"/>
  <c r="T112" i="4"/>
  <c r="X111" i="4"/>
  <c r="T111" i="4"/>
  <c r="X110" i="4"/>
  <c r="T110" i="4"/>
  <c r="X109" i="4"/>
  <c r="T109" i="4"/>
  <c r="X108" i="4"/>
  <c r="T108" i="4"/>
  <c r="X107" i="4"/>
  <c r="T107" i="4"/>
  <c r="X106" i="4"/>
  <c r="T106" i="4"/>
  <c r="X105" i="4"/>
  <c r="T105" i="4"/>
  <c r="X104" i="4"/>
  <c r="T104" i="4"/>
  <c r="X103" i="4"/>
  <c r="T103" i="4"/>
  <c r="X102" i="4"/>
  <c r="T102" i="4"/>
  <c r="X101" i="4"/>
  <c r="T101" i="4"/>
  <c r="X100" i="4"/>
  <c r="T100" i="4"/>
  <c r="X99" i="4"/>
  <c r="T99" i="4"/>
  <c r="X98" i="4"/>
  <c r="T98" i="4"/>
  <c r="X97" i="4"/>
  <c r="T97" i="4"/>
  <c r="X96" i="4"/>
  <c r="T96" i="4"/>
  <c r="X95" i="4"/>
  <c r="T95" i="4"/>
  <c r="X94" i="4"/>
  <c r="T94" i="4"/>
  <c r="X93" i="4"/>
  <c r="T93" i="4"/>
  <c r="X92" i="4"/>
  <c r="T92" i="4"/>
  <c r="X91" i="4"/>
  <c r="T91" i="4"/>
  <c r="X90" i="4"/>
  <c r="T90" i="4"/>
  <c r="X89" i="4"/>
  <c r="T89" i="4"/>
  <c r="X88" i="4"/>
  <c r="T88" i="4"/>
  <c r="X87" i="4"/>
  <c r="T87" i="4"/>
  <c r="X86" i="4"/>
  <c r="T86" i="4"/>
  <c r="X85" i="4"/>
  <c r="T85" i="4"/>
  <c r="X84" i="4"/>
  <c r="T84" i="4"/>
  <c r="X83" i="4"/>
  <c r="T83" i="4"/>
  <c r="X82" i="4"/>
  <c r="T82" i="4"/>
  <c r="X81" i="4"/>
  <c r="T81" i="4"/>
  <c r="X80" i="4"/>
  <c r="T80" i="4"/>
  <c r="X79" i="4"/>
  <c r="T79" i="4"/>
  <c r="X78" i="4"/>
  <c r="T78" i="4"/>
  <c r="X77" i="4"/>
  <c r="T77" i="4"/>
  <c r="X76" i="4"/>
  <c r="T76" i="4"/>
  <c r="X75" i="4"/>
  <c r="T75" i="4"/>
  <c r="X74" i="4"/>
  <c r="T74" i="4"/>
  <c r="X73" i="4"/>
  <c r="T73" i="4"/>
  <c r="X72" i="4"/>
  <c r="T72" i="4"/>
  <c r="X71" i="4"/>
  <c r="T71" i="4"/>
  <c r="X70" i="4"/>
  <c r="T70" i="4"/>
  <c r="X69" i="4"/>
  <c r="T69" i="4"/>
  <c r="X68" i="4"/>
  <c r="T68" i="4"/>
  <c r="X67" i="4"/>
  <c r="T67" i="4"/>
  <c r="X66" i="4"/>
  <c r="T66" i="4"/>
  <c r="X65" i="4"/>
  <c r="T65" i="4"/>
  <c r="X64" i="4"/>
  <c r="T64" i="4"/>
  <c r="X63" i="4"/>
  <c r="T63" i="4"/>
  <c r="X62" i="4"/>
  <c r="T62" i="4"/>
  <c r="X61" i="4"/>
  <c r="T61" i="4"/>
  <c r="X60" i="4"/>
  <c r="T60" i="4"/>
  <c r="X59" i="4"/>
  <c r="T59" i="4"/>
  <c r="X58" i="4"/>
  <c r="T58" i="4"/>
  <c r="X57" i="4"/>
  <c r="T57" i="4"/>
  <c r="X56" i="4"/>
  <c r="T56" i="4"/>
  <c r="X55" i="4"/>
  <c r="T55" i="4"/>
  <c r="X54" i="4"/>
  <c r="T54" i="4"/>
  <c r="X53" i="4"/>
  <c r="T53" i="4"/>
  <c r="X52" i="4"/>
  <c r="T52" i="4"/>
  <c r="X51" i="4"/>
  <c r="T51" i="4"/>
  <c r="X50" i="4"/>
  <c r="T50" i="4"/>
  <c r="X49" i="4"/>
  <c r="T49" i="4"/>
  <c r="X48" i="4"/>
  <c r="T48" i="4"/>
  <c r="X47" i="4"/>
  <c r="T47" i="4"/>
  <c r="X46" i="4"/>
  <c r="T46" i="4"/>
  <c r="X45" i="4"/>
  <c r="T45" i="4"/>
  <c r="X44" i="4"/>
  <c r="T44" i="4"/>
  <c r="X43" i="4"/>
  <c r="T43" i="4"/>
  <c r="X42" i="4"/>
  <c r="T42" i="4"/>
  <c r="X41" i="4"/>
  <c r="T41" i="4"/>
  <c r="X40" i="4"/>
  <c r="T40" i="4"/>
  <c r="X39" i="4"/>
  <c r="T39" i="4"/>
  <c r="X38" i="4"/>
  <c r="T38" i="4"/>
  <c r="X37" i="4"/>
  <c r="T37" i="4"/>
  <c r="X36" i="4"/>
  <c r="T36" i="4"/>
  <c r="X35" i="4"/>
  <c r="T35" i="4"/>
  <c r="X34" i="4"/>
  <c r="T34" i="4"/>
  <c r="X33" i="4"/>
  <c r="T33" i="4"/>
  <c r="X32" i="4"/>
  <c r="T32" i="4"/>
  <c r="X31" i="4"/>
  <c r="T31" i="4"/>
  <c r="X30" i="4"/>
  <c r="T30" i="4"/>
  <c r="X29" i="4"/>
  <c r="T29" i="4"/>
  <c r="X28" i="4"/>
  <c r="T28" i="4"/>
  <c r="X27" i="4"/>
  <c r="T27" i="4"/>
  <c r="X26" i="4"/>
  <c r="T26" i="4"/>
  <c r="X25" i="4"/>
  <c r="T25" i="4"/>
  <c r="X24" i="4"/>
  <c r="T24" i="4"/>
  <c r="X23" i="4"/>
  <c r="T23" i="4"/>
  <c r="X22" i="4"/>
  <c r="T22" i="4"/>
  <c r="X21" i="4"/>
  <c r="T21" i="4"/>
  <c r="X20" i="4"/>
  <c r="T20" i="4"/>
  <c r="X19" i="4"/>
  <c r="T19" i="4"/>
  <c r="X18" i="4"/>
  <c r="T18" i="4"/>
  <c r="X17" i="4"/>
  <c r="T17" i="4"/>
  <c r="X16" i="4"/>
  <c r="T16" i="4"/>
  <c r="X15" i="4"/>
  <c r="T15" i="4"/>
  <c r="X14" i="4"/>
  <c r="T14" i="4"/>
  <c r="X13" i="4"/>
  <c r="T13" i="4"/>
  <c r="X12" i="4"/>
  <c r="T12" i="4"/>
  <c r="X11" i="4"/>
  <c r="T11" i="4"/>
  <c r="X10" i="4"/>
  <c r="T10" i="4"/>
  <c r="X9" i="4"/>
  <c r="T9" i="4"/>
  <c r="X8" i="4"/>
  <c r="T8" i="4"/>
  <c r="X7" i="4"/>
  <c r="T7" i="4"/>
  <c r="X6" i="4"/>
  <c r="T6" i="4"/>
  <c r="P200" i="4"/>
  <c r="L200" i="4"/>
  <c r="P199" i="4"/>
  <c r="L199" i="4"/>
  <c r="P198" i="4"/>
  <c r="L198" i="4"/>
  <c r="P197" i="4"/>
  <c r="L197" i="4"/>
  <c r="P196" i="4"/>
  <c r="L196" i="4"/>
  <c r="P195" i="4"/>
  <c r="L195" i="4"/>
  <c r="P194" i="4"/>
  <c r="L194" i="4"/>
  <c r="P193" i="4"/>
  <c r="L193" i="4"/>
  <c r="P192" i="4"/>
  <c r="L192" i="4"/>
  <c r="P191" i="4"/>
  <c r="L191" i="4"/>
  <c r="P190" i="4"/>
  <c r="L190" i="4"/>
  <c r="P189" i="4"/>
  <c r="L189" i="4"/>
  <c r="P188" i="4"/>
  <c r="L188" i="4"/>
  <c r="P187" i="4"/>
  <c r="L187" i="4"/>
  <c r="P186" i="4"/>
  <c r="L186" i="4"/>
  <c r="P185" i="4"/>
  <c r="L185" i="4"/>
  <c r="P184" i="4"/>
  <c r="L184" i="4"/>
  <c r="P183" i="4"/>
  <c r="L183" i="4"/>
  <c r="P182" i="4"/>
  <c r="L182" i="4"/>
  <c r="P181" i="4"/>
  <c r="L181" i="4"/>
  <c r="P180" i="4"/>
  <c r="L180" i="4"/>
  <c r="P179" i="4"/>
  <c r="L179" i="4"/>
  <c r="P178" i="4"/>
  <c r="L178" i="4"/>
  <c r="P177" i="4"/>
  <c r="L177" i="4"/>
  <c r="P176" i="4"/>
  <c r="L176" i="4"/>
  <c r="P175" i="4"/>
  <c r="L175" i="4"/>
  <c r="P174" i="4"/>
  <c r="L174" i="4"/>
  <c r="P173" i="4"/>
  <c r="L173" i="4"/>
  <c r="P172" i="4"/>
  <c r="L172" i="4"/>
  <c r="P171" i="4"/>
  <c r="L171" i="4"/>
  <c r="P170" i="4"/>
  <c r="L170" i="4"/>
  <c r="P169" i="4"/>
  <c r="L169" i="4"/>
  <c r="P168" i="4"/>
  <c r="L168" i="4"/>
  <c r="P167" i="4"/>
  <c r="L167" i="4"/>
  <c r="P166" i="4"/>
  <c r="L166" i="4"/>
  <c r="P165" i="4"/>
  <c r="L165" i="4"/>
  <c r="P164" i="4"/>
  <c r="L164" i="4"/>
  <c r="P163" i="4"/>
  <c r="L163" i="4"/>
  <c r="P162" i="4"/>
  <c r="L162" i="4"/>
  <c r="P161" i="4"/>
  <c r="L161" i="4"/>
  <c r="P160" i="4"/>
  <c r="L160" i="4"/>
  <c r="P159" i="4"/>
  <c r="L159" i="4"/>
  <c r="P158" i="4"/>
  <c r="L158" i="4"/>
  <c r="P157" i="4"/>
  <c r="L157" i="4"/>
  <c r="P156" i="4"/>
  <c r="L156" i="4"/>
  <c r="P155" i="4"/>
  <c r="L155" i="4"/>
  <c r="P154" i="4"/>
  <c r="L154" i="4"/>
  <c r="P153" i="4"/>
  <c r="L153" i="4"/>
  <c r="P152" i="4"/>
  <c r="L152" i="4"/>
  <c r="P151" i="4"/>
  <c r="L151" i="4"/>
  <c r="P150" i="4"/>
  <c r="L150" i="4"/>
  <c r="P149" i="4"/>
  <c r="L149" i="4"/>
  <c r="P148" i="4"/>
  <c r="L148" i="4"/>
  <c r="P147" i="4"/>
  <c r="L147" i="4"/>
  <c r="P146" i="4"/>
  <c r="L146" i="4"/>
  <c r="P145" i="4"/>
  <c r="L145" i="4"/>
  <c r="P144" i="4"/>
  <c r="L144" i="4"/>
  <c r="P143" i="4"/>
  <c r="L143" i="4"/>
  <c r="P142" i="4"/>
  <c r="L142" i="4"/>
  <c r="P141" i="4"/>
  <c r="L141" i="4"/>
  <c r="P140" i="4"/>
  <c r="L140" i="4"/>
  <c r="P139" i="4"/>
  <c r="L139" i="4"/>
  <c r="P138" i="4"/>
  <c r="L138" i="4"/>
  <c r="P137" i="4"/>
  <c r="L137" i="4"/>
  <c r="P136" i="4"/>
  <c r="L136" i="4"/>
  <c r="P135" i="4"/>
  <c r="L135" i="4"/>
  <c r="P134" i="4"/>
  <c r="L134" i="4"/>
  <c r="P133" i="4"/>
  <c r="L133" i="4"/>
  <c r="P132" i="4"/>
  <c r="L132" i="4"/>
  <c r="P131" i="4"/>
  <c r="L131" i="4"/>
  <c r="P130" i="4"/>
  <c r="L130" i="4"/>
  <c r="P129" i="4"/>
  <c r="L129" i="4"/>
  <c r="P128" i="4"/>
  <c r="L128" i="4"/>
  <c r="P127" i="4"/>
  <c r="L127" i="4"/>
  <c r="P126" i="4"/>
  <c r="L126" i="4"/>
  <c r="P125" i="4"/>
  <c r="L125" i="4"/>
  <c r="P124" i="4"/>
  <c r="L124" i="4"/>
  <c r="P123" i="4"/>
  <c r="L123" i="4"/>
  <c r="P122" i="4"/>
  <c r="L122" i="4"/>
  <c r="P121" i="4"/>
  <c r="L121" i="4"/>
  <c r="P120" i="4"/>
  <c r="L120" i="4"/>
  <c r="P119" i="4"/>
  <c r="L119" i="4"/>
  <c r="P118" i="4"/>
  <c r="L118" i="4"/>
  <c r="P117" i="4"/>
  <c r="L117" i="4"/>
  <c r="P116" i="4"/>
  <c r="L116" i="4"/>
  <c r="P115" i="4"/>
  <c r="L115" i="4"/>
  <c r="P114" i="4"/>
  <c r="L114" i="4"/>
  <c r="P113" i="4"/>
  <c r="L113" i="4"/>
  <c r="P112" i="4"/>
  <c r="L112" i="4"/>
  <c r="P111" i="4"/>
  <c r="L111" i="4"/>
  <c r="P110" i="4"/>
  <c r="L110" i="4"/>
  <c r="P109" i="4"/>
  <c r="L109" i="4"/>
  <c r="P108" i="4"/>
  <c r="L108" i="4"/>
  <c r="P107" i="4"/>
  <c r="L107" i="4"/>
  <c r="P106" i="4"/>
  <c r="L106" i="4"/>
  <c r="P105" i="4"/>
  <c r="L105" i="4"/>
  <c r="P104" i="4"/>
  <c r="L104" i="4"/>
  <c r="P103" i="4"/>
  <c r="L103" i="4"/>
  <c r="P102" i="4"/>
  <c r="L102" i="4"/>
  <c r="P101" i="4"/>
  <c r="L101" i="4"/>
  <c r="P100" i="4"/>
  <c r="L100" i="4"/>
  <c r="P99" i="4"/>
  <c r="L99" i="4"/>
  <c r="P98" i="4"/>
  <c r="L98" i="4"/>
  <c r="P97" i="4"/>
  <c r="L97" i="4"/>
  <c r="P96" i="4"/>
  <c r="L96" i="4"/>
  <c r="P95" i="4"/>
  <c r="L95" i="4"/>
  <c r="P94" i="4"/>
  <c r="L94" i="4"/>
  <c r="P93" i="4"/>
  <c r="L93" i="4"/>
  <c r="P92" i="4"/>
  <c r="L92" i="4"/>
  <c r="P91" i="4"/>
  <c r="L91" i="4"/>
  <c r="P90" i="4"/>
  <c r="L90" i="4"/>
  <c r="P89" i="4"/>
  <c r="L89" i="4"/>
  <c r="P88" i="4"/>
  <c r="L88" i="4"/>
  <c r="P87" i="4"/>
  <c r="L87" i="4"/>
  <c r="P86" i="4"/>
  <c r="L86" i="4"/>
  <c r="P85" i="4"/>
  <c r="L85" i="4"/>
  <c r="P84" i="4"/>
  <c r="L84" i="4"/>
  <c r="P83" i="4"/>
  <c r="L83" i="4"/>
  <c r="P82" i="4"/>
  <c r="L82" i="4"/>
  <c r="P81" i="4"/>
  <c r="L81" i="4"/>
  <c r="P80" i="4"/>
  <c r="L80" i="4"/>
  <c r="P79" i="4"/>
  <c r="L79" i="4"/>
  <c r="P78" i="4"/>
  <c r="L78" i="4"/>
  <c r="P77" i="4"/>
  <c r="L77" i="4"/>
  <c r="P76" i="4"/>
  <c r="L76" i="4"/>
  <c r="P75" i="4"/>
  <c r="L75" i="4"/>
  <c r="P74" i="4"/>
  <c r="L74" i="4"/>
  <c r="P73" i="4"/>
  <c r="L73" i="4"/>
  <c r="P72" i="4"/>
  <c r="L72" i="4"/>
  <c r="P71" i="4"/>
  <c r="L71" i="4"/>
  <c r="P70" i="4"/>
  <c r="L70" i="4"/>
  <c r="P69" i="4"/>
  <c r="L69" i="4"/>
  <c r="P68" i="4"/>
  <c r="L68" i="4"/>
  <c r="P67" i="4"/>
  <c r="L67" i="4"/>
  <c r="P66" i="4"/>
  <c r="L66" i="4"/>
  <c r="P65" i="4"/>
  <c r="L65" i="4"/>
  <c r="P64" i="4"/>
  <c r="L64" i="4"/>
  <c r="P63" i="4"/>
  <c r="L63" i="4"/>
  <c r="P62" i="4"/>
  <c r="L62" i="4"/>
  <c r="P61" i="4"/>
  <c r="L61" i="4"/>
  <c r="P60" i="4"/>
  <c r="L60" i="4"/>
  <c r="P59" i="4"/>
  <c r="L59" i="4"/>
  <c r="P58" i="4"/>
  <c r="L58" i="4"/>
  <c r="P57" i="4"/>
  <c r="L57" i="4"/>
  <c r="P56" i="4"/>
  <c r="L56" i="4"/>
  <c r="P55" i="4"/>
  <c r="L55" i="4"/>
  <c r="P54" i="4"/>
  <c r="L54" i="4"/>
  <c r="P53" i="4"/>
  <c r="L53" i="4"/>
  <c r="P52" i="4"/>
  <c r="L52" i="4"/>
  <c r="P51" i="4"/>
  <c r="L51" i="4"/>
  <c r="P50" i="4"/>
  <c r="L50" i="4"/>
  <c r="P49" i="4"/>
  <c r="L49" i="4"/>
  <c r="P48" i="4"/>
  <c r="L48" i="4"/>
  <c r="P47" i="4"/>
  <c r="L47" i="4"/>
  <c r="P46" i="4"/>
  <c r="L46" i="4"/>
  <c r="P45" i="4"/>
  <c r="L45" i="4"/>
  <c r="P44" i="4"/>
  <c r="L44" i="4"/>
  <c r="P43" i="4"/>
  <c r="L43" i="4"/>
  <c r="P42" i="4"/>
  <c r="L42" i="4"/>
  <c r="P41" i="4"/>
  <c r="L41" i="4"/>
  <c r="P40" i="4"/>
  <c r="L40" i="4"/>
  <c r="P39" i="4"/>
  <c r="L39" i="4"/>
  <c r="P38" i="4"/>
  <c r="L38" i="4"/>
  <c r="P37" i="4"/>
  <c r="L37" i="4"/>
  <c r="P36" i="4"/>
  <c r="L36" i="4"/>
  <c r="P35" i="4"/>
  <c r="L35" i="4"/>
  <c r="P34" i="4"/>
  <c r="L34" i="4"/>
  <c r="P33" i="4"/>
  <c r="L33" i="4"/>
  <c r="P32" i="4"/>
  <c r="L32" i="4"/>
  <c r="P31" i="4"/>
  <c r="L31" i="4"/>
  <c r="P30" i="4"/>
  <c r="L30" i="4"/>
  <c r="P29" i="4"/>
  <c r="L29" i="4"/>
  <c r="P28" i="4"/>
  <c r="L28" i="4"/>
  <c r="P27" i="4"/>
  <c r="L27" i="4"/>
  <c r="P26" i="4"/>
  <c r="L26" i="4"/>
  <c r="P25" i="4"/>
  <c r="L25" i="4"/>
  <c r="P24" i="4"/>
  <c r="L24" i="4"/>
  <c r="P23" i="4"/>
  <c r="L23" i="4"/>
  <c r="P22" i="4"/>
  <c r="L22" i="4"/>
  <c r="P21" i="4"/>
  <c r="L21" i="4"/>
  <c r="P20" i="4"/>
  <c r="L20" i="4"/>
  <c r="P19" i="4"/>
  <c r="L19" i="4"/>
  <c r="P18" i="4"/>
  <c r="L18" i="4"/>
  <c r="P17" i="4"/>
  <c r="L17" i="4"/>
  <c r="P16" i="4"/>
  <c r="L16" i="4"/>
  <c r="P15" i="4"/>
  <c r="L15" i="4"/>
  <c r="P14" i="4"/>
  <c r="L14" i="4"/>
  <c r="P13" i="4"/>
  <c r="L13" i="4"/>
  <c r="P12" i="4"/>
  <c r="L12" i="4"/>
  <c r="P11" i="4"/>
  <c r="L11" i="4"/>
  <c r="P10" i="4"/>
  <c r="L10" i="4"/>
  <c r="P9" i="4"/>
  <c r="L9" i="4"/>
  <c r="P8" i="4"/>
  <c r="L8" i="4"/>
  <c r="P7" i="4"/>
  <c r="L7" i="4"/>
  <c r="P6" i="4"/>
  <c r="L6" i="4"/>
  <c r="AV200" i="3"/>
  <c r="AV199" i="3"/>
  <c r="AV198" i="3"/>
  <c r="AV197" i="3"/>
  <c r="AV196" i="3"/>
  <c r="AV195" i="3"/>
  <c r="AV194" i="3"/>
  <c r="AV193" i="3"/>
  <c r="AV192" i="3"/>
  <c r="AV191" i="3"/>
  <c r="AV190" i="3"/>
  <c r="AV189" i="3"/>
  <c r="AV188" i="3"/>
  <c r="AV187" i="3"/>
  <c r="AV186" i="3"/>
  <c r="AV185" i="3"/>
  <c r="AV184" i="3"/>
  <c r="AV183" i="3"/>
  <c r="AV182" i="3"/>
  <c r="AV181" i="3"/>
  <c r="AV180" i="3"/>
  <c r="AV179" i="3"/>
  <c r="AV178" i="3"/>
  <c r="AV177" i="3"/>
  <c r="AV176" i="3"/>
  <c r="AV175" i="3"/>
  <c r="AV174" i="3"/>
  <c r="AV173" i="3"/>
  <c r="AV172" i="3"/>
  <c r="AV171" i="3"/>
  <c r="AV170" i="3"/>
  <c r="AV169" i="3"/>
  <c r="AV168" i="3"/>
  <c r="AV167" i="3"/>
  <c r="AV166" i="3"/>
  <c r="AV165" i="3"/>
  <c r="AV164" i="3"/>
  <c r="AV163" i="3"/>
  <c r="AV162" i="3"/>
  <c r="AV161" i="3"/>
  <c r="AV160" i="3"/>
  <c r="AV159" i="3"/>
  <c r="AV158" i="3"/>
  <c r="AV157" i="3"/>
  <c r="AV156" i="3"/>
  <c r="AV155" i="3"/>
  <c r="AV154" i="3"/>
  <c r="AV153" i="3"/>
  <c r="AV152" i="3"/>
  <c r="AV151" i="3"/>
  <c r="AV150" i="3"/>
  <c r="AV149" i="3"/>
  <c r="AV148" i="3"/>
  <c r="AV147" i="3"/>
  <c r="AV146" i="3"/>
  <c r="AV145" i="3"/>
  <c r="AV144" i="3"/>
  <c r="AV143" i="3"/>
  <c r="AV142" i="3"/>
  <c r="AV141" i="3"/>
  <c r="AV140" i="3"/>
  <c r="AV139" i="3"/>
  <c r="AV138" i="3"/>
  <c r="AV137" i="3"/>
  <c r="AV136" i="3"/>
  <c r="AV135" i="3"/>
  <c r="AV134" i="3"/>
  <c r="AV133" i="3"/>
  <c r="AV132" i="3"/>
  <c r="AV131" i="3"/>
  <c r="AV130" i="3"/>
  <c r="AV129" i="3"/>
  <c r="AV128" i="3"/>
  <c r="AV127" i="3"/>
  <c r="AV126" i="3"/>
  <c r="AV125" i="3"/>
  <c r="AV124" i="3"/>
  <c r="AV123" i="3"/>
  <c r="AV122" i="3"/>
  <c r="AV121" i="3"/>
  <c r="AV120" i="3"/>
  <c r="AV119" i="3"/>
  <c r="AV118" i="3"/>
  <c r="AV117" i="3"/>
  <c r="AV116" i="3"/>
  <c r="AV115" i="3"/>
  <c r="AV114" i="3"/>
  <c r="AV113" i="3"/>
  <c r="AV112" i="3"/>
  <c r="AV111" i="3"/>
  <c r="AV110" i="3"/>
  <c r="AV109" i="3"/>
  <c r="AV108" i="3"/>
  <c r="AV107" i="3"/>
  <c r="AV106" i="3"/>
  <c r="AV105" i="3"/>
  <c r="AV104" i="3"/>
  <c r="AV103" i="3"/>
  <c r="AV102" i="3"/>
  <c r="AV101" i="3"/>
  <c r="AV100" i="3"/>
  <c r="AV99" i="3"/>
  <c r="AV98" i="3"/>
  <c r="AV97" i="3"/>
  <c r="AV96" i="3"/>
  <c r="AV95" i="3"/>
  <c r="AV94" i="3"/>
  <c r="AV93" i="3"/>
  <c r="AV92" i="3"/>
  <c r="AV91" i="3"/>
  <c r="AV90" i="3"/>
  <c r="AV89" i="3"/>
  <c r="AV88" i="3"/>
  <c r="AV87" i="3"/>
  <c r="AV86" i="3"/>
  <c r="AV85" i="3"/>
  <c r="AV84" i="3"/>
  <c r="AV83" i="3"/>
  <c r="AV82" i="3"/>
  <c r="AV81" i="3"/>
  <c r="AV80" i="3"/>
  <c r="AV79" i="3"/>
  <c r="AV78" i="3"/>
  <c r="AV77" i="3"/>
  <c r="AV76" i="3"/>
  <c r="AV75" i="3"/>
  <c r="AV74" i="3"/>
  <c r="AV73" i="3"/>
  <c r="AV72" i="3"/>
  <c r="AV71" i="3"/>
  <c r="AV70" i="3"/>
  <c r="AV69" i="3"/>
  <c r="AV68" i="3"/>
  <c r="AV67" i="3"/>
  <c r="AV66" i="3"/>
  <c r="AV65" i="3"/>
  <c r="AV64" i="3"/>
  <c r="AV63" i="3"/>
  <c r="AV62" i="3"/>
  <c r="AV61" i="3"/>
  <c r="AV60" i="3"/>
  <c r="AV59" i="3"/>
  <c r="AV58" i="3"/>
  <c r="AV57" i="3"/>
  <c r="AV56" i="3"/>
  <c r="AV55" i="3"/>
  <c r="AV54" i="3"/>
  <c r="AV53" i="3"/>
  <c r="AV52" i="3"/>
  <c r="AV51" i="3"/>
  <c r="AV50" i="3"/>
  <c r="AV49" i="3"/>
  <c r="AV48" i="3"/>
  <c r="AV47" i="3"/>
  <c r="AV46" i="3"/>
  <c r="AV45" i="3"/>
  <c r="AV44" i="3"/>
  <c r="AV43" i="3"/>
  <c r="AV42" i="3"/>
  <c r="AV41" i="3"/>
  <c r="AV40" i="3"/>
  <c r="AV39" i="3"/>
  <c r="AV38" i="3"/>
  <c r="AV37" i="3"/>
  <c r="AV36" i="3"/>
  <c r="AV35" i="3"/>
  <c r="AV34" i="3"/>
  <c r="AV33" i="3"/>
  <c r="AV32" i="3"/>
  <c r="AV31" i="3"/>
  <c r="AV30" i="3"/>
  <c r="AV29" i="3"/>
  <c r="AV28" i="3"/>
  <c r="AV27" i="3"/>
  <c r="AV26" i="3"/>
  <c r="AV25" i="3"/>
  <c r="AV24" i="3"/>
  <c r="AV23" i="3"/>
  <c r="AV22" i="3"/>
  <c r="AV21" i="3"/>
  <c r="AV20" i="3"/>
  <c r="AV19" i="3"/>
  <c r="AV18" i="3"/>
  <c r="AV17" i="3"/>
  <c r="AV16" i="3"/>
  <c r="AV15" i="3"/>
  <c r="AV14" i="3"/>
  <c r="AV13" i="3"/>
  <c r="AV12" i="3"/>
  <c r="AV11" i="3"/>
  <c r="AV10" i="3"/>
  <c r="AV9" i="3"/>
  <c r="AV8" i="3"/>
  <c r="AV7" i="3"/>
  <c r="AV6" i="3"/>
  <c r="AN200" i="3"/>
  <c r="AN199" i="3"/>
  <c r="AN198" i="3"/>
  <c r="AN197" i="3"/>
  <c r="AN196" i="3"/>
  <c r="AN195" i="3"/>
  <c r="AN194" i="3"/>
  <c r="AN193" i="3"/>
  <c r="AN192" i="3"/>
  <c r="AN191" i="3"/>
  <c r="AN190" i="3"/>
  <c r="AN189" i="3"/>
  <c r="AN188" i="3"/>
  <c r="AN187" i="3"/>
  <c r="AN186" i="3"/>
  <c r="AN185" i="3"/>
  <c r="AN184" i="3"/>
  <c r="AN183" i="3"/>
  <c r="AN182" i="3"/>
  <c r="AN181" i="3"/>
  <c r="AN180" i="3"/>
  <c r="AN179" i="3"/>
  <c r="AN178" i="3"/>
  <c r="AN177" i="3"/>
  <c r="AN176" i="3"/>
  <c r="AN175" i="3"/>
  <c r="AN174" i="3"/>
  <c r="AN173" i="3"/>
  <c r="AN172" i="3"/>
  <c r="AN171" i="3"/>
  <c r="AN170" i="3"/>
  <c r="AN169" i="3"/>
  <c r="AN168" i="3"/>
  <c r="AN167" i="3"/>
  <c r="AN166" i="3"/>
  <c r="AN165" i="3"/>
  <c r="AN164" i="3"/>
  <c r="AN163" i="3"/>
  <c r="AN162" i="3"/>
  <c r="AN161" i="3"/>
  <c r="AN160" i="3"/>
  <c r="AN159" i="3"/>
  <c r="AN158" i="3"/>
  <c r="AN157" i="3"/>
  <c r="AN156" i="3"/>
  <c r="AN155" i="3"/>
  <c r="AN154" i="3"/>
  <c r="AN153" i="3"/>
  <c r="AN152" i="3"/>
  <c r="AN151" i="3"/>
  <c r="AN150" i="3"/>
  <c r="AN149" i="3"/>
  <c r="AN148" i="3"/>
  <c r="AN147" i="3"/>
  <c r="AN146" i="3"/>
  <c r="AN145" i="3"/>
  <c r="AN144" i="3"/>
  <c r="AN143" i="3"/>
  <c r="AN142" i="3"/>
  <c r="AN141" i="3"/>
  <c r="AN140" i="3"/>
  <c r="AN139" i="3"/>
  <c r="AN138" i="3"/>
  <c r="AN137" i="3"/>
  <c r="AN136" i="3"/>
  <c r="AN135" i="3"/>
  <c r="AN134" i="3"/>
  <c r="AN133" i="3"/>
  <c r="AN132" i="3"/>
  <c r="AN131" i="3"/>
  <c r="AN130" i="3"/>
  <c r="AN129" i="3"/>
  <c r="AN128" i="3"/>
  <c r="AN127" i="3"/>
  <c r="AN126" i="3"/>
  <c r="AN125" i="3"/>
  <c r="AN124" i="3"/>
  <c r="AN123" i="3"/>
  <c r="AN122" i="3"/>
  <c r="AN121" i="3"/>
  <c r="AN120" i="3"/>
  <c r="AN119" i="3"/>
  <c r="AN118" i="3"/>
  <c r="AN117" i="3"/>
  <c r="AN116" i="3"/>
  <c r="AN115" i="3"/>
  <c r="AN114" i="3"/>
  <c r="AN113" i="3"/>
  <c r="AN112" i="3"/>
  <c r="AN111" i="3"/>
  <c r="AN110" i="3"/>
  <c r="AN109" i="3"/>
  <c r="AN108" i="3"/>
  <c r="AN107" i="3"/>
  <c r="AN106" i="3"/>
  <c r="AN105" i="3"/>
  <c r="AN104" i="3"/>
  <c r="AN103" i="3"/>
  <c r="AN102" i="3"/>
  <c r="AN101" i="3"/>
  <c r="AN100" i="3"/>
  <c r="AN99" i="3"/>
  <c r="AN98" i="3"/>
  <c r="AN97" i="3"/>
  <c r="AN96" i="3"/>
  <c r="AN95" i="3"/>
  <c r="AN94" i="3"/>
  <c r="AN93" i="3"/>
  <c r="AN92" i="3"/>
  <c r="AN91" i="3"/>
  <c r="AN90" i="3"/>
  <c r="AN89" i="3"/>
  <c r="AN88" i="3"/>
  <c r="AN87" i="3"/>
  <c r="AN86" i="3"/>
  <c r="AN85" i="3"/>
  <c r="AN84" i="3"/>
  <c r="AN83" i="3"/>
  <c r="AN82" i="3"/>
  <c r="AN81" i="3"/>
  <c r="AN80" i="3"/>
  <c r="AN79" i="3"/>
  <c r="AN78" i="3"/>
  <c r="AN77" i="3"/>
  <c r="AN76" i="3"/>
  <c r="AN75" i="3"/>
  <c r="AN74" i="3"/>
  <c r="AN73" i="3"/>
  <c r="AN72" i="3"/>
  <c r="AN71" i="3"/>
  <c r="AN70" i="3"/>
  <c r="AN69" i="3"/>
  <c r="AN68" i="3"/>
  <c r="AN67" i="3"/>
  <c r="AN66" i="3"/>
  <c r="AN65" i="3"/>
  <c r="AN64" i="3"/>
  <c r="AN63" i="3"/>
  <c r="AN62" i="3"/>
  <c r="AN61" i="3"/>
  <c r="AN60" i="3"/>
  <c r="AN59" i="3"/>
  <c r="AN58" i="3"/>
  <c r="AN57" i="3"/>
  <c r="AN56" i="3"/>
  <c r="AN55" i="3"/>
  <c r="AN54" i="3"/>
  <c r="AN53" i="3"/>
  <c r="AN52" i="3"/>
  <c r="AN51" i="3"/>
  <c r="AN50" i="3"/>
  <c r="AN49" i="3"/>
  <c r="AN48" i="3"/>
  <c r="AN47" i="3"/>
  <c r="AN46" i="3"/>
  <c r="AN45" i="3"/>
  <c r="AN44" i="3"/>
  <c r="AN43" i="3"/>
  <c r="AN42" i="3"/>
  <c r="AN41" i="3"/>
  <c r="AN40" i="3"/>
  <c r="AN39" i="3"/>
  <c r="AN38" i="3"/>
  <c r="AN37" i="3"/>
  <c r="AN36" i="3"/>
  <c r="AN35" i="3"/>
  <c r="AN34" i="3"/>
  <c r="AN33" i="3"/>
  <c r="AN32" i="3"/>
  <c r="AN31" i="3"/>
  <c r="AN30" i="3"/>
  <c r="AN29" i="3"/>
  <c r="AN28" i="3"/>
  <c r="AN27" i="3"/>
  <c r="AN26" i="3"/>
  <c r="AN25" i="3"/>
  <c r="AN24" i="3"/>
  <c r="AN23" i="3"/>
  <c r="AN22" i="3"/>
  <c r="AN21" i="3"/>
  <c r="AN20" i="3"/>
  <c r="AN19" i="3"/>
  <c r="AN18" i="3"/>
  <c r="AN17" i="3"/>
  <c r="AN16" i="3"/>
  <c r="AN15" i="3"/>
  <c r="AN14" i="3"/>
  <c r="AN13" i="3"/>
  <c r="AN12" i="3"/>
  <c r="AN11" i="3"/>
  <c r="AN10" i="3"/>
  <c r="AN9" i="3"/>
  <c r="AN8" i="3"/>
  <c r="AN7" i="3"/>
  <c r="AN6" i="3"/>
  <c r="AF200" i="3"/>
  <c r="AF199" i="3"/>
  <c r="AF198" i="3"/>
  <c r="AF197" i="3"/>
  <c r="AF196" i="3"/>
  <c r="AF195" i="3"/>
  <c r="AF194" i="3"/>
  <c r="AF193" i="3"/>
  <c r="AF192" i="3"/>
  <c r="AF191" i="3"/>
  <c r="AF190" i="3"/>
  <c r="AF189" i="3"/>
  <c r="AF188" i="3"/>
  <c r="AF187" i="3"/>
  <c r="AF186" i="3"/>
  <c r="AF185" i="3"/>
  <c r="AF184" i="3"/>
  <c r="AF183" i="3"/>
  <c r="AF182" i="3"/>
  <c r="AF181" i="3"/>
  <c r="AF180" i="3"/>
  <c r="AF179" i="3"/>
  <c r="AF178" i="3"/>
  <c r="AF177" i="3"/>
  <c r="AF176" i="3"/>
  <c r="AF175" i="3"/>
  <c r="AF174" i="3"/>
  <c r="AF173" i="3"/>
  <c r="AF172" i="3"/>
  <c r="AF171" i="3"/>
  <c r="AF170" i="3"/>
  <c r="AF169" i="3"/>
  <c r="AF168" i="3"/>
  <c r="AF167" i="3"/>
  <c r="AF166" i="3"/>
  <c r="AF165" i="3"/>
  <c r="AF164" i="3"/>
  <c r="AF163" i="3"/>
  <c r="AF162" i="3"/>
  <c r="AF161" i="3"/>
  <c r="AF160" i="3"/>
  <c r="AF159" i="3"/>
  <c r="AF158" i="3"/>
  <c r="AF157" i="3"/>
  <c r="AF156" i="3"/>
  <c r="AF155" i="3"/>
  <c r="AF154" i="3"/>
  <c r="AF153" i="3"/>
  <c r="AF152" i="3"/>
  <c r="AF151" i="3"/>
  <c r="AF150" i="3"/>
  <c r="AF149" i="3"/>
  <c r="AF148" i="3"/>
  <c r="AF147" i="3"/>
  <c r="AF146" i="3"/>
  <c r="AF145" i="3"/>
  <c r="AF144" i="3"/>
  <c r="AF143" i="3"/>
  <c r="AF142" i="3"/>
  <c r="AF141" i="3"/>
  <c r="AF140" i="3"/>
  <c r="AF139" i="3"/>
  <c r="AF138" i="3"/>
  <c r="AF137" i="3"/>
  <c r="AF136" i="3"/>
  <c r="AF135" i="3"/>
  <c r="AF134" i="3"/>
  <c r="AF133" i="3"/>
  <c r="AF132" i="3"/>
  <c r="AF131" i="3"/>
  <c r="AF130" i="3"/>
  <c r="AF129" i="3"/>
  <c r="AF128" i="3"/>
  <c r="AF127" i="3"/>
  <c r="AF126" i="3"/>
  <c r="AF125" i="3"/>
  <c r="AF124" i="3"/>
  <c r="AF123" i="3"/>
  <c r="AF122" i="3"/>
  <c r="AF121" i="3"/>
  <c r="AF120" i="3"/>
  <c r="AF119" i="3"/>
  <c r="AF118" i="3"/>
  <c r="AF117" i="3"/>
  <c r="AF116" i="3"/>
  <c r="AF115" i="3"/>
  <c r="AF114" i="3"/>
  <c r="AF113" i="3"/>
  <c r="AF112" i="3"/>
  <c r="AF111" i="3"/>
  <c r="AF110" i="3"/>
  <c r="AF109" i="3"/>
  <c r="AF108" i="3"/>
  <c r="AF107" i="3"/>
  <c r="AF106" i="3"/>
  <c r="AF105" i="3"/>
  <c r="AF104" i="3"/>
  <c r="AF103" i="3"/>
  <c r="AF102" i="3"/>
  <c r="AF101" i="3"/>
  <c r="AF100" i="3"/>
  <c r="AF99" i="3"/>
  <c r="AF98" i="3"/>
  <c r="AF97" i="3"/>
  <c r="AF96" i="3"/>
  <c r="AF95" i="3"/>
  <c r="AF94" i="3"/>
  <c r="AF93" i="3"/>
  <c r="AF92" i="3"/>
  <c r="AF91" i="3"/>
  <c r="AF90" i="3"/>
  <c r="AF89" i="3"/>
  <c r="AF88" i="3"/>
  <c r="AF87" i="3"/>
  <c r="AF86" i="3"/>
  <c r="AF85" i="3"/>
  <c r="AF84" i="3"/>
  <c r="AF83" i="3"/>
  <c r="AF82" i="3"/>
  <c r="AF81" i="3"/>
  <c r="AF80" i="3"/>
  <c r="AF79" i="3"/>
  <c r="AF78" i="3"/>
  <c r="AF77" i="3"/>
  <c r="AF76" i="3"/>
  <c r="AF75" i="3"/>
  <c r="AF74" i="3"/>
  <c r="AF73" i="3"/>
  <c r="AF72" i="3"/>
  <c r="AF71" i="3"/>
  <c r="AF70" i="3"/>
  <c r="AF69" i="3"/>
  <c r="AF68" i="3"/>
  <c r="AF67" i="3"/>
  <c r="AF66" i="3"/>
  <c r="AF65" i="3"/>
  <c r="AF64" i="3"/>
  <c r="AF63" i="3"/>
  <c r="AF62" i="3"/>
  <c r="AF61" i="3"/>
  <c r="AF60" i="3"/>
  <c r="AF59" i="3"/>
  <c r="AF58" i="3"/>
  <c r="AF57" i="3"/>
  <c r="AF56" i="3"/>
  <c r="AF55" i="3"/>
  <c r="AF54" i="3"/>
  <c r="AF53" i="3"/>
  <c r="AF52" i="3"/>
  <c r="AF51" i="3"/>
  <c r="AF50" i="3"/>
  <c r="AF49" i="3"/>
  <c r="AF48" i="3"/>
  <c r="AF47" i="3"/>
  <c r="AF46" i="3"/>
  <c r="AF45" i="3"/>
  <c r="AF44" i="3"/>
  <c r="AF43" i="3"/>
  <c r="AF42" i="3"/>
  <c r="AF41" i="3"/>
  <c r="AF40" i="3"/>
  <c r="AF39" i="3"/>
  <c r="AF38" i="3"/>
  <c r="AF37" i="3"/>
  <c r="AF36" i="3"/>
  <c r="AF35" i="3"/>
  <c r="AF34" i="3"/>
  <c r="AF33" i="3"/>
  <c r="AF32" i="3"/>
  <c r="AF31" i="3"/>
  <c r="AF30" i="3"/>
  <c r="AF29" i="3"/>
  <c r="AF28" i="3"/>
  <c r="AF27" i="3"/>
  <c r="AF26" i="3"/>
  <c r="AF25" i="3"/>
  <c r="AF24" i="3"/>
  <c r="AF23" i="3"/>
  <c r="AF22" i="3"/>
  <c r="AF21" i="3"/>
  <c r="AF20" i="3"/>
  <c r="AF19" i="3"/>
  <c r="AF18" i="3"/>
  <c r="AF17" i="3"/>
  <c r="AF16" i="3"/>
  <c r="AF15" i="3"/>
  <c r="AF14" i="3"/>
  <c r="AF13" i="3"/>
  <c r="AF12" i="3"/>
  <c r="AF11" i="3"/>
  <c r="AF10" i="3"/>
  <c r="AF9" i="3"/>
  <c r="AF8" i="3"/>
  <c r="AF7" i="3"/>
  <c r="AF6" i="3"/>
  <c r="X37" i="3"/>
  <c r="X36" i="3"/>
  <c r="X35" i="3"/>
  <c r="X34" i="3"/>
  <c r="X33" i="3"/>
  <c r="X32" i="3"/>
  <c r="X31" i="3"/>
  <c r="X30" i="3"/>
  <c r="X29" i="3"/>
  <c r="X28" i="3"/>
  <c r="X27" i="3"/>
  <c r="X26" i="3"/>
  <c r="X25" i="3"/>
  <c r="X24" i="3"/>
  <c r="X23" i="3"/>
  <c r="X22" i="3"/>
  <c r="X21" i="3"/>
  <c r="X20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X6" i="3"/>
  <c r="P200" i="3"/>
  <c r="P199" i="3"/>
  <c r="P198" i="3"/>
  <c r="P197" i="3"/>
  <c r="P196" i="3"/>
  <c r="P195" i="3"/>
  <c r="P194" i="3"/>
  <c r="P193" i="3"/>
  <c r="P192" i="3"/>
  <c r="P191" i="3"/>
  <c r="P190" i="3"/>
  <c r="P189" i="3"/>
  <c r="P188" i="3"/>
  <c r="P187" i="3"/>
  <c r="P186" i="3"/>
  <c r="P185" i="3"/>
  <c r="P184" i="3"/>
  <c r="P183" i="3"/>
  <c r="P182" i="3"/>
  <c r="P181" i="3"/>
  <c r="P180" i="3"/>
  <c r="P179" i="3"/>
  <c r="P178" i="3"/>
  <c r="P177" i="3"/>
  <c r="P176" i="3"/>
  <c r="P175" i="3"/>
  <c r="P174" i="3"/>
  <c r="P173" i="3"/>
  <c r="P172" i="3"/>
  <c r="P171" i="3"/>
  <c r="P170" i="3"/>
  <c r="P169" i="3"/>
  <c r="P168" i="3"/>
  <c r="P167" i="3"/>
  <c r="P166" i="3"/>
  <c r="P165" i="3"/>
  <c r="P164" i="3"/>
  <c r="P163" i="3"/>
  <c r="P162" i="3"/>
  <c r="P161" i="3"/>
  <c r="P160" i="3"/>
  <c r="P159" i="3"/>
  <c r="P158" i="3"/>
  <c r="P157" i="3"/>
  <c r="P156" i="3"/>
  <c r="P155" i="3"/>
  <c r="P154" i="3"/>
  <c r="P153" i="3"/>
  <c r="P152" i="3"/>
  <c r="P151" i="3"/>
  <c r="P150" i="3"/>
  <c r="P149" i="3"/>
  <c r="P148" i="3"/>
  <c r="P147" i="3"/>
  <c r="P146" i="3"/>
  <c r="P145" i="3"/>
  <c r="P144" i="3"/>
  <c r="P143" i="3"/>
  <c r="P142" i="3"/>
  <c r="P141" i="3"/>
  <c r="P140" i="3"/>
  <c r="P139" i="3"/>
  <c r="P138" i="3"/>
  <c r="P137" i="3"/>
  <c r="P136" i="3"/>
  <c r="P135" i="3"/>
  <c r="P134" i="3"/>
  <c r="P133" i="3"/>
  <c r="P132" i="3"/>
  <c r="P131" i="3"/>
  <c r="P130" i="3"/>
  <c r="P129" i="3"/>
  <c r="P128" i="3"/>
  <c r="P127" i="3"/>
  <c r="P126" i="3"/>
  <c r="P125" i="3"/>
  <c r="P124" i="3"/>
  <c r="P123" i="3"/>
  <c r="P122" i="3"/>
  <c r="P121" i="3"/>
  <c r="P120" i="3"/>
  <c r="P119" i="3"/>
  <c r="P118" i="3"/>
  <c r="P117" i="3"/>
  <c r="P116" i="3"/>
  <c r="P115" i="3"/>
  <c r="P114" i="3"/>
  <c r="P113" i="3"/>
  <c r="P112" i="3"/>
  <c r="P111" i="3"/>
  <c r="P110" i="3"/>
  <c r="P109" i="3"/>
  <c r="P108" i="3"/>
  <c r="P107" i="3"/>
  <c r="P106" i="3"/>
  <c r="P105" i="3"/>
  <c r="P104" i="3"/>
  <c r="P103" i="3"/>
  <c r="P102" i="3"/>
  <c r="P101" i="3"/>
  <c r="P100" i="3"/>
  <c r="P99" i="3"/>
  <c r="P98" i="3"/>
  <c r="P97" i="3"/>
  <c r="P96" i="3"/>
  <c r="P95" i="3"/>
  <c r="P94" i="3"/>
  <c r="P93" i="3"/>
  <c r="P92" i="3"/>
  <c r="P91" i="3"/>
  <c r="P90" i="3"/>
  <c r="P89" i="3"/>
  <c r="P88" i="3"/>
  <c r="P87" i="3"/>
  <c r="P86" i="3"/>
  <c r="P85" i="3"/>
  <c r="P84" i="3"/>
  <c r="P83" i="3"/>
  <c r="P82" i="3"/>
  <c r="P81" i="3"/>
  <c r="P80" i="3"/>
  <c r="P79" i="3"/>
  <c r="P78" i="3"/>
  <c r="P77" i="3"/>
  <c r="P76" i="3"/>
  <c r="P75" i="3"/>
  <c r="P74" i="3"/>
  <c r="P73" i="3"/>
  <c r="P72" i="3"/>
  <c r="P71" i="3"/>
  <c r="P70" i="3"/>
  <c r="P69" i="3"/>
  <c r="P68" i="3"/>
  <c r="P67" i="3"/>
  <c r="P66" i="3"/>
  <c r="P65" i="3"/>
  <c r="P64" i="3"/>
  <c r="P63" i="3"/>
  <c r="P62" i="3"/>
  <c r="P61" i="3"/>
  <c r="P59" i="3"/>
  <c r="P58" i="3"/>
  <c r="P57" i="3"/>
  <c r="P56" i="3"/>
  <c r="P55" i="3"/>
  <c r="P54" i="3"/>
  <c r="P53" i="3"/>
  <c r="P52" i="3"/>
  <c r="P51" i="3"/>
  <c r="P50" i="3"/>
  <c r="P49" i="3"/>
  <c r="P48" i="3"/>
  <c r="P47" i="3"/>
  <c r="P46" i="3"/>
  <c r="P45" i="3"/>
  <c r="P44" i="3"/>
  <c r="P43" i="3"/>
  <c r="P42" i="3"/>
  <c r="P41" i="3"/>
  <c r="P40" i="3"/>
  <c r="P39" i="3"/>
  <c r="P38" i="3"/>
  <c r="P37" i="3"/>
  <c r="P36" i="3"/>
  <c r="P35" i="3"/>
  <c r="P34" i="3"/>
  <c r="P33" i="3"/>
  <c r="P32" i="3"/>
  <c r="P31" i="3"/>
  <c r="P30" i="3"/>
  <c r="P29" i="3"/>
  <c r="P28" i="3"/>
  <c r="P27" i="3"/>
  <c r="P26" i="3"/>
  <c r="P25" i="3"/>
  <c r="P24" i="3"/>
  <c r="P23" i="3"/>
  <c r="P22" i="3"/>
  <c r="P21" i="3"/>
  <c r="P20" i="3"/>
  <c r="P19" i="3"/>
  <c r="P18" i="3"/>
  <c r="P17" i="3"/>
  <c r="P16" i="3"/>
  <c r="P15" i="3"/>
  <c r="P14" i="3"/>
  <c r="P13" i="3"/>
  <c r="P12" i="3"/>
  <c r="P11" i="3"/>
  <c r="P10" i="3"/>
  <c r="P9" i="3"/>
  <c r="P8" i="3"/>
  <c r="P7" i="3"/>
  <c r="P6" i="3"/>
  <c r="D6" i="3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6" i="4"/>
  <c r="E3" i="4"/>
  <c r="E2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200" i="3"/>
  <c r="H199" i="3"/>
  <c r="H198" i="3"/>
  <c r="H197" i="3"/>
  <c r="H196" i="3"/>
  <c r="H195" i="3"/>
  <c r="H194" i="3"/>
  <c r="H193" i="3"/>
  <c r="H192" i="3"/>
  <c r="H191" i="3"/>
  <c r="H190" i="3"/>
  <c r="H189" i="3"/>
  <c r="H188" i="3"/>
  <c r="H187" i="3"/>
  <c r="H186" i="3"/>
  <c r="H185" i="3"/>
  <c r="H184" i="3"/>
  <c r="H183" i="3"/>
  <c r="H182" i="3"/>
  <c r="H181" i="3"/>
  <c r="H180" i="3"/>
  <c r="H179" i="3"/>
  <c r="H178" i="3"/>
  <c r="H177" i="3"/>
  <c r="H176" i="3"/>
  <c r="H175" i="3"/>
  <c r="H174" i="3"/>
  <c r="H173" i="3"/>
  <c r="H172" i="3"/>
  <c r="H171" i="3"/>
  <c r="H170" i="3"/>
  <c r="H169" i="3"/>
  <c r="H168" i="3"/>
  <c r="H167" i="3"/>
  <c r="H166" i="3"/>
  <c r="H165" i="3"/>
  <c r="H164" i="3"/>
  <c r="H163" i="3"/>
  <c r="H162" i="3"/>
  <c r="H161" i="3"/>
  <c r="H160" i="3"/>
  <c r="H159" i="3"/>
  <c r="H158" i="3"/>
  <c r="H157" i="3"/>
  <c r="H156" i="3"/>
  <c r="H155" i="3"/>
  <c r="H154" i="3"/>
  <c r="H153" i="3"/>
  <c r="H152" i="3"/>
  <c r="H151" i="3"/>
  <c r="H150" i="3"/>
  <c r="H149" i="3"/>
  <c r="H148" i="3"/>
  <c r="H147" i="3"/>
  <c r="H146" i="3"/>
  <c r="H145" i="3"/>
  <c r="H144" i="3"/>
  <c r="H143" i="3"/>
  <c r="H142" i="3"/>
  <c r="H141" i="3"/>
  <c r="H140" i="3"/>
  <c r="H139" i="3"/>
  <c r="H138" i="3"/>
  <c r="H137" i="3"/>
  <c r="H136" i="3"/>
  <c r="H135" i="3"/>
  <c r="H134" i="3"/>
  <c r="H133" i="3"/>
  <c r="H132" i="3"/>
  <c r="H131" i="3"/>
  <c r="H130" i="3"/>
  <c r="H129" i="3"/>
  <c r="H128" i="3"/>
  <c r="H127" i="3"/>
  <c r="H126" i="3"/>
  <c r="H125" i="3"/>
  <c r="H124" i="3"/>
  <c r="H123" i="3"/>
  <c r="H122" i="3"/>
  <c r="H121" i="3"/>
  <c r="H120" i="3"/>
  <c r="H119" i="3"/>
  <c r="H118" i="3"/>
  <c r="H117" i="3"/>
  <c r="H116" i="3"/>
  <c r="H115" i="3"/>
  <c r="H114" i="3"/>
  <c r="H113" i="3"/>
  <c r="H112" i="3"/>
  <c r="H111" i="3"/>
  <c r="H110" i="3"/>
  <c r="H109" i="3"/>
  <c r="H108" i="3"/>
  <c r="H107" i="3"/>
  <c r="H106" i="3"/>
  <c r="H105" i="3"/>
  <c r="H104" i="3"/>
  <c r="H103" i="3"/>
  <c r="H102" i="3"/>
  <c r="H101" i="3"/>
  <c r="H100" i="3"/>
  <c r="H99" i="3"/>
  <c r="H98" i="3"/>
  <c r="H97" i="3"/>
  <c r="H96" i="3"/>
  <c r="H95" i="3"/>
  <c r="H94" i="3"/>
  <c r="H93" i="3"/>
  <c r="H92" i="3"/>
  <c r="H91" i="3"/>
  <c r="H90" i="3"/>
  <c r="H89" i="3"/>
  <c r="H88" i="3"/>
  <c r="H87" i="3"/>
  <c r="H86" i="3"/>
  <c r="H85" i="3"/>
  <c r="H84" i="3"/>
  <c r="H83" i="3"/>
  <c r="H82" i="3"/>
  <c r="H81" i="3"/>
  <c r="H80" i="3"/>
  <c r="H79" i="3"/>
  <c r="H78" i="3"/>
  <c r="H77" i="3"/>
  <c r="H76" i="3"/>
  <c r="H75" i="3"/>
  <c r="H74" i="3"/>
  <c r="H73" i="3"/>
  <c r="H72" i="3"/>
  <c r="H71" i="3"/>
  <c r="H70" i="3"/>
  <c r="H69" i="3"/>
  <c r="H68" i="3"/>
  <c r="H67" i="3"/>
  <c r="H66" i="3"/>
  <c r="H65" i="3"/>
  <c r="H64" i="3"/>
  <c r="H63" i="3"/>
  <c r="H62" i="3"/>
  <c r="H61" i="3"/>
  <c r="H60" i="3"/>
  <c r="H59" i="3"/>
  <c r="H58" i="3"/>
  <c r="H57" i="3"/>
  <c r="H56" i="3"/>
  <c r="H55" i="3"/>
  <c r="H54" i="3"/>
  <c r="H53" i="3"/>
  <c r="H52" i="3"/>
  <c r="H51" i="3"/>
  <c r="H50" i="3"/>
  <c r="H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H9" i="3"/>
  <c r="H8" i="3"/>
  <c r="H7" i="3"/>
  <c r="H6" i="3"/>
  <c r="C15" i="1"/>
  <c r="D15" i="1"/>
  <c r="AR28" i="1" l="1"/>
  <c r="AS28" i="1"/>
  <c r="AT28" i="1"/>
  <c r="AU28" i="1"/>
  <c r="AQ28" i="1"/>
  <c r="AO28" i="1"/>
  <c r="AE28" i="1"/>
  <c r="AF28" i="1"/>
  <c r="AG28" i="1"/>
  <c r="AH28" i="1"/>
  <c r="AI28" i="1"/>
  <c r="AC28" i="1"/>
  <c r="V28" i="1"/>
  <c r="W28" i="1"/>
  <c r="Q28" i="1"/>
  <c r="S28" i="1"/>
  <c r="T28" i="1"/>
  <c r="U28" i="1"/>
  <c r="K15" i="1"/>
  <c r="J15" i="1"/>
  <c r="BE29" i="1"/>
  <c r="BF29" i="1"/>
  <c r="BG29" i="1"/>
  <c r="BC29" i="1"/>
  <c r="BD29" i="1"/>
  <c r="BA29" i="1"/>
  <c r="BP29" i="1"/>
  <c r="BQ29" i="1"/>
  <c r="BR29" i="1"/>
  <c r="BM29" i="1"/>
  <c r="BS29" i="1"/>
  <c r="BJ29" i="1"/>
  <c r="Z28" i="1"/>
  <c r="AX29" i="1"/>
  <c r="AL28" i="1"/>
  <c r="N28" i="1"/>
  <c r="R27" i="1"/>
  <c r="BB28" i="1"/>
  <c r="AP27" i="1"/>
  <c r="BN28" i="1"/>
  <c r="BT28" i="1"/>
  <c r="BH28" i="1"/>
  <c r="X27" i="1"/>
  <c r="AJ27" i="1"/>
  <c r="BO29" i="1"/>
  <c r="AV27" i="1"/>
  <c r="AD27" i="1"/>
  <c r="I15" i="1"/>
  <c r="H15" i="1"/>
  <c r="BK30" i="1"/>
  <c r="AY30" i="1"/>
  <c r="AM29" i="1"/>
  <c r="AA29" i="1"/>
  <c r="O29" i="1"/>
  <c r="D16" i="1"/>
  <c r="D11" i="1"/>
  <c r="E15" i="1"/>
  <c r="G15" i="1"/>
  <c r="B15" i="1"/>
  <c r="C16" i="1"/>
  <c r="AU29" i="1" l="1"/>
  <c r="AQ29" i="1"/>
  <c r="AR29" i="1"/>
  <c r="AS29" i="1"/>
  <c r="AT29" i="1"/>
  <c r="AO29" i="1"/>
  <c r="AG29" i="1"/>
  <c r="AH29" i="1"/>
  <c r="AI29" i="1"/>
  <c r="AE29" i="1"/>
  <c r="AC29" i="1"/>
  <c r="AF29" i="1"/>
  <c r="S29" i="1"/>
  <c r="T29" i="1"/>
  <c r="Q29" i="1"/>
  <c r="U29" i="1"/>
  <c r="V29" i="1"/>
  <c r="W29" i="1"/>
  <c r="K16" i="1"/>
  <c r="J16" i="1"/>
  <c r="BC30" i="1"/>
  <c r="BD30" i="1"/>
  <c r="BE30" i="1"/>
  <c r="BF30" i="1"/>
  <c r="BA30" i="1"/>
  <c r="BG30" i="1"/>
  <c r="BP30" i="1"/>
  <c r="BQ30" i="1"/>
  <c r="BR30" i="1"/>
  <c r="BS30" i="1"/>
  <c r="BM30" i="1"/>
  <c r="BN29" i="1"/>
  <c r="BB29" i="1"/>
  <c r="BJ30" i="1"/>
  <c r="Z29" i="1"/>
  <c r="AX30" i="1"/>
  <c r="AL29" i="1"/>
  <c r="N29" i="1"/>
  <c r="AP28" i="1"/>
  <c r="R28" i="1"/>
  <c r="F15" i="1"/>
  <c r="BT29" i="1"/>
  <c r="BH29" i="1"/>
  <c r="X28" i="1"/>
  <c r="AJ28" i="1"/>
  <c r="BO30" i="1"/>
  <c r="AV28" i="1"/>
  <c r="AD28" i="1"/>
  <c r="I16" i="1"/>
  <c r="H16" i="1"/>
  <c r="BK31" i="1"/>
  <c r="AY31" i="1"/>
  <c r="AM30" i="1"/>
  <c r="AA30" i="1"/>
  <c r="O30" i="1"/>
  <c r="L15" i="1"/>
  <c r="D17" i="1"/>
  <c r="G16" i="1"/>
  <c r="E16" i="1"/>
  <c r="C17" i="1"/>
  <c r="B16" i="1"/>
  <c r="BB30" i="1" l="1"/>
  <c r="F16" i="1"/>
  <c r="AQ30" i="1"/>
  <c r="AR30" i="1"/>
  <c r="AS30" i="1"/>
  <c r="AT30" i="1"/>
  <c r="AU30" i="1"/>
  <c r="AO30" i="1"/>
  <c r="AE30" i="1"/>
  <c r="AF30" i="1"/>
  <c r="AG30" i="1"/>
  <c r="AH30" i="1"/>
  <c r="AC30" i="1"/>
  <c r="AI30" i="1"/>
  <c r="T30" i="1"/>
  <c r="U30" i="1"/>
  <c r="V30" i="1"/>
  <c r="W30" i="1"/>
  <c r="Q30" i="1"/>
  <c r="S30" i="1"/>
  <c r="K17" i="1"/>
  <c r="J17" i="1"/>
  <c r="BC31" i="1"/>
  <c r="BD31" i="1"/>
  <c r="BE31" i="1"/>
  <c r="BF31" i="1"/>
  <c r="BG31" i="1"/>
  <c r="BA31" i="1"/>
  <c r="BN30" i="1"/>
  <c r="BP31" i="1"/>
  <c r="BQ31" i="1"/>
  <c r="BR31" i="1"/>
  <c r="BM31" i="1"/>
  <c r="BN31" i="1" s="1"/>
  <c r="BS31" i="1"/>
  <c r="AD29" i="1"/>
  <c r="R29" i="1"/>
  <c r="BJ31" i="1"/>
  <c r="Z30" i="1"/>
  <c r="AX31" i="1"/>
  <c r="AL30" i="1"/>
  <c r="N30" i="1"/>
  <c r="BT30" i="1"/>
  <c r="BH30" i="1"/>
  <c r="X29" i="1"/>
  <c r="AV29" i="1"/>
  <c r="AJ29" i="1"/>
  <c r="BO31" i="1"/>
  <c r="H17" i="1"/>
  <c r="I17" i="1"/>
  <c r="L16" i="1"/>
  <c r="BK32" i="1"/>
  <c r="AY32" i="1"/>
  <c r="AP29" i="1"/>
  <c r="AM31" i="1"/>
  <c r="AA31" i="1"/>
  <c r="O31" i="1"/>
  <c r="D18" i="1"/>
  <c r="G17" i="1"/>
  <c r="E17" i="1"/>
  <c r="C18" i="1"/>
  <c r="B17" i="1"/>
  <c r="BB31" i="1" l="1"/>
  <c r="AS31" i="1"/>
  <c r="AT31" i="1"/>
  <c r="AU31" i="1"/>
  <c r="AQ31" i="1"/>
  <c r="AR31" i="1"/>
  <c r="AO31" i="1"/>
  <c r="AE31" i="1"/>
  <c r="AF31" i="1"/>
  <c r="AG31" i="1"/>
  <c r="AH31" i="1"/>
  <c r="AI31" i="1"/>
  <c r="AC31" i="1"/>
  <c r="W31" i="1"/>
  <c r="S31" i="1"/>
  <c r="T31" i="1"/>
  <c r="Q31" i="1"/>
  <c r="U31" i="1"/>
  <c r="V31" i="1"/>
  <c r="K18" i="1"/>
  <c r="J18" i="1"/>
  <c r="BF32" i="1"/>
  <c r="BG32" i="1"/>
  <c r="BC32" i="1"/>
  <c r="BD32" i="1"/>
  <c r="BA32" i="1"/>
  <c r="BE32" i="1"/>
  <c r="BP32" i="1"/>
  <c r="BQ32" i="1"/>
  <c r="BR32" i="1"/>
  <c r="BS32" i="1"/>
  <c r="BM32" i="1"/>
  <c r="BN32" i="1" s="1"/>
  <c r="R30" i="1"/>
  <c r="BJ32" i="1"/>
  <c r="Z31" i="1"/>
  <c r="AX32" i="1"/>
  <c r="AL31" i="1"/>
  <c r="N31" i="1"/>
  <c r="BT31" i="1"/>
  <c r="BH31" i="1"/>
  <c r="X30" i="1"/>
  <c r="AJ30" i="1"/>
  <c r="AV30" i="1"/>
  <c r="BO32" i="1"/>
  <c r="AD30" i="1"/>
  <c r="I18" i="1"/>
  <c r="H18" i="1"/>
  <c r="L17" i="1"/>
  <c r="BK33" i="1"/>
  <c r="AY33" i="1"/>
  <c r="AM32" i="1"/>
  <c r="AP30" i="1"/>
  <c r="AA32" i="1"/>
  <c r="O32" i="1"/>
  <c r="D19" i="1"/>
  <c r="F17" i="1"/>
  <c r="G18" i="1"/>
  <c r="E18" i="1"/>
  <c r="C19" i="1"/>
  <c r="B18" i="1"/>
  <c r="AQ32" i="1" l="1"/>
  <c r="AR32" i="1"/>
  <c r="AS32" i="1"/>
  <c r="AT32" i="1"/>
  <c r="AU32" i="1"/>
  <c r="AO32" i="1"/>
  <c r="AH32" i="1"/>
  <c r="AI32" i="1"/>
  <c r="AE32" i="1"/>
  <c r="AF32" i="1"/>
  <c r="AC32" i="1"/>
  <c r="AG32" i="1"/>
  <c r="R31" i="1"/>
  <c r="S32" i="1"/>
  <c r="T32" i="1"/>
  <c r="U32" i="1"/>
  <c r="V32" i="1"/>
  <c r="W32" i="1"/>
  <c r="Q32" i="1"/>
  <c r="J19" i="1"/>
  <c r="K19" i="1"/>
  <c r="BC33" i="1"/>
  <c r="BD33" i="1"/>
  <c r="BE33" i="1"/>
  <c r="BF33" i="1"/>
  <c r="BG33" i="1"/>
  <c r="BA33" i="1"/>
  <c r="BP33" i="1"/>
  <c r="BQ33" i="1"/>
  <c r="BR33" i="1"/>
  <c r="BS33" i="1"/>
  <c r="BM33" i="1"/>
  <c r="BN33" i="1" s="1"/>
  <c r="BJ33" i="1"/>
  <c r="Z32" i="1"/>
  <c r="AX33" i="1"/>
  <c r="AL32" i="1"/>
  <c r="N32" i="1"/>
  <c r="BB32" i="1"/>
  <c r="BT32" i="1"/>
  <c r="BH32" i="1"/>
  <c r="X31" i="1"/>
  <c r="AJ31" i="1"/>
  <c r="AV31" i="1"/>
  <c r="BO33" i="1"/>
  <c r="AD31" i="1"/>
  <c r="I19" i="1"/>
  <c r="H19" i="1"/>
  <c r="L18" i="1"/>
  <c r="BK34" i="1"/>
  <c r="AY34" i="1"/>
  <c r="AP31" i="1"/>
  <c r="AM33" i="1"/>
  <c r="AA33" i="1"/>
  <c r="O33" i="1"/>
  <c r="D20" i="1"/>
  <c r="F18" i="1"/>
  <c r="G19" i="1"/>
  <c r="E19" i="1"/>
  <c r="C20" i="1"/>
  <c r="B19" i="1"/>
  <c r="R32" i="1" l="1"/>
  <c r="AQ33" i="1"/>
  <c r="AR33" i="1"/>
  <c r="AS33" i="1"/>
  <c r="AT33" i="1"/>
  <c r="AU33" i="1"/>
  <c r="AO33" i="1"/>
  <c r="AE33" i="1"/>
  <c r="AF33" i="1"/>
  <c r="AG33" i="1"/>
  <c r="AH33" i="1"/>
  <c r="AI33" i="1"/>
  <c r="AC33" i="1"/>
  <c r="Q33" i="1"/>
  <c r="U33" i="1"/>
  <c r="V33" i="1"/>
  <c r="W33" i="1"/>
  <c r="S33" i="1"/>
  <c r="T33" i="1"/>
  <c r="K20" i="1"/>
  <c r="J20" i="1"/>
  <c r="BD34" i="1"/>
  <c r="BE34" i="1"/>
  <c r="BF34" i="1"/>
  <c r="BG34" i="1"/>
  <c r="BC34" i="1"/>
  <c r="BA34" i="1"/>
  <c r="BP34" i="1"/>
  <c r="BQ34" i="1"/>
  <c r="BR34" i="1"/>
  <c r="BS34" i="1"/>
  <c r="BM34" i="1"/>
  <c r="BN34" i="1" s="1"/>
  <c r="BJ34" i="1"/>
  <c r="Z33" i="1"/>
  <c r="AX34" i="1"/>
  <c r="AL33" i="1"/>
  <c r="N33" i="1"/>
  <c r="BB33" i="1"/>
  <c r="BT33" i="1"/>
  <c r="BH33" i="1"/>
  <c r="X32" i="1"/>
  <c r="AJ32" i="1"/>
  <c r="AV32" i="1"/>
  <c r="BO34" i="1"/>
  <c r="AD32" i="1"/>
  <c r="H20" i="1"/>
  <c r="I20" i="1"/>
  <c r="L19" i="1"/>
  <c r="AP32" i="1"/>
  <c r="BK35" i="1"/>
  <c r="AY35" i="1"/>
  <c r="AM34" i="1"/>
  <c r="AA34" i="1"/>
  <c r="O34" i="1"/>
  <c r="D21" i="1"/>
  <c r="F19" i="1"/>
  <c r="G20" i="1"/>
  <c r="E20" i="1"/>
  <c r="C21" i="1"/>
  <c r="B20" i="1"/>
  <c r="R33" i="1" l="1"/>
  <c r="AT34" i="1"/>
  <c r="AU34" i="1"/>
  <c r="AQ34" i="1"/>
  <c r="AR34" i="1"/>
  <c r="AO34" i="1"/>
  <c r="AS34" i="1"/>
  <c r="AF34" i="1"/>
  <c r="AG34" i="1"/>
  <c r="AH34" i="1"/>
  <c r="AI34" i="1"/>
  <c r="AE34" i="1"/>
  <c r="AC34" i="1"/>
  <c r="Q34" i="1"/>
  <c r="S34" i="1"/>
  <c r="T34" i="1"/>
  <c r="U34" i="1"/>
  <c r="V34" i="1"/>
  <c r="W34" i="1"/>
  <c r="J21" i="1"/>
  <c r="K21" i="1"/>
  <c r="BG35" i="1"/>
  <c r="BC35" i="1"/>
  <c r="BD35" i="1"/>
  <c r="BE35" i="1"/>
  <c r="BF35" i="1"/>
  <c r="BA35" i="1"/>
  <c r="BP35" i="1"/>
  <c r="BQ35" i="1"/>
  <c r="BR35" i="1"/>
  <c r="BM35" i="1"/>
  <c r="BS35" i="1"/>
  <c r="BJ35" i="1"/>
  <c r="Z34" i="1"/>
  <c r="AX35" i="1"/>
  <c r="AL34" i="1"/>
  <c r="N34" i="1"/>
  <c r="BB34" i="1"/>
  <c r="BT34" i="1"/>
  <c r="BH34" i="1"/>
  <c r="X33" i="1"/>
  <c r="AJ33" i="1"/>
  <c r="AV33" i="1"/>
  <c r="BO35" i="1"/>
  <c r="AD33" i="1"/>
  <c r="H21" i="1"/>
  <c r="I21" i="1"/>
  <c r="L20" i="1"/>
  <c r="BK36" i="1"/>
  <c r="AY36" i="1"/>
  <c r="AP33" i="1"/>
  <c r="AM35" i="1"/>
  <c r="AA35" i="1"/>
  <c r="O35" i="1"/>
  <c r="D22" i="1"/>
  <c r="G21" i="1"/>
  <c r="E21" i="1"/>
  <c r="F20" i="1"/>
  <c r="C22" i="1"/>
  <c r="B21" i="1"/>
  <c r="R34" i="1" l="1"/>
  <c r="AQ35" i="1"/>
  <c r="AR35" i="1"/>
  <c r="AS35" i="1"/>
  <c r="AT35" i="1"/>
  <c r="AU35" i="1"/>
  <c r="AO35" i="1"/>
  <c r="AI35" i="1"/>
  <c r="AE35" i="1"/>
  <c r="AF35" i="1"/>
  <c r="AG35" i="1"/>
  <c r="AH35" i="1"/>
  <c r="AC35" i="1"/>
  <c r="S35" i="1"/>
  <c r="T35" i="1"/>
  <c r="Q35" i="1"/>
  <c r="U35" i="1"/>
  <c r="V35" i="1"/>
  <c r="W35" i="1"/>
  <c r="J22" i="1"/>
  <c r="K22" i="1"/>
  <c r="BC36" i="1"/>
  <c r="BD36" i="1"/>
  <c r="BE36" i="1"/>
  <c r="BF36" i="1"/>
  <c r="BG36" i="1"/>
  <c r="BA36" i="1"/>
  <c r="BP36" i="1"/>
  <c r="BQ36" i="1"/>
  <c r="BR36" i="1"/>
  <c r="BS36" i="1"/>
  <c r="BM36" i="1"/>
  <c r="BJ36" i="1"/>
  <c r="Z35" i="1"/>
  <c r="AX36" i="1"/>
  <c r="AL35" i="1"/>
  <c r="N35" i="1"/>
  <c r="BB35" i="1"/>
  <c r="BN35" i="1"/>
  <c r="BT35" i="1"/>
  <c r="BH35" i="1"/>
  <c r="X34" i="1"/>
  <c r="AJ34" i="1"/>
  <c r="AV34" i="1"/>
  <c r="AD34" i="1"/>
  <c r="BO36" i="1"/>
  <c r="H22" i="1"/>
  <c r="I22" i="1"/>
  <c r="L21" i="1"/>
  <c r="BK37" i="1"/>
  <c r="AY37" i="1"/>
  <c r="AM36" i="1"/>
  <c r="AP34" i="1"/>
  <c r="AA36" i="1"/>
  <c r="O36" i="1"/>
  <c r="D23" i="1"/>
  <c r="F21" i="1"/>
  <c r="G22" i="1"/>
  <c r="E22" i="1"/>
  <c r="C23" i="1"/>
  <c r="B22" i="1"/>
  <c r="AR36" i="1" l="1"/>
  <c r="AS36" i="1"/>
  <c r="AT36" i="1"/>
  <c r="AU36" i="1"/>
  <c r="AO36" i="1"/>
  <c r="AQ36" i="1"/>
  <c r="AE36" i="1"/>
  <c r="AF36" i="1"/>
  <c r="AG36" i="1"/>
  <c r="AH36" i="1"/>
  <c r="AI36" i="1"/>
  <c r="AC36" i="1"/>
  <c r="V36" i="1"/>
  <c r="W36" i="1"/>
  <c r="Q36" i="1"/>
  <c r="S36" i="1"/>
  <c r="T36" i="1"/>
  <c r="U36" i="1"/>
  <c r="J23" i="1"/>
  <c r="K23" i="1"/>
  <c r="BE37" i="1"/>
  <c r="BF37" i="1"/>
  <c r="BG37" i="1"/>
  <c r="BC37" i="1"/>
  <c r="BD37" i="1"/>
  <c r="BA37" i="1"/>
  <c r="BP37" i="1"/>
  <c r="BQ37" i="1"/>
  <c r="BR37" i="1"/>
  <c r="BS37" i="1"/>
  <c r="BM37" i="1"/>
  <c r="BN36" i="1"/>
  <c r="BJ37" i="1"/>
  <c r="BB36" i="1"/>
  <c r="Z36" i="1"/>
  <c r="AX37" i="1"/>
  <c r="AL36" i="1"/>
  <c r="N36" i="1"/>
  <c r="R35" i="1"/>
  <c r="BT36" i="1"/>
  <c r="BH36" i="1"/>
  <c r="X35" i="1"/>
  <c r="AJ35" i="1"/>
  <c r="AV35" i="1"/>
  <c r="BO37" i="1"/>
  <c r="AD35" i="1"/>
  <c r="H23" i="1"/>
  <c r="I23" i="1"/>
  <c r="L22" i="1"/>
  <c r="BK38" i="1"/>
  <c r="AY38" i="1"/>
  <c r="AM37" i="1"/>
  <c r="AP35" i="1"/>
  <c r="AA37" i="1"/>
  <c r="O37" i="1"/>
  <c r="D24" i="1"/>
  <c r="G23" i="1"/>
  <c r="E23" i="1"/>
  <c r="F22" i="1"/>
  <c r="C24" i="1"/>
  <c r="B23" i="1"/>
  <c r="BN37" i="1" l="1"/>
  <c r="AU37" i="1"/>
  <c r="AQ37" i="1"/>
  <c r="AR37" i="1"/>
  <c r="AS37" i="1"/>
  <c r="AT37" i="1"/>
  <c r="AO37" i="1"/>
  <c r="AG37" i="1"/>
  <c r="AH37" i="1"/>
  <c r="AI37" i="1"/>
  <c r="AC37" i="1"/>
  <c r="AE37" i="1"/>
  <c r="AF37" i="1"/>
  <c r="S37" i="1"/>
  <c r="T37" i="1"/>
  <c r="Q37" i="1"/>
  <c r="U37" i="1"/>
  <c r="V37" i="1"/>
  <c r="W37" i="1"/>
  <c r="K24" i="1"/>
  <c r="J24" i="1"/>
  <c r="BC38" i="1"/>
  <c r="BD38" i="1"/>
  <c r="BE38" i="1"/>
  <c r="BF38" i="1"/>
  <c r="BG38" i="1"/>
  <c r="BA38" i="1"/>
  <c r="BP38" i="1"/>
  <c r="BQ38" i="1"/>
  <c r="BR38" i="1"/>
  <c r="BS38" i="1"/>
  <c r="BM38" i="1"/>
  <c r="BJ38" i="1"/>
  <c r="BB37" i="1"/>
  <c r="Z37" i="1"/>
  <c r="AX38" i="1"/>
  <c r="AL37" i="1"/>
  <c r="N37" i="1"/>
  <c r="R36" i="1"/>
  <c r="BT37" i="1"/>
  <c r="BH37" i="1"/>
  <c r="X36" i="1"/>
  <c r="AJ36" i="1"/>
  <c r="AV36" i="1"/>
  <c r="BO38" i="1"/>
  <c r="AD36" i="1"/>
  <c r="I24" i="1"/>
  <c r="H24" i="1"/>
  <c r="L23" i="1"/>
  <c r="AP36" i="1"/>
  <c r="BK39" i="1"/>
  <c r="AY39" i="1"/>
  <c r="AM38" i="1"/>
  <c r="AA38" i="1"/>
  <c r="O38" i="1"/>
  <c r="D25" i="1"/>
  <c r="G24" i="1"/>
  <c r="E24" i="1"/>
  <c r="F23" i="1"/>
  <c r="C25" i="1"/>
  <c r="B24" i="1"/>
  <c r="BN38" i="1" l="1"/>
  <c r="AQ38" i="1"/>
  <c r="AR38" i="1"/>
  <c r="AS38" i="1"/>
  <c r="AT38" i="1"/>
  <c r="AU38" i="1"/>
  <c r="AO38" i="1"/>
  <c r="AE38" i="1"/>
  <c r="AF38" i="1"/>
  <c r="AG38" i="1"/>
  <c r="AC38" i="1"/>
  <c r="AI38" i="1"/>
  <c r="AH38" i="1"/>
  <c r="T38" i="1"/>
  <c r="U38" i="1"/>
  <c r="V38" i="1"/>
  <c r="W38" i="1"/>
  <c r="Q38" i="1"/>
  <c r="S38" i="1"/>
  <c r="K25" i="1"/>
  <c r="J25" i="1"/>
  <c r="BC39" i="1"/>
  <c r="BD39" i="1"/>
  <c r="BE39" i="1"/>
  <c r="BF39" i="1"/>
  <c r="BG39" i="1"/>
  <c r="BA39" i="1"/>
  <c r="BP39" i="1"/>
  <c r="BQ39" i="1"/>
  <c r="BR39" i="1"/>
  <c r="BS39" i="1"/>
  <c r="BM39" i="1"/>
  <c r="BJ39" i="1"/>
  <c r="BB38" i="1"/>
  <c r="Z38" i="1"/>
  <c r="AX39" i="1"/>
  <c r="AL38" i="1"/>
  <c r="N38" i="1"/>
  <c r="R37" i="1"/>
  <c r="BT38" i="1"/>
  <c r="BH38" i="1"/>
  <c r="X37" i="1"/>
  <c r="AJ37" i="1"/>
  <c r="AV37" i="1"/>
  <c r="BO39" i="1"/>
  <c r="AD37" i="1"/>
  <c r="H25" i="1"/>
  <c r="I25" i="1"/>
  <c r="L24" i="1"/>
  <c r="AP37" i="1"/>
  <c r="BK40" i="1"/>
  <c r="AY40" i="1"/>
  <c r="AM39" i="1"/>
  <c r="AA39" i="1"/>
  <c r="O39" i="1"/>
  <c r="D26" i="1"/>
  <c r="G25" i="1"/>
  <c r="E25" i="1"/>
  <c r="F24" i="1"/>
  <c r="C26" i="1"/>
  <c r="B25" i="1"/>
  <c r="BN39" i="1" l="1"/>
  <c r="AS39" i="1"/>
  <c r="AT39" i="1"/>
  <c r="AU39" i="1"/>
  <c r="AQ39" i="1"/>
  <c r="AR39" i="1"/>
  <c r="AO39" i="1"/>
  <c r="AE39" i="1"/>
  <c r="AF39" i="1"/>
  <c r="AG39" i="1"/>
  <c r="AH39" i="1"/>
  <c r="AI39" i="1"/>
  <c r="AC39" i="1"/>
  <c r="W39" i="1"/>
  <c r="S39" i="1"/>
  <c r="T39" i="1"/>
  <c r="Q39" i="1"/>
  <c r="U39" i="1"/>
  <c r="V39" i="1"/>
  <c r="K26" i="1"/>
  <c r="J26" i="1"/>
  <c r="BF40" i="1"/>
  <c r="BG40" i="1"/>
  <c r="BC40" i="1"/>
  <c r="BD40" i="1"/>
  <c r="BA40" i="1"/>
  <c r="BE40" i="1"/>
  <c r="BP40" i="1"/>
  <c r="BQ40" i="1"/>
  <c r="BR40" i="1"/>
  <c r="BS40" i="1"/>
  <c r="BM40" i="1"/>
  <c r="BJ40" i="1"/>
  <c r="BB39" i="1"/>
  <c r="Z39" i="1"/>
  <c r="AX40" i="1"/>
  <c r="AL39" i="1"/>
  <c r="N39" i="1"/>
  <c r="R38" i="1"/>
  <c r="BT39" i="1"/>
  <c r="BH39" i="1"/>
  <c r="X38" i="1"/>
  <c r="AJ38" i="1"/>
  <c r="AV38" i="1"/>
  <c r="BO40" i="1"/>
  <c r="AD38" i="1"/>
  <c r="I26" i="1"/>
  <c r="H26" i="1"/>
  <c r="L25" i="1"/>
  <c r="BK41" i="1"/>
  <c r="AY41" i="1"/>
  <c r="AP38" i="1"/>
  <c r="AM40" i="1"/>
  <c r="AA40" i="1"/>
  <c r="O40" i="1"/>
  <c r="D27" i="1"/>
  <c r="G26" i="1"/>
  <c r="E26" i="1"/>
  <c r="F25" i="1"/>
  <c r="C27" i="1"/>
  <c r="B26" i="1"/>
  <c r="BN40" i="1" l="1"/>
  <c r="AQ40" i="1"/>
  <c r="AR40" i="1"/>
  <c r="AS40" i="1"/>
  <c r="AT40" i="1"/>
  <c r="AU40" i="1"/>
  <c r="AO40" i="1"/>
  <c r="AH40" i="1"/>
  <c r="AI40" i="1"/>
  <c r="AE40" i="1"/>
  <c r="AF40" i="1"/>
  <c r="AG40" i="1"/>
  <c r="AC40" i="1"/>
  <c r="S40" i="1"/>
  <c r="T40" i="1"/>
  <c r="U40" i="1"/>
  <c r="V40" i="1"/>
  <c r="W40" i="1"/>
  <c r="Q40" i="1"/>
  <c r="J27" i="1"/>
  <c r="K27" i="1"/>
  <c r="BC41" i="1"/>
  <c r="BD41" i="1"/>
  <c r="BE41" i="1"/>
  <c r="BF41" i="1"/>
  <c r="BG41" i="1"/>
  <c r="BA41" i="1"/>
  <c r="BP41" i="1"/>
  <c r="BQ41" i="1"/>
  <c r="BR41" i="1"/>
  <c r="BM41" i="1"/>
  <c r="BN41" i="1" s="1"/>
  <c r="BS41" i="1"/>
  <c r="BJ41" i="1"/>
  <c r="BB40" i="1"/>
  <c r="Z40" i="1"/>
  <c r="AX41" i="1"/>
  <c r="AL40" i="1"/>
  <c r="N40" i="1"/>
  <c r="R39" i="1"/>
  <c r="BT40" i="1"/>
  <c r="BH40" i="1"/>
  <c r="X39" i="1"/>
  <c r="AJ39" i="1"/>
  <c r="AV39" i="1"/>
  <c r="AD39" i="1"/>
  <c r="BO41" i="1"/>
  <c r="I27" i="1"/>
  <c r="H27" i="1"/>
  <c r="L26" i="1"/>
  <c r="BK42" i="1"/>
  <c r="AY42" i="1"/>
  <c r="AM41" i="1"/>
  <c r="AP39" i="1"/>
  <c r="AA41" i="1"/>
  <c r="O41" i="1"/>
  <c r="D28" i="1"/>
  <c r="G27" i="1"/>
  <c r="E27" i="1"/>
  <c r="F26" i="1"/>
  <c r="C28" i="1"/>
  <c r="B27" i="1"/>
  <c r="AQ41" i="1" l="1"/>
  <c r="AR41" i="1"/>
  <c r="AS41" i="1"/>
  <c r="AT41" i="1"/>
  <c r="AU41" i="1"/>
  <c r="AO41" i="1"/>
  <c r="AE41" i="1"/>
  <c r="AF41" i="1"/>
  <c r="AG41" i="1"/>
  <c r="AH41" i="1"/>
  <c r="AI41" i="1"/>
  <c r="AC41" i="1"/>
  <c r="Q41" i="1"/>
  <c r="U41" i="1"/>
  <c r="V41" i="1"/>
  <c r="W41" i="1"/>
  <c r="S41" i="1"/>
  <c r="T41" i="1"/>
  <c r="K28" i="1"/>
  <c r="J28" i="1"/>
  <c r="BD42" i="1"/>
  <c r="BE42" i="1"/>
  <c r="BF42" i="1"/>
  <c r="BG42" i="1"/>
  <c r="BA42" i="1"/>
  <c r="BC42" i="1"/>
  <c r="BP42" i="1"/>
  <c r="BQ42" i="1"/>
  <c r="BR42" i="1"/>
  <c r="BS42" i="1"/>
  <c r="BM42" i="1"/>
  <c r="BJ42" i="1"/>
  <c r="Z41" i="1"/>
  <c r="AX42" i="1"/>
  <c r="AL41" i="1"/>
  <c r="N41" i="1"/>
  <c r="BB41" i="1"/>
  <c r="R40" i="1"/>
  <c r="BT41" i="1"/>
  <c r="BH41" i="1"/>
  <c r="X40" i="1"/>
  <c r="AJ40" i="1"/>
  <c r="AV40" i="1"/>
  <c r="BO42" i="1"/>
  <c r="AD40" i="1"/>
  <c r="H28" i="1"/>
  <c r="I28" i="1"/>
  <c r="L27" i="1"/>
  <c r="AP40" i="1"/>
  <c r="BK43" i="1"/>
  <c r="AY43" i="1"/>
  <c r="AM42" i="1"/>
  <c r="AA42" i="1"/>
  <c r="O42" i="1"/>
  <c r="D29" i="1"/>
  <c r="F27" i="1"/>
  <c r="G28" i="1"/>
  <c r="E28" i="1"/>
  <c r="C29" i="1"/>
  <c r="B28" i="1"/>
  <c r="AT42" i="1" l="1"/>
  <c r="AU42" i="1"/>
  <c r="AQ42" i="1"/>
  <c r="AR42" i="1"/>
  <c r="AO42" i="1"/>
  <c r="AS42" i="1"/>
  <c r="AF42" i="1"/>
  <c r="AG42" i="1"/>
  <c r="AH42" i="1"/>
  <c r="AI42" i="1"/>
  <c r="AE42" i="1"/>
  <c r="AC42" i="1"/>
  <c r="Q42" i="1"/>
  <c r="S42" i="1"/>
  <c r="T42" i="1"/>
  <c r="U42" i="1"/>
  <c r="V42" i="1"/>
  <c r="W42" i="1"/>
  <c r="J29" i="1"/>
  <c r="K29" i="1"/>
  <c r="BG43" i="1"/>
  <c r="BC43" i="1"/>
  <c r="BD43" i="1"/>
  <c r="BE43" i="1"/>
  <c r="BA43" i="1"/>
  <c r="BF43" i="1"/>
  <c r="BP43" i="1"/>
  <c r="BQ43" i="1"/>
  <c r="BR43" i="1"/>
  <c r="BM43" i="1"/>
  <c r="BS43" i="1"/>
  <c r="BJ43" i="1"/>
  <c r="BB42" i="1"/>
  <c r="Z42" i="1"/>
  <c r="AX43" i="1"/>
  <c r="AL42" i="1"/>
  <c r="N42" i="1"/>
  <c r="BN42" i="1"/>
  <c r="BT42" i="1"/>
  <c r="BH42" i="1"/>
  <c r="X41" i="1"/>
  <c r="AJ41" i="1"/>
  <c r="AV41" i="1"/>
  <c r="AP41" i="1"/>
  <c r="BO43" i="1"/>
  <c r="AD41" i="1"/>
  <c r="R41" i="1"/>
  <c r="I29" i="1"/>
  <c r="H29" i="1"/>
  <c r="L28" i="1"/>
  <c r="BK44" i="1"/>
  <c r="AY44" i="1"/>
  <c r="AM43" i="1"/>
  <c r="AA43" i="1"/>
  <c r="O43" i="1"/>
  <c r="D30" i="1"/>
  <c r="G29" i="1"/>
  <c r="E29" i="1"/>
  <c r="F28" i="1"/>
  <c r="C30" i="1"/>
  <c r="B29" i="1"/>
  <c r="AQ43" i="1" l="1"/>
  <c r="AR43" i="1"/>
  <c r="AS43" i="1"/>
  <c r="AT43" i="1"/>
  <c r="AU43" i="1"/>
  <c r="AO43" i="1"/>
  <c r="AI43" i="1"/>
  <c r="AE43" i="1"/>
  <c r="AF43" i="1"/>
  <c r="AG43" i="1"/>
  <c r="AH43" i="1"/>
  <c r="AC43" i="1"/>
  <c r="S43" i="1"/>
  <c r="T43" i="1"/>
  <c r="Q43" i="1"/>
  <c r="U43" i="1"/>
  <c r="V43" i="1"/>
  <c r="W43" i="1"/>
  <c r="J30" i="1"/>
  <c r="K30" i="1"/>
  <c r="BC44" i="1"/>
  <c r="BD44" i="1"/>
  <c r="BE44" i="1"/>
  <c r="BF44" i="1"/>
  <c r="BG44" i="1"/>
  <c r="BA44" i="1"/>
  <c r="BP44" i="1"/>
  <c r="BQ44" i="1"/>
  <c r="BR44" i="1"/>
  <c r="BS44" i="1"/>
  <c r="BM44" i="1"/>
  <c r="BN43" i="1"/>
  <c r="BB43" i="1"/>
  <c r="BJ44" i="1"/>
  <c r="Z43" i="1"/>
  <c r="AX44" i="1"/>
  <c r="AL43" i="1"/>
  <c r="N43" i="1"/>
  <c r="BT43" i="1"/>
  <c r="BH43" i="1"/>
  <c r="R42" i="1"/>
  <c r="X42" i="1"/>
  <c r="AJ42" i="1"/>
  <c r="AV42" i="1"/>
  <c r="BO44" i="1"/>
  <c r="AD42" i="1"/>
  <c r="H30" i="1"/>
  <c r="I30" i="1"/>
  <c r="L29" i="1"/>
  <c r="BK45" i="1"/>
  <c r="AY45" i="1"/>
  <c r="AM44" i="1"/>
  <c r="AP42" i="1"/>
  <c r="AA44" i="1"/>
  <c r="O44" i="1"/>
  <c r="D31" i="1"/>
  <c r="G30" i="1"/>
  <c r="E30" i="1"/>
  <c r="F29" i="1"/>
  <c r="C31" i="1"/>
  <c r="B30" i="1"/>
  <c r="BN44" i="1" l="1"/>
  <c r="AR44" i="1"/>
  <c r="AS44" i="1"/>
  <c r="AT44" i="1"/>
  <c r="AU44" i="1"/>
  <c r="AO44" i="1"/>
  <c r="AQ44" i="1"/>
  <c r="AE44" i="1"/>
  <c r="AF44" i="1"/>
  <c r="AG44" i="1"/>
  <c r="AH44" i="1"/>
  <c r="AI44" i="1"/>
  <c r="AC44" i="1"/>
  <c r="V44" i="1"/>
  <c r="W44" i="1"/>
  <c r="Q44" i="1"/>
  <c r="S44" i="1"/>
  <c r="T44" i="1"/>
  <c r="U44" i="1"/>
  <c r="J31" i="1"/>
  <c r="K31" i="1"/>
  <c r="BE45" i="1"/>
  <c r="BF45" i="1"/>
  <c r="BG45" i="1"/>
  <c r="BC45" i="1"/>
  <c r="BD45" i="1"/>
  <c r="BA45" i="1"/>
  <c r="BP45" i="1"/>
  <c r="BQ45" i="1"/>
  <c r="BR45" i="1"/>
  <c r="BM45" i="1"/>
  <c r="BN45" i="1" s="1"/>
  <c r="BS45" i="1"/>
  <c r="BB44" i="1"/>
  <c r="R43" i="1"/>
  <c r="BJ45" i="1"/>
  <c r="Z44" i="1"/>
  <c r="AX45" i="1"/>
  <c r="AL44" i="1"/>
  <c r="N44" i="1"/>
  <c r="BT44" i="1"/>
  <c r="BH44" i="1"/>
  <c r="X43" i="1"/>
  <c r="AJ43" i="1"/>
  <c r="AV43" i="1"/>
  <c r="BO45" i="1"/>
  <c r="AD43" i="1"/>
  <c r="H31" i="1"/>
  <c r="I31" i="1"/>
  <c r="L30" i="1"/>
  <c r="BK46" i="1"/>
  <c r="AY46" i="1"/>
  <c r="AM45" i="1"/>
  <c r="AP43" i="1"/>
  <c r="AA45" i="1"/>
  <c r="O45" i="1"/>
  <c r="D32" i="1"/>
  <c r="G31" i="1"/>
  <c r="E31" i="1"/>
  <c r="F30" i="1"/>
  <c r="C32" i="1"/>
  <c r="B31" i="1"/>
  <c r="AU45" i="1" l="1"/>
  <c r="AQ45" i="1"/>
  <c r="AR45" i="1"/>
  <c r="AS45" i="1"/>
  <c r="AO45" i="1"/>
  <c r="AT45" i="1"/>
  <c r="AG45" i="1"/>
  <c r="AH45" i="1"/>
  <c r="AI45" i="1"/>
  <c r="AF45" i="1"/>
  <c r="AE45" i="1"/>
  <c r="AC45" i="1"/>
  <c r="S45" i="1"/>
  <c r="T45" i="1"/>
  <c r="Q45" i="1"/>
  <c r="U45" i="1"/>
  <c r="V45" i="1"/>
  <c r="W45" i="1"/>
  <c r="K32" i="1"/>
  <c r="J32" i="1"/>
  <c r="BC46" i="1"/>
  <c r="BD46" i="1"/>
  <c r="BE46" i="1"/>
  <c r="BF46" i="1"/>
  <c r="BG46" i="1"/>
  <c r="BA46" i="1"/>
  <c r="BP46" i="1"/>
  <c r="BQ46" i="1"/>
  <c r="BR46" i="1"/>
  <c r="BS46" i="1"/>
  <c r="BM46" i="1"/>
  <c r="BN46" i="1" s="1"/>
  <c r="BB45" i="1"/>
  <c r="R44" i="1"/>
  <c r="BJ46" i="1"/>
  <c r="Z45" i="1"/>
  <c r="AX46" i="1"/>
  <c r="AL45" i="1"/>
  <c r="N45" i="1"/>
  <c r="BT45" i="1"/>
  <c r="BH45" i="1"/>
  <c r="X44" i="1"/>
  <c r="AJ44" i="1"/>
  <c r="AV44" i="1"/>
  <c r="AD44" i="1"/>
  <c r="BO46" i="1"/>
  <c r="I32" i="1"/>
  <c r="H32" i="1"/>
  <c r="L31" i="1"/>
  <c r="AP44" i="1"/>
  <c r="BK47" i="1"/>
  <c r="AY47" i="1"/>
  <c r="AM46" i="1"/>
  <c r="AA46" i="1"/>
  <c r="O46" i="1"/>
  <c r="D33" i="1"/>
  <c r="F31" i="1"/>
  <c r="G32" i="1"/>
  <c r="E32" i="1"/>
  <c r="C33" i="1"/>
  <c r="B32" i="1"/>
  <c r="AQ46" i="1" l="1"/>
  <c r="AR46" i="1"/>
  <c r="AS46" i="1"/>
  <c r="AT46" i="1"/>
  <c r="AU46" i="1"/>
  <c r="AO46" i="1"/>
  <c r="AE46" i="1"/>
  <c r="AF46" i="1"/>
  <c r="AG46" i="1"/>
  <c r="AH46" i="1"/>
  <c r="AI46" i="1"/>
  <c r="AC46" i="1"/>
  <c r="T46" i="1"/>
  <c r="U46" i="1"/>
  <c r="V46" i="1"/>
  <c r="W46" i="1"/>
  <c r="Q46" i="1"/>
  <c r="S46" i="1"/>
  <c r="K33" i="1"/>
  <c r="J33" i="1"/>
  <c r="BC47" i="1"/>
  <c r="BD47" i="1"/>
  <c r="BE47" i="1"/>
  <c r="BF47" i="1"/>
  <c r="BG47" i="1"/>
  <c r="BA47" i="1"/>
  <c r="BP47" i="1"/>
  <c r="BQ47" i="1"/>
  <c r="BR47" i="1"/>
  <c r="BM47" i="1"/>
  <c r="BN47" i="1" s="1"/>
  <c r="BS47" i="1"/>
  <c r="BB46" i="1"/>
  <c r="R45" i="1"/>
  <c r="BJ47" i="1"/>
  <c r="Z46" i="1"/>
  <c r="AX47" i="1"/>
  <c r="AL46" i="1"/>
  <c r="N46" i="1"/>
  <c r="BT46" i="1"/>
  <c r="BH46" i="1"/>
  <c r="X45" i="1"/>
  <c r="AJ45" i="1"/>
  <c r="AV45" i="1"/>
  <c r="AP45" i="1"/>
  <c r="AD45" i="1"/>
  <c r="BO47" i="1"/>
  <c r="I33" i="1"/>
  <c r="H33" i="1"/>
  <c r="L32" i="1"/>
  <c r="BK48" i="1"/>
  <c r="AY48" i="1"/>
  <c r="AM47" i="1"/>
  <c r="AA47" i="1"/>
  <c r="O47" i="1"/>
  <c r="D34" i="1"/>
  <c r="G33" i="1"/>
  <c r="E33" i="1"/>
  <c r="F32" i="1"/>
  <c r="C34" i="1"/>
  <c r="B33" i="1"/>
  <c r="AS47" i="1" l="1"/>
  <c r="AT47" i="1"/>
  <c r="AU47" i="1"/>
  <c r="AQ47" i="1"/>
  <c r="AO47" i="1"/>
  <c r="AR47" i="1"/>
  <c r="AE47" i="1"/>
  <c r="AF47" i="1"/>
  <c r="AG47" i="1"/>
  <c r="AH47" i="1"/>
  <c r="AI47" i="1"/>
  <c r="AC47" i="1"/>
  <c r="W47" i="1"/>
  <c r="S47" i="1"/>
  <c r="T47" i="1"/>
  <c r="Q47" i="1"/>
  <c r="U47" i="1"/>
  <c r="V47" i="1"/>
  <c r="K34" i="1"/>
  <c r="J34" i="1"/>
  <c r="BF48" i="1"/>
  <c r="BG48" i="1"/>
  <c r="BC48" i="1"/>
  <c r="BD48" i="1"/>
  <c r="BE48" i="1"/>
  <c r="BA48" i="1"/>
  <c r="BP48" i="1"/>
  <c r="BQ48" i="1"/>
  <c r="BR48" i="1"/>
  <c r="BS48" i="1"/>
  <c r="BM48" i="1"/>
  <c r="BN48" i="1" s="1"/>
  <c r="BB47" i="1"/>
  <c r="R46" i="1"/>
  <c r="BJ48" i="1"/>
  <c r="Z47" i="1"/>
  <c r="AX48" i="1"/>
  <c r="AL47" i="1"/>
  <c r="N47" i="1"/>
  <c r="BT47" i="1"/>
  <c r="BH47" i="1"/>
  <c r="X46" i="1"/>
  <c r="AJ46" i="1"/>
  <c r="AV46" i="1"/>
  <c r="AD46" i="1"/>
  <c r="BO48" i="1"/>
  <c r="I34" i="1"/>
  <c r="H34" i="1"/>
  <c r="L33" i="1"/>
  <c r="BK49" i="1"/>
  <c r="AY49" i="1"/>
  <c r="AP46" i="1"/>
  <c r="AM48" i="1"/>
  <c r="AA48" i="1"/>
  <c r="O48" i="1"/>
  <c r="D35" i="1"/>
  <c r="G34" i="1"/>
  <c r="E34" i="1"/>
  <c r="F33" i="1"/>
  <c r="C35" i="1"/>
  <c r="B34" i="1"/>
  <c r="AQ48" i="1" l="1"/>
  <c r="AR48" i="1"/>
  <c r="AS48" i="1"/>
  <c r="AT48" i="1"/>
  <c r="AU48" i="1"/>
  <c r="AO48" i="1"/>
  <c r="AH48" i="1"/>
  <c r="AI48" i="1"/>
  <c r="AE48" i="1"/>
  <c r="AF48" i="1"/>
  <c r="AG48" i="1"/>
  <c r="AC48" i="1"/>
  <c r="S48" i="1"/>
  <c r="T48" i="1"/>
  <c r="U48" i="1"/>
  <c r="V48" i="1"/>
  <c r="W48" i="1"/>
  <c r="Q48" i="1"/>
  <c r="K35" i="1"/>
  <c r="J35" i="1"/>
  <c r="BC49" i="1"/>
  <c r="BD49" i="1"/>
  <c r="BE49" i="1"/>
  <c r="BF49" i="1"/>
  <c r="BG49" i="1"/>
  <c r="BA49" i="1"/>
  <c r="BP49" i="1"/>
  <c r="BQ49" i="1"/>
  <c r="BR49" i="1"/>
  <c r="BS49" i="1"/>
  <c r="BM49" i="1"/>
  <c r="R47" i="1"/>
  <c r="BJ49" i="1"/>
  <c r="Z48" i="1"/>
  <c r="AX49" i="1"/>
  <c r="AL48" i="1"/>
  <c r="N48" i="1"/>
  <c r="BB48" i="1"/>
  <c r="BT48" i="1"/>
  <c r="BH48" i="1"/>
  <c r="X47" i="1"/>
  <c r="AJ47" i="1"/>
  <c r="AV47" i="1"/>
  <c r="BO49" i="1"/>
  <c r="AD47" i="1"/>
  <c r="I35" i="1"/>
  <c r="H35" i="1"/>
  <c r="L34" i="1"/>
  <c r="BK50" i="1"/>
  <c r="AY50" i="1"/>
  <c r="AP47" i="1"/>
  <c r="AM49" i="1"/>
  <c r="AA49" i="1"/>
  <c r="O49" i="1"/>
  <c r="D36" i="1"/>
  <c r="F34" i="1"/>
  <c r="G35" i="1"/>
  <c r="E35" i="1"/>
  <c r="C36" i="1"/>
  <c r="B35" i="1"/>
  <c r="AQ49" i="1" l="1"/>
  <c r="AR49" i="1"/>
  <c r="AS49" i="1"/>
  <c r="AT49" i="1"/>
  <c r="AU49" i="1"/>
  <c r="AO49" i="1"/>
  <c r="AE49" i="1"/>
  <c r="AF49" i="1"/>
  <c r="AG49" i="1"/>
  <c r="AH49" i="1"/>
  <c r="AI49" i="1"/>
  <c r="AC49" i="1"/>
  <c r="R48" i="1"/>
  <c r="Q49" i="1"/>
  <c r="U49" i="1"/>
  <c r="V49" i="1"/>
  <c r="W49" i="1"/>
  <c r="S49" i="1"/>
  <c r="T49" i="1"/>
  <c r="K36" i="1"/>
  <c r="J36" i="1"/>
  <c r="BD50" i="1"/>
  <c r="BE50" i="1"/>
  <c r="BF50" i="1"/>
  <c r="BG50" i="1"/>
  <c r="BC50" i="1"/>
  <c r="BA50" i="1"/>
  <c r="BP50" i="1"/>
  <c r="BQ50" i="1"/>
  <c r="BR50" i="1"/>
  <c r="BS50" i="1"/>
  <c r="BM50" i="1"/>
  <c r="BJ50" i="1"/>
  <c r="BB49" i="1"/>
  <c r="Z49" i="1"/>
  <c r="AX50" i="1"/>
  <c r="AL49" i="1"/>
  <c r="N49" i="1"/>
  <c r="BN49" i="1"/>
  <c r="BT49" i="1"/>
  <c r="BH49" i="1"/>
  <c r="X48" i="1"/>
  <c r="AJ48" i="1"/>
  <c r="AV48" i="1"/>
  <c r="AD48" i="1"/>
  <c r="BO50" i="1"/>
  <c r="H36" i="1"/>
  <c r="I36" i="1"/>
  <c r="L35" i="1"/>
  <c r="BK51" i="1"/>
  <c r="AY51" i="1"/>
  <c r="AM50" i="1"/>
  <c r="AP48" i="1"/>
  <c r="AA50" i="1"/>
  <c r="O50" i="1"/>
  <c r="D37" i="1"/>
  <c r="F35" i="1"/>
  <c r="G36" i="1"/>
  <c r="E36" i="1"/>
  <c r="C37" i="1"/>
  <c r="B36" i="1"/>
  <c r="AT50" i="1" l="1"/>
  <c r="AU50" i="1"/>
  <c r="AQ50" i="1"/>
  <c r="AR50" i="1"/>
  <c r="AS50" i="1"/>
  <c r="AO50" i="1"/>
  <c r="AD49" i="1"/>
  <c r="AF50" i="1"/>
  <c r="AG50" i="1"/>
  <c r="AH50" i="1"/>
  <c r="AI50" i="1"/>
  <c r="AE50" i="1"/>
  <c r="AC50" i="1"/>
  <c r="Q50" i="1"/>
  <c r="S50" i="1"/>
  <c r="T50" i="1"/>
  <c r="U50" i="1"/>
  <c r="V50" i="1"/>
  <c r="W50" i="1"/>
  <c r="J37" i="1"/>
  <c r="K37" i="1"/>
  <c r="BG51" i="1"/>
  <c r="BC51" i="1"/>
  <c r="BD51" i="1"/>
  <c r="BE51" i="1"/>
  <c r="BF51" i="1"/>
  <c r="BA51" i="1"/>
  <c r="BP51" i="1"/>
  <c r="BQ51" i="1"/>
  <c r="BR51" i="1"/>
  <c r="BM51" i="1"/>
  <c r="BS51" i="1"/>
  <c r="BN50" i="1"/>
  <c r="BJ51" i="1"/>
  <c r="BB50" i="1"/>
  <c r="Z50" i="1"/>
  <c r="AX51" i="1"/>
  <c r="AL50" i="1"/>
  <c r="N50" i="1"/>
  <c r="R49" i="1"/>
  <c r="BT50" i="1"/>
  <c r="BH50" i="1"/>
  <c r="X49" i="1"/>
  <c r="AV49" i="1"/>
  <c r="AJ49" i="1"/>
  <c r="BO51" i="1"/>
  <c r="I37" i="1"/>
  <c r="H37" i="1"/>
  <c r="L36" i="1"/>
  <c r="AP49" i="1"/>
  <c r="BK52" i="1"/>
  <c r="AY52" i="1"/>
  <c r="AM51" i="1"/>
  <c r="AA51" i="1"/>
  <c r="O51" i="1"/>
  <c r="D38" i="1"/>
  <c r="G37" i="1"/>
  <c r="E37" i="1"/>
  <c r="F36" i="1"/>
  <c r="C38" i="1"/>
  <c r="B37" i="1"/>
  <c r="BN51" i="1" l="1"/>
  <c r="AD50" i="1"/>
  <c r="AQ51" i="1"/>
  <c r="AR51" i="1"/>
  <c r="AS51" i="1"/>
  <c r="AT51" i="1"/>
  <c r="AU51" i="1"/>
  <c r="AO51" i="1"/>
  <c r="AI51" i="1"/>
  <c r="AE51" i="1"/>
  <c r="AF51" i="1"/>
  <c r="AH51" i="1"/>
  <c r="AG51" i="1"/>
  <c r="AC51" i="1"/>
  <c r="AD51" i="1" s="1"/>
  <c r="R50" i="1"/>
  <c r="S51" i="1"/>
  <c r="T51" i="1"/>
  <c r="Q51" i="1"/>
  <c r="U51" i="1"/>
  <c r="V51" i="1"/>
  <c r="W51" i="1"/>
  <c r="J38" i="1"/>
  <c r="K38" i="1"/>
  <c r="BC52" i="1"/>
  <c r="BD52" i="1"/>
  <c r="BE52" i="1"/>
  <c r="BF52" i="1"/>
  <c r="BG52" i="1"/>
  <c r="BA52" i="1"/>
  <c r="BP52" i="1"/>
  <c r="BQ52" i="1"/>
  <c r="BR52" i="1"/>
  <c r="BS52" i="1"/>
  <c r="BM52" i="1"/>
  <c r="BJ52" i="1"/>
  <c r="BB51" i="1"/>
  <c r="Z51" i="1"/>
  <c r="AX52" i="1"/>
  <c r="AL51" i="1"/>
  <c r="N51" i="1"/>
  <c r="BT51" i="1"/>
  <c r="BH51" i="1"/>
  <c r="X50" i="1"/>
  <c r="AV50" i="1"/>
  <c r="BO52" i="1"/>
  <c r="AJ50" i="1"/>
  <c r="H38" i="1"/>
  <c r="I38" i="1"/>
  <c r="L37" i="1"/>
  <c r="AP50" i="1"/>
  <c r="BK53" i="1"/>
  <c r="AY53" i="1"/>
  <c r="AM52" i="1"/>
  <c r="AA52" i="1"/>
  <c r="O52" i="1"/>
  <c r="D39" i="1"/>
  <c r="G38" i="1"/>
  <c r="E38" i="1"/>
  <c r="F37" i="1"/>
  <c r="C39" i="1"/>
  <c r="B38" i="1"/>
  <c r="R51" i="1" l="1"/>
  <c r="AR52" i="1"/>
  <c r="AS52" i="1"/>
  <c r="AT52" i="1"/>
  <c r="AU52" i="1"/>
  <c r="AQ52" i="1"/>
  <c r="AO52" i="1"/>
  <c r="AE52" i="1"/>
  <c r="AF52" i="1"/>
  <c r="AG52" i="1"/>
  <c r="AH52" i="1"/>
  <c r="AI52" i="1"/>
  <c r="AC52" i="1"/>
  <c r="AD52" i="1" s="1"/>
  <c r="V52" i="1"/>
  <c r="W52" i="1"/>
  <c r="Q52" i="1"/>
  <c r="S52" i="1"/>
  <c r="T52" i="1"/>
  <c r="U52" i="1"/>
  <c r="J39" i="1"/>
  <c r="K39" i="1"/>
  <c r="BE53" i="1"/>
  <c r="BF53" i="1"/>
  <c r="BG53" i="1"/>
  <c r="BC53" i="1"/>
  <c r="BD53" i="1"/>
  <c r="BA53" i="1"/>
  <c r="BP53" i="1"/>
  <c r="BQ53" i="1"/>
  <c r="BR53" i="1"/>
  <c r="BS53" i="1"/>
  <c r="BM53" i="1"/>
  <c r="BB52" i="1"/>
  <c r="BJ53" i="1"/>
  <c r="Z52" i="1"/>
  <c r="AX53" i="1"/>
  <c r="AL52" i="1"/>
  <c r="N52" i="1"/>
  <c r="BT52" i="1"/>
  <c r="BH52" i="1"/>
  <c r="X51" i="1"/>
  <c r="AV51" i="1"/>
  <c r="BO53" i="1"/>
  <c r="AJ51" i="1"/>
  <c r="H39" i="1"/>
  <c r="I39" i="1"/>
  <c r="L38" i="1"/>
  <c r="BN52" i="1"/>
  <c r="BK54" i="1"/>
  <c r="AY54" i="1"/>
  <c r="AM53" i="1"/>
  <c r="AP51" i="1"/>
  <c r="AA53" i="1"/>
  <c r="O53" i="1"/>
  <c r="D40" i="1"/>
  <c r="F38" i="1"/>
  <c r="G39" i="1"/>
  <c r="E39" i="1"/>
  <c r="C40" i="1"/>
  <c r="B39" i="1"/>
  <c r="R52" i="1" l="1"/>
  <c r="AU53" i="1"/>
  <c r="AQ53" i="1"/>
  <c r="AR53" i="1"/>
  <c r="AS53" i="1"/>
  <c r="AT53" i="1"/>
  <c r="AO53" i="1"/>
  <c r="AG53" i="1"/>
  <c r="AH53" i="1"/>
  <c r="AI53" i="1"/>
  <c r="AE53" i="1"/>
  <c r="AF53" i="1"/>
  <c r="AC53" i="1"/>
  <c r="AD53" i="1" s="1"/>
  <c r="S53" i="1"/>
  <c r="T53" i="1"/>
  <c r="Q53" i="1"/>
  <c r="U53" i="1"/>
  <c r="V53" i="1"/>
  <c r="W53" i="1"/>
  <c r="K40" i="1"/>
  <c r="J40" i="1"/>
  <c r="BC54" i="1"/>
  <c r="BD54" i="1"/>
  <c r="BE54" i="1"/>
  <c r="BF54" i="1"/>
  <c r="BG54" i="1"/>
  <c r="BA54" i="1"/>
  <c r="BP54" i="1"/>
  <c r="BQ54" i="1"/>
  <c r="BR54" i="1"/>
  <c r="BS54" i="1"/>
  <c r="BM54" i="1"/>
  <c r="BB53" i="1"/>
  <c r="BJ54" i="1"/>
  <c r="Z53" i="1"/>
  <c r="AX54" i="1"/>
  <c r="AL53" i="1"/>
  <c r="N53" i="1"/>
  <c r="BT53" i="1"/>
  <c r="BH53" i="1"/>
  <c r="X52" i="1"/>
  <c r="AV52" i="1"/>
  <c r="BO54" i="1"/>
  <c r="AJ52" i="1"/>
  <c r="I40" i="1"/>
  <c r="H40" i="1"/>
  <c r="L39" i="1"/>
  <c r="AP52" i="1"/>
  <c r="BK55" i="1"/>
  <c r="BN53" i="1"/>
  <c r="AY55" i="1"/>
  <c r="AM54" i="1"/>
  <c r="AA54" i="1"/>
  <c r="O54" i="1"/>
  <c r="D41" i="1"/>
  <c r="F39" i="1"/>
  <c r="G40" i="1"/>
  <c r="E40" i="1"/>
  <c r="C41" i="1"/>
  <c r="B40" i="1"/>
  <c r="AQ54" i="1" l="1"/>
  <c r="AR54" i="1"/>
  <c r="AS54" i="1"/>
  <c r="AT54" i="1"/>
  <c r="AU54" i="1"/>
  <c r="AO54" i="1"/>
  <c r="AE54" i="1"/>
  <c r="AF54" i="1"/>
  <c r="AG54" i="1"/>
  <c r="AH54" i="1"/>
  <c r="AI54" i="1"/>
  <c r="AC54" i="1"/>
  <c r="AD54" i="1" s="1"/>
  <c r="T54" i="1"/>
  <c r="U54" i="1"/>
  <c r="V54" i="1"/>
  <c r="W54" i="1"/>
  <c r="Q54" i="1"/>
  <c r="S54" i="1"/>
  <c r="K41" i="1"/>
  <c r="J41" i="1"/>
  <c r="BC55" i="1"/>
  <c r="BD55" i="1"/>
  <c r="BE55" i="1"/>
  <c r="BF55" i="1"/>
  <c r="BG55" i="1"/>
  <c r="BA55" i="1"/>
  <c r="BP55" i="1"/>
  <c r="BQ55" i="1"/>
  <c r="BR55" i="1"/>
  <c r="BS55" i="1"/>
  <c r="BM55" i="1"/>
  <c r="BB54" i="1"/>
  <c r="BJ55" i="1"/>
  <c r="Z54" i="1"/>
  <c r="AX55" i="1"/>
  <c r="AL54" i="1"/>
  <c r="N54" i="1"/>
  <c r="BT54" i="1"/>
  <c r="BH54" i="1"/>
  <c r="X53" i="1"/>
  <c r="AV53" i="1"/>
  <c r="BO55" i="1"/>
  <c r="AJ53" i="1"/>
  <c r="H41" i="1"/>
  <c r="I41" i="1"/>
  <c r="L40" i="1"/>
  <c r="BK56" i="1"/>
  <c r="BN54" i="1"/>
  <c r="AY56" i="1"/>
  <c r="AM55" i="1"/>
  <c r="AP53" i="1"/>
  <c r="AA55" i="1"/>
  <c r="O55" i="1"/>
  <c r="R53" i="1"/>
  <c r="D42" i="1"/>
  <c r="G41" i="1"/>
  <c r="E41" i="1"/>
  <c r="F40" i="1"/>
  <c r="C42" i="1"/>
  <c r="B41" i="1"/>
  <c r="AS55" i="1" l="1"/>
  <c r="AT55" i="1"/>
  <c r="AU55" i="1"/>
  <c r="AQ55" i="1"/>
  <c r="AR55" i="1"/>
  <c r="AO55" i="1"/>
  <c r="AE55" i="1"/>
  <c r="AF55" i="1"/>
  <c r="AG55" i="1"/>
  <c r="AH55" i="1"/>
  <c r="AI55" i="1"/>
  <c r="AC55" i="1"/>
  <c r="W55" i="1"/>
  <c r="S55" i="1"/>
  <c r="T55" i="1"/>
  <c r="Q55" i="1"/>
  <c r="U55" i="1"/>
  <c r="V55" i="1"/>
  <c r="K42" i="1"/>
  <c r="J42" i="1"/>
  <c r="BF56" i="1"/>
  <c r="BG56" i="1"/>
  <c r="BC56" i="1"/>
  <c r="BD56" i="1"/>
  <c r="BA56" i="1"/>
  <c r="BE56" i="1"/>
  <c r="BP56" i="1"/>
  <c r="BQ56" i="1"/>
  <c r="BR56" i="1"/>
  <c r="BS56" i="1"/>
  <c r="BM56" i="1"/>
  <c r="BJ56" i="1"/>
  <c r="Z55" i="1"/>
  <c r="AX56" i="1"/>
  <c r="AL55" i="1"/>
  <c r="N55" i="1"/>
  <c r="BB55" i="1"/>
  <c r="BT55" i="1"/>
  <c r="BH55" i="1"/>
  <c r="X54" i="1"/>
  <c r="AV54" i="1"/>
  <c r="BO56" i="1"/>
  <c r="AJ54" i="1"/>
  <c r="I42" i="1"/>
  <c r="H42" i="1"/>
  <c r="L41" i="1"/>
  <c r="BN55" i="1"/>
  <c r="AP54" i="1"/>
  <c r="R54" i="1"/>
  <c r="BK57" i="1"/>
  <c r="AY57" i="1"/>
  <c r="AM56" i="1"/>
  <c r="AA56" i="1"/>
  <c r="O56" i="1"/>
  <c r="D43" i="1"/>
  <c r="G42" i="1"/>
  <c r="E42" i="1"/>
  <c r="F41" i="1"/>
  <c r="C43" i="1"/>
  <c r="B42" i="1"/>
  <c r="AQ56" i="1" l="1"/>
  <c r="AR56" i="1"/>
  <c r="AS56" i="1"/>
  <c r="AT56" i="1"/>
  <c r="AU56" i="1"/>
  <c r="AO56" i="1"/>
  <c r="AH56" i="1"/>
  <c r="AI56" i="1"/>
  <c r="AE56" i="1"/>
  <c r="AF56" i="1"/>
  <c r="AG56" i="1"/>
  <c r="AC56" i="1"/>
  <c r="S56" i="1"/>
  <c r="T56" i="1"/>
  <c r="U56" i="1"/>
  <c r="V56" i="1"/>
  <c r="W56" i="1"/>
  <c r="Q56" i="1"/>
  <c r="K43" i="1"/>
  <c r="J43" i="1"/>
  <c r="BC57" i="1"/>
  <c r="BD57" i="1"/>
  <c r="BE57" i="1"/>
  <c r="BF57" i="1"/>
  <c r="BG57" i="1"/>
  <c r="BA57" i="1"/>
  <c r="BP57" i="1"/>
  <c r="BQ57" i="1"/>
  <c r="BR57" i="1"/>
  <c r="BM57" i="1"/>
  <c r="BS57" i="1"/>
  <c r="BB56" i="1"/>
  <c r="BJ57" i="1"/>
  <c r="Z56" i="1"/>
  <c r="AX57" i="1"/>
  <c r="AL56" i="1"/>
  <c r="N56" i="1"/>
  <c r="AD55" i="1"/>
  <c r="BT56" i="1"/>
  <c r="BH56" i="1"/>
  <c r="X55" i="1"/>
  <c r="AV55" i="1"/>
  <c r="BO57" i="1"/>
  <c r="AJ55" i="1"/>
  <c r="I43" i="1"/>
  <c r="H43" i="1"/>
  <c r="L42" i="1"/>
  <c r="R55" i="1"/>
  <c r="BK58" i="1"/>
  <c r="BN56" i="1"/>
  <c r="AY58" i="1"/>
  <c r="AP55" i="1"/>
  <c r="AM57" i="1"/>
  <c r="AA57" i="1"/>
  <c r="O57" i="1"/>
  <c r="D44" i="1"/>
  <c r="G43" i="1"/>
  <c r="E43" i="1"/>
  <c r="F42" i="1"/>
  <c r="C44" i="1"/>
  <c r="B43" i="1"/>
  <c r="AQ57" i="1" l="1"/>
  <c r="AR57" i="1"/>
  <c r="AS57" i="1"/>
  <c r="AT57" i="1"/>
  <c r="AU57" i="1"/>
  <c r="AO57" i="1"/>
  <c r="AE57" i="1"/>
  <c r="AF57" i="1"/>
  <c r="AG57" i="1"/>
  <c r="AH57" i="1"/>
  <c r="AC57" i="1"/>
  <c r="AI57" i="1"/>
  <c r="Q57" i="1"/>
  <c r="U57" i="1"/>
  <c r="V57" i="1"/>
  <c r="W57" i="1"/>
  <c r="S57" i="1"/>
  <c r="T57" i="1"/>
  <c r="K44" i="1"/>
  <c r="J44" i="1"/>
  <c r="BD58" i="1"/>
  <c r="BE58" i="1"/>
  <c r="BF58" i="1"/>
  <c r="BG58" i="1"/>
  <c r="BA58" i="1"/>
  <c r="BC58" i="1"/>
  <c r="BB57" i="1"/>
  <c r="BP58" i="1"/>
  <c r="BQ58" i="1"/>
  <c r="BR58" i="1"/>
  <c r="BS58" i="1"/>
  <c r="BM58" i="1"/>
  <c r="BJ58" i="1"/>
  <c r="Z57" i="1"/>
  <c r="AX58" i="1"/>
  <c r="AL57" i="1"/>
  <c r="N57" i="1"/>
  <c r="AD56" i="1"/>
  <c r="BT57" i="1"/>
  <c r="BH57" i="1"/>
  <c r="X56" i="1"/>
  <c r="AV56" i="1"/>
  <c r="BO58" i="1"/>
  <c r="AJ56" i="1"/>
  <c r="H44" i="1"/>
  <c r="I44" i="1"/>
  <c r="L43" i="1"/>
  <c r="R56" i="1"/>
  <c r="BK59" i="1"/>
  <c r="BN57" i="1"/>
  <c r="AY59" i="1"/>
  <c r="AM58" i="1"/>
  <c r="AP56" i="1"/>
  <c r="AA58" i="1"/>
  <c r="O58" i="1"/>
  <c r="D45" i="1"/>
  <c r="F43" i="1"/>
  <c r="G44" i="1"/>
  <c r="E44" i="1"/>
  <c r="C45" i="1"/>
  <c r="B44" i="1"/>
  <c r="BB58" i="1" l="1"/>
  <c r="AT58" i="1"/>
  <c r="AU58" i="1"/>
  <c r="AQ58" i="1"/>
  <c r="AR58" i="1"/>
  <c r="AO58" i="1"/>
  <c r="AS58" i="1"/>
  <c r="AF58" i="1"/>
  <c r="AG58" i="1"/>
  <c r="AH58" i="1"/>
  <c r="AI58" i="1"/>
  <c r="AE58" i="1"/>
  <c r="AC58" i="1"/>
  <c r="AD57" i="1"/>
  <c r="Q58" i="1"/>
  <c r="S58" i="1"/>
  <c r="T58" i="1"/>
  <c r="U58" i="1"/>
  <c r="V58" i="1"/>
  <c r="W58" i="1"/>
  <c r="J45" i="1"/>
  <c r="K45" i="1"/>
  <c r="BG59" i="1"/>
  <c r="BC59" i="1"/>
  <c r="BD59" i="1"/>
  <c r="BE59" i="1"/>
  <c r="BF59" i="1"/>
  <c r="BA59" i="1"/>
  <c r="BP59" i="1"/>
  <c r="BQ59" i="1"/>
  <c r="BR59" i="1"/>
  <c r="BM59" i="1"/>
  <c r="BS59" i="1"/>
  <c r="BJ59" i="1"/>
  <c r="Z58" i="1"/>
  <c r="AX59" i="1"/>
  <c r="AL58" i="1"/>
  <c r="N58" i="1"/>
  <c r="BT58" i="1"/>
  <c r="BH58" i="1"/>
  <c r="X57" i="1"/>
  <c r="AV57" i="1"/>
  <c r="BO59" i="1"/>
  <c r="AJ57" i="1"/>
  <c r="H45" i="1"/>
  <c r="I45" i="1"/>
  <c r="L44" i="1"/>
  <c r="BN58" i="1"/>
  <c r="BK60" i="1"/>
  <c r="AY60" i="1"/>
  <c r="AP57" i="1"/>
  <c r="AM59" i="1"/>
  <c r="AA59" i="1"/>
  <c r="R57" i="1"/>
  <c r="O59" i="1"/>
  <c r="F44" i="1"/>
  <c r="D46" i="1"/>
  <c r="G45" i="1"/>
  <c r="E45" i="1"/>
  <c r="C46" i="1"/>
  <c r="B45" i="1"/>
  <c r="BB59" i="1" l="1"/>
  <c r="AQ59" i="1"/>
  <c r="AR59" i="1"/>
  <c r="AS59" i="1"/>
  <c r="AT59" i="1"/>
  <c r="AU59" i="1"/>
  <c r="AO59" i="1"/>
  <c r="AD58" i="1"/>
  <c r="AI59" i="1"/>
  <c r="AE59" i="1"/>
  <c r="AF59" i="1"/>
  <c r="AG59" i="1"/>
  <c r="AH59" i="1"/>
  <c r="AC59" i="1"/>
  <c r="S59" i="1"/>
  <c r="T59" i="1"/>
  <c r="Q59" i="1"/>
  <c r="U59" i="1"/>
  <c r="V59" i="1"/>
  <c r="W59" i="1"/>
  <c r="J46" i="1"/>
  <c r="K46" i="1"/>
  <c r="BC60" i="1"/>
  <c r="BD60" i="1"/>
  <c r="BE60" i="1"/>
  <c r="BF60" i="1"/>
  <c r="BG60" i="1"/>
  <c r="BA60" i="1"/>
  <c r="BP60" i="1"/>
  <c r="BQ60" i="1"/>
  <c r="BR60" i="1"/>
  <c r="BS60" i="1"/>
  <c r="BM60" i="1"/>
  <c r="BJ60" i="1"/>
  <c r="Z59" i="1"/>
  <c r="AX60" i="1"/>
  <c r="AL59" i="1"/>
  <c r="N59" i="1"/>
  <c r="BT59" i="1"/>
  <c r="BH59" i="1"/>
  <c r="X58" i="1"/>
  <c r="F45" i="1"/>
  <c r="AV58" i="1"/>
  <c r="BO60" i="1"/>
  <c r="AJ58" i="1"/>
  <c r="H46" i="1"/>
  <c r="I46" i="1"/>
  <c r="L45" i="1"/>
  <c r="BN59" i="1"/>
  <c r="BK61" i="1"/>
  <c r="AY61" i="1"/>
  <c r="AP58" i="1"/>
  <c r="AM60" i="1"/>
  <c r="AA60" i="1"/>
  <c r="O60" i="1"/>
  <c r="R58" i="1"/>
  <c r="D47" i="1"/>
  <c r="G46" i="1"/>
  <c r="E46" i="1"/>
  <c r="C47" i="1"/>
  <c r="B46" i="1"/>
  <c r="BB60" i="1" l="1"/>
  <c r="AD59" i="1"/>
  <c r="AR60" i="1"/>
  <c r="AS60" i="1"/>
  <c r="AT60" i="1"/>
  <c r="AU60" i="1"/>
  <c r="AO60" i="1"/>
  <c r="AQ60" i="1"/>
  <c r="AE60" i="1"/>
  <c r="AF60" i="1"/>
  <c r="AG60" i="1"/>
  <c r="AH60" i="1"/>
  <c r="AI60" i="1"/>
  <c r="AC60" i="1"/>
  <c r="V60" i="1"/>
  <c r="W60" i="1"/>
  <c r="Q60" i="1"/>
  <c r="S60" i="1"/>
  <c r="T60" i="1"/>
  <c r="U60" i="1"/>
  <c r="J47" i="1"/>
  <c r="K47" i="1"/>
  <c r="BE61" i="1"/>
  <c r="BF61" i="1"/>
  <c r="BG61" i="1"/>
  <c r="BC61" i="1"/>
  <c r="BD61" i="1"/>
  <c r="BA61" i="1"/>
  <c r="BP61" i="1"/>
  <c r="BQ61" i="1"/>
  <c r="BR61" i="1"/>
  <c r="BM61" i="1"/>
  <c r="BS61" i="1"/>
  <c r="BJ61" i="1"/>
  <c r="Z60" i="1"/>
  <c r="AX61" i="1"/>
  <c r="AL60" i="1"/>
  <c r="N60" i="1"/>
  <c r="F46" i="1"/>
  <c r="BT60" i="1"/>
  <c r="BH60" i="1"/>
  <c r="X59" i="1"/>
  <c r="AV59" i="1"/>
  <c r="AJ59" i="1"/>
  <c r="BO61" i="1"/>
  <c r="H47" i="1"/>
  <c r="I47" i="1"/>
  <c r="L46" i="1"/>
  <c r="BN60" i="1"/>
  <c r="BK62" i="1"/>
  <c r="AY62" i="1"/>
  <c r="AM61" i="1"/>
  <c r="AP59" i="1"/>
  <c r="AA61" i="1"/>
  <c r="O61" i="1"/>
  <c r="R59" i="1"/>
  <c r="D48" i="1"/>
  <c r="G47" i="1"/>
  <c r="E47" i="1"/>
  <c r="C48" i="1"/>
  <c r="B47" i="1"/>
  <c r="BB61" i="1" l="1"/>
  <c r="AU61" i="1"/>
  <c r="AQ61" i="1"/>
  <c r="AR61" i="1"/>
  <c r="AS61" i="1"/>
  <c r="AO61" i="1"/>
  <c r="AT61" i="1"/>
  <c r="AG61" i="1"/>
  <c r="AH61" i="1"/>
  <c r="AI61" i="1"/>
  <c r="AE61" i="1"/>
  <c r="AF61" i="1"/>
  <c r="AC61" i="1"/>
  <c r="S61" i="1"/>
  <c r="T61" i="1"/>
  <c r="Q61" i="1"/>
  <c r="U61" i="1"/>
  <c r="V61" i="1"/>
  <c r="W61" i="1"/>
  <c r="K48" i="1"/>
  <c r="J48" i="1"/>
  <c r="BC62" i="1"/>
  <c r="BD62" i="1"/>
  <c r="BE62" i="1"/>
  <c r="BF62" i="1"/>
  <c r="BG62" i="1"/>
  <c r="BA62" i="1"/>
  <c r="BP62" i="1"/>
  <c r="BQ62" i="1"/>
  <c r="BR62" i="1"/>
  <c r="BS62" i="1"/>
  <c r="BM62" i="1"/>
  <c r="BJ62" i="1"/>
  <c r="Z61" i="1"/>
  <c r="AX62" i="1"/>
  <c r="AL61" i="1"/>
  <c r="N61" i="1"/>
  <c r="F47" i="1"/>
  <c r="BT61" i="1"/>
  <c r="BH61" i="1"/>
  <c r="X60" i="1"/>
  <c r="AJ60" i="1"/>
  <c r="AV60" i="1"/>
  <c r="BO62" i="1"/>
  <c r="AD60" i="1"/>
  <c r="I48" i="1"/>
  <c r="H48" i="1"/>
  <c r="L47" i="1"/>
  <c r="R60" i="1"/>
  <c r="AP60" i="1"/>
  <c r="BK63" i="1"/>
  <c r="BN61" i="1"/>
  <c r="AY63" i="1"/>
  <c r="AM62" i="1"/>
  <c r="AA62" i="1"/>
  <c r="O62" i="1"/>
  <c r="D49" i="1"/>
  <c r="G48" i="1"/>
  <c r="E48" i="1"/>
  <c r="C49" i="1"/>
  <c r="B48" i="1"/>
  <c r="AQ62" i="1" l="1"/>
  <c r="AR62" i="1"/>
  <c r="AS62" i="1"/>
  <c r="AT62" i="1"/>
  <c r="AU62" i="1"/>
  <c r="AO62" i="1"/>
  <c r="AE62" i="1"/>
  <c r="AF62" i="1"/>
  <c r="AG62" i="1"/>
  <c r="AH62" i="1"/>
  <c r="AI62" i="1"/>
  <c r="AC62" i="1"/>
  <c r="T62" i="1"/>
  <c r="U62" i="1"/>
  <c r="V62" i="1"/>
  <c r="W62" i="1"/>
  <c r="Q62" i="1"/>
  <c r="S62" i="1"/>
  <c r="K49" i="1"/>
  <c r="J49" i="1"/>
  <c r="BC63" i="1"/>
  <c r="BD63" i="1"/>
  <c r="BE63" i="1"/>
  <c r="BF63" i="1"/>
  <c r="BG63" i="1"/>
  <c r="BA63" i="1"/>
  <c r="BP63" i="1"/>
  <c r="BQ63" i="1"/>
  <c r="BR63" i="1"/>
  <c r="BM63" i="1"/>
  <c r="BS63" i="1"/>
  <c r="BJ63" i="1"/>
  <c r="Z62" i="1"/>
  <c r="AX63" i="1"/>
  <c r="AL62" i="1"/>
  <c r="N62" i="1"/>
  <c r="BB62" i="1"/>
  <c r="F48" i="1"/>
  <c r="BT62" i="1"/>
  <c r="BH62" i="1"/>
  <c r="X61" i="1"/>
  <c r="AJ61" i="1"/>
  <c r="AV61" i="1"/>
  <c r="BO63" i="1"/>
  <c r="AD61" i="1"/>
  <c r="I49" i="1"/>
  <c r="H49" i="1"/>
  <c r="L48" i="1"/>
  <c r="BK64" i="1"/>
  <c r="BN62" i="1"/>
  <c r="AY64" i="1"/>
  <c r="AM63" i="1"/>
  <c r="AP61" i="1"/>
  <c r="AA63" i="1"/>
  <c r="O63" i="1"/>
  <c r="R61" i="1"/>
  <c r="D50" i="1"/>
  <c r="G49" i="1"/>
  <c r="E49" i="1"/>
  <c r="C50" i="1"/>
  <c r="B49" i="1"/>
  <c r="AS63" i="1" l="1"/>
  <c r="AT63" i="1"/>
  <c r="AU63" i="1"/>
  <c r="AQ63" i="1"/>
  <c r="AR63" i="1"/>
  <c r="AO63" i="1"/>
  <c r="AE63" i="1"/>
  <c r="AF63" i="1"/>
  <c r="AG63" i="1"/>
  <c r="AH63" i="1"/>
  <c r="AI63" i="1"/>
  <c r="AC63" i="1"/>
  <c r="W63" i="1"/>
  <c r="S63" i="1"/>
  <c r="T63" i="1"/>
  <c r="Q63" i="1"/>
  <c r="U63" i="1"/>
  <c r="V63" i="1"/>
  <c r="K50" i="1"/>
  <c r="J50" i="1"/>
  <c r="BF64" i="1"/>
  <c r="BG64" i="1"/>
  <c r="BC64" i="1"/>
  <c r="BD64" i="1"/>
  <c r="BA64" i="1"/>
  <c r="BE64" i="1"/>
  <c r="BB63" i="1"/>
  <c r="BP64" i="1"/>
  <c r="BQ64" i="1"/>
  <c r="BR64" i="1"/>
  <c r="BS64" i="1"/>
  <c r="BM64" i="1"/>
  <c r="BJ64" i="1"/>
  <c r="Z63" i="1"/>
  <c r="AX64" i="1"/>
  <c r="AL63" i="1"/>
  <c r="N63" i="1"/>
  <c r="F49" i="1"/>
  <c r="BT63" i="1"/>
  <c r="BH63" i="1"/>
  <c r="X62" i="1"/>
  <c r="AJ62" i="1"/>
  <c r="AV62" i="1"/>
  <c r="AD62" i="1"/>
  <c r="BO64" i="1"/>
  <c r="I50" i="1"/>
  <c r="H50" i="1"/>
  <c r="L49" i="1"/>
  <c r="BN63" i="1"/>
  <c r="BK65" i="1"/>
  <c r="AY65" i="1"/>
  <c r="AM64" i="1"/>
  <c r="AP62" i="1"/>
  <c r="AA64" i="1"/>
  <c r="O64" i="1"/>
  <c r="R62" i="1"/>
  <c r="D51" i="1"/>
  <c r="G50" i="1"/>
  <c r="E50" i="1"/>
  <c r="C51" i="1"/>
  <c r="B50" i="1"/>
  <c r="BB64" i="1" l="1"/>
  <c r="AQ64" i="1"/>
  <c r="AR64" i="1"/>
  <c r="AS64" i="1"/>
  <c r="AT64" i="1"/>
  <c r="AU64" i="1"/>
  <c r="AO64" i="1"/>
  <c r="AH64" i="1"/>
  <c r="AI64" i="1"/>
  <c r="AE64" i="1"/>
  <c r="AG64" i="1"/>
  <c r="AC64" i="1"/>
  <c r="AF64" i="1"/>
  <c r="S64" i="1"/>
  <c r="T64" i="1"/>
  <c r="U64" i="1"/>
  <c r="V64" i="1"/>
  <c r="W64" i="1"/>
  <c r="Q64" i="1"/>
  <c r="K51" i="1"/>
  <c r="J51" i="1"/>
  <c r="BC65" i="1"/>
  <c r="BD65" i="1"/>
  <c r="BE65" i="1"/>
  <c r="BF65" i="1"/>
  <c r="BG65" i="1"/>
  <c r="BA65" i="1"/>
  <c r="BP65" i="1"/>
  <c r="BQ65" i="1"/>
  <c r="BR65" i="1"/>
  <c r="BS65" i="1"/>
  <c r="BM65" i="1"/>
  <c r="BJ65" i="1"/>
  <c r="Z64" i="1"/>
  <c r="AX65" i="1"/>
  <c r="AL64" i="1"/>
  <c r="N64" i="1"/>
  <c r="F50" i="1"/>
  <c r="BT64" i="1"/>
  <c r="BH64" i="1"/>
  <c r="X63" i="1"/>
  <c r="AJ63" i="1"/>
  <c r="AV63" i="1"/>
  <c r="BO65" i="1"/>
  <c r="AD63" i="1"/>
  <c r="I51" i="1"/>
  <c r="H51" i="1"/>
  <c r="L50" i="1"/>
  <c r="BK66" i="1"/>
  <c r="BN64" i="1"/>
  <c r="AY66" i="1"/>
  <c r="AP63" i="1"/>
  <c r="AM65" i="1"/>
  <c r="AA65" i="1"/>
  <c r="O65" i="1"/>
  <c r="R63" i="1"/>
  <c r="D52" i="1"/>
  <c r="B51" i="1"/>
  <c r="C52" i="1"/>
  <c r="E51" i="1"/>
  <c r="G51" i="1"/>
  <c r="BB65" i="1" l="1"/>
  <c r="F51" i="1"/>
  <c r="AQ65" i="1"/>
  <c r="AR65" i="1"/>
  <c r="AS65" i="1"/>
  <c r="AT65" i="1"/>
  <c r="AU65" i="1"/>
  <c r="AO65" i="1"/>
  <c r="AE65" i="1"/>
  <c r="AF65" i="1"/>
  <c r="AG65" i="1"/>
  <c r="AH65" i="1"/>
  <c r="AI65" i="1"/>
  <c r="AC65" i="1"/>
  <c r="Q65" i="1"/>
  <c r="U65" i="1"/>
  <c r="V65" i="1"/>
  <c r="W65" i="1"/>
  <c r="S65" i="1"/>
  <c r="T65" i="1"/>
  <c r="K52" i="1"/>
  <c r="J52" i="1"/>
  <c r="BD66" i="1"/>
  <c r="BE66" i="1"/>
  <c r="BF66" i="1"/>
  <c r="BG66" i="1"/>
  <c r="BA66" i="1"/>
  <c r="BB66" i="1" s="1"/>
  <c r="BC66" i="1"/>
  <c r="BP66" i="1"/>
  <c r="BQ66" i="1"/>
  <c r="BR66" i="1"/>
  <c r="BS66" i="1"/>
  <c r="BM66" i="1"/>
  <c r="BJ66" i="1"/>
  <c r="Z65" i="1"/>
  <c r="AX66" i="1"/>
  <c r="AL65" i="1"/>
  <c r="N65" i="1"/>
  <c r="BT65" i="1"/>
  <c r="BH65" i="1"/>
  <c r="X64" i="1"/>
  <c r="AJ64" i="1"/>
  <c r="AV64" i="1"/>
  <c r="AD64" i="1"/>
  <c r="BO66" i="1"/>
  <c r="H52" i="1"/>
  <c r="I52" i="1"/>
  <c r="L51" i="1"/>
  <c r="BK67" i="1"/>
  <c r="BN65" i="1"/>
  <c r="AY67" i="1"/>
  <c r="AM66" i="1"/>
  <c r="AP64" i="1"/>
  <c r="AA66" i="1"/>
  <c r="O66" i="1"/>
  <c r="R64" i="1"/>
  <c r="D53" i="1"/>
  <c r="C53" i="1"/>
  <c r="G52" i="1"/>
  <c r="B52" i="1"/>
  <c r="E52" i="1"/>
  <c r="AT66" i="1" l="1"/>
  <c r="AU66" i="1"/>
  <c r="AQ66" i="1"/>
  <c r="AR66" i="1"/>
  <c r="AO66" i="1"/>
  <c r="AS66" i="1"/>
  <c r="AF66" i="1"/>
  <c r="AG66" i="1"/>
  <c r="AH66" i="1"/>
  <c r="AI66" i="1"/>
  <c r="AE66" i="1"/>
  <c r="AC66" i="1"/>
  <c r="Q66" i="1"/>
  <c r="S66" i="1"/>
  <c r="T66" i="1"/>
  <c r="U66" i="1"/>
  <c r="V66" i="1"/>
  <c r="W66" i="1"/>
  <c r="J53" i="1"/>
  <c r="K53" i="1"/>
  <c r="BG67" i="1"/>
  <c r="BC67" i="1"/>
  <c r="BD67" i="1"/>
  <c r="BE67" i="1"/>
  <c r="BA67" i="1"/>
  <c r="BB67" i="1" s="1"/>
  <c r="BF67" i="1"/>
  <c r="BP67" i="1"/>
  <c r="BQ67" i="1"/>
  <c r="BR67" i="1"/>
  <c r="BM67" i="1"/>
  <c r="BS67" i="1"/>
  <c r="BJ67" i="1"/>
  <c r="Z66" i="1"/>
  <c r="AX67" i="1"/>
  <c r="AL66" i="1"/>
  <c r="N66" i="1"/>
  <c r="BT66" i="1"/>
  <c r="BH66" i="1"/>
  <c r="X65" i="1"/>
  <c r="AJ65" i="1"/>
  <c r="AV65" i="1"/>
  <c r="BO67" i="1"/>
  <c r="AD65" i="1"/>
  <c r="I53" i="1"/>
  <c r="H53" i="1"/>
  <c r="L52" i="1"/>
  <c r="AP65" i="1"/>
  <c r="BN66" i="1"/>
  <c r="BK68" i="1"/>
  <c r="AY68" i="1"/>
  <c r="AM67" i="1"/>
  <c r="AA67" i="1"/>
  <c r="R65" i="1"/>
  <c r="O67" i="1"/>
  <c r="D54" i="1"/>
  <c r="F52" i="1"/>
  <c r="C54" i="1"/>
  <c r="G53" i="1"/>
  <c r="E53" i="1"/>
  <c r="B53" i="1"/>
  <c r="AQ67" i="1" l="1"/>
  <c r="AR67" i="1"/>
  <c r="AS67" i="1"/>
  <c r="AT67" i="1"/>
  <c r="AU67" i="1"/>
  <c r="AO67" i="1"/>
  <c r="AI67" i="1"/>
  <c r="AE67" i="1"/>
  <c r="AF67" i="1"/>
  <c r="AG67" i="1"/>
  <c r="AH67" i="1"/>
  <c r="AC67" i="1"/>
  <c r="S67" i="1"/>
  <c r="T67" i="1"/>
  <c r="Q67" i="1"/>
  <c r="U67" i="1"/>
  <c r="V67" i="1"/>
  <c r="W67" i="1"/>
  <c r="K54" i="1"/>
  <c r="J54" i="1"/>
  <c r="BC68" i="1"/>
  <c r="BD68" i="1"/>
  <c r="BE68" i="1"/>
  <c r="BF68" i="1"/>
  <c r="BG68" i="1"/>
  <c r="BA68" i="1"/>
  <c r="BB68" i="1" s="1"/>
  <c r="BP68" i="1"/>
  <c r="BQ68" i="1"/>
  <c r="BR68" i="1"/>
  <c r="BS68" i="1"/>
  <c r="BM68" i="1"/>
  <c r="BJ68" i="1"/>
  <c r="Z67" i="1"/>
  <c r="AX68" i="1"/>
  <c r="AL67" i="1"/>
  <c r="N67" i="1"/>
  <c r="BT67" i="1"/>
  <c r="BH67" i="1"/>
  <c r="X66" i="1"/>
  <c r="AJ66" i="1"/>
  <c r="AV66" i="1"/>
  <c r="BO68" i="1"/>
  <c r="AD66" i="1"/>
  <c r="H54" i="1"/>
  <c r="I54" i="1"/>
  <c r="AP66" i="1"/>
  <c r="L53" i="1"/>
  <c r="BN67" i="1"/>
  <c r="BK69" i="1"/>
  <c r="AY69" i="1"/>
  <c r="AM68" i="1"/>
  <c r="AA68" i="1"/>
  <c r="R66" i="1"/>
  <c r="O68" i="1"/>
  <c r="D55" i="1"/>
  <c r="C55" i="1"/>
  <c r="G54" i="1"/>
  <c r="E54" i="1"/>
  <c r="B54" i="1"/>
  <c r="F53" i="1"/>
  <c r="AR68" i="1" l="1"/>
  <c r="AS68" i="1"/>
  <c r="AT68" i="1"/>
  <c r="AU68" i="1"/>
  <c r="AQ68" i="1"/>
  <c r="AO68" i="1"/>
  <c r="AE68" i="1"/>
  <c r="AF68" i="1"/>
  <c r="AG68" i="1"/>
  <c r="AH68" i="1"/>
  <c r="AI68" i="1"/>
  <c r="AC68" i="1"/>
  <c r="V68" i="1"/>
  <c r="W68" i="1"/>
  <c r="Q68" i="1"/>
  <c r="S68" i="1"/>
  <c r="T68" i="1"/>
  <c r="U68" i="1"/>
  <c r="J55" i="1"/>
  <c r="K55" i="1"/>
  <c r="BE69" i="1"/>
  <c r="BF69" i="1"/>
  <c r="BG69" i="1"/>
  <c r="BC69" i="1"/>
  <c r="BA69" i="1"/>
  <c r="BD69" i="1"/>
  <c r="BP69" i="1"/>
  <c r="BQ69" i="1"/>
  <c r="BR69" i="1"/>
  <c r="BS69" i="1"/>
  <c r="BM69" i="1"/>
  <c r="BJ69" i="1"/>
  <c r="Z68" i="1"/>
  <c r="AX69" i="1"/>
  <c r="AL68" i="1"/>
  <c r="N68" i="1"/>
  <c r="BT68" i="1"/>
  <c r="BH68" i="1"/>
  <c r="X67" i="1"/>
  <c r="AJ67" i="1"/>
  <c r="AV67" i="1"/>
  <c r="BO69" i="1"/>
  <c r="AD67" i="1"/>
  <c r="H55" i="1"/>
  <c r="I55" i="1"/>
  <c r="L54" i="1"/>
  <c r="BK70" i="1"/>
  <c r="BN68" i="1"/>
  <c r="AY70" i="1"/>
  <c r="AM69" i="1"/>
  <c r="AP67" i="1"/>
  <c r="AA69" i="1"/>
  <c r="O69" i="1"/>
  <c r="R67" i="1"/>
  <c r="D56" i="1"/>
  <c r="C56" i="1"/>
  <c r="G55" i="1"/>
  <c r="B55" i="1"/>
  <c r="E55" i="1"/>
  <c r="F54" i="1"/>
  <c r="AU69" i="1" l="1"/>
  <c r="AQ69" i="1"/>
  <c r="AR69" i="1"/>
  <c r="AS69" i="1"/>
  <c r="AT69" i="1"/>
  <c r="AO69" i="1"/>
  <c r="AG69" i="1"/>
  <c r="AH69" i="1"/>
  <c r="AI69" i="1"/>
  <c r="AE69" i="1"/>
  <c r="AF69" i="1"/>
  <c r="AC69" i="1"/>
  <c r="S69" i="1"/>
  <c r="T69" i="1"/>
  <c r="Q69" i="1"/>
  <c r="U69" i="1"/>
  <c r="V69" i="1"/>
  <c r="W69" i="1"/>
  <c r="K56" i="1"/>
  <c r="J56" i="1"/>
  <c r="BC70" i="1"/>
  <c r="BD70" i="1"/>
  <c r="BE70" i="1"/>
  <c r="BF70" i="1"/>
  <c r="BG70" i="1"/>
  <c r="BA70" i="1"/>
  <c r="BP70" i="1"/>
  <c r="BQ70" i="1"/>
  <c r="BR70" i="1"/>
  <c r="BS70" i="1"/>
  <c r="BM70" i="1"/>
  <c r="BJ70" i="1"/>
  <c r="Z69" i="1"/>
  <c r="AX70" i="1"/>
  <c r="AL69" i="1"/>
  <c r="N69" i="1"/>
  <c r="BB69" i="1"/>
  <c r="BT69" i="1"/>
  <c r="BH69" i="1"/>
  <c r="X68" i="1"/>
  <c r="AJ68" i="1"/>
  <c r="AV68" i="1"/>
  <c r="AD68" i="1"/>
  <c r="BO70" i="1"/>
  <c r="I56" i="1"/>
  <c r="H56" i="1"/>
  <c r="L55" i="1"/>
  <c r="AP68" i="1"/>
  <c r="R68" i="1"/>
  <c r="BN69" i="1"/>
  <c r="BK71" i="1"/>
  <c r="AY71" i="1"/>
  <c r="AM70" i="1"/>
  <c r="AA70" i="1"/>
  <c r="O70" i="1"/>
  <c r="D57" i="1"/>
  <c r="F55" i="1"/>
  <c r="C57" i="1"/>
  <c r="G56" i="1"/>
  <c r="B56" i="1"/>
  <c r="E56" i="1"/>
  <c r="AQ70" i="1" l="1"/>
  <c r="AR70" i="1"/>
  <c r="AS70" i="1"/>
  <c r="AT70" i="1"/>
  <c r="AU70" i="1"/>
  <c r="AO70" i="1"/>
  <c r="AE70" i="1"/>
  <c r="AF70" i="1"/>
  <c r="AG70" i="1"/>
  <c r="AI70" i="1"/>
  <c r="AH70" i="1"/>
  <c r="AC70" i="1"/>
  <c r="T70" i="1"/>
  <c r="U70" i="1"/>
  <c r="V70" i="1"/>
  <c r="W70" i="1"/>
  <c r="Q70" i="1"/>
  <c r="S70" i="1"/>
  <c r="K57" i="1"/>
  <c r="J57" i="1"/>
  <c r="BC71" i="1"/>
  <c r="BD71" i="1"/>
  <c r="BE71" i="1"/>
  <c r="BF71" i="1"/>
  <c r="BG71" i="1"/>
  <c r="BA71" i="1"/>
  <c r="BB70" i="1"/>
  <c r="BP71" i="1"/>
  <c r="BQ71" i="1"/>
  <c r="BR71" i="1"/>
  <c r="BS71" i="1"/>
  <c r="BM71" i="1"/>
  <c r="BJ71" i="1"/>
  <c r="Z70" i="1"/>
  <c r="AX71" i="1"/>
  <c r="AL70" i="1"/>
  <c r="N70" i="1"/>
  <c r="BT70" i="1"/>
  <c r="BH70" i="1"/>
  <c r="X69" i="1"/>
  <c r="AJ69" i="1"/>
  <c r="AV69" i="1"/>
  <c r="R69" i="1"/>
  <c r="BO71" i="1"/>
  <c r="AD69" i="1"/>
  <c r="H57" i="1"/>
  <c r="I57" i="1"/>
  <c r="L56" i="1"/>
  <c r="BN70" i="1"/>
  <c r="BK72" i="1"/>
  <c r="AY72" i="1"/>
  <c r="AM71" i="1"/>
  <c r="AP69" i="1"/>
  <c r="AA71" i="1"/>
  <c r="O71" i="1"/>
  <c r="D58" i="1"/>
  <c r="C58" i="1"/>
  <c r="G57" i="1"/>
  <c r="B57" i="1"/>
  <c r="E57" i="1"/>
  <c r="F56" i="1"/>
  <c r="BB71" i="1" l="1"/>
  <c r="AS71" i="1"/>
  <c r="AT71" i="1"/>
  <c r="AU71" i="1"/>
  <c r="AQ71" i="1"/>
  <c r="AR71" i="1"/>
  <c r="AO71" i="1"/>
  <c r="AE71" i="1"/>
  <c r="AF71" i="1"/>
  <c r="AG71" i="1"/>
  <c r="AH71" i="1"/>
  <c r="AI71" i="1"/>
  <c r="AC71" i="1"/>
  <c r="W71" i="1"/>
  <c r="S71" i="1"/>
  <c r="T71" i="1"/>
  <c r="Q71" i="1"/>
  <c r="U71" i="1"/>
  <c r="V71" i="1"/>
  <c r="K58" i="1"/>
  <c r="J58" i="1"/>
  <c r="BF72" i="1"/>
  <c r="BG72" i="1"/>
  <c r="BC72" i="1"/>
  <c r="BD72" i="1"/>
  <c r="BE72" i="1"/>
  <c r="BA72" i="1"/>
  <c r="BB72" i="1" s="1"/>
  <c r="BP72" i="1"/>
  <c r="BQ72" i="1"/>
  <c r="BR72" i="1"/>
  <c r="BS72" i="1"/>
  <c r="BM72" i="1"/>
  <c r="BJ72" i="1"/>
  <c r="Z71" i="1"/>
  <c r="AX72" i="1"/>
  <c r="AL71" i="1"/>
  <c r="N71" i="1"/>
  <c r="BT71" i="1"/>
  <c r="BH71" i="1"/>
  <c r="X70" i="1"/>
  <c r="AJ70" i="1"/>
  <c r="AV70" i="1"/>
  <c r="BO72" i="1"/>
  <c r="AD70" i="1"/>
  <c r="I58" i="1"/>
  <c r="H58" i="1"/>
  <c r="L57" i="1"/>
  <c r="BN71" i="1"/>
  <c r="AP70" i="1"/>
  <c r="BK73" i="1"/>
  <c r="AY73" i="1"/>
  <c r="AM72" i="1"/>
  <c r="AA72" i="1"/>
  <c r="O72" i="1"/>
  <c r="R70" i="1"/>
  <c r="D59" i="1"/>
  <c r="C59" i="1"/>
  <c r="G58" i="1"/>
  <c r="B58" i="1"/>
  <c r="E58" i="1"/>
  <c r="F57" i="1"/>
  <c r="AQ72" i="1" l="1"/>
  <c r="AR72" i="1"/>
  <c r="AS72" i="1"/>
  <c r="AT72" i="1"/>
  <c r="AO72" i="1"/>
  <c r="AU72" i="1"/>
  <c r="AH72" i="1"/>
  <c r="AI72" i="1"/>
  <c r="AE72" i="1"/>
  <c r="AF72" i="1"/>
  <c r="AG72" i="1"/>
  <c r="AC72" i="1"/>
  <c r="S72" i="1"/>
  <c r="T72" i="1"/>
  <c r="U72" i="1"/>
  <c r="V72" i="1"/>
  <c r="W72" i="1"/>
  <c r="Q72" i="1"/>
  <c r="J59" i="1"/>
  <c r="K59" i="1"/>
  <c r="BC73" i="1"/>
  <c r="BD73" i="1"/>
  <c r="BE73" i="1"/>
  <c r="BF73" i="1"/>
  <c r="BG73" i="1"/>
  <c r="BA73" i="1"/>
  <c r="BB73" i="1" s="1"/>
  <c r="BP73" i="1"/>
  <c r="BQ73" i="1"/>
  <c r="BR73" i="1"/>
  <c r="BS73" i="1"/>
  <c r="BM73" i="1"/>
  <c r="BJ73" i="1"/>
  <c r="Z72" i="1"/>
  <c r="AX73" i="1"/>
  <c r="AL72" i="1"/>
  <c r="N72" i="1"/>
  <c r="BT72" i="1"/>
  <c r="BH72" i="1"/>
  <c r="X71" i="1"/>
  <c r="AJ71" i="1"/>
  <c r="AV71" i="1"/>
  <c r="BO73" i="1"/>
  <c r="AD71" i="1"/>
  <c r="I59" i="1"/>
  <c r="H59" i="1"/>
  <c r="L58" i="1"/>
  <c r="BN72" i="1"/>
  <c r="BK74" i="1"/>
  <c r="AY74" i="1"/>
  <c r="AM73" i="1"/>
  <c r="AP71" i="1"/>
  <c r="AA73" i="1"/>
  <c r="O73" i="1"/>
  <c r="R71" i="1"/>
  <c r="D60" i="1"/>
  <c r="F58" i="1"/>
  <c r="C60" i="1"/>
  <c r="G59" i="1"/>
  <c r="B59" i="1"/>
  <c r="E59" i="1"/>
  <c r="AQ73" i="1" l="1"/>
  <c r="AR73" i="1"/>
  <c r="AS73" i="1"/>
  <c r="AT73" i="1"/>
  <c r="AU73" i="1"/>
  <c r="AO73" i="1"/>
  <c r="AE73" i="1"/>
  <c r="AF73" i="1"/>
  <c r="AG73" i="1"/>
  <c r="AH73" i="1"/>
  <c r="AI73" i="1"/>
  <c r="AC73" i="1"/>
  <c r="Q73" i="1"/>
  <c r="U73" i="1"/>
  <c r="V73" i="1"/>
  <c r="W73" i="1"/>
  <c r="S73" i="1"/>
  <c r="T73" i="1"/>
  <c r="K60" i="1"/>
  <c r="J60" i="1"/>
  <c r="BD74" i="1"/>
  <c r="BE74" i="1"/>
  <c r="BF74" i="1"/>
  <c r="BG74" i="1"/>
  <c r="BC74" i="1"/>
  <c r="BA74" i="1"/>
  <c r="BB74" i="1" s="1"/>
  <c r="BP74" i="1"/>
  <c r="BQ74" i="1"/>
  <c r="BR74" i="1"/>
  <c r="BS74" i="1"/>
  <c r="BM74" i="1"/>
  <c r="BJ74" i="1"/>
  <c r="Z73" i="1"/>
  <c r="AX74" i="1"/>
  <c r="AL73" i="1"/>
  <c r="N73" i="1"/>
  <c r="BT73" i="1"/>
  <c r="BH73" i="1"/>
  <c r="X72" i="1"/>
  <c r="AJ72" i="1"/>
  <c r="AV72" i="1"/>
  <c r="BO74" i="1"/>
  <c r="BN73" i="1"/>
  <c r="AD72" i="1"/>
  <c r="H60" i="1"/>
  <c r="I60" i="1"/>
  <c r="L59" i="1"/>
  <c r="AP72" i="1"/>
  <c r="BK75" i="1"/>
  <c r="AY75" i="1"/>
  <c r="AM74" i="1"/>
  <c r="AA74" i="1"/>
  <c r="O74" i="1"/>
  <c r="R72" i="1"/>
  <c r="D61" i="1"/>
  <c r="C61" i="1"/>
  <c r="G60" i="1"/>
  <c r="B60" i="1"/>
  <c r="E60" i="1"/>
  <c r="F59" i="1"/>
  <c r="AT74" i="1" l="1"/>
  <c r="AU74" i="1"/>
  <c r="AQ74" i="1"/>
  <c r="AR74" i="1"/>
  <c r="AO74" i="1"/>
  <c r="AS74" i="1"/>
  <c r="AF74" i="1"/>
  <c r="AG74" i="1"/>
  <c r="AH74" i="1"/>
  <c r="AI74" i="1"/>
  <c r="AE74" i="1"/>
  <c r="AC74" i="1"/>
  <c r="Q74" i="1"/>
  <c r="S74" i="1"/>
  <c r="T74" i="1"/>
  <c r="U74" i="1"/>
  <c r="V74" i="1"/>
  <c r="W74" i="1"/>
  <c r="J61" i="1"/>
  <c r="K61" i="1"/>
  <c r="BG75" i="1"/>
  <c r="BC75" i="1"/>
  <c r="BD75" i="1"/>
  <c r="BE75" i="1"/>
  <c r="BF75" i="1"/>
  <c r="BA75" i="1"/>
  <c r="BB75" i="1" s="1"/>
  <c r="BP75" i="1"/>
  <c r="BQ75" i="1"/>
  <c r="BR75" i="1"/>
  <c r="BM75" i="1"/>
  <c r="BS75" i="1"/>
  <c r="BJ75" i="1"/>
  <c r="Z74" i="1"/>
  <c r="AX75" i="1"/>
  <c r="AL74" i="1"/>
  <c r="N74" i="1"/>
  <c r="BT74" i="1"/>
  <c r="BH74" i="1"/>
  <c r="BN74" i="1"/>
  <c r="X73" i="1"/>
  <c r="AJ73" i="1"/>
  <c r="AV73" i="1"/>
  <c r="BO75" i="1"/>
  <c r="AD73" i="1"/>
  <c r="H61" i="1"/>
  <c r="I61" i="1"/>
  <c r="L60" i="1"/>
  <c r="BK76" i="1"/>
  <c r="AY76" i="1"/>
  <c r="AM75" i="1"/>
  <c r="AP73" i="1"/>
  <c r="AA75" i="1"/>
  <c r="O75" i="1"/>
  <c r="R73" i="1"/>
  <c r="D62" i="1"/>
  <c r="F60" i="1"/>
  <c r="C62" i="1"/>
  <c r="G61" i="1"/>
  <c r="E61" i="1"/>
  <c r="B61" i="1"/>
  <c r="AQ75" i="1" l="1"/>
  <c r="AR75" i="1"/>
  <c r="AS75" i="1"/>
  <c r="AT75" i="1"/>
  <c r="AU75" i="1"/>
  <c r="AO75" i="1"/>
  <c r="AI75" i="1"/>
  <c r="AE75" i="1"/>
  <c r="AF75" i="1"/>
  <c r="AG75" i="1"/>
  <c r="AH75" i="1"/>
  <c r="AC75" i="1"/>
  <c r="S75" i="1"/>
  <c r="T75" i="1"/>
  <c r="Q75" i="1"/>
  <c r="U75" i="1"/>
  <c r="V75" i="1"/>
  <c r="W75" i="1"/>
  <c r="J62" i="1"/>
  <c r="K62" i="1"/>
  <c r="BC76" i="1"/>
  <c r="BD76" i="1"/>
  <c r="BE76" i="1"/>
  <c r="BF76" i="1"/>
  <c r="BG76" i="1"/>
  <c r="BA76" i="1"/>
  <c r="BP76" i="1"/>
  <c r="BQ76" i="1"/>
  <c r="BR76" i="1"/>
  <c r="BS76" i="1"/>
  <c r="BM76" i="1"/>
  <c r="BN75" i="1"/>
  <c r="BJ76" i="1"/>
  <c r="Z75" i="1"/>
  <c r="AX76" i="1"/>
  <c r="AL75" i="1"/>
  <c r="N75" i="1"/>
  <c r="BT75" i="1"/>
  <c r="BH75" i="1"/>
  <c r="X74" i="1"/>
  <c r="AJ74" i="1"/>
  <c r="AV74" i="1"/>
  <c r="BO76" i="1"/>
  <c r="AD74" i="1"/>
  <c r="H62" i="1"/>
  <c r="I62" i="1"/>
  <c r="L61" i="1"/>
  <c r="AP74" i="1"/>
  <c r="BK77" i="1"/>
  <c r="AY77" i="1"/>
  <c r="AM76" i="1"/>
  <c r="AA76" i="1"/>
  <c r="R74" i="1"/>
  <c r="O76" i="1"/>
  <c r="D63" i="1"/>
  <c r="C63" i="1"/>
  <c r="G62" i="1"/>
  <c r="E62" i="1"/>
  <c r="B62" i="1"/>
  <c r="F61" i="1"/>
  <c r="AR76" i="1" l="1"/>
  <c r="AS76" i="1"/>
  <c r="AT76" i="1"/>
  <c r="AU76" i="1"/>
  <c r="AQ76" i="1"/>
  <c r="AO76" i="1"/>
  <c r="AE76" i="1"/>
  <c r="AF76" i="1"/>
  <c r="AG76" i="1"/>
  <c r="AH76" i="1"/>
  <c r="AI76" i="1"/>
  <c r="AC76" i="1"/>
  <c r="V76" i="1"/>
  <c r="W76" i="1"/>
  <c r="Q76" i="1"/>
  <c r="S76" i="1"/>
  <c r="T76" i="1"/>
  <c r="U76" i="1"/>
  <c r="J63" i="1"/>
  <c r="K63" i="1"/>
  <c r="BE77" i="1"/>
  <c r="BF77" i="1"/>
  <c r="BG77" i="1"/>
  <c r="BC77" i="1"/>
  <c r="BD77" i="1"/>
  <c r="BA77" i="1"/>
  <c r="BP77" i="1"/>
  <c r="BQ77" i="1"/>
  <c r="BR77" i="1"/>
  <c r="BM77" i="1"/>
  <c r="BS77" i="1"/>
  <c r="BN76" i="1"/>
  <c r="BJ77" i="1"/>
  <c r="Z76" i="1"/>
  <c r="AX77" i="1"/>
  <c r="AL76" i="1"/>
  <c r="N76" i="1"/>
  <c r="BB76" i="1"/>
  <c r="BT76" i="1"/>
  <c r="BH76" i="1"/>
  <c r="X75" i="1"/>
  <c r="AJ75" i="1"/>
  <c r="AV75" i="1"/>
  <c r="BO77" i="1"/>
  <c r="AD75" i="1"/>
  <c r="H63" i="1"/>
  <c r="I63" i="1"/>
  <c r="L62" i="1"/>
  <c r="BK78" i="1"/>
  <c r="AY78" i="1"/>
  <c r="AP75" i="1"/>
  <c r="AM77" i="1"/>
  <c r="AA77" i="1"/>
  <c r="R75" i="1"/>
  <c r="O77" i="1"/>
  <c r="D64" i="1"/>
  <c r="F62" i="1"/>
  <c r="C64" i="1"/>
  <c r="G63" i="1"/>
  <c r="B63" i="1"/>
  <c r="E63" i="1"/>
  <c r="AU77" i="1" l="1"/>
  <c r="AQ77" i="1"/>
  <c r="AR77" i="1"/>
  <c r="AS77" i="1"/>
  <c r="AT77" i="1"/>
  <c r="AO77" i="1"/>
  <c r="AG77" i="1"/>
  <c r="AH77" i="1"/>
  <c r="AI77" i="1"/>
  <c r="AF77" i="1"/>
  <c r="AE77" i="1"/>
  <c r="AC77" i="1"/>
  <c r="S77" i="1"/>
  <c r="T77" i="1"/>
  <c r="Q77" i="1"/>
  <c r="U77" i="1"/>
  <c r="V77" i="1"/>
  <c r="W77" i="1"/>
  <c r="K64" i="1"/>
  <c r="J64" i="1"/>
  <c r="BC78" i="1"/>
  <c r="BD78" i="1"/>
  <c r="BE78" i="1"/>
  <c r="BF78" i="1"/>
  <c r="BG78" i="1"/>
  <c r="BA78" i="1"/>
  <c r="BP78" i="1"/>
  <c r="BQ78" i="1"/>
  <c r="BR78" i="1"/>
  <c r="BS78" i="1"/>
  <c r="BM78" i="1"/>
  <c r="BJ78" i="1"/>
  <c r="Z77" i="1"/>
  <c r="AX78" i="1"/>
  <c r="AL77" i="1"/>
  <c r="N77" i="1"/>
  <c r="BB77" i="1"/>
  <c r="BN77" i="1"/>
  <c r="BT77" i="1"/>
  <c r="BH77" i="1"/>
  <c r="X76" i="1"/>
  <c r="AJ76" i="1"/>
  <c r="AV76" i="1"/>
  <c r="BO78" i="1"/>
  <c r="AD76" i="1"/>
  <c r="I64" i="1"/>
  <c r="H64" i="1"/>
  <c r="L63" i="1"/>
  <c r="BK79" i="1"/>
  <c r="AY79" i="1"/>
  <c r="AM78" i="1"/>
  <c r="AP76" i="1"/>
  <c r="AA78" i="1"/>
  <c r="O78" i="1"/>
  <c r="R76" i="1"/>
  <c r="D65" i="1"/>
  <c r="C65" i="1"/>
  <c r="G64" i="1"/>
  <c r="B64" i="1"/>
  <c r="E64" i="1"/>
  <c r="F63" i="1"/>
  <c r="AQ78" i="1" l="1"/>
  <c r="AR78" i="1"/>
  <c r="AS78" i="1"/>
  <c r="AT78" i="1"/>
  <c r="AU78" i="1"/>
  <c r="AO78" i="1"/>
  <c r="AE78" i="1"/>
  <c r="AF78" i="1"/>
  <c r="AG78" i="1"/>
  <c r="AH78" i="1"/>
  <c r="AI78" i="1"/>
  <c r="AC78" i="1"/>
  <c r="T78" i="1"/>
  <c r="U78" i="1"/>
  <c r="V78" i="1"/>
  <c r="W78" i="1"/>
  <c r="Q78" i="1"/>
  <c r="S78" i="1"/>
  <c r="K65" i="1"/>
  <c r="J65" i="1"/>
  <c r="BC79" i="1"/>
  <c r="BD79" i="1"/>
  <c r="BE79" i="1"/>
  <c r="BF79" i="1"/>
  <c r="BG79" i="1"/>
  <c r="BA79" i="1"/>
  <c r="BP79" i="1"/>
  <c r="BQ79" i="1"/>
  <c r="BR79" i="1"/>
  <c r="BM79" i="1"/>
  <c r="BS79" i="1"/>
  <c r="AD77" i="1"/>
  <c r="BJ79" i="1"/>
  <c r="Z78" i="1"/>
  <c r="AX79" i="1"/>
  <c r="AL78" i="1"/>
  <c r="N78" i="1"/>
  <c r="BB78" i="1"/>
  <c r="BN78" i="1"/>
  <c r="BT78" i="1"/>
  <c r="BH78" i="1"/>
  <c r="X77" i="1"/>
  <c r="AV77" i="1"/>
  <c r="AJ77" i="1"/>
  <c r="BO79" i="1"/>
  <c r="I65" i="1"/>
  <c r="H65" i="1"/>
  <c r="L64" i="1"/>
  <c r="AP77" i="1"/>
  <c r="R77" i="1"/>
  <c r="BK80" i="1"/>
  <c r="AY80" i="1"/>
  <c r="AM79" i="1"/>
  <c r="AA79" i="1"/>
  <c r="O79" i="1"/>
  <c r="D66" i="1"/>
  <c r="F64" i="1"/>
  <c r="C66" i="1"/>
  <c r="G65" i="1"/>
  <c r="B65" i="1"/>
  <c r="E65" i="1"/>
  <c r="AS79" i="1" l="1"/>
  <c r="AT79" i="1"/>
  <c r="AU79" i="1"/>
  <c r="AQ79" i="1"/>
  <c r="AR79" i="1"/>
  <c r="AO79" i="1"/>
  <c r="AE79" i="1"/>
  <c r="AF79" i="1"/>
  <c r="AG79" i="1"/>
  <c r="AH79" i="1"/>
  <c r="AI79" i="1"/>
  <c r="AC79" i="1"/>
  <c r="W79" i="1"/>
  <c r="S79" i="1"/>
  <c r="T79" i="1"/>
  <c r="Q79" i="1"/>
  <c r="U79" i="1"/>
  <c r="V79" i="1"/>
  <c r="K66" i="1"/>
  <c r="J66" i="1"/>
  <c r="BF80" i="1"/>
  <c r="BG80" i="1"/>
  <c r="BC80" i="1"/>
  <c r="BD80" i="1"/>
  <c r="BA80" i="1"/>
  <c r="BE80" i="1"/>
  <c r="BB79" i="1"/>
  <c r="BP80" i="1"/>
  <c r="BQ80" i="1"/>
  <c r="BR80" i="1"/>
  <c r="BS80" i="1"/>
  <c r="BM80" i="1"/>
  <c r="BJ80" i="1"/>
  <c r="Z79" i="1"/>
  <c r="AX80" i="1"/>
  <c r="AL79" i="1"/>
  <c r="N79" i="1"/>
  <c r="BN79" i="1"/>
  <c r="BT79" i="1"/>
  <c r="BH79" i="1"/>
  <c r="X78" i="1"/>
  <c r="AJ78" i="1"/>
  <c r="AV78" i="1"/>
  <c r="AP78" i="1"/>
  <c r="R78" i="1"/>
  <c r="BO80" i="1"/>
  <c r="AD78" i="1"/>
  <c r="I66" i="1"/>
  <c r="H66" i="1"/>
  <c r="L65" i="1"/>
  <c r="BK81" i="1"/>
  <c r="AY81" i="1"/>
  <c r="AM80" i="1"/>
  <c r="AA80" i="1"/>
  <c r="O80" i="1"/>
  <c r="D67" i="1"/>
  <c r="C67" i="1"/>
  <c r="G66" i="1"/>
  <c r="B66" i="1"/>
  <c r="E66" i="1"/>
  <c r="F65" i="1"/>
  <c r="BB80" i="1" l="1"/>
  <c r="AQ80" i="1"/>
  <c r="AR80" i="1"/>
  <c r="AS80" i="1"/>
  <c r="AT80" i="1"/>
  <c r="AU80" i="1"/>
  <c r="AO80" i="1"/>
  <c r="AH80" i="1"/>
  <c r="AI80" i="1"/>
  <c r="AE80" i="1"/>
  <c r="AF80" i="1"/>
  <c r="AG80" i="1"/>
  <c r="AC80" i="1"/>
  <c r="R79" i="1"/>
  <c r="S80" i="1"/>
  <c r="T80" i="1"/>
  <c r="U80" i="1"/>
  <c r="V80" i="1"/>
  <c r="W80" i="1"/>
  <c r="Q80" i="1"/>
  <c r="J67" i="1"/>
  <c r="K67" i="1"/>
  <c r="BC81" i="1"/>
  <c r="BD81" i="1"/>
  <c r="BE81" i="1"/>
  <c r="BF81" i="1"/>
  <c r="BG81" i="1"/>
  <c r="BA81" i="1"/>
  <c r="BP81" i="1"/>
  <c r="BQ81" i="1"/>
  <c r="BR81" i="1"/>
  <c r="BS81" i="1"/>
  <c r="BM81" i="1"/>
  <c r="BJ81" i="1"/>
  <c r="Z80" i="1"/>
  <c r="AX81" i="1"/>
  <c r="AL80" i="1"/>
  <c r="N80" i="1"/>
  <c r="BN80" i="1"/>
  <c r="BT80" i="1"/>
  <c r="BH80" i="1"/>
  <c r="X79" i="1"/>
  <c r="AJ79" i="1"/>
  <c r="AV79" i="1"/>
  <c r="BO81" i="1"/>
  <c r="AD79" i="1"/>
  <c r="I67" i="1"/>
  <c r="H67" i="1"/>
  <c r="L66" i="1"/>
  <c r="BK82" i="1"/>
  <c r="AY82" i="1"/>
  <c r="AP79" i="1"/>
  <c r="AM81" i="1"/>
  <c r="AA81" i="1"/>
  <c r="O81" i="1"/>
  <c r="D68" i="1"/>
  <c r="C68" i="1"/>
  <c r="G67" i="1"/>
  <c r="B67" i="1"/>
  <c r="E67" i="1"/>
  <c r="F66" i="1"/>
  <c r="BB81" i="1" l="1"/>
  <c r="AQ81" i="1"/>
  <c r="AR81" i="1"/>
  <c r="AS81" i="1"/>
  <c r="AT81" i="1"/>
  <c r="AU81" i="1"/>
  <c r="AO81" i="1"/>
  <c r="AE81" i="1"/>
  <c r="AF81" i="1"/>
  <c r="AG81" i="1"/>
  <c r="AH81" i="1"/>
  <c r="AI81" i="1"/>
  <c r="AC81" i="1"/>
  <c r="Q81" i="1"/>
  <c r="U81" i="1"/>
  <c r="V81" i="1"/>
  <c r="W81" i="1"/>
  <c r="S81" i="1"/>
  <c r="T81" i="1"/>
  <c r="K68" i="1"/>
  <c r="J68" i="1"/>
  <c r="BD82" i="1"/>
  <c r="BE82" i="1"/>
  <c r="BF82" i="1"/>
  <c r="BG82" i="1"/>
  <c r="BA82" i="1"/>
  <c r="BC82" i="1"/>
  <c r="BP82" i="1"/>
  <c r="BQ82" i="1"/>
  <c r="BR82" i="1"/>
  <c r="BS82" i="1"/>
  <c r="BM82" i="1"/>
  <c r="BJ82" i="1"/>
  <c r="Z81" i="1"/>
  <c r="AX82" i="1"/>
  <c r="AL81" i="1"/>
  <c r="N81" i="1"/>
  <c r="BN81" i="1"/>
  <c r="BT81" i="1"/>
  <c r="BH81" i="1"/>
  <c r="X80" i="1"/>
  <c r="AJ80" i="1"/>
  <c r="AV80" i="1"/>
  <c r="BO82" i="1"/>
  <c r="AD80" i="1"/>
  <c r="R80" i="1"/>
  <c r="H68" i="1"/>
  <c r="I68" i="1"/>
  <c r="L67" i="1"/>
  <c r="BK83" i="1"/>
  <c r="AY83" i="1"/>
  <c r="AP80" i="1"/>
  <c r="AM82" i="1"/>
  <c r="AA82" i="1"/>
  <c r="O82" i="1"/>
  <c r="D69" i="1"/>
  <c r="C69" i="1"/>
  <c r="G68" i="1"/>
  <c r="B68" i="1"/>
  <c r="E68" i="1"/>
  <c r="F67" i="1"/>
  <c r="BB82" i="1" l="1"/>
  <c r="AT82" i="1"/>
  <c r="AU82" i="1"/>
  <c r="AQ82" i="1"/>
  <c r="AR82" i="1"/>
  <c r="AO82" i="1"/>
  <c r="AS82" i="1"/>
  <c r="AF82" i="1"/>
  <c r="AG82" i="1"/>
  <c r="AH82" i="1"/>
  <c r="AI82" i="1"/>
  <c r="AE82" i="1"/>
  <c r="AC82" i="1"/>
  <c r="Q82" i="1"/>
  <c r="S82" i="1"/>
  <c r="T82" i="1"/>
  <c r="U82" i="1"/>
  <c r="V82" i="1"/>
  <c r="W82" i="1"/>
  <c r="J69" i="1"/>
  <c r="K69" i="1"/>
  <c r="BG83" i="1"/>
  <c r="BC83" i="1"/>
  <c r="BD83" i="1"/>
  <c r="BE83" i="1"/>
  <c r="BA83" i="1"/>
  <c r="BF83" i="1"/>
  <c r="BP83" i="1"/>
  <c r="BQ83" i="1"/>
  <c r="BR83" i="1"/>
  <c r="BM83" i="1"/>
  <c r="BS83" i="1"/>
  <c r="BJ83" i="1"/>
  <c r="Z82" i="1"/>
  <c r="AX83" i="1"/>
  <c r="AL82" i="1"/>
  <c r="N82" i="1"/>
  <c r="BN82" i="1"/>
  <c r="BT82" i="1"/>
  <c r="BH82" i="1"/>
  <c r="R81" i="1"/>
  <c r="X81" i="1"/>
  <c r="AJ81" i="1"/>
  <c r="AV81" i="1"/>
  <c r="BO83" i="1"/>
  <c r="AD81" i="1"/>
  <c r="I69" i="1"/>
  <c r="H69" i="1"/>
  <c r="L68" i="1"/>
  <c r="BK84" i="1"/>
  <c r="AY84" i="1"/>
  <c r="AM83" i="1"/>
  <c r="AP81" i="1"/>
  <c r="AA83" i="1"/>
  <c r="O83" i="1"/>
  <c r="D70" i="1"/>
  <c r="F68" i="1"/>
  <c r="C70" i="1"/>
  <c r="G69" i="1"/>
  <c r="E69" i="1"/>
  <c r="B69" i="1"/>
  <c r="AQ83" i="1" l="1"/>
  <c r="AR83" i="1"/>
  <c r="AS83" i="1"/>
  <c r="AT83" i="1"/>
  <c r="AU83" i="1"/>
  <c r="AO83" i="1"/>
  <c r="AI83" i="1"/>
  <c r="AE83" i="1"/>
  <c r="AF83" i="1"/>
  <c r="AH83" i="1"/>
  <c r="AC83" i="1"/>
  <c r="AG83" i="1"/>
  <c r="S83" i="1"/>
  <c r="T83" i="1"/>
  <c r="Q83" i="1"/>
  <c r="U83" i="1"/>
  <c r="V83" i="1"/>
  <c r="W83" i="1"/>
  <c r="J70" i="1"/>
  <c r="K70" i="1"/>
  <c r="BC84" i="1"/>
  <c r="BD84" i="1"/>
  <c r="BE84" i="1"/>
  <c r="BF84" i="1"/>
  <c r="BG84" i="1"/>
  <c r="BA84" i="1"/>
  <c r="BN83" i="1"/>
  <c r="BP84" i="1"/>
  <c r="BQ84" i="1"/>
  <c r="BR84" i="1"/>
  <c r="BS84" i="1"/>
  <c r="BM84" i="1"/>
  <c r="BJ84" i="1"/>
  <c r="Z83" i="1"/>
  <c r="AX84" i="1"/>
  <c r="AL83" i="1"/>
  <c r="N83" i="1"/>
  <c r="BB83" i="1"/>
  <c r="BT83" i="1"/>
  <c r="BH83" i="1"/>
  <c r="R82" i="1"/>
  <c r="X82" i="1"/>
  <c r="AJ82" i="1"/>
  <c r="AV82" i="1"/>
  <c r="BO84" i="1"/>
  <c r="AD82" i="1"/>
  <c r="H70" i="1"/>
  <c r="I70" i="1"/>
  <c r="L69" i="1"/>
  <c r="BK85" i="1"/>
  <c r="AY85" i="1"/>
  <c r="AP82" i="1"/>
  <c r="AM84" i="1"/>
  <c r="AA84" i="1"/>
  <c r="O84" i="1"/>
  <c r="D71" i="1"/>
  <c r="C71" i="1"/>
  <c r="G70" i="1"/>
  <c r="E70" i="1"/>
  <c r="B70" i="1"/>
  <c r="F69" i="1"/>
  <c r="AR84" i="1" l="1"/>
  <c r="AS84" i="1"/>
  <c r="AT84" i="1"/>
  <c r="AU84" i="1"/>
  <c r="AO84" i="1"/>
  <c r="AQ84" i="1"/>
  <c r="AE84" i="1"/>
  <c r="AF84" i="1"/>
  <c r="AG84" i="1"/>
  <c r="AH84" i="1"/>
  <c r="AI84" i="1"/>
  <c r="AC84" i="1"/>
  <c r="V84" i="1"/>
  <c r="W84" i="1"/>
  <c r="Q84" i="1"/>
  <c r="S84" i="1"/>
  <c r="T84" i="1"/>
  <c r="U84" i="1"/>
  <c r="J71" i="1"/>
  <c r="K71" i="1"/>
  <c r="BE85" i="1"/>
  <c r="BF85" i="1"/>
  <c r="BG85" i="1"/>
  <c r="BC85" i="1"/>
  <c r="BD85" i="1"/>
  <c r="BA85" i="1"/>
  <c r="BB84" i="1"/>
  <c r="BP85" i="1"/>
  <c r="BQ85" i="1"/>
  <c r="BR85" i="1"/>
  <c r="BS85" i="1"/>
  <c r="BM85" i="1"/>
  <c r="BJ85" i="1"/>
  <c r="Z84" i="1"/>
  <c r="AX85" i="1"/>
  <c r="AL84" i="1"/>
  <c r="N84" i="1"/>
  <c r="BN84" i="1"/>
  <c r="BT84" i="1"/>
  <c r="BH84" i="1"/>
  <c r="X83" i="1"/>
  <c r="AJ83" i="1"/>
  <c r="AV83" i="1"/>
  <c r="AD83" i="1"/>
  <c r="BO85" i="1"/>
  <c r="R83" i="1"/>
  <c r="H71" i="1"/>
  <c r="I71" i="1"/>
  <c r="L70" i="1"/>
  <c r="BK86" i="1"/>
  <c r="AY86" i="1"/>
  <c r="AP83" i="1"/>
  <c r="AM85" i="1"/>
  <c r="AA85" i="1"/>
  <c r="O85" i="1"/>
  <c r="D72" i="1"/>
  <c r="F70" i="1"/>
  <c r="C72" i="1"/>
  <c r="G71" i="1"/>
  <c r="B71" i="1"/>
  <c r="E71" i="1"/>
  <c r="BB85" i="1" l="1"/>
  <c r="AU85" i="1"/>
  <c r="AQ85" i="1"/>
  <c r="AR85" i="1"/>
  <c r="AS85" i="1"/>
  <c r="AO85" i="1"/>
  <c r="AT85" i="1"/>
  <c r="AG85" i="1"/>
  <c r="AH85" i="1"/>
  <c r="AI85" i="1"/>
  <c r="AE85" i="1"/>
  <c r="AF85" i="1"/>
  <c r="AC85" i="1"/>
  <c r="S85" i="1"/>
  <c r="T85" i="1"/>
  <c r="Q85" i="1"/>
  <c r="U85" i="1"/>
  <c r="V85" i="1"/>
  <c r="W85" i="1"/>
  <c r="K72" i="1"/>
  <c r="J72" i="1"/>
  <c r="BC86" i="1"/>
  <c r="BD86" i="1"/>
  <c r="BE86" i="1"/>
  <c r="BF86" i="1"/>
  <c r="BG86" i="1"/>
  <c r="BA86" i="1"/>
  <c r="BB86" i="1" s="1"/>
  <c r="BP86" i="1"/>
  <c r="BQ86" i="1"/>
  <c r="BR86" i="1"/>
  <c r="BS86" i="1"/>
  <c r="BM86" i="1"/>
  <c r="BN85" i="1"/>
  <c r="BJ86" i="1"/>
  <c r="Z85" i="1"/>
  <c r="AX86" i="1"/>
  <c r="AL85" i="1"/>
  <c r="N85" i="1"/>
  <c r="BT85" i="1"/>
  <c r="BH85" i="1"/>
  <c r="R84" i="1"/>
  <c r="X84" i="1"/>
  <c r="AJ84" i="1"/>
  <c r="AV84" i="1"/>
  <c r="BO86" i="1"/>
  <c r="AD84" i="1"/>
  <c r="I72" i="1"/>
  <c r="H72" i="1"/>
  <c r="L71" i="1"/>
  <c r="BK87" i="1"/>
  <c r="AY87" i="1"/>
  <c r="AP84" i="1"/>
  <c r="AM86" i="1"/>
  <c r="AA86" i="1"/>
  <c r="O86" i="1"/>
  <c r="D73" i="1"/>
  <c r="C73" i="1"/>
  <c r="G72" i="1"/>
  <c r="B72" i="1"/>
  <c r="E72" i="1"/>
  <c r="F71" i="1"/>
  <c r="AQ86" i="1" l="1"/>
  <c r="AR86" i="1"/>
  <c r="AS86" i="1"/>
  <c r="AT86" i="1"/>
  <c r="AU86" i="1"/>
  <c r="AO86" i="1"/>
  <c r="AE86" i="1"/>
  <c r="AF86" i="1"/>
  <c r="AG86" i="1"/>
  <c r="AH86" i="1"/>
  <c r="AI86" i="1"/>
  <c r="AC86" i="1"/>
  <c r="T86" i="1"/>
  <c r="U86" i="1"/>
  <c r="V86" i="1"/>
  <c r="W86" i="1"/>
  <c r="Q86" i="1"/>
  <c r="S86" i="1"/>
  <c r="K73" i="1"/>
  <c r="J73" i="1"/>
  <c r="BC87" i="1"/>
  <c r="BD87" i="1"/>
  <c r="BE87" i="1"/>
  <c r="BF87" i="1"/>
  <c r="BG87" i="1"/>
  <c r="BA87" i="1"/>
  <c r="BB87" i="1" s="1"/>
  <c r="BP87" i="1"/>
  <c r="BQ87" i="1"/>
  <c r="BR87" i="1"/>
  <c r="BS87" i="1"/>
  <c r="BM87" i="1"/>
  <c r="BJ87" i="1"/>
  <c r="Z86" i="1"/>
  <c r="AX87" i="1"/>
  <c r="AL86" i="1"/>
  <c r="N86" i="1"/>
  <c r="BN86" i="1"/>
  <c r="BT86" i="1"/>
  <c r="BH86" i="1"/>
  <c r="R85" i="1"/>
  <c r="X85" i="1"/>
  <c r="AJ85" i="1"/>
  <c r="AV85" i="1"/>
  <c r="BO87" i="1"/>
  <c r="AD85" i="1"/>
  <c r="H73" i="1"/>
  <c r="I73" i="1"/>
  <c r="L72" i="1"/>
  <c r="BK88" i="1"/>
  <c r="AY88" i="1"/>
  <c r="AM87" i="1"/>
  <c r="AP85" i="1"/>
  <c r="AA87" i="1"/>
  <c r="O87" i="1"/>
  <c r="D74" i="1"/>
  <c r="C74" i="1"/>
  <c r="G73" i="1"/>
  <c r="B73" i="1"/>
  <c r="E73" i="1"/>
  <c r="F72" i="1"/>
  <c r="AS87" i="1" l="1"/>
  <c r="AT87" i="1"/>
  <c r="AU87" i="1"/>
  <c r="AQ87" i="1"/>
  <c r="AR87" i="1"/>
  <c r="AO87" i="1"/>
  <c r="AE87" i="1"/>
  <c r="AF87" i="1"/>
  <c r="AG87" i="1"/>
  <c r="AH87" i="1"/>
  <c r="AI87" i="1"/>
  <c r="AC87" i="1"/>
  <c r="W87" i="1"/>
  <c r="S87" i="1"/>
  <c r="T87" i="1"/>
  <c r="Q87" i="1"/>
  <c r="U87" i="1"/>
  <c r="V87" i="1"/>
  <c r="K74" i="1"/>
  <c r="J74" i="1"/>
  <c r="BF88" i="1"/>
  <c r="BG88" i="1"/>
  <c r="BC88" i="1"/>
  <c r="BD88" i="1"/>
  <c r="BA88" i="1"/>
  <c r="BB88" i="1" s="1"/>
  <c r="BE88" i="1"/>
  <c r="BP88" i="1"/>
  <c r="BQ88" i="1"/>
  <c r="BR88" i="1"/>
  <c r="BS88" i="1"/>
  <c r="BM88" i="1"/>
  <c r="BJ88" i="1"/>
  <c r="Z87" i="1"/>
  <c r="AX88" i="1"/>
  <c r="AL87" i="1"/>
  <c r="N87" i="1"/>
  <c r="BN87" i="1"/>
  <c r="BT87" i="1"/>
  <c r="BH87" i="1"/>
  <c r="X86" i="1"/>
  <c r="AJ86" i="1"/>
  <c r="AV86" i="1"/>
  <c r="BO88" i="1"/>
  <c r="AD86" i="1"/>
  <c r="R86" i="1"/>
  <c r="I74" i="1"/>
  <c r="H74" i="1"/>
  <c r="L73" i="1"/>
  <c r="BK89" i="1"/>
  <c r="AY89" i="1"/>
  <c r="AP86" i="1"/>
  <c r="AM88" i="1"/>
  <c r="AA88" i="1"/>
  <c r="O88" i="1"/>
  <c r="D75" i="1"/>
  <c r="C75" i="1"/>
  <c r="G74" i="1"/>
  <c r="B74" i="1"/>
  <c r="E74" i="1"/>
  <c r="F73" i="1"/>
  <c r="AQ88" i="1" l="1"/>
  <c r="AR88" i="1"/>
  <c r="AS88" i="1"/>
  <c r="AT88" i="1"/>
  <c r="AU88" i="1"/>
  <c r="AO88" i="1"/>
  <c r="AH88" i="1"/>
  <c r="AI88" i="1"/>
  <c r="AE88" i="1"/>
  <c r="AF88" i="1"/>
  <c r="AG88" i="1"/>
  <c r="AC88" i="1"/>
  <c r="S88" i="1"/>
  <c r="T88" i="1"/>
  <c r="U88" i="1"/>
  <c r="V88" i="1"/>
  <c r="W88" i="1"/>
  <c r="Q88" i="1"/>
  <c r="J75" i="1"/>
  <c r="K75" i="1"/>
  <c r="BC89" i="1"/>
  <c r="BD89" i="1"/>
  <c r="BE89" i="1"/>
  <c r="BF89" i="1"/>
  <c r="BG89" i="1"/>
  <c r="BA89" i="1"/>
  <c r="BB89" i="1" s="1"/>
  <c r="BP89" i="1"/>
  <c r="BQ89" i="1"/>
  <c r="BR89" i="1"/>
  <c r="BM89" i="1"/>
  <c r="BS89" i="1"/>
  <c r="BJ89" i="1"/>
  <c r="Z88" i="1"/>
  <c r="AX89" i="1"/>
  <c r="AL88" i="1"/>
  <c r="N88" i="1"/>
  <c r="BN88" i="1"/>
  <c r="BT88" i="1"/>
  <c r="BH88" i="1"/>
  <c r="R87" i="1"/>
  <c r="X87" i="1"/>
  <c r="AJ87" i="1"/>
  <c r="AV87" i="1"/>
  <c r="BO89" i="1"/>
  <c r="AD87" i="1"/>
  <c r="I75" i="1"/>
  <c r="H75" i="1"/>
  <c r="L74" i="1"/>
  <c r="BK90" i="1"/>
  <c r="AY90" i="1"/>
  <c r="AM89" i="1"/>
  <c r="AP87" i="1"/>
  <c r="AA89" i="1"/>
  <c r="O89" i="1"/>
  <c r="D76" i="1"/>
  <c r="F74" i="1"/>
  <c r="C76" i="1"/>
  <c r="G75" i="1"/>
  <c r="B75" i="1"/>
  <c r="E75" i="1"/>
  <c r="BN89" i="1" l="1"/>
  <c r="AQ89" i="1"/>
  <c r="AR89" i="1"/>
  <c r="AS89" i="1"/>
  <c r="AT89" i="1"/>
  <c r="AU89" i="1"/>
  <c r="AO89" i="1"/>
  <c r="AE89" i="1"/>
  <c r="AF89" i="1"/>
  <c r="AG89" i="1"/>
  <c r="AH89" i="1"/>
  <c r="AC89" i="1"/>
  <c r="AI89" i="1"/>
  <c r="Q89" i="1"/>
  <c r="U89" i="1"/>
  <c r="V89" i="1"/>
  <c r="W89" i="1"/>
  <c r="S89" i="1"/>
  <c r="T89" i="1"/>
  <c r="K76" i="1"/>
  <c r="J76" i="1"/>
  <c r="BD90" i="1"/>
  <c r="BE90" i="1"/>
  <c r="BF90" i="1"/>
  <c r="BG90" i="1"/>
  <c r="BC90" i="1"/>
  <c r="BA90" i="1"/>
  <c r="BP90" i="1"/>
  <c r="BQ90" i="1"/>
  <c r="BR90" i="1"/>
  <c r="BS90" i="1"/>
  <c r="BM90" i="1"/>
  <c r="BN90" i="1" s="1"/>
  <c r="BJ90" i="1"/>
  <c r="Z89" i="1"/>
  <c r="AX90" i="1"/>
  <c r="AL89" i="1"/>
  <c r="N89" i="1"/>
  <c r="BT89" i="1"/>
  <c r="BH89" i="1"/>
  <c r="R88" i="1"/>
  <c r="X88" i="1"/>
  <c r="AJ88" i="1"/>
  <c r="AV88" i="1"/>
  <c r="AD88" i="1"/>
  <c r="BO90" i="1"/>
  <c r="H76" i="1"/>
  <c r="I76" i="1"/>
  <c r="L75" i="1"/>
  <c r="BK91" i="1"/>
  <c r="AY91" i="1"/>
  <c r="AP88" i="1"/>
  <c r="AM90" i="1"/>
  <c r="AA90" i="1"/>
  <c r="O90" i="1"/>
  <c r="D77" i="1"/>
  <c r="F75" i="1"/>
  <c r="C77" i="1"/>
  <c r="G76" i="1"/>
  <c r="B76" i="1"/>
  <c r="E76" i="1"/>
  <c r="AT90" i="1" l="1"/>
  <c r="AU90" i="1"/>
  <c r="AQ90" i="1"/>
  <c r="AR90" i="1"/>
  <c r="AS90" i="1"/>
  <c r="AO90" i="1"/>
  <c r="AF90" i="1"/>
  <c r="AG90" i="1"/>
  <c r="AH90" i="1"/>
  <c r="AI90" i="1"/>
  <c r="AE90" i="1"/>
  <c r="AC90" i="1"/>
  <c r="Q90" i="1"/>
  <c r="S90" i="1"/>
  <c r="T90" i="1"/>
  <c r="U90" i="1"/>
  <c r="V90" i="1"/>
  <c r="W90" i="1"/>
  <c r="J77" i="1"/>
  <c r="K77" i="1"/>
  <c r="BG91" i="1"/>
  <c r="BC91" i="1"/>
  <c r="BD91" i="1"/>
  <c r="BE91" i="1"/>
  <c r="BF91" i="1"/>
  <c r="BA91" i="1"/>
  <c r="BP91" i="1"/>
  <c r="BQ91" i="1"/>
  <c r="BR91" i="1"/>
  <c r="BM91" i="1"/>
  <c r="BS91" i="1"/>
  <c r="BJ91" i="1"/>
  <c r="Z90" i="1"/>
  <c r="AX91" i="1"/>
  <c r="AL90" i="1"/>
  <c r="N90" i="1"/>
  <c r="BB90" i="1"/>
  <c r="BT90" i="1"/>
  <c r="BH90" i="1"/>
  <c r="R89" i="1"/>
  <c r="X89" i="1"/>
  <c r="AJ89" i="1"/>
  <c r="AV89" i="1"/>
  <c r="BO91" i="1"/>
  <c r="AD89" i="1"/>
  <c r="H77" i="1"/>
  <c r="I77" i="1"/>
  <c r="L76" i="1"/>
  <c r="BK92" i="1"/>
  <c r="AY92" i="1"/>
  <c r="AM91" i="1"/>
  <c r="AP89" i="1"/>
  <c r="AA91" i="1"/>
  <c r="O91" i="1"/>
  <c r="D78" i="1"/>
  <c r="C78" i="1"/>
  <c r="G77" i="1"/>
  <c r="E77" i="1"/>
  <c r="B77" i="1"/>
  <c r="F76" i="1"/>
  <c r="AQ91" i="1" l="1"/>
  <c r="AR91" i="1"/>
  <c r="AS91" i="1"/>
  <c r="AT91" i="1"/>
  <c r="AU91" i="1"/>
  <c r="AO91" i="1"/>
  <c r="AI91" i="1"/>
  <c r="AE91" i="1"/>
  <c r="AF91" i="1"/>
  <c r="AG91" i="1"/>
  <c r="AH91" i="1"/>
  <c r="AC91" i="1"/>
  <c r="S91" i="1"/>
  <c r="T91" i="1"/>
  <c r="Q91" i="1"/>
  <c r="U91" i="1"/>
  <c r="V91" i="1"/>
  <c r="W91" i="1"/>
  <c r="J78" i="1"/>
  <c r="K78" i="1"/>
  <c r="BB91" i="1"/>
  <c r="BC92" i="1"/>
  <c r="BD92" i="1"/>
  <c r="BE92" i="1"/>
  <c r="BF92" i="1"/>
  <c r="BG92" i="1"/>
  <c r="BA92" i="1"/>
  <c r="BP92" i="1"/>
  <c r="BQ92" i="1"/>
  <c r="BR92" i="1"/>
  <c r="BS92" i="1"/>
  <c r="BM92" i="1"/>
  <c r="BJ92" i="1"/>
  <c r="Z91" i="1"/>
  <c r="AX92" i="1"/>
  <c r="AL91" i="1"/>
  <c r="N91" i="1"/>
  <c r="BN91" i="1"/>
  <c r="BT91" i="1"/>
  <c r="BH91" i="1"/>
  <c r="R90" i="1"/>
  <c r="X90" i="1"/>
  <c r="AJ90" i="1"/>
  <c r="AV90" i="1"/>
  <c r="BO92" i="1"/>
  <c r="AD90" i="1"/>
  <c r="H78" i="1"/>
  <c r="I78" i="1"/>
  <c r="L77" i="1"/>
  <c r="BK93" i="1"/>
  <c r="AY93" i="1"/>
  <c r="AM92" i="1"/>
  <c r="AP90" i="1"/>
  <c r="AA92" i="1"/>
  <c r="O92" i="1"/>
  <c r="D79" i="1"/>
  <c r="F77" i="1"/>
  <c r="C79" i="1"/>
  <c r="G78" i="1"/>
  <c r="E78" i="1"/>
  <c r="B78" i="1"/>
  <c r="BB92" i="1" l="1"/>
  <c r="AR92" i="1"/>
  <c r="AS92" i="1"/>
  <c r="AT92" i="1"/>
  <c r="AU92" i="1"/>
  <c r="AQ92" i="1"/>
  <c r="AO92" i="1"/>
  <c r="AE92" i="1"/>
  <c r="AF92" i="1"/>
  <c r="AG92" i="1"/>
  <c r="AH92" i="1"/>
  <c r="AI92" i="1"/>
  <c r="AC92" i="1"/>
  <c r="V92" i="1"/>
  <c r="W92" i="1"/>
  <c r="Q92" i="1"/>
  <c r="S92" i="1"/>
  <c r="T92" i="1"/>
  <c r="U92" i="1"/>
  <c r="J79" i="1"/>
  <c r="K79" i="1"/>
  <c r="BE93" i="1"/>
  <c r="BF93" i="1"/>
  <c r="BG93" i="1"/>
  <c r="BC93" i="1"/>
  <c r="BD93" i="1"/>
  <c r="BA93" i="1"/>
  <c r="BB93" i="1" s="1"/>
  <c r="BP93" i="1"/>
  <c r="BQ93" i="1"/>
  <c r="BR93" i="1"/>
  <c r="BS93" i="1"/>
  <c r="BM93" i="1"/>
  <c r="BJ93" i="1"/>
  <c r="Z92" i="1"/>
  <c r="BN92" i="1"/>
  <c r="AX93" i="1"/>
  <c r="AL92" i="1"/>
  <c r="N92" i="1"/>
  <c r="R91" i="1"/>
  <c r="BT92" i="1"/>
  <c r="BH92" i="1"/>
  <c r="X91" i="1"/>
  <c r="AJ91" i="1"/>
  <c r="AV91" i="1"/>
  <c r="BO93" i="1"/>
  <c r="AP91" i="1"/>
  <c r="AD91" i="1"/>
  <c r="H79" i="1"/>
  <c r="I79" i="1"/>
  <c r="L78" i="1"/>
  <c r="BK94" i="1"/>
  <c r="AY94" i="1"/>
  <c r="AM93" i="1"/>
  <c r="AA93" i="1"/>
  <c r="O93" i="1"/>
  <c r="D80" i="1"/>
  <c r="C80" i="1"/>
  <c r="G79" i="1"/>
  <c r="B79" i="1"/>
  <c r="E79" i="1"/>
  <c r="F78" i="1"/>
  <c r="AU93" i="1" l="1"/>
  <c r="AQ93" i="1"/>
  <c r="AR93" i="1"/>
  <c r="AS93" i="1"/>
  <c r="AT93" i="1"/>
  <c r="AO93" i="1"/>
  <c r="AG93" i="1"/>
  <c r="AH93" i="1"/>
  <c r="AI93" i="1"/>
  <c r="AE93" i="1"/>
  <c r="AF93" i="1"/>
  <c r="AC93" i="1"/>
  <c r="S93" i="1"/>
  <c r="T93" i="1"/>
  <c r="Q93" i="1"/>
  <c r="U93" i="1"/>
  <c r="V93" i="1"/>
  <c r="W93" i="1"/>
  <c r="R92" i="1"/>
  <c r="K80" i="1"/>
  <c r="J80" i="1"/>
  <c r="BC94" i="1"/>
  <c r="BD94" i="1"/>
  <c r="BE94" i="1"/>
  <c r="BF94" i="1"/>
  <c r="BA94" i="1"/>
  <c r="BB94" i="1" s="1"/>
  <c r="BG94" i="1"/>
  <c r="BP94" i="1"/>
  <c r="BQ94" i="1"/>
  <c r="BR94" i="1"/>
  <c r="BS94" i="1"/>
  <c r="BM94" i="1"/>
  <c r="BJ94" i="1"/>
  <c r="Z93" i="1"/>
  <c r="AX94" i="1"/>
  <c r="AL93" i="1"/>
  <c r="N93" i="1"/>
  <c r="BN93" i="1"/>
  <c r="BT93" i="1"/>
  <c r="BH93" i="1"/>
  <c r="X92" i="1"/>
  <c r="AJ92" i="1"/>
  <c r="AV92" i="1"/>
  <c r="AD92" i="1"/>
  <c r="BO94" i="1"/>
  <c r="I80" i="1"/>
  <c r="H80" i="1"/>
  <c r="L79" i="1"/>
  <c r="BK95" i="1"/>
  <c r="AY95" i="1"/>
  <c r="AM94" i="1"/>
  <c r="AP92" i="1"/>
  <c r="AA94" i="1"/>
  <c r="O94" i="1"/>
  <c r="D81" i="1"/>
  <c r="F79" i="1"/>
  <c r="C81" i="1"/>
  <c r="G80" i="1"/>
  <c r="B80" i="1"/>
  <c r="E80" i="1"/>
  <c r="AQ94" i="1" l="1"/>
  <c r="AR94" i="1"/>
  <c r="AS94" i="1"/>
  <c r="AT94" i="1"/>
  <c r="AU94" i="1"/>
  <c r="AO94" i="1"/>
  <c r="AE94" i="1"/>
  <c r="AF94" i="1"/>
  <c r="AG94" i="1"/>
  <c r="AH94" i="1"/>
  <c r="AI94" i="1"/>
  <c r="AC94" i="1"/>
  <c r="R93" i="1"/>
  <c r="T94" i="1"/>
  <c r="U94" i="1"/>
  <c r="V94" i="1"/>
  <c r="W94" i="1"/>
  <c r="Q94" i="1"/>
  <c r="S94" i="1"/>
  <c r="K81" i="1"/>
  <c r="J81" i="1"/>
  <c r="BC95" i="1"/>
  <c r="BD95" i="1"/>
  <c r="BE95" i="1"/>
  <c r="BF95" i="1"/>
  <c r="BG95" i="1"/>
  <c r="BA95" i="1"/>
  <c r="BB95" i="1" s="1"/>
  <c r="BP95" i="1"/>
  <c r="BQ95" i="1"/>
  <c r="BR95" i="1"/>
  <c r="BM95" i="1"/>
  <c r="BS95" i="1"/>
  <c r="BJ95" i="1"/>
  <c r="Z94" i="1"/>
  <c r="AX95" i="1"/>
  <c r="AL94" i="1"/>
  <c r="N94" i="1"/>
  <c r="BN94" i="1"/>
  <c r="BT94" i="1"/>
  <c r="BH94" i="1"/>
  <c r="X93" i="1"/>
  <c r="AJ93" i="1"/>
  <c r="AV93" i="1"/>
  <c r="BO95" i="1"/>
  <c r="AD93" i="1"/>
  <c r="I81" i="1"/>
  <c r="H81" i="1"/>
  <c r="L80" i="1"/>
  <c r="BK96" i="1"/>
  <c r="AY96" i="1"/>
  <c r="AM95" i="1"/>
  <c r="AP93" i="1"/>
  <c r="AA95" i="1"/>
  <c r="O95" i="1"/>
  <c r="D82" i="1"/>
  <c r="C82" i="1"/>
  <c r="G81" i="1"/>
  <c r="B81" i="1"/>
  <c r="E81" i="1"/>
  <c r="F80" i="1"/>
  <c r="R94" i="1" l="1"/>
  <c r="AS95" i="1"/>
  <c r="AT95" i="1"/>
  <c r="AU95" i="1"/>
  <c r="AQ95" i="1"/>
  <c r="AR95" i="1"/>
  <c r="AO95" i="1"/>
  <c r="AE95" i="1"/>
  <c r="AF95" i="1"/>
  <c r="AG95" i="1"/>
  <c r="AH95" i="1"/>
  <c r="AI95" i="1"/>
  <c r="AC95" i="1"/>
  <c r="W95" i="1"/>
  <c r="S95" i="1"/>
  <c r="T95" i="1"/>
  <c r="Q95" i="1"/>
  <c r="R95" i="1" s="1"/>
  <c r="U95" i="1"/>
  <c r="V95" i="1"/>
  <c r="K82" i="1"/>
  <c r="J82" i="1"/>
  <c r="BF96" i="1"/>
  <c r="BG96" i="1"/>
  <c r="BC96" i="1"/>
  <c r="BD96" i="1"/>
  <c r="BA96" i="1"/>
  <c r="BB96" i="1" s="1"/>
  <c r="BE96" i="1"/>
  <c r="BP96" i="1"/>
  <c r="BQ96" i="1"/>
  <c r="BR96" i="1"/>
  <c r="BS96" i="1"/>
  <c r="BM96" i="1"/>
  <c r="BN95" i="1"/>
  <c r="BJ96" i="1"/>
  <c r="Z95" i="1"/>
  <c r="AX96" i="1"/>
  <c r="AL95" i="1"/>
  <c r="N95" i="1"/>
  <c r="BT95" i="1"/>
  <c r="BH95" i="1"/>
  <c r="X94" i="1"/>
  <c r="AJ94" i="1"/>
  <c r="AV94" i="1"/>
  <c r="BO96" i="1"/>
  <c r="AD94" i="1"/>
  <c r="I82" i="1"/>
  <c r="H82" i="1"/>
  <c r="L81" i="1"/>
  <c r="BK97" i="1"/>
  <c r="AY97" i="1"/>
  <c r="AM96" i="1"/>
  <c r="AP94" i="1"/>
  <c r="AA96" i="1"/>
  <c r="O96" i="1"/>
  <c r="D83" i="1"/>
  <c r="F81" i="1"/>
  <c r="C83" i="1"/>
  <c r="G82" i="1"/>
  <c r="B82" i="1"/>
  <c r="E82" i="1"/>
  <c r="AQ96" i="1" l="1"/>
  <c r="AR96" i="1"/>
  <c r="AS96" i="1"/>
  <c r="AT96" i="1"/>
  <c r="AU96" i="1"/>
  <c r="AO96" i="1"/>
  <c r="AH96" i="1"/>
  <c r="AI96" i="1"/>
  <c r="AE96" i="1"/>
  <c r="AG96" i="1"/>
  <c r="AF96" i="1"/>
  <c r="AC96" i="1"/>
  <c r="S96" i="1"/>
  <c r="T96" i="1"/>
  <c r="U96" i="1"/>
  <c r="V96" i="1"/>
  <c r="W96" i="1"/>
  <c r="Q96" i="1"/>
  <c r="R96" i="1" s="1"/>
  <c r="K83" i="1"/>
  <c r="J83" i="1"/>
  <c r="BC97" i="1"/>
  <c r="BD97" i="1"/>
  <c r="BE97" i="1"/>
  <c r="BF97" i="1"/>
  <c r="BG97" i="1"/>
  <c r="BA97" i="1"/>
  <c r="BP97" i="1"/>
  <c r="BQ97" i="1"/>
  <c r="BR97" i="1"/>
  <c r="BS97" i="1"/>
  <c r="BM97" i="1"/>
  <c r="BN96" i="1"/>
  <c r="BJ97" i="1"/>
  <c r="Z96" i="1"/>
  <c r="AX97" i="1"/>
  <c r="AL96" i="1"/>
  <c r="N96" i="1"/>
  <c r="BT96" i="1"/>
  <c r="BH96" i="1"/>
  <c r="X95" i="1"/>
  <c r="AJ95" i="1"/>
  <c r="AV95" i="1"/>
  <c r="BO97" i="1"/>
  <c r="AD95" i="1"/>
  <c r="I83" i="1"/>
  <c r="H83" i="1"/>
  <c r="L82" i="1"/>
  <c r="AP95" i="1"/>
  <c r="BK98" i="1"/>
  <c r="AY98" i="1"/>
  <c r="AM97" i="1"/>
  <c r="AA97" i="1"/>
  <c r="O97" i="1"/>
  <c r="D84" i="1"/>
  <c r="C84" i="1"/>
  <c r="G83" i="1"/>
  <c r="B83" i="1"/>
  <c r="E83" i="1"/>
  <c r="F82" i="1"/>
  <c r="AQ97" i="1" l="1"/>
  <c r="AR97" i="1"/>
  <c r="AS97" i="1"/>
  <c r="AT97" i="1"/>
  <c r="AU97" i="1"/>
  <c r="AO97" i="1"/>
  <c r="AE97" i="1"/>
  <c r="AF97" i="1"/>
  <c r="AG97" i="1"/>
  <c r="AH97" i="1"/>
  <c r="AI97" i="1"/>
  <c r="AC97" i="1"/>
  <c r="Q97" i="1"/>
  <c r="R97" i="1" s="1"/>
  <c r="U97" i="1"/>
  <c r="V97" i="1"/>
  <c r="W97" i="1"/>
  <c r="S97" i="1"/>
  <c r="T97" i="1"/>
  <c r="K84" i="1"/>
  <c r="J84" i="1"/>
  <c r="BD98" i="1"/>
  <c r="BE98" i="1"/>
  <c r="BF98" i="1"/>
  <c r="BG98" i="1"/>
  <c r="BC98" i="1"/>
  <c r="BA98" i="1"/>
  <c r="BP98" i="1"/>
  <c r="BQ98" i="1"/>
  <c r="BR98" i="1"/>
  <c r="BS98" i="1"/>
  <c r="BM98" i="1"/>
  <c r="BN97" i="1"/>
  <c r="BJ98" i="1"/>
  <c r="Z97" i="1"/>
  <c r="AX98" i="1"/>
  <c r="AL97" i="1"/>
  <c r="N97" i="1"/>
  <c r="BB97" i="1"/>
  <c r="BT97" i="1"/>
  <c r="BH97" i="1"/>
  <c r="X96" i="1"/>
  <c r="AJ96" i="1"/>
  <c r="AV96" i="1"/>
  <c r="BO98" i="1"/>
  <c r="AD96" i="1"/>
  <c r="H84" i="1"/>
  <c r="I84" i="1"/>
  <c r="L83" i="1"/>
  <c r="BK99" i="1"/>
  <c r="AY99" i="1"/>
  <c r="AP96" i="1"/>
  <c r="AM98" i="1"/>
  <c r="AA98" i="1"/>
  <c r="O98" i="1"/>
  <c r="D85" i="1"/>
  <c r="F83" i="1"/>
  <c r="C85" i="1"/>
  <c r="G84" i="1"/>
  <c r="B84" i="1"/>
  <c r="E84" i="1"/>
  <c r="AT98" i="1" l="1"/>
  <c r="AU98" i="1"/>
  <c r="AQ98" i="1"/>
  <c r="AR98" i="1"/>
  <c r="AO98" i="1"/>
  <c r="AS98" i="1"/>
  <c r="AF98" i="1"/>
  <c r="AG98" i="1"/>
  <c r="AH98" i="1"/>
  <c r="AI98" i="1"/>
  <c r="AE98" i="1"/>
  <c r="AC98" i="1"/>
  <c r="Q98" i="1"/>
  <c r="S98" i="1"/>
  <c r="T98" i="1"/>
  <c r="U98" i="1"/>
  <c r="V98" i="1"/>
  <c r="W98" i="1"/>
  <c r="J85" i="1"/>
  <c r="K85" i="1"/>
  <c r="BG99" i="1"/>
  <c r="BC99" i="1"/>
  <c r="BD99" i="1"/>
  <c r="BE99" i="1"/>
  <c r="BF99" i="1"/>
  <c r="BA99" i="1"/>
  <c r="BP99" i="1"/>
  <c r="BQ99" i="1"/>
  <c r="BR99" i="1"/>
  <c r="BM99" i="1"/>
  <c r="BS99" i="1"/>
  <c r="BJ99" i="1"/>
  <c r="Z98" i="1"/>
  <c r="AX99" i="1"/>
  <c r="AL98" i="1"/>
  <c r="N98" i="1"/>
  <c r="BB98" i="1"/>
  <c r="BN98" i="1"/>
  <c r="BT98" i="1"/>
  <c r="BH98" i="1"/>
  <c r="X97" i="1"/>
  <c r="AJ97" i="1"/>
  <c r="AV97" i="1"/>
  <c r="BO99" i="1"/>
  <c r="AD97" i="1"/>
  <c r="I85" i="1"/>
  <c r="H85" i="1"/>
  <c r="L84" i="1"/>
  <c r="BK100" i="1"/>
  <c r="AY100" i="1"/>
  <c r="AM99" i="1"/>
  <c r="AP97" i="1"/>
  <c r="AA99" i="1"/>
  <c r="O99" i="1"/>
  <c r="D86" i="1"/>
  <c r="C86" i="1"/>
  <c r="G85" i="1"/>
  <c r="E85" i="1"/>
  <c r="B85" i="1"/>
  <c r="F84" i="1"/>
  <c r="AQ99" i="1" l="1"/>
  <c r="AR99" i="1"/>
  <c r="AS99" i="1"/>
  <c r="AT99" i="1"/>
  <c r="AU99" i="1"/>
  <c r="AO99" i="1"/>
  <c r="AI99" i="1"/>
  <c r="AE99" i="1"/>
  <c r="AF99" i="1"/>
  <c r="AG99" i="1"/>
  <c r="AH99" i="1"/>
  <c r="AC99" i="1"/>
  <c r="S99" i="1"/>
  <c r="T99" i="1"/>
  <c r="Q99" i="1"/>
  <c r="U99" i="1"/>
  <c r="V99" i="1"/>
  <c r="W99" i="1"/>
  <c r="J86" i="1"/>
  <c r="K86" i="1"/>
  <c r="BC100" i="1"/>
  <c r="BD100" i="1"/>
  <c r="BE100" i="1"/>
  <c r="BF100" i="1"/>
  <c r="BG100" i="1"/>
  <c r="BA100" i="1"/>
  <c r="BB99" i="1"/>
  <c r="BP100" i="1"/>
  <c r="BQ100" i="1"/>
  <c r="BR100" i="1"/>
  <c r="BS100" i="1"/>
  <c r="BM100" i="1"/>
  <c r="BJ100" i="1"/>
  <c r="Z99" i="1"/>
  <c r="AX100" i="1"/>
  <c r="AL99" i="1"/>
  <c r="N99" i="1"/>
  <c r="BN99" i="1"/>
  <c r="R98" i="1"/>
  <c r="BT99" i="1"/>
  <c r="BH99" i="1"/>
  <c r="X98" i="1"/>
  <c r="AJ98" i="1"/>
  <c r="AV98" i="1"/>
  <c r="BO100" i="1"/>
  <c r="AD98" i="1"/>
  <c r="H86" i="1"/>
  <c r="I86" i="1"/>
  <c r="L85" i="1"/>
  <c r="BK101" i="1"/>
  <c r="AY101" i="1"/>
  <c r="AM100" i="1"/>
  <c r="AP98" i="1"/>
  <c r="AA100" i="1"/>
  <c r="O100" i="1"/>
  <c r="D87" i="1"/>
  <c r="F85" i="1"/>
  <c r="C87" i="1"/>
  <c r="G86" i="1"/>
  <c r="E86" i="1"/>
  <c r="B86" i="1"/>
  <c r="BN100" i="1" l="1"/>
  <c r="BB100" i="1"/>
  <c r="AR100" i="1"/>
  <c r="AS100" i="1"/>
  <c r="AT100" i="1"/>
  <c r="AU100" i="1"/>
  <c r="AO100" i="1"/>
  <c r="AQ100" i="1"/>
  <c r="AE100" i="1"/>
  <c r="AF100" i="1"/>
  <c r="AG100" i="1"/>
  <c r="AH100" i="1"/>
  <c r="AI100" i="1"/>
  <c r="AC100" i="1"/>
  <c r="V100" i="1"/>
  <c r="W100" i="1"/>
  <c r="Q100" i="1"/>
  <c r="S100" i="1"/>
  <c r="T100" i="1"/>
  <c r="U100" i="1"/>
  <c r="J87" i="1"/>
  <c r="K87" i="1"/>
  <c r="BE101" i="1"/>
  <c r="BF101" i="1"/>
  <c r="BG101" i="1"/>
  <c r="BC101" i="1"/>
  <c r="BD101" i="1"/>
  <c r="BA101" i="1"/>
  <c r="BB101" i="1" s="1"/>
  <c r="BP101" i="1"/>
  <c r="BQ101" i="1"/>
  <c r="BR101" i="1"/>
  <c r="BS101" i="1"/>
  <c r="BM101" i="1"/>
  <c r="BN101" i="1" s="1"/>
  <c r="BJ101" i="1"/>
  <c r="Z100" i="1"/>
  <c r="AX101" i="1"/>
  <c r="AL100" i="1"/>
  <c r="N100" i="1"/>
  <c r="BT100" i="1"/>
  <c r="BH100" i="1"/>
  <c r="X99" i="1"/>
  <c r="AJ99" i="1"/>
  <c r="AV99" i="1"/>
  <c r="BO101" i="1"/>
  <c r="AD99" i="1"/>
  <c r="R99" i="1"/>
  <c r="H87" i="1"/>
  <c r="I87" i="1"/>
  <c r="L86" i="1"/>
  <c r="AP99" i="1"/>
  <c r="BK102" i="1"/>
  <c r="AY102" i="1"/>
  <c r="AM101" i="1"/>
  <c r="AA101" i="1"/>
  <c r="O101" i="1"/>
  <c r="D88" i="1"/>
  <c r="C88" i="1"/>
  <c r="G87" i="1"/>
  <c r="B87" i="1"/>
  <c r="E87" i="1"/>
  <c r="F86" i="1"/>
  <c r="AU101" i="1" l="1"/>
  <c r="AQ101" i="1"/>
  <c r="AR101" i="1"/>
  <c r="AS101" i="1"/>
  <c r="AT101" i="1"/>
  <c r="AO101" i="1"/>
  <c r="AG101" i="1"/>
  <c r="AH101" i="1"/>
  <c r="AI101" i="1"/>
  <c r="AE101" i="1"/>
  <c r="AF101" i="1"/>
  <c r="AC101" i="1"/>
  <c r="S101" i="1"/>
  <c r="T101" i="1"/>
  <c r="Q101" i="1"/>
  <c r="U101" i="1"/>
  <c r="V101" i="1"/>
  <c r="W101" i="1"/>
  <c r="K88" i="1"/>
  <c r="J88" i="1"/>
  <c r="BC102" i="1"/>
  <c r="BD102" i="1"/>
  <c r="BE102" i="1"/>
  <c r="BF102" i="1"/>
  <c r="BG102" i="1"/>
  <c r="BA102" i="1"/>
  <c r="BB102" i="1" s="1"/>
  <c r="BP102" i="1"/>
  <c r="BQ102" i="1"/>
  <c r="BR102" i="1"/>
  <c r="BS102" i="1"/>
  <c r="BM102" i="1"/>
  <c r="BJ102" i="1"/>
  <c r="Z101" i="1"/>
  <c r="AX102" i="1"/>
  <c r="AL101" i="1"/>
  <c r="N101" i="1"/>
  <c r="BT101" i="1"/>
  <c r="BH101" i="1"/>
  <c r="X100" i="1"/>
  <c r="AJ100" i="1"/>
  <c r="AV100" i="1"/>
  <c r="R100" i="1"/>
  <c r="BO102" i="1"/>
  <c r="AD100" i="1"/>
  <c r="I88" i="1"/>
  <c r="H88" i="1"/>
  <c r="L87" i="1"/>
  <c r="BK103" i="1"/>
  <c r="AY103" i="1"/>
  <c r="AM102" i="1"/>
  <c r="AP100" i="1"/>
  <c r="AA102" i="1"/>
  <c r="O102" i="1"/>
  <c r="D89" i="1"/>
  <c r="F87" i="1"/>
  <c r="C89" i="1"/>
  <c r="G88" i="1"/>
  <c r="B88" i="1"/>
  <c r="E88" i="1"/>
  <c r="AQ102" i="1" l="1"/>
  <c r="AR102" i="1"/>
  <c r="AS102" i="1"/>
  <c r="AT102" i="1"/>
  <c r="AU102" i="1"/>
  <c r="AO102" i="1"/>
  <c r="AE102" i="1"/>
  <c r="AF102" i="1"/>
  <c r="AG102" i="1"/>
  <c r="AI102" i="1"/>
  <c r="AH102" i="1"/>
  <c r="AC102" i="1"/>
  <c r="T102" i="1"/>
  <c r="U102" i="1"/>
  <c r="V102" i="1"/>
  <c r="W102" i="1"/>
  <c r="Q102" i="1"/>
  <c r="S102" i="1"/>
  <c r="K89" i="1"/>
  <c r="J89" i="1"/>
  <c r="BC103" i="1"/>
  <c r="BD103" i="1"/>
  <c r="BE103" i="1"/>
  <c r="BF103" i="1"/>
  <c r="BG103" i="1"/>
  <c r="BA103" i="1"/>
  <c r="BB103" i="1" s="1"/>
  <c r="BP103" i="1"/>
  <c r="BQ103" i="1"/>
  <c r="BR103" i="1"/>
  <c r="BS103" i="1"/>
  <c r="BM103" i="1"/>
  <c r="R101" i="1"/>
  <c r="BJ103" i="1"/>
  <c r="Z102" i="1"/>
  <c r="AX103" i="1"/>
  <c r="AL102" i="1"/>
  <c r="N102" i="1"/>
  <c r="BN102" i="1"/>
  <c r="BT102" i="1"/>
  <c r="BH102" i="1"/>
  <c r="AD101" i="1"/>
  <c r="X101" i="1"/>
  <c r="AV101" i="1"/>
  <c r="AJ101" i="1"/>
  <c r="BO103" i="1"/>
  <c r="H89" i="1"/>
  <c r="I89" i="1"/>
  <c r="L88" i="1"/>
  <c r="BK104" i="1"/>
  <c r="AY104" i="1"/>
  <c r="AM103" i="1"/>
  <c r="AP101" i="1"/>
  <c r="AA103" i="1"/>
  <c r="O103" i="1"/>
  <c r="D90" i="1"/>
  <c r="C90" i="1"/>
  <c r="G89" i="1"/>
  <c r="B89" i="1"/>
  <c r="E89" i="1"/>
  <c r="F88" i="1"/>
  <c r="AS103" i="1" l="1"/>
  <c r="AT103" i="1"/>
  <c r="AU103" i="1"/>
  <c r="AQ103" i="1"/>
  <c r="AR103" i="1"/>
  <c r="AO103" i="1"/>
  <c r="AE103" i="1"/>
  <c r="AF103" i="1"/>
  <c r="AG103" i="1"/>
  <c r="AH103" i="1"/>
  <c r="AI103" i="1"/>
  <c r="AC103" i="1"/>
  <c r="W103" i="1"/>
  <c r="S103" i="1"/>
  <c r="T103" i="1"/>
  <c r="Q103" i="1"/>
  <c r="U103" i="1"/>
  <c r="V103" i="1"/>
  <c r="K90" i="1"/>
  <c r="J90" i="1"/>
  <c r="BF104" i="1"/>
  <c r="BG104" i="1"/>
  <c r="BC104" i="1"/>
  <c r="BD104" i="1"/>
  <c r="BA104" i="1"/>
  <c r="BE104" i="1"/>
  <c r="BP104" i="1"/>
  <c r="BQ104" i="1"/>
  <c r="BR104" i="1"/>
  <c r="BS104" i="1"/>
  <c r="BM104" i="1"/>
  <c r="R102" i="1"/>
  <c r="BJ104" i="1"/>
  <c r="Z103" i="1"/>
  <c r="AX104" i="1"/>
  <c r="AL103" i="1"/>
  <c r="N103" i="1"/>
  <c r="BN103" i="1"/>
  <c r="BT103" i="1"/>
  <c r="BH103" i="1"/>
  <c r="X102" i="1"/>
  <c r="AJ102" i="1"/>
  <c r="AV102" i="1"/>
  <c r="BO104" i="1"/>
  <c r="AD102" i="1"/>
  <c r="I90" i="1"/>
  <c r="H90" i="1"/>
  <c r="L89" i="1"/>
  <c r="BK105" i="1"/>
  <c r="AY105" i="1"/>
  <c r="AM104" i="1"/>
  <c r="AP102" i="1"/>
  <c r="AA104" i="1"/>
  <c r="O104" i="1"/>
  <c r="D91" i="1"/>
  <c r="F89" i="1"/>
  <c r="C91" i="1"/>
  <c r="G90" i="1"/>
  <c r="B90" i="1"/>
  <c r="E90" i="1"/>
  <c r="AQ104" i="1" l="1"/>
  <c r="AR104" i="1"/>
  <c r="AS104" i="1"/>
  <c r="AT104" i="1"/>
  <c r="AU104" i="1"/>
  <c r="AO104" i="1"/>
  <c r="AH104" i="1"/>
  <c r="AI104" i="1"/>
  <c r="AE104" i="1"/>
  <c r="AF104" i="1"/>
  <c r="AG104" i="1"/>
  <c r="AC104" i="1"/>
  <c r="S104" i="1"/>
  <c r="T104" i="1"/>
  <c r="U104" i="1"/>
  <c r="V104" i="1"/>
  <c r="W104" i="1"/>
  <c r="Q104" i="1"/>
  <c r="K91" i="1"/>
  <c r="J91" i="1"/>
  <c r="BC105" i="1"/>
  <c r="BD105" i="1"/>
  <c r="BE105" i="1"/>
  <c r="BF105" i="1"/>
  <c r="BG105" i="1"/>
  <c r="BA105" i="1"/>
  <c r="BP105" i="1"/>
  <c r="BQ105" i="1"/>
  <c r="BR105" i="1"/>
  <c r="BM105" i="1"/>
  <c r="BS105" i="1"/>
  <c r="R103" i="1"/>
  <c r="BJ105" i="1"/>
  <c r="Z104" i="1"/>
  <c r="AX105" i="1"/>
  <c r="AL104" i="1"/>
  <c r="N104" i="1"/>
  <c r="BN104" i="1"/>
  <c r="BB104" i="1"/>
  <c r="BT104" i="1"/>
  <c r="BH104" i="1"/>
  <c r="X103" i="1"/>
  <c r="AJ103" i="1"/>
  <c r="AV103" i="1"/>
  <c r="BO105" i="1"/>
  <c r="AD103" i="1"/>
  <c r="I91" i="1"/>
  <c r="H91" i="1"/>
  <c r="L90" i="1"/>
  <c r="BK106" i="1"/>
  <c r="AY106" i="1"/>
  <c r="AP103" i="1"/>
  <c r="AM105" i="1"/>
  <c r="AA105" i="1"/>
  <c r="O105" i="1"/>
  <c r="D92" i="1"/>
  <c r="C92" i="1"/>
  <c r="G91" i="1"/>
  <c r="B91" i="1"/>
  <c r="E91" i="1"/>
  <c r="F90" i="1"/>
  <c r="AQ105" i="1" l="1"/>
  <c r="AR105" i="1"/>
  <c r="AS105" i="1"/>
  <c r="AT105" i="1"/>
  <c r="AU105" i="1"/>
  <c r="AO105" i="1"/>
  <c r="AE105" i="1"/>
  <c r="AF105" i="1"/>
  <c r="AG105" i="1"/>
  <c r="AH105" i="1"/>
  <c r="AI105" i="1"/>
  <c r="AC105" i="1"/>
  <c r="Q105" i="1"/>
  <c r="U105" i="1"/>
  <c r="S105" i="1"/>
  <c r="T105" i="1"/>
  <c r="W105" i="1"/>
  <c r="V105" i="1"/>
  <c r="K92" i="1"/>
  <c r="J92" i="1"/>
  <c r="BD106" i="1"/>
  <c r="BE106" i="1"/>
  <c r="BF106" i="1"/>
  <c r="BG106" i="1"/>
  <c r="BA106" i="1"/>
  <c r="BC106" i="1"/>
  <c r="BP106" i="1"/>
  <c r="BQ106" i="1"/>
  <c r="BR106" i="1"/>
  <c r="BS106" i="1"/>
  <c r="BM106" i="1"/>
  <c r="R104" i="1"/>
  <c r="BB105" i="1"/>
  <c r="BJ106" i="1"/>
  <c r="Z105" i="1"/>
  <c r="AX106" i="1"/>
  <c r="AL105" i="1"/>
  <c r="N105" i="1"/>
  <c r="BN105" i="1"/>
  <c r="BT105" i="1"/>
  <c r="BH105" i="1"/>
  <c r="X104" i="1"/>
  <c r="AJ104" i="1"/>
  <c r="AV104" i="1"/>
  <c r="BO106" i="1"/>
  <c r="AD104" i="1"/>
  <c r="H92" i="1"/>
  <c r="I92" i="1"/>
  <c r="L91" i="1"/>
  <c r="BK107" i="1"/>
  <c r="AY107" i="1"/>
  <c r="AM106" i="1"/>
  <c r="AP104" i="1"/>
  <c r="AA106" i="1"/>
  <c r="O106" i="1"/>
  <c r="D93" i="1"/>
  <c r="F91" i="1"/>
  <c r="C93" i="1"/>
  <c r="G92" i="1"/>
  <c r="B92" i="1"/>
  <c r="E92" i="1"/>
  <c r="AT106" i="1" l="1"/>
  <c r="AU106" i="1"/>
  <c r="AQ106" i="1"/>
  <c r="AR106" i="1"/>
  <c r="AO106" i="1"/>
  <c r="AS106" i="1"/>
  <c r="AF106" i="1"/>
  <c r="AG106" i="1"/>
  <c r="AH106" i="1"/>
  <c r="AI106" i="1"/>
  <c r="AE106" i="1"/>
  <c r="AC106" i="1"/>
  <c r="Q106" i="1"/>
  <c r="S106" i="1"/>
  <c r="T106" i="1"/>
  <c r="U106" i="1"/>
  <c r="V106" i="1"/>
  <c r="W106" i="1"/>
  <c r="J93" i="1"/>
  <c r="K93" i="1"/>
  <c r="BG107" i="1"/>
  <c r="BC107" i="1"/>
  <c r="BD107" i="1"/>
  <c r="BE107" i="1"/>
  <c r="BA107" i="1"/>
  <c r="BF107" i="1"/>
  <c r="BP107" i="1"/>
  <c r="BQ107" i="1"/>
  <c r="BR107" i="1"/>
  <c r="BM107" i="1"/>
  <c r="BS107" i="1"/>
  <c r="BB106" i="1"/>
  <c r="BJ107" i="1"/>
  <c r="Z106" i="1"/>
  <c r="AX107" i="1"/>
  <c r="AL106" i="1"/>
  <c r="N106" i="1"/>
  <c r="BN106" i="1"/>
  <c r="R105" i="1"/>
  <c r="BT106" i="1"/>
  <c r="BH106" i="1"/>
  <c r="X105" i="1"/>
  <c r="AJ105" i="1"/>
  <c r="AV105" i="1"/>
  <c r="BO107" i="1"/>
  <c r="AD105" i="1"/>
  <c r="H93" i="1"/>
  <c r="I93" i="1"/>
  <c r="L92" i="1"/>
  <c r="AP105" i="1"/>
  <c r="BK108" i="1"/>
  <c r="AY108" i="1"/>
  <c r="AM107" i="1"/>
  <c r="AA107" i="1"/>
  <c r="O107" i="1"/>
  <c r="D94" i="1"/>
  <c r="C94" i="1"/>
  <c r="G93" i="1"/>
  <c r="E93" i="1"/>
  <c r="B93" i="1"/>
  <c r="F92" i="1"/>
  <c r="AQ107" i="1" l="1"/>
  <c r="AR107" i="1"/>
  <c r="AS107" i="1"/>
  <c r="AT107" i="1"/>
  <c r="AU107" i="1"/>
  <c r="AO107" i="1"/>
  <c r="AI107" i="1"/>
  <c r="AE107" i="1"/>
  <c r="AF107" i="1"/>
  <c r="AG107" i="1"/>
  <c r="AH107" i="1"/>
  <c r="AC107" i="1"/>
  <c r="Q107" i="1"/>
  <c r="V107" i="1"/>
  <c r="W107" i="1"/>
  <c r="S107" i="1"/>
  <c r="U107" i="1"/>
  <c r="T107" i="1"/>
  <c r="K94" i="1"/>
  <c r="J94" i="1"/>
  <c r="BC108" i="1"/>
  <c r="BD108" i="1"/>
  <c r="BE108" i="1"/>
  <c r="BF108" i="1"/>
  <c r="BG108" i="1"/>
  <c r="BA108" i="1"/>
  <c r="BN107" i="1"/>
  <c r="BP108" i="1"/>
  <c r="BQ108" i="1"/>
  <c r="BR108" i="1"/>
  <c r="BS108" i="1"/>
  <c r="BM108" i="1"/>
  <c r="BB107" i="1"/>
  <c r="BJ108" i="1"/>
  <c r="Z107" i="1"/>
  <c r="AX108" i="1"/>
  <c r="AL107" i="1"/>
  <c r="N107" i="1"/>
  <c r="R106" i="1"/>
  <c r="BT107" i="1"/>
  <c r="BH107" i="1"/>
  <c r="X106" i="1"/>
  <c r="AJ106" i="1"/>
  <c r="AV106" i="1"/>
  <c r="BO108" i="1"/>
  <c r="AD106" i="1"/>
  <c r="H94" i="1"/>
  <c r="I94" i="1"/>
  <c r="L93" i="1"/>
  <c r="BK109" i="1"/>
  <c r="AY109" i="1"/>
  <c r="AM108" i="1"/>
  <c r="AP106" i="1"/>
  <c r="AA108" i="1"/>
  <c r="O108" i="1"/>
  <c r="D95" i="1"/>
  <c r="F93" i="1"/>
  <c r="C95" i="1"/>
  <c r="G94" i="1"/>
  <c r="E94" i="1"/>
  <c r="B94" i="1"/>
  <c r="AR108" i="1" l="1"/>
  <c r="AS108" i="1"/>
  <c r="AT108" i="1"/>
  <c r="AU108" i="1"/>
  <c r="AO108" i="1"/>
  <c r="AQ108" i="1"/>
  <c r="AE108" i="1"/>
  <c r="AF108" i="1"/>
  <c r="AG108" i="1"/>
  <c r="AH108" i="1"/>
  <c r="AI108" i="1"/>
  <c r="AC108" i="1"/>
  <c r="Q108" i="1"/>
  <c r="S108" i="1"/>
  <c r="T108" i="1"/>
  <c r="U108" i="1"/>
  <c r="V108" i="1"/>
  <c r="W108" i="1"/>
  <c r="J95" i="1"/>
  <c r="K95" i="1"/>
  <c r="BE109" i="1"/>
  <c r="BF109" i="1"/>
  <c r="BG109" i="1"/>
  <c r="BC109" i="1"/>
  <c r="BD109" i="1"/>
  <c r="BA109" i="1"/>
  <c r="BP109" i="1"/>
  <c r="BQ109" i="1"/>
  <c r="BR109" i="1"/>
  <c r="BS109" i="1"/>
  <c r="BM109" i="1"/>
  <c r="BB108" i="1"/>
  <c r="BJ109" i="1"/>
  <c r="Z108" i="1"/>
  <c r="AX109" i="1"/>
  <c r="AL108" i="1"/>
  <c r="N108" i="1"/>
  <c r="BN108" i="1"/>
  <c r="BT108" i="1"/>
  <c r="BH108" i="1"/>
  <c r="X107" i="1"/>
  <c r="AJ107" i="1"/>
  <c r="AV107" i="1"/>
  <c r="BO109" i="1"/>
  <c r="AD107" i="1"/>
  <c r="R107" i="1"/>
  <c r="H95" i="1"/>
  <c r="I95" i="1"/>
  <c r="L94" i="1"/>
  <c r="BK110" i="1"/>
  <c r="AY110" i="1"/>
  <c r="AP107" i="1"/>
  <c r="AM109" i="1"/>
  <c r="AA109" i="1"/>
  <c r="O109" i="1"/>
  <c r="D96" i="1"/>
  <c r="C96" i="1"/>
  <c r="G95" i="1"/>
  <c r="B95" i="1"/>
  <c r="E95" i="1"/>
  <c r="F94" i="1"/>
  <c r="AU109" i="1" l="1"/>
  <c r="AQ109" i="1"/>
  <c r="AR109" i="1"/>
  <c r="AS109" i="1"/>
  <c r="AO109" i="1"/>
  <c r="AT109" i="1"/>
  <c r="AG109" i="1"/>
  <c r="AH109" i="1"/>
  <c r="AI109" i="1"/>
  <c r="AF109" i="1"/>
  <c r="AE109" i="1"/>
  <c r="AC109" i="1"/>
  <c r="Q109" i="1"/>
  <c r="T109" i="1"/>
  <c r="U109" i="1"/>
  <c r="V109" i="1"/>
  <c r="W109" i="1"/>
  <c r="S109" i="1"/>
  <c r="K96" i="1"/>
  <c r="J96" i="1"/>
  <c r="BC110" i="1"/>
  <c r="BD110" i="1"/>
  <c r="BE110" i="1"/>
  <c r="BF110" i="1"/>
  <c r="BG110" i="1"/>
  <c r="BA110" i="1"/>
  <c r="BP110" i="1"/>
  <c r="BQ110" i="1"/>
  <c r="BR110" i="1"/>
  <c r="BS110" i="1"/>
  <c r="BM110" i="1"/>
  <c r="BB109" i="1"/>
  <c r="BJ110" i="1"/>
  <c r="Z109" i="1"/>
  <c r="AX110" i="1"/>
  <c r="AL109" i="1"/>
  <c r="N109" i="1"/>
  <c r="BN109" i="1"/>
  <c r="BT109" i="1"/>
  <c r="BH109" i="1"/>
  <c r="R108" i="1"/>
  <c r="X108" i="1"/>
  <c r="AJ108" i="1"/>
  <c r="AV108" i="1"/>
  <c r="AD108" i="1"/>
  <c r="BO110" i="1"/>
  <c r="I96" i="1"/>
  <c r="H96" i="1"/>
  <c r="L95" i="1"/>
  <c r="BK111" i="1"/>
  <c r="AY111" i="1"/>
  <c r="AP108" i="1"/>
  <c r="AM110" i="1"/>
  <c r="AA110" i="1"/>
  <c r="O110" i="1"/>
  <c r="D97" i="1"/>
  <c r="F95" i="1"/>
  <c r="C97" i="1"/>
  <c r="G96" i="1"/>
  <c r="B96" i="1"/>
  <c r="E96" i="1"/>
  <c r="AQ110" i="1" l="1"/>
  <c r="AR110" i="1"/>
  <c r="AS110" i="1"/>
  <c r="AT110" i="1"/>
  <c r="AU110" i="1"/>
  <c r="AO110" i="1"/>
  <c r="AE110" i="1"/>
  <c r="AF110" i="1"/>
  <c r="AG110" i="1"/>
  <c r="AH110" i="1"/>
  <c r="AI110" i="1"/>
  <c r="AC110" i="1"/>
  <c r="Q110" i="1"/>
  <c r="W110" i="1"/>
  <c r="S110" i="1"/>
  <c r="T110" i="1"/>
  <c r="V110" i="1"/>
  <c r="U110" i="1"/>
  <c r="K97" i="1"/>
  <c r="J97" i="1"/>
  <c r="BC111" i="1"/>
  <c r="BD111" i="1"/>
  <c r="BE111" i="1"/>
  <c r="BF111" i="1"/>
  <c r="BG111" i="1"/>
  <c r="BA111" i="1"/>
  <c r="BP111" i="1"/>
  <c r="BQ111" i="1"/>
  <c r="BR111" i="1"/>
  <c r="BM111" i="1"/>
  <c r="BS111" i="1"/>
  <c r="BB110" i="1"/>
  <c r="BJ111" i="1"/>
  <c r="Z110" i="1"/>
  <c r="BN110" i="1"/>
  <c r="AX111" i="1"/>
  <c r="AL110" i="1"/>
  <c r="N110" i="1"/>
  <c r="BT110" i="1"/>
  <c r="BH110" i="1"/>
  <c r="R109" i="1"/>
  <c r="X109" i="1"/>
  <c r="AJ109" i="1"/>
  <c r="AV109" i="1"/>
  <c r="BO111" i="1"/>
  <c r="AD109" i="1"/>
  <c r="I97" i="1"/>
  <c r="H97" i="1"/>
  <c r="L96" i="1"/>
  <c r="BK112" i="1"/>
  <c r="AY112" i="1"/>
  <c r="AM111" i="1"/>
  <c r="AP109" i="1"/>
  <c r="AA111" i="1"/>
  <c r="O111" i="1"/>
  <c r="D98" i="1"/>
  <c r="C98" i="1"/>
  <c r="G97" i="1"/>
  <c r="B97" i="1"/>
  <c r="E97" i="1"/>
  <c r="F96" i="1"/>
  <c r="AS111" i="1" l="1"/>
  <c r="AT111" i="1"/>
  <c r="AU111" i="1"/>
  <c r="AQ111" i="1"/>
  <c r="AO111" i="1"/>
  <c r="AR111" i="1"/>
  <c r="AE111" i="1"/>
  <c r="AF111" i="1"/>
  <c r="AG111" i="1"/>
  <c r="AH111" i="1"/>
  <c r="AI111" i="1"/>
  <c r="AC111" i="1"/>
  <c r="Q111" i="1"/>
  <c r="S111" i="1"/>
  <c r="T111" i="1"/>
  <c r="U111" i="1"/>
  <c r="V111" i="1"/>
  <c r="W111" i="1"/>
  <c r="K98" i="1"/>
  <c r="J98" i="1"/>
  <c r="BF112" i="1"/>
  <c r="BG112" i="1"/>
  <c r="BC112" i="1"/>
  <c r="BD112" i="1"/>
  <c r="BE112" i="1"/>
  <c r="BA112" i="1"/>
  <c r="BP112" i="1"/>
  <c r="BQ112" i="1"/>
  <c r="BR112" i="1"/>
  <c r="BS112" i="1"/>
  <c r="BM112" i="1"/>
  <c r="BJ112" i="1"/>
  <c r="Z111" i="1"/>
  <c r="BN111" i="1"/>
  <c r="AX112" i="1"/>
  <c r="AL111" i="1"/>
  <c r="N111" i="1"/>
  <c r="BB111" i="1"/>
  <c r="BT111" i="1"/>
  <c r="BH111" i="1"/>
  <c r="R110" i="1"/>
  <c r="X110" i="1"/>
  <c r="AJ110" i="1"/>
  <c r="AV110" i="1"/>
  <c r="BO112" i="1"/>
  <c r="AD110" i="1"/>
  <c r="I98" i="1"/>
  <c r="H98" i="1"/>
  <c r="L97" i="1"/>
  <c r="AP110" i="1"/>
  <c r="BK113" i="1"/>
  <c r="AY113" i="1"/>
  <c r="AM112" i="1"/>
  <c r="AA112" i="1"/>
  <c r="O112" i="1"/>
  <c r="D99" i="1"/>
  <c r="F97" i="1"/>
  <c r="C99" i="1"/>
  <c r="G98" i="1"/>
  <c r="B98" i="1"/>
  <c r="E98" i="1"/>
  <c r="AQ112" i="1" l="1"/>
  <c r="AR112" i="1"/>
  <c r="AS112" i="1"/>
  <c r="AT112" i="1"/>
  <c r="AU112" i="1"/>
  <c r="AO112" i="1"/>
  <c r="AH112" i="1"/>
  <c r="AI112" i="1"/>
  <c r="AE112" i="1"/>
  <c r="AF112" i="1"/>
  <c r="AG112" i="1"/>
  <c r="AC112" i="1"/>
  <c r="U112" i="1"/>
  <c r="V112" i="1"/>
  <c r="W112" i="1"/>
  <c r="Q112" i="1"/>
  <c r="T112" i="1"/>
  <c r="S112" i="1"/>
  <c r="K99" i="1"/>
  <c r="J99" i="1"/>
  <c r="BC113" i="1"/>
  <c r="BD113" i="1"/>
  <c r="BE113" i="1"/>
  <c r="BF113" i="1"/>
  <c r="BG113" i="1"/>
  <c r="BA113" i="1"/>
  <c r="BB112" i="1"/>
  <c r="BP113" i="1"/>
  <c r="BQ113" i="1"/>
  <c r="BR113" i="1"/>
  <c r="BS113" i="1"/>
  <c r="BM113" i="1"/>
  <c r="BJ113" i="1"/>
  <c r="Z112" i="1"/>
  <c r="AX113" i="1"/>
  <c r="AL112" i="1"/>
  <c r="N112" i="1"/>
  <c r="BN112" i="1"/>
  <c r="BT112" i="1"/>
  <c r="BH112" i="1"/>
  <c r="R111" i="1"/>
  <c r="X111" i="1"/>
  <c r="AJ111" i="1"/>
  <c r="AV111" i="1"/>
  <c r="BO113" i="1"/>
  <c r="AD111" i="1"/>
  <c r="I99" i="1"/>
  <c r="H99" i="1"/>
  <c r="L98" i="1"/>
  <c r="BK114" i="1"/>
  <c r="AY114" i="1"/>
  <c r="AM113" i="1"/>
  <c r="AP111" i="1"/>
  <c r="AA113" i="1"/>
  <c r="O113" i="1"/>
  <c r="D100" i="1"/>
  <c r="C100" i="1"/>
  <c r="G99" i="1"/>
  <c r="B99" i="1"/>
  <c r="E99" i="1"/>
  <c r="F98" i="1"/>
  <c r="BB113" i="1" l="1"/>
  <c r="AQ113" i="1"/>
  <c r="AR113" i="1"/>
  <c r="AS113" i="1"/>
  <c r="AT113" i="1"/>
  <c r="AU113" i="1"/>
  <c r="AO113" i="1"/>
  <c r="AE113" i="1"/>
  <c r="AF113" i="1"/>
  <c r="AG113" i="1"/>
  <c r="AH113" i="1"/>
  <c r="AI113" i="1"/>
  <c r="AC113" i="1"/>
  <c r="Q113" i="1"/>
  <c r="S113" i="1"/>
  <c r="T113" i="1"/>
  <c r="U113" i="1"/>
  <c r="W113" i="1"/>
  <c r="V113" i="1"/>
  <c r="K100" i="1"/>
  <c r="J100" i="1"/>
  <c r="BD114" i="1"/>
  <c r="BE114" i="1"/>
  <c r="BF114" i="1"/>
  <c r="BG114" i="1"/>
  <c r="BC114" i="1"/>
  <c r="BA114" i="1"/>
  <c r="BB114" i="1" s="1"/>
  <c r="BP114" i="1"/>
  <c r="BQ114" i="1"/>
  <c r="BR114" i="1"/>
  <c r="BS114" i="1"/>
  <c r="BM114" i="1"/>
  <c r="BJ114" i="1"/>
  <c r="Z113" i="1"/>
  <c r="AX114" i="1"/>
  <c r="AL113" i="1"/>
  <c r="N113" i="1"/>
  <c r="BN113" i="1"/>
  <c r="BT113" i="1"/>
  <c r="BH113" i="1"/>
  <c r="R112" i="1"/>
  <c r="X112" i="1"/>
  <c r="AJ112" i="1"/>
  <c r="AV112" i="1"/>
  <c r="BO114" i="1"/>
  <c r="AD112" i="1"/>
  <c r="H100" i="1"/>
  <c r="I100" i="1"/>
  <c r="L99" i="1"/>
  <c r="AP112" i="1"/>
  <c r="BK115" i="1"/>
  <c r="AY115" i="1"/>
  <c r="AM114" i="1"/>
  <c r="AA114" i="1"/>
  <c r="O114" i="1"/>
  <c r="D101" i="1"/>
  <c r="F99" i="1"/>
  <c r="C101" i="1"/>
  <c r="G100" i="1"/>
  <c r="B100" i="1"/>
  <c r="E100" i="1"/>
  <c r="AT114" i="1" l="1"/>
  <c r="AU114" i="1"/>
  <c r="AQ114" i="1"/>
  <c r="AR114" i="1"/>
  <c r="AS114" i="1"/>
  <c r="AO114" i="1"/>
  <c r="AF114" i="1"/>
  <c r="AG114" i="1"/>
  <c r="AH114" i="1"/>
  <c r="AI114" i="1"/>
  <c r="AE114" i="1"/>
  <c r="AC114" i="1"/>
  <c r="Q114" i="1"/>
  <c r="S114" i="1"/>
  <c r="T114" i="1"/>
  <c r="U114" i="1"/>
  <c r="V114" i="1"/>
  <c r="W114" i="1"/>
  <c r="J101" i="1"/>
  <c r="K101" i="1"/>
  <c r="BG115" i="1"/>
  <c r="BC115" i="1"/>
  <c r="BD115" i="1"/>
  <c r="BE115" i="1"/>
  <c r="BF115" i="1"/>
  <c r="BA115" i="1"/>
  <c r="BB115" i="1" s="1"/>
  <c r="BP115" i="1"/>
  <c r="BQ115" i="1"/>
  <c r="BR115" i="1"/>
  <c r="BM115" i="1"/>
  <c r="BS115" i="1"/>
  <c r="BJ115" i="1"/>
  <c r="Z114" i="1"/>
  <c r="BN114" i="1"/>
  <c r="AX115" i="1"/>
  <c r="AL114" i="1"/>
  <c r="N114" i="1"/>
  <c r="BT114" i="1"/>
  <c r="BH114" i="1"/>
  <c r="X113" i="1"/>
  <c r="AJ113" i="1"/>
  <c r="AV113" i="1"/>
  <c r="AP113" i="1"/>
  <c r="BO115" i="1"/>
  <c r="AD113" i="1"/>
  <c r="R113" i="1"/>
  <c r="I101" i="1"/>
  <c r="H101" i="1"/>
  <c r="L100" i="1"/>
  <c r="BK116" i="1"/>
  <c r="AY116" i="1"/>
  <c r="AM115" i="1"/>
  <c r="AA115" i="1"/>
  <c r="O115" i="1"/>
  <c r="D102" i="1"/>
  <c r="C102" i="1"/>
  <c r="G101" i="1"/>
  <c r="B101" i="1"/>
  <c r="E101" i="1"/>
  <c r="F100" i="1"/>
  <c r="AQ115" i="1" l="1"/>
  <c r="AR115" i="1"/>
  <c r="AS115" i="1"/>
  <c r="AT115" i="1"/>
  <c r="AU115" i="1"/>
  <c r="AO115" i="1"/>
  <c r="AD114" i="1"/>
  <c r="AI115" i="1"/>
  <c r="AE115" i="1"/>
  <c r="AF115" i="1"/>
  <c r="AH115" i="1"/>
  <c r="AG115" i="1"/>
  <c r="AC115" i="1"/>
  <c r="Q115" i="1"/>
  <c r="V115" i="1"/>
  <c r="W115" i="1"/>
  <c r="S115" i="1"/>
  <c r="U115" i="1"/>
  <c r="T115" i="1"/>
  <c r="J102" i="1"/>
  <c r="K102" i="1"/>
  <c r="BC116" i="1"/>
  <c r="BD116" i="1"/>
  <c r="BE116" i="1"/>
  <c r="BF116" i="1"/>
  <c r="BG116" i="1"/>
  <c r="BA116" i="1"/>
  <c r="BB116" i="1" s="1"/>
  <c r="BP116" i="1"/>
  <c r="BQ116" i="1"/>
  <c r="BR116" i="1"/>
  <c r="BS116" i="1"/>
  <c r="BM116" i="1"/>
  <c r="BN115" i="1"/>
  <c r="BJ116" i="1"/>
  <c r="Z115" i="1"/>
  <c r="AX116" i="1"/>
  <c r="AL115" i="1"/>
  <c r="N115" i="1"/>
  <c r="BT115" i="1"/>
  <c r="BH115" i="1"/>
  <c r="R114" i="1"/>
  <c r="X114" i="1"/>
  <c r="AV114" i="1"/>
  <c r="BO116" i="1"/>
  <c r="AJ114" i="1"/>
  <c r="H102" i="1"/>
  <c r="I102" i="1"/>
  <c r="L101" i="1"/>
  <c r="BK117" i="1"/>
  <c r="AY117" i="1"/>
  <c r="AM116" i="1"/>
  <c r="AP114" i="1"/>
  <c r="AA116" i="1"/>
  <c r="O116" i="1"/>
  <c r="D103" i="1"/>
  <c r="F101" i="1"/>
  <c r="C103" i="1"/>
  <c r="G102" i="1"/>
  <c r="E102" i="1"/>
  <c r="B102" i="1"/>
  <c r="AD115" i="1" l="1"/>
  <c r="AR116" i="1"/>
  <c r="AS116" i="1"/>
  <c r="AT116" i="1"/>
  <c r="AU116" i="1"/>
  <c r="AQ116" i="1"/>
  <c r="AO116" i="1"/>
  <c r="AE116" i="1"/>
  <c r="AF116" i="1"/>
  <c r="AG116" i="1"/>
  <c r="AH116" i="1"/>
  <c r="AI116" i="1"/>
  <c r="AC116" i="1"/>
  <c r="AD116" i="1" s="1"/>
  <c r="Q116" i="1"/>
  <c r="S116" i="1"/>
  <c r="T116" i="1"/>
  <c r="U116" i="1"/>
  <c r="V116" i="1"/>
  <c r="W116" i="1"/>
  <c r="J103" i="1"/>
  <c r="K103" i="1"/>
  <c r="BE117" i="1"/>
  <c r="BF117" i="1"/>
  <c r="BG117" i="1"/>
  <c r="BC117" i="1"/>
  <c r="BD117" i="1"/>
  <c r="BA117" i="1"/>
  <c r="BB117" i="1" s="1"/>
  <c r="BP117" i="1"/>
  <c r="BQ117" i="1"/>
  <c r="BR117" i="1"/>
  <c r="BS117" i="1"/>
  <c r="BM117" i="1"/>
  <c r="BN116" i="1"/>
  <c r="BJ117" i="1"/>
  <c r="Z116" i="1"/>
  <c r="AX117" i="1"/>
  <c r="AL116" i="1"/>
  <c r="N116" i="1"/>
  <c r="BT116" i="1"/>
  <c r="BH116" i="1"/>
  <c r="X115" i="1"/>
  <c r="AV115" i="1"/>
  <c r="BO117" i="1"/>
  <c r="AJ115" i="1"/>
  <c r="R115" i="1"/>
  <c r="H103" i="1"/>
  <c r="I103" i="1"/>
  <c r="L102" i="1"/>
  <c r="BK118" i="1"/>
  <c r="AY118" i="1"/>
  <c r="AP115" i="1"/>
  <c r="AM117" i="1"/>
  <c r="AA117" i="1"/>
  <c r="O117" i="1"/>
  <c r="D104" i="1"/>
  <c r="C104" i="1"/>
  <c r="G103" i="1"/>
  <c r="B103" i="1"/>
  <c r="E103" i="1"/>
  <c r="F102" i="1"/>
  <c r="BN117" i="1" l="1"/>
  <c r="AU117" i="1"/>
  <c r="AQ117" i="1"/>
  <c r="AR117" i="1"/>
  <c r="AS117" i="1"/>
  <c r="AT117" i="1"/>
  <c r="AO117" i="1"/>
  <c r="AG117" i="1"/>
  <c r="AH117" i="1"/>
  <c r="AI117" i="1"/>
  <c r="AE117" i="1"/>
  <c r="AF117" i="1"/>
  <c r="AC117" i="1"/>
  <c r="AD117" i="1" s="1"/>
  <c r="Q117" i="1"/>
  <c r="T117" i="1"/>
  <c r="U117" i="1"/>
  <c r="V117" i="1"/>
  <c r="W117" i="1"/>
  <c r="S117" i="1"/>
  <c r="K104" i="1"/>
  <c r="J104" i="1"/>
  <c r="BC118" i="1"/>
  <c r="BD118" i="1"/>
  <c r="BE118" i="1"/>
  <c r="BF118" i="1"/>
  <c r="BG118" i="1"/>
  <c r="BA118" i="1"/>
  <c r="BP118" i="1"/>
  <c r="BQ118" i="1"/>
  <c r="BR118" i="1"/>
  <c r="BS118" i="1"/>
  <c r="BM118" i="1"/>
  <c r="BJ118" i="1"/>
  <c r="Z117" i="1"/>
  <c r="AX118" i="1"/>
  <c r="AL117" i="1"/>
  <c r="N117" i="1"/>
  <c r="BT117" i="1"/>
  <c r="BH117" i="1"/>
  <c r="X116" i="1"/>
  <c r="AV116" i="1"/>
  <c r="R116" i="1"/>
  <c r="BO118" i="1"/>
  <c r="AJ116" i="1"/>
  <c r="I104" i="1"/>
  <c r="H104" i="1"/>
  <c r="L103" i="1"/>
  <c r="BK119" i="1"/>
  <c r="AY119" i="1"/>
  <c r="AP116" i="1"/>
  <c r="AM118" i="1"/>
  <c r="AA118" i="1"/>
  <c r="O118" i="1"/>
  <c r="D105" i="1"/>
  <c r="F103" i="1"/>
  <c r="C105" i="1"/>
  <c r="G104" i="1"/>
  <c r="B104" i="1"/>
  <c r="E104" i="1"/>
  <c r="BN118" i="1" l="1"/>
  <c r="AQ118" i="1"/>
  <c r="AR118" i="1"/>
  <c r="AS118" i="1"/>
  <c r="AT118" i="1"/>
  <c r="AU118" i="1"/>
  <c r="AO118" i="1"/>
  <c r="AE118" i="1"/>
  <c r="AF118" i="1"/>
  <c r="AG118" i="1"/>
  <c r="AH118" i="1"/>
  <c r="AI118" i="1"/>
  <c r="AC118" i="1"/>
  <c r="Q118" i="1"/>
  <c r="W118" i="1"/>
  <c r="S118" i="1"/>
  <c r="T118" i="1"/>
  <c r="V118" i="1"/>
  <c r="U118" i="1"/>
  <c r="K105" i="1"/>
  <c r="J105" i="1"/>
  <c r="BC119" i="1"/>
  <c r="BD119" i="1"/>
  <c r="BE119" i="1"/>
  <c r="BF119" i="1"/>
  <c r="BG119" i="1"/>
  <c r="BA119" i="1"/>
  <c r="BP119" i="1"/>
  <c r="BQ119" i="1"/>
  <c r="BR119" i="1"/>
  <c r="BS119" i="1"/>
  <c r="BM119" i="1"/>
  <c r="R117" i="1"/>
  <c r="BJ119" i="1"/>
  <c r="Z118" i="1"/>
  <c r="AX119" i="1"/>
  <c r="AL118" i="1"/>
  <c r="N118" i="1"/>
  <c r="BB118" i="1"/>
  <c r="BT118" i="1"/>
  <c r="BH118" i="1"/>
  <c r="X117" i="1"/>
  <c r="AV117" i="1"/>
  <c r="AJ117" i="1"/>
  <c r="BO119" i="1"/>
  <c r="H105" i="1"/>
  <c r="I105" i="1"/>
  <c r="L104" i="1"/>
  <c r="BK120" i="1"/>
  <c r="AY120" i="1"/>
  <c r="AM119" i="1"/>
  <c r="AP117" i="1"/>
  <c r="AA119" i="1"/>
  <c r="O119" i="1"/>
  <c r="D106" i="1"/>
  <c r="C106" i="1"/>
  <c r="G105" i="1"/>
  <c r="B105" i="1"/>
  <c r="E105" i="1"/>
  <c r="F104" i="1"/>
  <c r="AS119" i="1" l="1"/>
  <c r="AT119" i="1"/>
  <c r="AU119" i="1"/>
  <c r="AQ119" i="1"/>
  <c r="AR119" i="1"/>
  <c r="AO119" i="1"/>
  <c r="AE119" i="1"/>
  <c r="AF119" i="1"/>
  <c r="AG119" i="1"/>
  <c r="AH119" i="1"/>
  <c r="AI119" i="1"/>
  <c r="AC119" i="1"/>
  <c r="Q119" i="1"/>
  <c r="S119" i="1"/>
  <c r="T119" i="1"/>
  <c r="U119" i="1"/>
  <c r="V119" i="1"/>
  <c r="W119" i="1"/>
  <c r="K106" i="1"/>
  <c r="J106" i="1"/>
  <c r="BF120" i="1"/>
  <c r="BG120" i="1"/>
  <c r="BC120" i="1"/>
  <c r="BD120" i="1"/>
  <c r="BA120" i="1"/>
  <c r="BE120" i="1"/>
  <c r="BP120" i="1"/>
  <c r="BQ120" i="1"/>
  <c r="BR120" i="1"/>
  <c r="BS120" i="1"/>
  <c r="BM120" i="1"/>
  <c r="BJ120" i="1"/>
  <c r="Z119" i="1"/>
  <c r="AX120" i="1"/>
  <c r="AL119" i="1"/>
  <c r="N119" i="1"/>
  <c r="BB119" i="1"/>
  <c r="BN119" i="1"/>
  <c r="BT119" i="1"/>
  <c r="BH119" i="1"/>
  <c r="X118" i="1"/>
  <c r="AJ118" i="1"/>
  <c r="AV118" i="1"/>
  <c r="BO120" i="1"/>
  <c r="AD118" i="1"/>
  <c r="R118" i="1"/>
  <c r="I106" i="1"/>
  <c r="H106" i="1"/>
  <c r="L105" i="1"/>
  <c r="AP118" i="1"/>
  <c r="BK121" i="1"/>
  <c r="AY121" i="1"/>
  <c r="AM120" i="1"/>
  <c r="AA120" i="1"/>
  <c r="O120" i="1"/>
  <c r="D107" i="1"/>
  <c r="F105" i="1"/>
  <c r="C107" i="1"/>
  <c r="G106" i="1"/>
  <c r="B106" i="1"/>
  <c r="E106" i="1"/>
  <c r="AQ120" i="1" l="1"/>
  <c r="AR120" i="1"/>
  <c r="AS120" i="1"/>
  <c r="AT120" i="1"/>
  <c r="AU120" i="1"/>
  <c r="AO120" i="1"/>
  <c r="AH120" i="1"/>
  <c r="AI120" i="1"/>
  <c r="AE120" i="1"/>
  <c r="AF120" i="1"/>
  <c r="AG120" i="1"/>
  <c r="AC120" i="1"/>
  <c r="U120" i="1"/>
  <c r="V120" i="1"/>
  <c r="W120" i="1"/>
  <c r="Q120" i="1"/>
  <c r="T120" i="1"/>
  <c r="S120" i="1"/>
  <c r="K107" i="1"/>
  <c r="J107" i="1"/>
  <c r="BC121" i="1"/>
  <c r="BD121" i="1"/>
  <c r="BE121" i="1"/>
  <c r="BF121" i="1"/>
  <c r="BG121" i="1"/>
  <c r="BA121" i="1"/>
  <c r="BB120" i="1"/>
  <c r="BP121" i="1"/>
  <c r="BQ121" i="1"/>
  <c r="BR121" i="1"/>
  <c r="BS121" i="1"/>
  <c r="BM121" i="1"/>
  <c r="BJ121" i="1"/>
  <c r="BN120" i="1"/>
  <c r="Z120" i="1"/>
  <c r="AX121" i="1"/>
  <c r="AL120" i="1"/>
  <c r="N120" i="1"/>
  <c r="BT120" i="1"/>
  <c r="BH120" i="1"/>
  <c r="R119" i="1"/>
  <c r="X119" i="1"/>
  <c r="AJ119" i="1"/>
  <c r="AV119" i="1"/>
  <c r="BO121" i="1"/>
  <c r="AD119" i="1"/>
  <c r="I107" i="1"/>
  <c r="H107" i="1"/>
  <c r="L106" i="1"/>
  <c r="BK122" i="1"/>
  <c r="AY122" i="1"/>
  <c r="AM121" i="1"/>
  <c r="AP119" i="1"/>
  <c r="AA121" i="1"/>
  <c r="O121" i="1"/>
  <c r="D108" i="1"/>
  <c r="C108" i="1"/>
  <c r="B107" i="1"/>
  <c r="G107" i="1"/>
  <c r="E107" i="1"/>
  <c r="F106" i="1"/>
  <c r="BB121" i="1" l="1"/>
  <c r="AQ121" i="1"/>
  <c r="AR121" i="1"/>
  <c r="AS121" i="1"/>
  <c r="AT121" i="1"/>
  <c r="AU121" i="1"/>
  <c r="AO121" i="1"/>
  <c r="AE121" i="1"/>
  <c r="AF121" i="1"/>
  <c r="AG121" i="1"/>
  <c r="AH121" i="1"/>
  <c r="AC121" i="1"/>
  <c r="AI121" i="1"/>
  <c r="Q121" i="1"/>
  <c r="S121" i="1"/>
  <c r="T121" i="1"/>
  <c r="U121" i="1"/>
  <c r="W121" i="1"/>
  <c r="V121" i="1"/>
  <c r="K108" i="1"/>
  <c r="J108" i="1"/>
  <c r="BD122" i="1"/>
  <c r="BE122" i="1"/>
  <c r="BF122" i="1"/>
  <c r="BG122" i="1"/>
  <c r="BA122" i="1"/>
  <c r="BC122" i="1"/>
  <c r="BP122" i="1"/>
  <c r="BQ122" i="1"/>
  <c r="BR122" i="1"/>
  <c r="BS122" i="1"/>
  <c r="BM122" i="1"/>
  <c r="BJ122" i="1"/>
  <c r="BN121" i="1"/>
  <c r="Z121" i="1"/>
  <c r="AX122" i="1"/>
  <c r="AL121" i="1"/>
  <c r="N121" i="1"/>
  <c r="BT121" i="1"/>
  <c r="BH121" i="1"/>
  <c r="R120" i="1"/>
  <c r="X120" i="1"/>
  <c r="AJ120" i="1"/>
  <c r="AV120" i="1"/>
  <c r="BO122" i="1"/>
  <c r="AD120" i="1"/>
  <c r="H108" i="1"/>
  <c r="I108" i="1"/>
  <c r="L107" i="1"/>
  <c r="AP120" i="1"/>
  <c r="BK123" i="1"/>
  <c r="AY123" i="1"/>
  <c r="AM122" i="1"/>
  <c r="AA122" i="1"/>
  <c r="O122" i="1"/>
  <c r="D109" i="1"/>
  <c r="F107" i="1"/>
  <c r="C109" i="1"/>
  <c r="G108" i="1"/>
  <c r="B108" i="1"/>
  <c r="E108" i="1"/>
  <c r="BB122" i="1" l="1"/>
  <c r="AT122" i="1"/>
  <c r="AU122" i="1"/>
  <c r="AQ122" i="1"/>
  <c r="AR122" i="1"/>
  <c r="AO122" i="1"/>
  <c r="AS122" i="1"/>
  <c r="AF122" i="1"/>
  <c r="AG122" i="1"/>
  <c r="AH122" i="1"/>
  <c r="AI122" i="1"/>
  <c r="AE122" i="1"/>
  <c r="AC122" i="1"/>
  <c r="Q122" i="1"/>
  <c r="S122" i="1"/>
  <c r="T122" i="1"/>
  <c r="U122" i="1"/>
  <c r="V122" i="1"/>
  <c r="W122" i="1"/>
  <c r="J109" i="1"/>
  <c r="K109" i="1"/>
  <c r="BG123" i="1"/>
  <c r="BC123" i="1"/>
  <c r="BD123" i="1"/>
  <c r="BE123" i="1"/>
  <c r="BF123" i="1"/>
  <c r="BA123" i="1"/>
  <c r="BB123" i="1" s="1"/>
  <c r="BP123" i="1"/>
  <c r="BQ123" i="1"/>
  <c r="BR123" i="1"/>
  <c r="BM123" i="1"/>
  <c r="BS123" i="1"/>
  <c r="BJ123" i="1"/>
  <c r="BN122" i="1"/>
  <c r="Z122" i="1"/>
  <c r="AX123" i="1"/>
  <c r="AL122" i="1"/>
  <c r="N122" i="1"/>
  <c r="BT122" i="1"/>
  <c r="BH122" i="1"/>
  <c r="AD121" i="1"/>
  <c r="R121" i="1"/>
  <c r="X121" i="1"/>
  <c r="AV121" i="1"/>
  <c r="AJ121" i="1"/>
  <c r="BO123" i="1"/>
  <c r="H109" i="1"/>
  <c r="I109" i="1"/>
  <c r="L108" i="1"/>
  <c r="BK124" i="1"/>
  <c r="AY124" i="1"/>
  <c r="AM123" i="1"/>
  <c r="AP121" i="1"/>
  <c r="AA123" i="1"/>
  <c r="O123" i="1"/>
  <c r="D110" i="1"/>
  <c r="C110" i="1"/>
  <c r="G109" i="1"/>
  <c r="E109" i="1"/>
  <c r="B109" i="1"/>
  <c r="F108" i="1"/>
  <c r="AQ123" i="1" l="1"/>
  <c r="AR123" i="1"/>
  <c r="AS123" i="1"/>
  <c r="AT123" i="1"/>
  <c r="AU123" i="1"/>
  <c r="AO123" i="1"/>
  <c r="AI123" i="1"/>
  <c r="AE123" i="1"/>
  <c r="AF123" i="1"/>
  <c r="AG123" i="1"/>
  <c r="AH123" i="1"/>
  <c r="AC123" i="1"/>
  <c r="Q123" i="1"/>
  <c r="V123" i="1"/>
  <c r="W123" i="1"/>
  <c r="S123" i="1"/>
  <c r="U123" i="1"/>
  <c r="T123" i="1"/>
  <c r="J110" i="1"/>
  <c r="K110" i="1"/>
  <c r="BC124" i="1"/>
  <c r="BD124" i="1"/>
  <c r="BE124" i="1"/>
  <c r="BF124" i="1"/>
  <c r="BG124" i="1"/>
  <c r="BA124" i="1"/>
  <c r="BB124" i="1" s="1"/>
  <c r="BP124" i="1"/>
  <c r="BQ124" i="1"/>
  <c r="BR124" i="1"/>
  <c r="BS124" i="1"/>
  <c r="BM124" i="1"/>
  <c r="BN123" i="1"/>
  <c r="R122" i="1"/>
  <c r="BJ124" i="1"/>
  <c r="Z123" i="1"/>
  <c r="AX124" i="1"/>
  <c r="AL123" i="1"/>
  <c r="N123" i="1"/>
  <c r="BT123" i="1"/>
  <c r="BH123" i="1"/>
  <c r="X122" i="1"/>
  <c r="AJ122" i="1"/>
  <c r="AV122" i="1"/>
  <c r="AD122" i="1"/>
  <c r="BO124" i="1"/>
  <c r="H110" i="1"/>
  <c r="I110" i="1"/>
  <c r="L109" i="1"/>
  <c r="BK125" i="1"/>
  <c r="AY125" i="1"/>
  <c r="AM124" i="1"/>
  <c r="AP122" i="1"/>
  <c r="AA124" i="1"/>
  <c r="O124" i="1"/>
  <c r="D111" i="1"/>
  <c r="F109" i="1"/>
  <c r="C111" i="1"/>
  <c r="G110" i="1"/>
  <c r="E110" i="1"/>
  <c r="B110" i="1"/>
  <c r="AR124" i="1" l="1"/>
  <c r="AS124" i="1"/>
  <c r="AT124" i="1"/>
  <c r="AU124" i="1"/>
  <c r="AQ124" i="1"/>
  <c r="AO124" i="1"/>
  <c r="AE124" i="1"/>
  <c r="AF124" i="1"/>
  <c r="AG124" i="1"/>
  <c r="AH124" i="1"/>
  <c r="AI124" i="1"/>
  <c r="AC124" i="1"/>
  <c r="Q124" i="1"/>
  <c r="S124" i="1"/>
  <c r="T124" i="1"/>
  <c r="U124" i="1"/>
  <c r="V124" i="1"/>
  <c r="W124" i="1"/>
  <c r="J111" i="1"/>
  <c r="K111" i="1"/>
  <c r="BE125" i="1"/>
  <c r="BF125" i="1"/>
  <c r="BG125" i="1"/>
  <c r="BC125" i="1"/>
  <c r="BD125" i="1"/>
  <c r="BA125" i="1"/>
  <c r="BP125" i="1"/>
  <c r="BQ125" i="1"/>
  <c r="BR125" i="1"/>
  <c r="BM125" i="1"/>
  <c r="BS125" i="1"/>
  <c r="BN124" i="1"/>
  <c r="R123" i="1"/>
  <c r="BJ125" i="1"/>
  <c r="Z124" i="1"/>
  <c r="AX125" i="1"/>
  <c r="AL124" i="1"/>
  <c r="N124" i="1"/>
  <c r="BT124" i="1"/>
  <c r="BH124" i="1"/>
  <c r="X123" i="1"/>
  <c r="AJ123" i="1"/>
  <c r="AV123" i="1"/>
  <c r="BO125" i="1"/>
  <c r="AD123" i="1"/>
  <c r="H111" i="1"/>
  <c r="I111" i="1"/>
  <c r="L110" i="1"/>
  <c r="BK126" i="1"/>
  <c r="AY126" i="1"/>
  <c r="AP123" i="1"/>
  <c r="AM125" i="1"/>
  <c r="AA125" i="1"/>
  <c r="O125" i="1"/>
  <c r="D112" i="1"/>
  <c r="C112" i="1"/>
  <c r="G111" i="1"/>
  <c r="B111" i="1"/>
  <c r="E111" i="1"/>
  <c r="F110" i="1"/>
  <c r="BN125" i="1" l="1"/>
  <c r="AU125" i="1"/>
  <c r="AQ125" i="1"/>
  <c r="AR125" i="1"/>
  <c r="AS125" i="1"/>
  <c r="AT125" i="1"/>
  <c r="AO125" i="1"/>
  <c r="AG125" i="1"/>
  <c r="AH125" i="1"/>
  <c r="AI125" i="1"/>
  <c r="AE125" i="1"/>
  <c r="AF125" i="1"/>
  <c r="AC125" i="1"/>
  <c r="Q125" i="1"/>
  <c r="T125" i="1"/>
  <c r="U125" i="1"/>
  <c r="V125" i="1"/>
  <c r="W125" i="1"/>
  <c r="S125" i="1"/>
  <c r="K112" i="1"/>
  <c r="J112" i="1"/>
  <c r="BC126" i="1"/>
  <c r="BD126" i="1"/>
  <c r="BE126" i="1"/>
  <c r="BF126" i="1"/>
  <c r="BG126" i="1"/>
  <c r="BA126" i="1"/>
  <c r="BP126" i="1"/>
  <c r="BQ126" i="1"/>
  <c r="BR126" i="1"/>
  <c r="BS126" i="1"/>
  <c r="BM126" i="1"/>
  <c r="R124" i="1"/>
  <c r="BJ126" i="1"/>
  <c r="Z125" i="1"/>
  <c r="AX126" i="1"/>
  <c r="AL125" i="1"/>
  <c r="N125" i="1"/>
  <c r="BB125" i="1"/>
  <c r="BT125" i="1"/>
  <c r="BH125" i="1"/>
  <c r="X124" i="1"/>
  <c r="AJ124" i="1"/>
  <c r="AV124" i="1"/>
  <c r="BO126" i="1"/>
  <c r="AD124" i="1"/>
  <c r="I112" i="1"/>
  <c r="H112" i="1"/>
  <c r="L111" i="1"/>
  <c r="BK127" i="1"/>
  <c r="AY127" i="1"/>
  <c r="AP124" i="1"/>
  <c r="AM126" i="1"/>
  <c r="AA126" i="1"/>
  <c r="O126" i="1"/>
  <c r="D113" i="1"/>
  <c r="F111" i="1"/>
  <c r="C113" i="1"/>
  <c r="G112" i="1"/>
  <c r="B112" i="1"/>
  <c r="E112" i="1"/>
  <c r="AQ126" i="1" l="1"/>
  <c r="AR126" i="1"/>
  <c r="AS126" i="1"/>
  <c r="AT126" i="1"/>
  <c r="AU126" i="1"/>
  <c r="AO126" i="1"/>
  <c r="AE126" i="1"/>
  <c r="AF126" i="1"/>
  <c r="AG126" i="1"/>
  <c r="AH126" i="1"/>
  <c r="AI126" i="1"/>
  <c r="AC126" i="1"/>
  <c r="Q126" i="1"/>
  <c r="W126" i="1"/>
  <c r="S126" i="1"/>
  <c r="T126" i="1"/>
  <c r="V126" i="1"/>
  <c r="U126" i="1"/>
  <c r="K113" i="1"/>
  <c r="J113" i="1"/>
  <c r="BC127" i="1"/>
  <c r="BD127" i="1"/>
  <c r="BE127" i="1"/>
  <c r="BF127" i="1"/>
  <c r="BG127" i="1"/>
  <c r="BA127" i="1"/>
  <c r="BP127" i="1"/>
  <c r="BQ127" i="1"/>
  <c r="BR127" i="1"/>
  <c r="BM127" i="1"/>
  <c r="BS127" i="1"/>
  <c r="R125" i="1"/>
  <c r="BJ127" i="1"/>
  <c r="Z126" i="1"/>
  <c r="AX127" i="1"/>
  <c r="AL126" i="1"/>
  <c r="N126" i="1"/>
  <c r="BB126" i="1"/>
  <c r="AD125" i="1"/>
  <c r="BN126" i="1"/>
  <c r="BT126" i="1"/>
  <c r="BH126" i="1"/>
  <c r="X125" i="1"/>
  <c r="AV125" i="1"/>
  <c r="AJ125" i="1"/>
  <c r="BO127" i="1"/>
  <c r="H113" i="1"/>
  <c r="I113" i="1"/>
  <c r="L112" i="1"/>
  <c r="BK128" i="1"/>
  <c r="AY128" i="1"/>
  <c r="AM127" i="1"/>
  <c r="AP125" i="1"/>
  <c r="AA127" i="1"/>
  <c r="O127" i="1"/>
  <c r="D114" i="1"/>
  <c r="C114" i="1"/>
  <c r="G113" i="1"/>
  <c r="B113" i="1"/>
  <c r="E113" i="1"/>
  <c r="F112" i="1"/>
  <c r="AS127" i="1" l="1"/>
  <c r="AT127" i="1"/>
  <c r="AU127" i="1"/>
  <c r="AQ127" i="1"/>
  <c r="AR127" i="1"/>
  <c r="AO127" i="1"/>
  <c r="AE127" i="1"/>
  <c r="AF127" i="1"/>
  <c r="AG127" i="1"/>
  <c r="AH127" i="1"/>
  <c r="AI127" i="1"/>
  <c r="AC127" i="1"/>
  <c r="Q127" i="1"/>
  <c r="S127" i="1"/>
  <c r="T127" i="1"/>
  <c r="U127" i="1"/>
  <c r="V127" i="1"/>
  <c r="W127" i="1"/>
  <c r="K114" i="1"/>
  <c r="J114" i="1"/>
  <c r="BF128" i="1"/>
  <c r="BG128" i="1"/>
  <c r="BC128" i="1"/>
  <c r="BD128" i="1"/>
  <c r="BE128" i="1"/>
  <c r="BA128" i="1"/>
  <c r="BP128" i="1"/>
  <c r="BQ128" i="1"/>
  <c r="BR128" i="1"/>
  <c r="BS128" i="1"/>
  <c r="BM128" i="1"/>
  <c r="BN127" i="1"/>
  <c r="BJ128" i="1"/>
  <c r="Z127" i="1"/>
  <c r="AX128" i="1"/>
  <c r="AL127" i="1"/>
  <c r="N127" i="1"/>
  <c r="BB127" i="1"/>
  <c r="R126" i="1"/>
  <c r="BT127" i="1"/>
  <c r="BH127" i="1"/>
  <c r="X126" i="1"/>
  <c r="AJ126" i="1"/>
  <c r="AV126" i="1"/>
  <c r="AD126" i="1"/>
  <c r="BO128" i="1"/>
  <c r="I114" i="1"/>
  <c r="H114" i="1"/>
  <c r="L113" i="1"/>
  <c r="BK129" i="1"/>
  <c r="AY129" i="1"/>
  <c r="AP126" i="1"/>
  <c r="AM128" i="1"/>
  <c r="AA128" i="1"/>
  <c r="O128" i="1"/>
  <c r="D115" i="1"/>
  <c r="F113" i="1"/>
  <c r="C115" i="1"/>
  <c r="G114" i="1"/>
  <c r="B114" i="1"/>
  <c r="E114" i="1"/>
  <c r="AQ128" i="1" l="1"/>
  <c r="AR128" i="1"/>
  <c r="AS128" i="1"/>
  <c r="AT128" i="1"/>
  <c r="AU128" i="1"/>
  <c r="AO128" i="1"/>
  <c r="AH128" i="1"/>
  <c r="AI128" i="1"/>
  <c r="AE128" i="1"/>
  <c r="AG128" i="1"/>
  <c r="AC128" i="1"/>
  <c r="AF128" i="1"/>
  <c r="U128" i="1"/>
  <c r="V128" i="1"/>
  <c r="W128" i="1"/>
  <c r="Q128" i="1"/>
  <c r="T128" i="1"/>
  <c r="S128" i="1"/>
  <c r="J115" i="1"/>
  <c r="K115" i="1"/>
  <c r="BC129" i="1"/>
  <c r="BD129" i="1"/>
  <c r="BE129" i="1"/>
  <c r="BF129" i="1"/>
  <c r="BG129" i="1"/>
  <c r="BA129" i="1"/>
  <c r="BP129" i="1"/>
  <c r="BQ129" i="1"/>
  <c r="BR129" i="1"/>
  <c r="BS129" i="1"/>
  <c r="BM129" i="1"/>
  <c r="BN128" i="1"/>
  <c r="BJ129" i="1"/>
  <c r="BB128" i="1"/>
  <c r="Z128" i="1"/>
  <c r="AX129" i="1"/>
  <c r="AL128" i="1"/>
  <c r="N128" i="1"/>
  <c r="R127" i="1"/>
  <c r="BT128" i="1"/>
  <c r="BH128" i="1"/>
  <c r="X127" i="1"/>
  <c r="AJ127" i="1"/>
  <c r="AV127" i="1"/>
  <c r="AD127" i="1"/>
  <c r="BO129" i="1"/>
  <c r="I115" i="1"/>
  <c r="H115" i="1"/>
  <c r="L114" i="1"/>
  <c r="BK130" i="1"/>
  <c r="AY130" i="1"/>
  <c r="AP127" i="1"/>
  <c r="AM129" i="1"/>
  <c r="AA129" i="1"/>
  <c r="O129" i="1"/>
  <c r="D116" i="1"/>
  <c r="C116" i="1"/>
  <c r="B115" i="1"/>
  <c r="E115" i="1"/>
  <c r="G115" i="1"/>
  <c r="F114" i="1"/>
  <c r="AQ129" i="1" l="1"/>
  <c r="AR129" i="1"/>
  <c r="AS129" i="1"/>
  <c r="AT129" i="1"/>
  <c r="AU129" i="1"/>
  <c r="AO129" i="1"/>
  <c r="AE129" i="1"/>
  <c r="AF129" i="1"/>
  <c r="AG129" i="1"/>
  <c r="AH129" i="1"/>
  <c r="AI129" i="1"/>
  <c r="AC129" i="1"/>
  <c r="Q129" i="1"/>
  <c r="S129" i="1"/>
  <c r="T129" i="1"/>
  <c r="U129" i="1"/>
  <c r="W129" i="1"/>
  <c r="V129" i="1"/>
  <c r="K116" i="1"/>
  <c r="J116" i="1"/>
  <c r="BD130" i="1"/>
  <c r="BE130" i="1"/>
  <c r="BF130" i="1"/>
  <c r="BG130" i="1"/>
  <c r="BC130" i="1"/>
  <c r="BA130" i="1"/>
  <c r="BP130" i="1"/>
  <c r="BQ130" i="1"/>
  <c r="BR130" i="1"/>
  <c r="BS130" i="1"/>
  <c r="BM130" i="1"/>
  <c r="BB129" i="1"/>
  <c r="BJ130" i="1"/>
  <c r="Z129" i="1"/>
  <c r="AX130" i="1"/>
  <c r="AL129" i="1"/>
  <c r="N129" i="1"/>
  <c r="BN129" i="1"/>
  <c r="R128" i="1"/>
  <c r="BT129" i="1"/>
  <c r="BH129" i="1"/>
  <c r="X128" i="1"/>
  <c r="AJ128" i="1"/>
  <c r="AV128" i="1"/>
  <c r="BO130" i="1"/>
  <c r="AD128" i="1"/>
  <c r="H116" i="1"/>
  <c r="I116" i="1"/>
  <c r="L115" i="1"/>
  <c r="BK131" i="1"/>
  <c r="AY131" i="1"/>
  <c r="AM130" i="1"/>
  <c r="AP128" i="1"/>
  <c r="AA130" i="1"/>
  <c r="O130" i="1"/>
  <c r="D117" i="1"/>
  <c r="F115" i="1"/>
  <c r="C117" i="1"/>
  <c r="G116" i="1"/>
  <c r="B116" i="1"/>
  <c r="E116" i="1"/>
  <c r="AT130" i="1" l="1"/>
  <c r="AU130" i="1"/>
  <c r="AQ130" i="1"/>
  <c r="AR130" i="1"/>
  <c r="AS130" i="1"/>
  <c r="AO130" i="1"/>
  <c r="AF130" i="1"/>
  <c r="AG130" i="1"/>
  <c r="AH130" i="1"/>
  <c r="AI130" i="1"/>
  <c r="AE130" i="1"/>
  <c r="AC130" i="1"/>
  <c r="Q130" i="1"/>
  <c r="S130" i="1"/>
  <c r="T130" i="1"/>
  <c r="U130" i="1"/>
  <c r="V130" i="1"/>
  <c r="W130" i="1"/>
  <c r="J117" i="1"/>
  <c r="K117" i="1"/>
  <c r="BG131" i="1"/>
  <c r="BC131" i="1"/>
  <c r="BD131" i="1"/>
  <c r="BE131" i="1"/>
  <c r="BF131" i="1"/>
  <c r="BA131" i="1"/>
  <c r="BB130" i="1"/>
  <c r="BP131" i="1"/>
  <c r="BQ131" i="1"/>
  <c r="BR131" i="1"/>
  <c r="BM131" i="1"/>
  <c r="BS131" i="1"/>
  <c r="Z130" i="1"/>
  <c r="BJ131" i="1"/>
  <c r="AX131" i="1"/>
  <c r="BE6" i="1"/>
  <c r="AL130" i="1"/>
  <c r="N130" i="1"/>
  <c r="BN130" i="1"/>
  <c r="R129" i="1"/>
  <c r="BT130" i="1"/>
  <c r="BH130" i="1"/>
  <c r="X129" i="1"/>
  <c r="AJ129" i="1"/>
  <c r="AV129" i="1"/>
  <c r="L116" i="1"/>
  <c r="BO131" i="1"/>
  <c r="AD129" i="1"/>
  <c r="I117" i="1"/>
  <c r="H117" i="1"/>
  <c r="AP129" i="1"/>
  <c r="BK132" i="1"/>
  <c r="AY132" i="1"/>
  <c r="AM131" i="1"/>
  <c r="AA131" i="1"/>
  <c r="O131" i="1"/>
  <c r="D118" i="1"/>
  <c r="C118" i="1"/>
  <c r="G117" i="1"/>
  <c r="E117" i="1"/>
  <c r="B117" i="1"/>
  <c r="F116" i="1"/>
  <c r="BB131" i="1" l="1"/>
  <c r="AQ131" i="1"/>
  <c r="AR131" i="1"/>
  <c r="AS131" i="1"/>
  <c r="AT131" i="1"/>
  <c r="AU131" i="1"/>
  <c r="AO131" i="1"/>
  <c r="AI131" i="1"/>
  <c r="AE131" i="1"/>
  <c r="AF131" i="1"/>
  <c r="AG131" i="1"/>
  <c r="AH131" i="1"/>
  <c r="AC131" i="1"/>
  <c r="R130" i="1"/>
  <c r="Q131" i="1"/>
  <c r="V131" i="1"/>
  <c r="W131" i="1"/>
  <c r="S131" i="1"/>
  <c r="U131" i="1"/>
  <c r="T131" i="1"/>
  <c r="J118" i="1"/>
  <c r="K118" i="1"/>
  <c r="BC132" i="1"/>
  <c r="BD132" i="1"/>
  <c r="BE132" i="1"/>
  <c r="BF132" i="1"/>
  <c r="BG132" i="1"/>
  <c r="BA132" i="1"/>
  <c r="BP132" i="1"/>
  <c r="BQ132" i="1"/>
  <c r="BR132" i="1"/>
  <c r="BS132" i="1"/>
  <c r="BM132" i="1"/>
  <c r="BJ132" i="1"/>
  <c r="Z131" i="1"/>
  <c r="AX132" i="1"/>
  <c r="AL131" i="1"/>
  <c r="N131" i="1"/>
  <c r="AD130" i="1"/>
  <c r="BT131" i="1"/>
  <c r="BH131" i="1"/>
  <c r="X130" i="1"/>
  <c r="AV130" i="1"/>
  <c r="AJ130" i="1"/>
  <c r="BO132" i="1"/>
  <c r="H118" i="1"/>
  <c r="I118" i="1"/>
  <c r="L117" i="1"/>
  <c r="BN131" i="1"/>
  <c r="BK133" i="1"/>
  <c r="AY133" i="1"/>
  <c r="AM132" i="1"/>
  <c r="AP130" i="1"/>
  <c r="AA132" i="1"/>
  <c r="O132" i="1"/>
  <c r="D119" i="1"/>
  <c r="F117" i="1"/>
  <c r="C119" i="1"/>
  <c r="G118" i="1"/>
  <c r="E118" i="1"/>
  <c r="B118" i="1"/>
  <c r="R131" i="1" l="1"/>
  <c r="AR132" i="1"/>
  <c r="AS132" i="1"/>
  <c r="AT132" i="1"/>
  <c r="AU132" i="1"/>
  <c r="AQ132" i="1"/>
  <c r="AO132" i="1"/>
  <c r="AE132" i="1"/>
  <c r="AF132" i="1"/>
  <c r="AG132" i="1"/>
  <c r="AH132" i="1"/>
  <c r="AI132" i="1"/>
  <c r="AC132" i="1"/>
  <c r="Q132" i="1"/>
  <c r="S132" i="1"/>
  <c r="T132" i="1"/>
  <c r="U132" i="1"/>
  <c r="V132" i="1"/>
  <c r="W132" i="1"/>
  <c r="J119" i="1"/>
  <c r="K119" i="1"/>
  <c r="BE133" i="1"/>
  <c r="BF133" i="1"/>
  <c r="BG133" i="1"/>
  <c r="BC133" i="1"/>
  <c r="BA133" i="1"/>
  <c r="BD133" i="1"/>
  <c r="BP133" i="1"/>
  <c r="BQ133" i="1"/>
  <c r="BR133" i="1"/>
  <c r="BS133" i="1"/>
  <c r="BM133" i="1"/>
  <c r="BJ133" i="1"/>
  <c r="AX133" i="1"/>
  <c r="AL132" i="1"/>
  <c r="Z132" i="1"/>
  <c r="N132" i="1"/>
  <c r="BB132" i="1"/>
  <c r="BT132" i="1"/>
  <c r="BH132" i="1"/>
  <c r="X131" i="1"/>
  <c r="AJ131" i="1"/>
  <c r="AV131" i="1"/>
  <c r="BO133" i="1"/>
  <c r="AD131" i="1"/>
  <c r="H119" i="1"/>
  <c r="I119" i="1"/>
  <c r="L118" i="1"/>
  <c r="AP131" i="1"/>
  <c r="BK134" i="1"/>
  <c r="BN132" i="1"/>
  <c r="AY134" i="1"/>
  <c r="AM133" i="1"/>
  <c r="AA133" i="1"/>
  <c r="O133" i="1"/>
  <c r="D120" i="1"/>
  <c r="C120" i="1"/>
  <c r="G119" i="1"/>
  <c r="B119" i="1"/>
  <c r="E119" i="1"/>
  <c r="F118" i="1"/>
  <c r="AU133" i="1" l="1"/>
  <c r="AQ133" i="1"/>
  <c r="AR133" i="1"/>
  <c r="AS133" i="1"/>
  <c r="AT133" i="1"/>
  <c r="AO133" i="1"/>
  <c r="AG133" i="1"/>
  <c r="AH133" i="1"/>
  <c r="AI133" i="1"/>
  <c r="AE133" i="1"/>
  <c r="AF133" i="1"/>
  <c r="AC133" i="1"/>
  <c r="Q133" i="1"/>
  <c r="T133" i="1"/>
  <c r="U133" i="1"/>
  <c r="V133" i="1"/>
  <c r="W133" i="1"/>
  <c r="S133" i="1"/>
  <c r="K120" i="1"/>
  <c r="J120" i="1"/>
  <c r="BC134" i="1"/>
  <c r="BD134" i="1"/>
  <c r="BE134" i="1"/>
  <c r="BF134" i="1"/>
  <c r="BG134" i="1"/>
  <c r="BA134" i="1"/>
  <c r="BP134" i="1"/>
  <c r="BQ134" i="1"/>
  <c r="BR134" i="1"/>
  <c r="BS134" i="1"/>
  <c r="BM134" i="1"/>
  <c r="BJ134" i="1"/>
  <c r="BB133" i="1"/>
  <c r="Z133" i="1"/>
  <c r="AX134" i="1"/>
  <c r="AL133" i="1"/>
  <c r="N133" i="1"/>
  <c r="BT133" i="1"/>
  <c r="BH133" i="1"/>
  <c r="X132" i="1"/>
  <c r="AJ132" i="1"/>
  <c r="AV132" i="1"/>
  <c r="BO134" i="1"/>
  <c r="AD132" i="1"/>
  <c r="R132" i="1"/>
  <c r="I120" i="1"/>
  <c r="H120" i="1"/>
  <c r="L119" i="1"/>
  <c r="BK135" i="1"/>
  <c r="BN133" i="1"/>
  <c r="AY135" i="1"/>
  <c r="AP132" i="1"/>
  <c r="AM134" i="1"/>
  <c r="AA134" i="1"/>
  <c r="O134" i="1"/>
  <c r="D121" i="1"/>
  <c r="F119" i="1"/>
  <c r="C121" i="1"/>
  <c r="G120" i="1"/>
  <c r="B120" i="1"/>
  <c r="E120" i="1"/>
  <c r="AQ134" i="1" l="1"/>
  <c r="AR134" i="1"/>
  <c r="AS134" i="1"/>
  <c r="AT134" i="1"/>
  <c r="AU134" i="1"/>
  <c r="AO134" i="1"/>
  <c r="AE134" i="1"/>
  <c r="AF134" i="1"/>
  <c r="AG134" i="1"/>
  <c r="AI134" i="1"/>
  <c r="AH134" i="1"/>
  <c r="AC134" i="1"/>
  <c r="Q134" i="1"/>
  <c r="W134" i="1"/>
  <c r="S134" i="1"/>
  <c r="T134" i="1"/>
  <c r="V134" i="1"/>
  <c r="U134" i="1"/>
  <c r="K121" i="1"/>
  <c r="J121" i="1"/>
  <c r="BC135" i="1"/>
  <c r="BD135" i="1"/>
  <c r="BE135" i="1"/>
  <c r="BF135" i="1"/>
  <c r="BG135" i="1"/>
  <c r="BA135" i="1"/>
  <c r="BP135" i="1"/>
  <c r="BQ135" i="1"/>
  <c r="BR135" i="1"/>
  <c r="BS135" i="1"/>
  <c r="BM135" i="1"/>
  <c r="BB134" i="1"/>
  <c r="BJ135" i="1"/>
  <c r="Z134" i="1"/>
  <c r="AX135" i="1"/>
  <c r="AL134" i="1"/>
  <c r="N134" i="1"/>
  <c r="BT134" i="1"/>
  <c r="BH134" i="1"/>
  <c r="R133" i="1"/>
  <c r="X133" i="1"/>
  <c r="AJ133" i="1"/>
  <c r="AV133" i="1"/>
  <c r="L120" i="1"/>
  <c r="BO135" i="1"/>
  <c r="I121" i="1"/>
  <c r="H121" i="1"/>
  <c r="AD133" i="1"/>
  <c r="BN134" i="1"/>
  <c r="BK136" i="1"/>
  <c r="AY136" i="1"/>
  <c r="AM135" i="1"/>
  <c r="AP133" i="1"/>
  <c r="AA135" i="1"/>
  <c r="O135" i="1"/>
  <c r="D122" i="1"/>
  <c r="C122" i="1"/>
  <c r="G121" i="1"/>
  <c r="B121" i="1"/>
  <c r="E121" i="1"/>
  <c r="F120" i="1"/>
  <c r="AS135" i="1" l="1"/>
  <c r="AT135" i="1"/>
  <c r="AU135" i="1"/>
  <c r="AQ135" i="1"/>
  <c r="AR135" i="1"/>
  <c r="AO135" i="1"/>
  <c r="AE135" i="1"/>
  <c r="AF135" i="1"/>
  <c r="AG135" i="1"/>
  <c r="AH135" i="1"/>
  <c r="AI135" i="1"/>
  <c r="AC135" i="1"/>
  <c r="Q135" i="1"/>
  <c r="S135" i="1"/>
  <c r="T135" i="1"/>
  <c r="U135" i="1"/>
  <c r="V135" i="1"/>
  <c r="W135" i="1"/>
  <c r="K122" i="1"/>
  <c r="J122" i="1"/>
  <c r="BF136" i="1"/>
  <c r="BG136" i="1"/>
  <c r="BC136" i="1"/>
  <c r="BD136" i="1"/>
  <c r="BE136" i="1"/>
  <c r="BA136" i="1"/>
  <c r="BB135" i="1"/>
  <c r="BP136" i="1"/>
  <c r="BQ136" i="1"/>
  <c r="BR136" i="1"/>
  <c r="BS136" i="1"/>
  <c r="BM136" i="1"/>
  <c r="BJ136" i="1"/>
  <c r="Z135" i="1"/>
  <c r="AX136" i="1"/>
  <c r="AL135" i="1"/>
  <c r="N135" i="1"/>
  <c r="BT135" i="1"/>
  <c r="BH135" i="1"/>
  <c r="R134" i="1"/>
  <c r="X134" i="1"/>
  <c r="AV134" i="1"/>
  <c r="AJ134" i="1"/>
  <c r="BO136" i="1"/>
  <c r="I122" i="1"/>
  <c r="H122" i="1"/>
  <c r="L121" i="1"/>
  <c r="BN135" i="1"/>
  <c r="BK137" i="1"/>
  <c r="AY137" i="1"/>
  <c r="AM136" i="1"/>
  <c r="AP134" i="1"/>
  <c r="AA136" i="1"/>
  <c r="AD134" i="1"/>
  <c r="O136" i="1"/>
  <c r="D123" i="1"/>
  <c r="F121" i="1"/>
  <c r="C123" i="1"/>
  <c r="G122" i="1"/>
  <c r="B122" i="1"/>
  <c r="E122" i="1"/>
  <c r="BB136" i="1" l="1"/>
  <c r="AQ136" i="1"/>
  <c r="AR136" i="1"/>
  <c r="AS136" i="1"/>
  <c r="AT136" i="1"/>
  <c r="AO136" i="1"/>
  <c r="AU136" i="1"/>
  <c r="AH136" i="1"/>
  <c r="AI136" i="1"/>
  <c r="AE136" i="1"/>
  <c r="AF136" i="1"/>
  <c r="AG136" i="1"/>
  <c r="AC136" i="1"/>
  <c r="U136" i="1"/>
  <c r="V136" i="1"/>
  <c r="W136" i="1"/>
  <c r="T136" i="1"/>
  <c r="Q136" i="1"/>
  <c r="S136" i="1"/>
  <c r="J123" i="1"/>
  <c r="K123" i="1"/>
  <c r="BC137" i="1"/>
  <c r="BD137" i="1"/>
  <c r="BE137" i="1"/>
  <c r="BF137" i="1"/>
  <c r="BG137" i="1"/>
  <c r="BA137" i="1"/>
  <c r="BB137" i="1" s="1"/>
  <c r="BP137" i="1"/>
  <c r="BQ137" i="1"/>
  <c r="BR137" i="1"/>
  <c r="BM137" i="1"/>
  <c r="BS137" i="1"/>
  <c r="R135" i="1"/>
  <c r="BJ137" i="1"/>
  <c r="Z136" i="1"/>
  <c r="AX137" i="1"/>
  <c r="AL136" i="1"/>
  <c r="N136" i="1"/>
  <c r="BT136" i="1"/>
  <c r="BH136" i="1"/>
  <c r="X135" i="1"/>
  <c r="AJ135" i="1"/>
  <c r="AV135" i="1"/>
  <c r="BO137" i="1"/>
  <c r="I123" i="1"/>
  <c r="H123" i="1"/>
  <c r="L122" i="1"/>
  <c r="AP135" i="1"/>
  <c r="BN136" i="1"/>
  <c r="BK138" i="1"/>
  <c r="AY138" i="1"/>
  <c r="AM137" i="1"/>
  <c r="AD135" i="1"/>
  <c r="AA137" i="1"/>
  <c r="O137" i="1"/>
  <c r="D124" i="1"/>
  <c r="C124" i="1"/>
  <c r="G123" i="1"/>
  <c r="B123" i="1"/>
  <c r="E123" i="1"/>
  <c r="F122" i="1"/>
  <c r="AQ137" i="1" l="1"/>
  <c r="AR137" i="1"/>
  <c r="AS137" i="1"/>
  <c r="AT137" i="1"/>
  <c r="AU137" i="1"/>
  <c r="AO137" i="1"/>
  <c r="AE137" i="1"/>
  <c r="AF137" i="1"/>
  <c r="AG137" i="1"/>
  <c r="AH137" i="1"/>
  <c r="AI137" i="1"/>
  <c r="AC137" i="1"/>
  <c r="R136" i="1"/>
  <c r="Q137" i="1"/>
  <c r="S137" i="1"/>
  <c r="T137" i="1"/>
  <c r="U137" i="1"/>
  <c r="W137" i="1"/>
  <c r="V137" i="1"/>
  <c r="K124" i="1"/>
  <c r="J124" i="1"/>
  <c r="BD138" i="1"/>
  <c r="BE138" i="1"/>
  <c r="BF138" i="1"/>
  <c r="BG138" i="1"/>
  <c r="BC138" i="1"/>
  <c r="BA138" i="1"/>
  <c r="BB138" i="1" s="1"/>
  <c r="BP138" i="1"/>
  <c r="BQ138" i="1"/>
  <c r="BR138" i="1"/>
  <c r="BS138" i="1"/>
  <c r="BM138" i="1"/>
  <c r="BJ138" i="1"/>
  <c r="Z137" i="1"/>
  <c r="AX138" i="1"/>
  <c r="AL137" i="1"/>
  <c r="N137" i="1"/>
  <c r="BT137" i="1"/>
  <c r="BH137" i="1"/>
  <c r="X136" i="1"/>
  <c r="AV136" i="1"/>
  <c r="AJ136" i="1"/>
  <c r="BO138" i="1"/>
  <c r="H124" i="1"/>
  <c r="I124" i="1"/>
  <c r="L123" i="1"/>
  <c r="BK139" i="1"/>
  <c r="BN137" i="1"/>
  <c r="AY139" i="1"/>
  <c r="AM138" i="1"/>
  <c r="AP136" i="1"/>
  <c r="AD136" i="1"/>
  <c r="AA138" i="1"/>
  <c r="O138" i="1"/>
  <c r="D125" i="1"/>
  <c r="F123" i="1"/>
  <c r="C125" i="1"/>
  <c r="G124" i="1"/>
  <c r="B124" i="1"/>
  <c r="E124" i="1"/>
  <c r="AT138" i="1" l="1"/>
  <c r="AU138" i="1"/>
  <c r="AQ138" i="1"/>
  <c r="AR138" i="1"/>
  <c r="AS138" i="1"/>
  <c r="AO138" i="1"/>
  <c r="AF138" i="1"/>
  <c r="AG138" i="1"/>
  <c r="AH138" i="1"/>
  <c r="AI138" i="1"/>
  <c r="AE138" i="1"/>
  <c r="AC138" i="1"/>
  <c r="R137" i="1"/>
  <c r="Q138" i="1"/>
  <c r="S138" i="1"/>
  <c r="T138" i="1"/>
  <c r="U138" i="1"/>
  <c r="V138" i="1"/>
  <c r="W138" i="1"/>
  <c r="J125" i="1"/>
  <c r="K125" i="1"/>
  <c r="BG139" i="1"/>
  <c r="BC139" i="1"/>
  <c r="BD139" i="1"/>
  <c r="BE139" i="1"/>
  <c r="BF139" i="1"/>
  <c r="BA139" i="1"/>
  <c r="BP139" i="1"/>
  <c r="BQ139" i="1"/>
  <c r="BR139" i="1"/>
  <c r="BM139" i="1"/>
  <c r="BS139" i="1"/>
  <c r="BJ139" i="1"/>
  <c r="Z138" i="1"/>
  <c r="AX139" i="1"/>
  <c r="AL138" i="1"/>
  <c r="N138" i="1"/>
  <c r="BT138" i="1"/>
  <c r="BH138" i="1"/>
  <c r="X137" i="1"/>
  <c r="AJ137" i="1"/>
  <c r="AV137" i="1"/>
  <c r="BO139" i="1"/>
  <c r="H125" i="1"/>
  <c r="I125" i="1"/>
  <c r="L124" i="1"/>
  <c r="BN138" i="1"/>
  <c r="BK140" i="1"/>
  <c r="AY140" i="1"/>
  <c r="AM139" i="1"/>
  <c r="AP137" i="1"/>
  <c r="AA139" i="1"/>
  <c r="AD137" i="1"/>
  <c r="O139" i="1"/>
  <c r="D126" i="1"/>
  <c r="C126" i="1"/>
  <c r="G125" i="1"/>
  <c r="E125" i="1"/>
  <c r="B125" i="1"/>
  <c r="F124" i="1"/>
  <c r="R138" i="1" l="1"/>
  <c r="AQ139" i="1"/>
  <c r="AR139" i="1"/>
  <c r="AS139" i="1"/>
  <c r="AT139" i="1"/>
  <c r="AU139" i="1"/>
  <c r="AO139" i="1"/>
  <c r="AI139" i="1"/>
  <c r="AE139" i="1"/>
  <c r="AF139" i="1"/>
  <c r="AG139" i="1"/>
  <c r="AH139" i="1"/>
  <c r="AC139" i="1"/>
  <c r="Q139" i="1"/>
  <c r="V139" i="1"/>
  <c r="W139" i="1"/>
  <c r="S139" i="1"/>
  <c r="U139" i="1"/>
  <c r="T139" i="1"/>
  <c r="J126" i="1"/>
  <c r="K126" i="1"/>
  <c r="BC140" i="1"/>
  <c r="BD140" i="1"/>
  <c r="BE140" i="1"/>
  <c r="BF140" i="1"/>
  <c r="BG140" i="1"/>
  <c r="BA140" i="1"/>
  <c r="BP140" i="1"/>
  <c r="BQ140" i="1"/>
  <c r="BR140" i="1"/>
  <c r="BS140" i="1"/>
  <c r="BM140" i="1"/>
  <c r="BJ140" i="1"/>
  <c r="Z139" i="1"/>
  <c r="AX140" i="1"/>
  <c r="AL139" i="1"/>
  <c r="N139" i="1"/>
  <c r="BB139" i="1"/>
  <c r="BT139" i="1"/>
  <c r="BH139" i="1"/>
  <c r="X138" i="1"/>
  <c r="AJ138" i="1"/>
  <c r="AV138" i="1"/>
  <c r="BO140" i="1"/>
  <c r="H126" i="1"/>
  <c r="I126" i="1"/>
  <c r="L125" i="1"/>
  <c r="AP138" i="1"/>
  <c r="AD138" i="1"/>
  <c r="BN139" i="1"/>
  <c r="BK141" i="1"/>
  <c r="AY141" i="1"/>
  <c r="AM140" i="1"/>
  <c r="AA140" i="1"/>
  <c r="O140" i="1"/>
  <c r="D127" i="1"/>
  <c r="F125" i="1"/>
  <c r="C127" i="1"/>
  <c r="G126" i="1"/>
  <c r="E126" i="1"/>
  <c r="B126" i="1"/>
  <c r="R139" i="1" l="1"/>
  <c r="AR140" i="1"/>
  <c r="AS140" i="1"/>
  <c r="AT140" i="1"/>
  <c r="AU140" i="1"/>
  <c r="AQ140" i="1"/>
  <c r="AO140" i="1"/>
  <c r="AE140" i="1"/>
  <c r="AF140" i="1"/>
  <c r="AG140" i="1"/>
  <c r="AH140" i="1"/>
  <c r="AI140" i="1"/>
  <c r="AC140" i="1"/>
  <c r="Q140" i="1"/>
  <c r="S140" i="1"/>
  <c r="T140" i="1"/>
  <c r="U140" i="1"/>
  <c r="V140" i="1"/>
  <c r="W140" i="1"/>
  <c r="J127" i="1"/>
  <c r="K127" i="1"/>
  <c r="BE141" i="1"/>
  <c r="BF141" i="1"/>
  <c r="BG141" i="1"/>
  <c r="BC141" i="1"/>
  <c r="BD141" i="1"/>
  <c r="BA141" i="1"/>
  <c r="BP141" i="1"/>
  <c r="BQ141" i="1"/>
  <c r="BR141" i="1"/>
  <c r="BS141" i="1"/>
  <c r="BM141" i="1"/>
  <c r="BJ141" i="1"/>
  <c r="Z140" i="1"/>
  <c r="AX141" i="1"/>
  <c r="AL140" i="1"/>
  <c r="N140" i="1"/>
  <c r="BB140" i="1"/>
  <c r="BT140" i="1"/>
  <c r="BH140" i="1"/>
  <c r="X139" i="1"/>
  <c r="AJ139" i="1"/>
  <c r="AV139" i="1"/>
  <c r="BO141" i="1"/>
  <c r="H127" i="1"/>
  <c r="I127" i="1"/>
  <c r="L126" i="1"/>
  <c r="BN140" i="1"/>
  <c r="BK142" i="1"/>
  <c r="AY142" i="1"/>
  <c r="AP139" i="1"/>
  <c r="AM141" i="1"/>
  <c r="AA141" i="1"/>
  <c r="AD139" i="1"/>
  <c r="O141" i="1"/>
  <c r="D128" i="1"/>
  <c r="C128" i="1"/>
  <c r="G127" i="1"/>
  <c r="B127" i="1"/>
  <c r="E127" i="1"/>
  <c r="F126" i="1"/>
  <c r="AU141" i="1" l="1"/>
  <c r="AQ141" i="1"/>
  <c r="AR141" i="1"/>
  <c r="AS141" i="1"/>
  <c r="AT141" i="1"/>
  <c r="AO141" i="1"/>
  <c r="AG141" i="1"/>
  <c r="AH141" i="1"/>
  <c r="AI141" i="1"/>
  <c r="AF141" i="1"/>
  <c r="AC141" i="1"/>
  <c r="AE141" i="1"/>
  <c r="Q141" i="1"/>
  <c r="T141" i="1"/>
  <c r="U141" i="1"/>
  <c r="V141" i="1"/>
  <c r="W141" i="1"/>
  <c r="S141" i="1"/>
  <c r="K128" i="1"/>
  <c r="J128" i="1"/>
  <c r="BC142" i="1"/>
  <c r="BD142" i="1"/>
  <c r="BE142" i="1"/>
  <c r="BF142" i="1"/>
  <c r="BG142" i="1"/>
  <c r="BA142" i="1"/>
  <c r="BP142" i="1"/>
  <c r="BQ142" i="1"/>
  <c r="BR142" i="1"/>
  <c r="BS142" i="1"/>
  <c r="BM142" i="1"/>
  <c r="BJ142" i="1"/>
  <c r="Z141" i="1"/>
  <c r="AX142" i="1"/>
  <c r="AL141" i="1"/>
  <c r="N141" i="1"/>
  <c r="BB141" i="1"/>
  <c r="BT141" i="1"/>
  <c r="BH141" i="1"/>
  <c r="X140" i="1"/>
  <c r="AV140" i="1"/>
  <c r="AJ140" i="1"/>
  <c r="BO142" i="1"/>
  <c r="R140" i="1"/>
  <c r="I128" i="1"/>
  <c r="H128" i="1"/>
  <c r="L127" i="1"/>
  <c r="BN141" i="1"/>
  <c r="BK143" i="1"/>
  <c r="AY143" i="1"/>
  <c r="AM142" i="1"/>
  <c r="AP140" i="1"/>
  <c r="AA142" i="1"/>
  <c r="AD140" i="1"/>
  <c r="O142" i="1"/>
  <c r="D129" i="1"/>
  <c r="F127" i="1"/>
  <c r="C129" i="1"/>
  <c r="G128" i="1"/>
  <c r="B128" i="1"/>
  <c r="E128" i="1"/>
  <c r="AQ142" i="1" l="1"/>
  <c r="AR142" i="1"/>
  <c r="AS142" i="1"/>
  <c r="AT142" i="1"/>
  <c r="AU142" i="1"/>
  <c r="AO142" i="1"/>
  <c r="AE142" i="1"/>
  <c r="AF142" i="1"/>
  <c r="AG142" i="1"/>
  <c r="AH142" i="1"/>
  <c r="AI142" i="1"/>
  <c r="AC142" i="1"/>
  <c r="Q142" i="1"/>
  <c r="W142" i="1"/>
  <c r="S142" i="1"/>
  <c r="T142" i="1"/>
  <c r="V142" i="1"/>
  <c r="U142" i="1"/>
  <c r="K129" i="1"/>
  <c r="J129" i="1"/>
  <c r="BC143" i="1"/>
  <c r="BD143" i="1"/>
  <c r="BE143" i="1"/>
  <c r="BF143" i="1"/>
  <c r="BG143" i="1"/>
  <c r="BA143" i="1"/>
  <c r="BP143" i="1"/>
  <c r="BQ143" i="1"/>
  <c r="BR143" i="1"/>
  <c r="BM143" i="1"/>
  <c r="BS143" i="1"/>
  <c r="BJ143" i="1"/>
  <c r="Z142" i="1"/>
  <c r="AX143" i="1"/>
  <c r="AL142" i="1"/>
  <c r="N142" i="1"/>
  <c r="BB142" i="1"/>
  <c r="BT142" i="1"/>
  <c r="BH142" i="1"/>
  <c r="X141" i="1"/>
  <c r="AJ141" i="1"/>
  <c r="AV141" i="1"/>
  <c r="BO143" i="1"/>
  <c r="R141" i="1"/>
  <c r="H129" i="1"/>
  <c r="I129" i="1"/>
  <c r="L128" i="1"/>
  <c r="AD141" i="1"/>
  <c r="BN142" i="1"/>
  <c r="BK144" i="1"/>
  <c r="AY144" i="1"/>
  <c r="AM143" i="1"/>
  <c r="AP141" i="1"/>
  <c r="AA143" i="1"/>
  <c r="O143" i="1"/>
  <c r="D130" i="1"/>
  <c r="C130" i="1"/>
  <c r="G129" i="1"/>
  <c r="B129" i="1"/>
  <c r="E129" i="1"/>
  <c r="F128" i="1"/>
  <c r="AS143" i="1" l="1"/>
  <c r="AT143" i="1"/>
  <c r="AU143" i="1"/>
  <c r="AQ143" i="1"/>
  <c r="AR143" i="1"/>
  <c r="AO143" i="1"/>
  <c r="AE143" i="1"/>
  <c r="AF143" i="1"/>
  <c r="AG143" i="1"/>
  <c r="AH143" i="1"/>
  <c r="AI143" i="1"/>
  <c r="AC143" i="1"/>
  <c r="Q143" i="1"/>
  <c r="S143" i="1"/>
  <c r="T143" i="1"/>
  <c r="U143" i="1"/>
  <c r="V143" i="1"/>
  <c r="W143" i="1"/>
  <c r="K130" i="1"/>
  <c r="J130" i="1"/>
  <c r="BF144" i="1"/>
  <c r="BG144" i="1"/>
  <c r="BC144" i="1"/>
  <c r="BD144" i="1"/>
  <c r="BE144" i="1"/>
  <c r="BA144" i="1"/>
  <c r="BP144" i="1"/>
  <c r="BQ144" i="1"/>
  <c r="BR144" i="1"/>
  <c r="BS144" i="1"/>
  <c r="BM144" i="1"/>
  <c r="BJ144" i="1"/>
  <c r="Z143" i="1"/>
  <c r="AX144" i="1"/>
  <c r="AL143" i="1"/>
  <c r="N143" i="1"/>
  <c r="BB143" i="1"/>
  <c r="BT143" i="1"/>
  <c r="BH143" i="1"/>
  <c r="R142" i="1"/>
  <c r="X142" i="1"/>
  <c r="AV142" i="1"/>
  <c r="AJ142" i="1"/>
  <c r="BO144" i="1"/>
  <c r="I130" i="1"/>
  <c r="H130" i="1"/>
  <c r="L129" i="1"/>
  <c r="BK145" i="1"/>
  <c r="BN143" i="1"/>
  <c r="AY145" i="1"/>
  <c r="AM144" i="1"/>
  <c r="AP142" i="1"/>
  <c r="AD142" i="1"/>
  <c r="AA144" i="1"/>
  <c r="O144" i="1"/>
  <c r="D131" i="1"/>
  <c r="F129" i="1"/>
  <c r="C131" i="1"/>
  <c r="G130" i="1"/>
  <c r="B130" i="1"/>
  <c r="E130" i="1"/>
  <c r="AQ144" i="1" l="1"/>
  <c r="AR144" i="1"/>
  <c r="AS144" i="1"/>
  <c r="AT144" i="1"/>
  <c r="AU144" i="1"/>
  <c r="AO144" i="1"/>
  <c r="AH144" i="1"/>
  <c r="AI144" i="1"/>
  <c r="AE144" i="1"/>
  <c r="AF144" i="1"/>
  <c r="AG144" i="1"/>
  <c r="AC144" i="1"/>
  <c r="U144" i="1"/>
  <c r="V144" i="1"/>
  <c r="W144" i="1"/>
  <c r="Q144" i="1"/>
  <c r="T144" i="1"/>
  <c r="S144" i="1"/>
  <c r="J131" i="1"/>
  <c r="K131" i="1"/>
  <c r="BC145" i="1"/>
  <c r="BD145" i="1"/>
  <c r="BE145" i="1"/>
  <c r="BF145" i="1"/>
  <c r="BG145" i="1"/>
  <c r="BA145" i="1"/>
  <c r="BB144" i="1"/>
  <c r="BP145" i="1"/>
  <c r="BQ145" i="1"/>
  <c r="BR145" i="1"/>
  <c r="BS145" i="1"/>
  <c r="BM145" i="1"/>
  <c r="R143" i="1"/>
  <c r="BJ145" i="1"/>
  <c r="Z144" i="1"/>
  <c r="AX145" i="1"/>
  <c r="AL144" i="1"/>
  <c r="N144" i="1"/>
  <c r="BT144" i="1"/>
  <c r="BH144" i="1"/>
  <c r="X143" i="1"/>
  <c r="AJ143" i="1"/>
  <c r="AV143" i="1"/>
  <c r="BO145" i="1"/>
  <c r="I131" i="1"/>
  <c r="H131" i="1"/>
  <c r="L130" i="1"/>
  <c r="AP143" i="1"/>
  <c r="BN144" i="1"/>
  <c r="BK146" i="1"/>
  <c r="AY146" i="1"/>
  <c r="AM145" i="1"/>
  <c r="AA145" i="1"/>
  <c r="AD143" i="1"/>
  <c r="O145" i="1"/>
  <c r="D132" i="1"/>
  <c r="C132" i="1"/>
  <c r="G131" i="1"/>
  <c r="B131" i="1"/>
  <c r="E131" i="1"/>
  <c r="F130" i="1"/>
  <c r="BB145" i="1" l="1"/>
  <c r="AQ145" i="1"/>
  <c r="AR145" i="1"/>
  <c r="AS145" i="1"/>
  <c r="AT145" i="1"/>
  <c r="AU145" i="1"/>
  <c r="AO145" i="1"/>
  <c r="AE145" i="1"/>
  <c r="AF145" i="1"/>
  <c r="AG145" i="1"/>
  <c r="AH145" i="1"/>
  <c r="AI145" i="1"/>
  <c r="AC145" i="1"/>
  <c r="Q145" i="1"/>
  <c r="S145" i="1"/>
  <c r="T145" i="1"/>
  <c r="U145" i="1"/>
  <c r="W145" i="1"/>
  <c r="V145" i="1"/>
  <c r="K132" i="1"/>
  <c r="J132" i="1"/>
  <c r="BD146" i="1"/>
  <c r="BE146" i="1"/>
  <c r="BF146" i="1"/>
  <c r="BG146" i="1"/>
  <c r="BA146" i="1"/>
  <c r="BC146" i="1"/>
  <c r="BP146" i="1"/>
  <c r="BQ146" i="1"/>
  <c r="BR146" i="1"/>
  <c r="BS146" i="1"/>
  <c r="BM146" i="1"/>
  <c r="BJ146" i="1"/>
  <c r="Z145" i="1"/>
  <c r="AX146" i="1"/>
  <c r="AL145" i="1"/>
  <c r="N145" i="1"/>
  <c r="BT145" i="1"/>
  <c r="BH145" i="1"/>
  <c r="X144" i="1"/>
  <c r="AJ144" i="1"/>
  <c r="AV144" i="1"/>
  <c r="BO146" i="1"/>
  <c r="R144" i="1"/>
  <c r="H132" i="1"/>
  <c r="I132" i="1"/>
  <c r="L131" i="1"/>
  <c r="BN145" i="1"/>
  <c r="AD144" i="1"/>
  <c r="BK147" i="1"/>
  <c r="AY147" i="1"/>
  <c r="AM146" i="1"/>
  <c r="AP144" i="1"/>
  <c r="AA146" i="1"/>
  <c r="O146" i="1"/>
  <c r="D133" i="1"/>
  <c r="F131" i="1"/>
  <c r="C133" i="1"/>
  <c r="G132" i="1"/>
  <c r="B132" i="1"/>
  <c r="E132" i="1"/>
  <c r="AT146" i="1" l="1"/>
  <c r="AU146" i="1"/>
  <c r="AQ146" i="1"/>
  <c r="AR146" i="1"/>
  <c r="AS146" i="1"/>
  <c r="AO146" i="1"/>
  <c r="AF146" i="1"/>
  <c r="AG146" i="1"/>
  <c r="AH146" i="1"/>
  <c r="AI146" i="1"/>
  <c r="AE146" i="1"/>
  <c r="AC146" i="1"/>
  <c r="Q146" i="1"/>
  <c r="S146" i="1"/>
  <c r="T146" i="1"/>
  <c r="U146" i="1"/>
  <c r="V146" i="1"/>
  <c r="W146" i="1"/>
  <c r="J133" i="1"/>
  <c r="K133" i="1"/>
  <c r="BG147" i="1"/>
  <c r="BC147" i="1"/>
  <c r="BD147" i="1"/>
  <c r="BE147" i="1"/>
  <c r="BF147" i="1"/>
  <c r="BA147" i="1"/>
  <c r="BP147" i="1"/>
  <c r="BQ147" i="1"/>
  <c r="BR147" i="1"/>
  <c r="BM147" i="1"/>
  <c r="BS147" i="1"/>
  <c r="BJ147" i="1"/>
  <c r="Z146" i="1"/>
  <c r="AX147" i="1"/>
  <c r="AL146" i="1"/>
  <c r="N146" i="1"/>
  <c r="BB146" i="1"/>
  <c r="BT146" i="1"/>
  <c r="BH146" i="1"/>
  <c r="X145" i="1"/>
  <c r="AJ145" i="1"/>
  <c r="AV145" i="1"/>
  <c r="AD145" i="1"/>
  <c r="BO147" i="1"/>
  <c r="R145" i="1"/>
  <c r="I133" i="1"/>
  <c r="H133" i="1"/>
  <c r="L132" i="1"/>
  <c r="BN146" i="1"/>
  <c r="BK148" i="1"/>
  <c r="AY148" i="1"/>
  <c r="AM147" i="1"/>
  <c r="AP145" i="1"/>
  <c r="AA147" i="1"/>
  <c r="O147" i="1"/>
  <c r="D134" i="1"/>
  <c r="C134" i="1"/>
  <c r="G133" i="1"/>
  <c r="E133" i="1"/>
  <c r="B133" i="1"/>
  <c r="F132" i="1"/>
  <c r="AQ147" i="1" l="1"/>
  <c r="AR147" i="1"/>
  <c r="AS147" i="1"/>
  <c r="AT147" i="1"/>
  <c r="AU147" i="1"/>
  <c r="AO147" i="1"/>
  <c r="AI147" i="1"/>
  <c r="AE147" i="1"/>
  <c r="AF147" i="1"/>
  <c r="AH147" i="1"/>
  <c r="AG147" i="1"/>
  <c r="AC147" i="1"/>
  <c r="Q147" i="1"/>
  <c r="V147" i="1"/>
  <c r="W147" i="1"/>
  <c r="S147" i="1"/>
  <c r="U147" i="1"/>
  <c r="T147" i="1"/>
  <c r="J134" i="1"/>
  <c r="K134" i="1"/>
  <c r="BC148" i="1"/>
  <c r="BD148" i="1"/>
  <c r="BE148" i="1"/>
  <c r="BF148" i="1"/>
  <c r="BG148" i="1"/>
  <c r="BA148" i="1"/>
  <c r="BP148" i="1"/>
  <c r="BQ148" i="1"/>
  <c r="BR148" i="1"/>
  <c r="BS148" i="1"/>
  <c r="BM148" i="1"/>
  <c r="BJ148" i="1"/>
  <c r="Z147" i="1"/>
  <c r="BB147" i="1"/>
  <c r="AX148" i="1"/>
  <c r="AL147" i="1"/>
  <c r="N147" i="1"/>
  <c r="BT147" i="1"/>
  <c r="BH147" i="1"/>
  <c r="X146" i="1"/>
  <c r="AJ146" i="1"/>
  <c r="AV146" i="1"/>
  <c r="BO148" i="1"/>
  <c r="AD146" i="1"/>
  <c r="R146" i="1"/>
  <c r="H134" i="1"/>
  <c r="I134" i="1"/>
  <c r="L133" i="1"/>
  <c r="AP146" i="1"/>
  <c r="BK149" i="1"/>
  <c r="BN147" i="1"/>
  <c r="AY149" i="1"/>
  <c r="AM148" i="1"/>
  <c r="AA148" i="1"/>
  <c r="O148" i="1"/>
  <c r="D135" i="1"/>
  <c r="F133" i="1"/>
  <c r="C135" i="1"/>
  <c r="G134" i="1"/>
  <c r="E134" i="1"/>
  <c r="B134" i="1"/>
  <c r="AD147" i="1" l="1"/>
  <c r="AR148" i="1"/>
  <c r="AS148" i="1"/>
  <c r="AT148" i="1"/>
  <c r="AU148" i="1"/>
  <c r="AQ148" i="1"/>
  <c r="AO148" i="1"/>
  <c r="AE148" i="1"/>
  <c r="AF148" i="1"/>
  <c r="AG148" i="1"/>
  <c r="AH148" i="1"/>
  <c r="AI148" i="1"/>
  <c r="AC148" i="1"/>
  <c r="AD148" i="1" s="1"/>
  <c r="Q148" i="1"/>
  <c r="S148" i="1"/>
  <c r="T148" i="1"/>
  <c r="U148" i="1"/>
  <c r="V148" i="1"/>
  <c r="W148" i="1"/>
  <c r="J135" i="1"/>
  <c r="K135" i="1"/>
  <c r="BE149" i="1"/>
  <c r="BF149" i="1"/>
  <c r="BG149" i="1"/>
  <c r="BC149" i="1"/>
  <c r="BD149" i="1"/>
  <c r="BA149" i="1"/>
  <c r="BP149" i="1"/>
  <c r="BQ149" i="1"/>
  <c r="BR149" i="1"/>
  <c r="BS149" i="1"/>
  <c r="BM149" i="1"/>
  <c r="BB148" i="1"/>
  <c r="BJ149" i="1"/>
  <c r="Z148" i="1"/>
  <c r="AX149" i="1"/>
  <c r="AL148" i="1"/>
  <c r="N148" i="1"/>
  <c r="R147" i="1"/>
  <c r="BT148" i="1"/>
  <c r="BH148" i="1"/>
  <c r="X147" i="1"/>
  <c r="AV147" i="1"/>
  <c r="BO149" i="1"/>
  <c r="AJ147" i="1"/>
  <c r="H135" i="1"/>
  <c r="I135" i="1"/>
  <c r="L134" i="1"/>
  <c r="BN148" i="1"/>
  <c r="BK150" i="1"/>
  <c r="AY150" i="1"/>
  <c r="AM149" i="1"/>
  <c r="AP147" i="1"/>
  <c r="AA149" i="1"/>
  <c r="O149" i="1"/>
  <c r="D136" i="1"/>
  <c r="F134" i="1"/>
  <c r="C136" i="1"/>
  <c r="G135" i="1"/>
  <c r="B135" i="1"/>
  <c r="E135" i="1"/>
  <c r="AU149" i="1" l="1"/>
  <c r="AQ149" i="1"/>
  <c r="AR149" i="1"/>
  <c r="AS149" i="1"/>
  <c r="AT149" i="1"/>
  <c r="AO149" i="1"/>
  <c r="AG149" i="1"/>
  <c r="AH149" i="1"/>
  <c r="AI149" i="1"/>
  <c r="AE149" i="1"/>
  <c r="AF149" i="1"/>
  <c r="AC149" i="1"/>
  <c r="AD149" i="1" s="1"/>
  <c r="R148" i="1"/>
  <c r="Q149" i="1"/>
  <c r="T149" i="1"/>
  <c r="U149" i="1"/>
  <c r="V149" i="1"/>
  <c r="W149" i="1"/>
  <c r="S149" i="1"/>
  <c r="K136" i="1"/>
  <c r="J136" i="1"/>
  <c r="BC150" i="1"/>
  <c r="BD150" i="1"/>
  <c r="BE150" i="1"/>
  <c r="BF150" i="1"/>
  <c r="BG150" i="1"/>
  <c r="BA150" i="1"/>
  <c r="BP150" i="1"/>
  <c r="BQ150" i="1"/>
  <c r="BR150" i="1"/>
  <c r="BS150" i="1"/>
  <c r="BM150" i="1"/>
  <c r="BB149" i="1"/>
  <c r="BJ150" i="1"/>
  <c r="Z149" i="1"/>
  <c r="AX150" i="1"/>
  <c r="AL149" i="1"/>
  <c r="N149" i="1"/>
  <c r="BT149" i="1"/>
  <c r="BH149" i="1"/>
  <c r="X148" i="1"/>
  <c r="AV148" i="1"/>
  <c r="BO150" i="1"/>
  <c r="AJ148" i="1"/>
  <c r="I136" i="1"/>
  <c r="H136" i="1"/>
  <c r="L135" i="1"/>
  <c r="BK151" i="1"/>
  <c r="BN149" i="1"/>
  <c r="AY151" i="1"/>
  <c r="AP148" i="1"/>
  <c r="AM150" i="1"/>
  <c r="AA150" i="1"/>
  <c r="O150" i="1"/>
  <c r="D137" i="1"/>
  <c r="F135" i="1"/>
  <c r="C137" i="1"/>
  <c r="G136" i="1"/>
  <c r="B136" i="1"/>
  <c r="E136" i="1"/>
  <c r="R149" i="1" l="1"/>
  <c r="AQ150" i="1"/>
  <c r="AR150" i="1"/>
  <c r="AS150" i="1"/>
  <c r="AT150" i="1"/>
  <c r="AU150" i="1"/>
  <c r="AO150" i="1"/>
  <c r="AE150" i="1"/>
  <c r="AF150" i="1"/>
  <c r="AG150" i="1"/>
  <c r="AH150" i="1"/>
  <c r="AI150" i="1"/>
  <c r="AC150" i="1"/>
  <c r="Q150" i="1"/>
  <c r="W150" i="1"/>
  <c r="S150" i="1"/>
  <c r="T150" i="1"/>
  <c r="V150" i="1"/>
  <c r="U150" i="1"/>
  <c r="K137" i="1"/>
  <c r="J137" i="1"/>
  <c r="BC151" i="1"/>
  <c r="BD151" i="1"/>
  <c r="BE151" i="1"/>
  <c r="BF151" i="1"/>
  <c r="BG151" i="1"/>
  <c r="BA151" i="1"/>
  <c r="BB150" i="1"/>
  <c r="BP151" i="1"/>
  <c r="BQ151" i="1"/>
  <c r="BR151" i="1"/>
  <c r="BS151" i="1"/>
  <c r="BM151" i="1"/>
  <c r="BJ151" i="1"/>
  <c r="Z150" i="1"/>
  <c r="AX151" i="1"/>
  <c r="AL150" i="1"/>
  <c r="N150" i="1"/>
  <c r="BT150" i="1"/>
  <c r="BH150" i="1"/>
  <c r="X149" i="1"/>
  <c r="AV149" i="1"/>
  <c r="BO151" i="1"/>
  <c r="AJ149" i="1"/>
  <c r="I137" i="1"/>
  <c r="H137" i="1"/>
  <c r="L136" i="1"/>
  <c r="BN150" i="1"/>
  <c r="BK152" i="1"/>
  <c r="AY152" i="1"/>
  <c r="AP149" i="1"/>
  <c r="AM151" i="1"/>
  <c r="AA151" i="1"/>
  <c r="O151" i="1"/>
  <c r="D138" i="1"/>
  <c r="C138" i="1"/>
  <c r="G137" i="1"/>
  <c r="B137" i="1"/>
  <c r="E137" i="1"/>
  <c r="F136" i="1"/>
  <c r="BB151" i="1" l="1"/>
  <c r="AS151" i="1"/>
  <c r="AT151" i="1"/>
  <c r="AU151" i="1"/>
  <c r="AQ151" i="1"/>
  <c r="AR151" i="1"/>
  <c r="AO151" i="1"/>
  <c r="AE151" i="1"/>
  <c r="AF151" i="1"/>
  <c r="AG151" i="1"/>
  <c r="AH151" i="1"/>
  <c r="AI151" i="1"/>
  <c r="AC151" i="1"/>
  <c r="Q151" i="1"/>
  <c r="S151" i="1"/>
  <c r="T151" i="1"/>
  <c r="U151" i="1"/>
  <c r="V151" i="1"/>
  <c r="W151" i="1"/>
  <c r="K138" i="1"/>
  <c r="J138" i="1"/>
  <c r="BC152" i="1"/>
  <c r="BD152" i="1"/>
  <c r="BE152" i="1"/>
  <c r="BF152" i="1"/>
  <c r="BG152" i="1"/>
  <c r="BA152" i="1"/>
  <c r="BB152" i="1" s="1"/>
  <c r="BP152" i="1"/>
  <c r="BQ152" i="1"/>
  <c r="BR152" i="1"/>
  <c r="BS152" i="1"/>
  <c r="BM152" i="1"/>
  <c r="BJ152" i="1"/>
  <c r="Z151" i="1"/>
  <c r="AX152" i="1"/>
  <c r="AL151" i="1"/>
  <c r="N151" i="1"/>
  <c r="AD150" i="1"/>
  <c r="BT151" i="1"/>
  <c r="BH151" i="1"/>
  <c r="X150" i="1"/>
  <c r="AV150" i="1"/>
  <c r="BO152" i="1"/>
  <c r="AJ150" i="1"/>
  <c r="R150" i="1"/>
  <c r="I138" i="1"/>
  <c r="H138" i="1"/>
  <c r="L137" i="1"/>
  <c r="BN151" i="1"/>
  <c r="BK153" i="1"/>
  <c r="AY153" i="1"/>
  <c r="AM152" i="1"/>
  <c r="AP150" i="1"/>
  <c r="AA152" i="1"/>
  <c r="O152" i="1"/>
  <c r="D139" i="1"/>
  <c r="F137" i="1"/>
  <c r="C139" i="1"/>
  <c r="G138" i="1"/>
  <c r="B138" i="1"/>
  <c r="E138" i="1"/>
  <c r="AQ152" i="1" l="1"/>
  <c r="AR152" i="1"/>
  <c r="AS152" i="1"/>
  <c r="AT152" i="1"/>
  <c r="AU152" i="1"/>
  <c r="AO152" i="1"/>
  <c r="AI152" i="1"/>
  <c r="AE152" i="1"/>
  <c r="AF152" i="1"/>
  <c r="AH152" i="1"/>
  <c r="AC152" i="1"/>
  <c r="AG152" i="1"/>
  <c r="Q152" i="1"/>
  <c r="U152" i="1"/>
  <c r="V152" i="1"/>
  <c r="W152" i="1"/>
  <c r="T152" i="1"/>
  <c r="S152" i="1"/>
  <c r="K139" i="1"/>
  <c r="J139" i="1"/>
  <c r="BD153" i="1"/>
  <c r="BE153" i="1"/>
  <c r="BF153" i="1"/>
  <c r="BG153" i="1"/>
  <c r="BC153" i="1"/>
  <c r="BA153" i="1"/>
  <c r="BP153" i="1"/>
  <c r="BQ153" i="1"/>
  <c r="BR153" i="1"/>
  <c r="BM153" i="1"/>
  <c r="BS153" i="1"/>
  <c r="AD151" i="1"/>
  <c r="BJ153" i="1"/>
  <c r="Z152" i="1"/>
  <c r="AX153" i="1"/>
  <c r="AL152" i="1"/>
  <c r="N152" i="1"/>
  <c r="BT152" i="1"/>
  <c r="BH152" i="1"/>
  <c r="R151" i="1"/>
  <c r="X151" i="1"/>
  <c r="AV151" i="1"/>
  <c r="BO153" i="1"/>
  <c r="AJ151" i="1"/>
  <c r="I139" i="1"/>
  <c r="H139" i="1"/>
  <c r="L138" i="1"/>
  <c r="AP151" i="1"/>
  <c r="BN152" i="1"/>
  <c r="BK154" i="1"/>
  <c r="AY154" i="1"/>
  <c r="AM153" i="1"/>
  <c r="AA153" i="1"/>
  <c r="O153" i="1"/>
  <c r="D140" i="1"/>
  <c r="C140" i="1"/>
  <c r="G139" i="1"/>
  <c r="B139" i="1"/>
  <c r="E139" i="1"/>
  <c r="F138" i="1"/>
  <c r="AT153" i="1" l="1"/>
  <c r="AU153" i="1"/>
  <c r="AQ153" i="1"/>
  <c r="AS153" i="1"/>
  <c r="AO153" i="1"/>
  <c r="AR153" i="1"/>
  <c r="AE153" i="1"/>
  <c r="AF153" i="1"/>
  <c r="AG153" i="1"/>
  <c r="AH153" i="1"/>
  <c r="AI153" i="1"/>
  <c r="AC153" i="1"/>
  <c r="Q153" i="1"/>
  <c r="S153" i="1"/>
  <c r="T153" i="1"/>
  <c r="U153" i="1"/>
  <c r="W153" i="1"/>
  <c r="V153" i="1"/>
  <c r="K140" i="1"/>
  <c r="J140" i="1"/>
  <c r="BG154" i="1"/>
  <c r="BC154" i="1"/>
  <c r="BD154" i="1"/>
  <c r="BF154" i="1"/>
  <c r="BE154" i="1"/>
  <c r="BA154" i="1"/>
  <c r="BP154" i="1"/>
  <c r="BQ154" i="1"/>
  <c r="BR154" i="1"/>
  <c r="BS154" i="1"/>
  <c r="BM154" i="1"/>
  <c r="R152" i="1"/>
  <c r="BJ154" i="1"/>
  <c r="Z153" i="1"/>
  <c r="AX154" i="1"/>
  <c r="AL153" i="1"/>
  <c r="N153" i="1"/>
  <c r="BB153" i="1"/>
  <c r="BT153" i="1"/>
  <c r="BH153" i="1"/>
  <c r="X152" i="1"/>
  <c r="AV152" i="1"/>
  <c r="BO154" i="1"/>
  <c r="AJ152" i="1"/>
  <c r="H140" i="1"/>
  <c r="I140" i="1"/>
  <c r="L139" i="1"/>
  <c r="BN153" i="1"/>
  <c r="BK155" i="1"/>
  <c r="AY155" i="1"/>
  <c r="AM154" i="1"/>
  <c r="AP152" i="1"/>
  <c r="AD152" i="1"/>
  <c r="AA154" i="1"/>
  <c r="O154" i="1"/>
  <c r="D141" i="1"/>
  <c r="F139" i="1"/>
  <c r="C141" i="1"/>
  <c r="G140" i="1"/>
  <c r="B140" i="1"/>
  <c r="E140" i="1"/>
  <c r="AQ154" i="1" l="1"/>
  <c r="AR154" i="1"/>
  <c r="AS154" i="1"/>
  <c r="AT154" i="1"/>
  <c r="AO154" i="1"/>
  <c r="AU154" i="1"/>
  <c r="AG154" i="1"/>
  <c r="AH154" i="1"/>
  <c r="AI154" i="1"/>
  <c r="AF154" i="1"/>
  <c r="AE154" i="1"/>
  <c r="AC154" i="1"/>
  <c r="Q154" i="1"/>
  <c r="S154" i="1"/>
  <c r="T154" i="1"/>
  <c r="U154" i="1"/>
  <c r="V154" i="1"/>
  <c r="W154" i="1"/>
  <c r="J141" i="1"/>
  <c r="K141" i="1"/>
  <c r="BC155" i="1"/>
  <c r="BD155" i="1"/>
  <c r="BE155" i="1"/>
  <c r="BF155" i="1"/>
  <c r="BG155" i="1"/>
  <c r="BA155" i="1"/>
  <c r="BP155" i="1"/>
  <c r="BQ155" i="1"/>
  <c r="BR155" i="1"/>
  <c r="BM155" i="1"/>
  <c r="BS155" i="1"/>
  <c r="BJ155" i="1"/>
  <c r="BB154" i="1"/>
  <c r="Z154" i="1"/>
  <c r="AX155" i="1"/>
  <c r="AL154" i="1"/>
  <c r="N154" i="1"/>
  <c r="BT154" i="1"/>
  <c r="BH154" i="1"/>
  <c r="X153" i="1"/>
  <c r="AV153" i="1"/>
  <c r="AJ153" i="1"/>
  <c r="BO155" i="1"/>
  <c r="R153" i="1"/>
  <c r="H141" i="1"/>
  <c r="I141" i="1"/>
  <c r="L140" i="1"/>
  <c r="BN154" i="1"/>
  <c r="BK156" i="1"/>
  <c r="AY156" i="1"/>
  <c r="AM155" i="1"/>
  <c r="AP153" i="1"/>
  <c r="AA155" i="1"/>
  <c r="AD153" i="1"/>
  <c r="O155" i="1"/>
  <c r="D142" i="1"/>
  <c r="C142" i="1"/>
  <c r="G141" i="1"/>
  <c r="E141" i="1"/>
  <c r="B141" i="1"/>
  <c r="F140" i="1"/>
  <c r="AR155" i="1" l="1"/>
  <c r="AS155" i="1"/>
  <c r="AT155" i="1"/>
  <c r="AU155" i="1"/>
  <c r="AQ155" i="1"/>
  <c r="AO155" i="1"/>
  <c r="AE155" i="1"/>
  <c r="AF155" i="1"/>
  <c r="AG155" i="1"/>
  <c r="AI155" i="1"/>
  <c r="AH155" i="1"/>
  <c r="AC155" i="1"/>
  <c r="Q155" i="1"/>
  <c r="V155" i="1"/>
  <c r="W155" i="1"/>
  <c r="S155" i="1"/>
  <c r="U155" i="1"/>
  <c r="T155" i="1"/>
  <c r="K142" i="1"/>
  <c r="J142" i="1"/>
  <c r="BE156" i="1"/>
  <c r="BF156" i="1"/>
  <c r="BG156" i="1"/>
  <c r="BD156" i="1"/>
  <c r="BC156" i="1"/>
  <c r="BA156" i="1"/>
  <c r="BP156" i="1"/>
  <c r="BQ156" i="1"/>
  <c r="BR156" i="1"/>
  <c r="BS156" i="1"/>
  <c r="BM156" i="1"/>
  <c r="BB155" i="1"/>
  <c r="BJ156" i="1"/>
  <c r="Z155" i="1"/>
  <c r="AX156" i="1"/>
  <c r="AL155" i="1"/>
  <c r="N155" i="1"/>
  <c r="BT155" i="1"/>
  <c r="BH155" i="1"/>
  <c r="R154" i="1"/>
  <c r="X154" i="1"/>
  <c r="AJ154" i="1"/>
  <c r="AV154" i="1"/>
  <c r="BO156" i="1"/>
  <c r="H142" i="1"/>
  <c r="I142" i="1"/>
  <c r="L141" i="1"/>
  <c r="AP154" i="1"/>
  <c r="BN155" i="1"/>
  <c r="AD154" i="1"/>
  <c r="BK157" i="1"/>
  <c r="AY157" i="1"/>
  <c r="AM156" i="1"/>
  <c r="AA156" i="1"/>
  <c r="O156" i="1"/>
  <c r="D143" i="1"/>
  <c r="F141" i="1"/>
  <c r="C143" i="1"/>
  <c r="G142" i="1"/>
  <c r="E142" i="1"/>
  <c r="B142" i="1"/>
  <c r="AU156" i="1" l="1"/>
  <c r="AQ156" i="1"/>
  <c r="AR156" i="1"/>
  <c r="AT156" i="1"/>
  <c r="AS156" i="1"/>
  <c r="AO156" i="1"/>
  <c r="AE156" i="1"/>
  <c r="AF156" i="1"/>
  <c r="AG156" i="1"/>
  <c r="AH156" i="1"/>
  <c r="AI156" i="1"/>
  <c r="AC156" i="1"/>
  <c r="Q156" i="1"/>
  <c r="S156" i="1"/>
  <c r="T156" i="1"/>
  <c r="U156" i="1"/>
  <c r="V156" i="1"/>
  <c r="W156" i="1"/>
  <c r="J143" i="1"/>
  <c r="K143" i="1"/>
  <c r="BC157" i="1"/>
  <c r="BD157" i="1"/>
  <c r="BE157" i="1"/>
  <c r="BG157" i="1"/>
  <c r="BA157" i="1"/>
  <c r="BF157" i="1"/>
  <c r="BP157" i="1"/>
  <c r="BQ157" i="1"/>
  <c r="BR157" i="1"/>
  <c r="BM157" i="1"/>
  <c r="BS157" i="1"/>
  <c r="BJ157" i="1"/>
  <c r="Z156" i="1"/>
  <c r="AX157" i="1"/>
  <c r="AL156" i="1"/>
  <c r="N156" i="1"/>
  <c r="BB156" i="1"/>
  <c r="BT156" i="1"/>
  <c r="BH156" i="1"/>
  <c r="R155" i="1"/>
  <c r="X155" i="1"/>
  <c r="AJ155" i="1"/>
  <c r="AV155" i="1"/>
  <c r="BO157" i="1"/>
  <c r="H143" i="1"/>
  <c r="I143" i="1"/>
  <c r="L142" i="1"/>
  <c r="BN156" i="1"/>
  <c r="BK158" i="1"/>
  <c r="AY158" i="1"/>
  <c r="AM157" i="1"/>
  <c r="AP155" i="1"/>
  <c r="AD155" i="1"/>
  <c r="AA157" i="1"/>
  <c r="O157" i="1"/>
  <c r="D144" i="1"/>
  <c r="C144" i="1"/>
  <c r="G143" i="1"/>
  <c r="B143" i="1"/>
  <c r="E143" i="1"/>
  <c r="F142" i="1"/>
  <c r="AQ157" i="1" l="1"/>
  <c r="AR157" i="1"/>
  <c r="AS157" i="1"/>
  <c r="AT157" i="1"/>
  <c r="AU157" i="1"/>
  <c r="AO157" i="1"/>
  <c r="AH157" i="1"/>
  <c r="AI157" i="1"/>
  <c r="AE157" i="1"/>
  <c r="AG157" i="1"/>
  <c r="AF157" i="1"/>
  <c r="AC157" i="1"/>
  <c r="Q157" i="1"/>
  <c r="T157" i="1"/>
  <c r="U157" i="1"/>
  <c r="V157" i="1"/>
  <c r="W157" i="1"/>
  <c r="S157" i="1"/>
  <c r="K144" i="1"/>
  <c r="J144" i="1"/>
  <c r="BC158" i="1"/>
  <c r="BD158" i="1"/>
  <c r="BE158" i="1"/>
  <c r="BF158" i="1"/>
  <c r="BG158" i="1"/>
  <c r="BA158" i="1"/>
  <c r="BB157" i="1"/>
  <c r="BP158" i="1"/>
  <c r="BQ158" i="1"/>
  <c r="BR158" i="1"/>
  <c r="BS158" i="1"/>
  <c r="BM158" i="1"/>
  <c r="R156" i="1"/>
  <c r="BJ158" i="1"/>
  <c r="Z157" i="1"/>
  <c r="AX158" i="1"/>
  <c r="AL157" i="1"/>
  <c r="N157" i="1"/>
  <c r="BT157" i="1"/>
  <c r="BH157" i="1"/>
  <c r="X156" i="1"/>
  <c r="AJ156" i="1"/>
  <c r="AV156" i="1"/>
  <c r="BO158" i="1"/>
  <c r="I144" i="1"/>
  <c r="H144" i="1"/>
  <c r="L143" i="1"/>
  <c r="BK159" i="1"/>
  <c r="BN157" i="1"/>
  <c r="AY159" i="1"/>
  <c r="AP156" i="1"/>
  <c r="AM158" i="1"/>
  <c r="AA158" i="1"/>
  <c r="AD156" i="1"/>
  <c r="O158" i="1"/>
  <c r="D145" i="1"/>
  <c r="F143" i="1"/>
  <c r="C145" i="1"/>
  <c r="G144" i="1"/>
  <c r="B144" i="1"/>
  <c r="E144" i="1"/>
  <c r="BB158" i="1" l="1"/>
  <c r="AS158" i="1"/>
  <c r="AT158" i="1"/>
  <c r="AU158" i="1"/>
  <c r="AR158" i="1"/>
  <c r="AO158" i="1"/>
  <c r="AQ158" i="1"/>
  <c r="AE158" i="1"/>
  <c r="AF158" i="1"/>
  <c r="AG158" i="1"/>
  <c r="AH158" i="1"/>
  <c r="AC158" i="1"/>
  <c r="AI158" i="1"/>
  <c r="R157" i="1"/>
  <c r="Q158" i="1"/>
  <c r="W158" i="1"/>
  <c r="S158" i="1"/>
  <c r="T158" i="1"/>
  <c r="V158" i="1"/>
  <c r="U158" i="1"/>
  <c r="K145" i="1"/>
  <c r="J145" i="1"/>
  <c r="BF159" i="1"/>
  <c r="BG159" i="1"/>
  <c r="BC159" i="1"/>
  <c r="BE159" i="1"/>
  <c r="BA159" i="1"/>
  <c r="BB159" i="1" s="1"/>
  <c r="BD159" i="1"/>
  <c r="BP159" i="1"/>
  <c r="BQ159" i="1"/>
  <c r="BR159" i="1"/>
  <c r="BM159" i="1"/>
  <c r="BS159" i="1"/>
  <c r="BJ159" i="1"/>
  <c r="Z158" i="1"/>
  <c r="AX159" i="1"/>
  <c r="AL158" i="1"/>
  <c r="N158" i="1"/>
  <c r="BT158" i="1"/>
  <c r="BH158" i="1"/>
  <c r="X157" i="1"/>
  <c r="AJ157" i="1"/>
  <c r="AV157" i="1"/>
  <c r="BO159" i="1"/>
  <c r="H145" i="1"/>
  <c r="I145" i="1"/>
  <c r="L144" i="1"/>
  <c r="BN158" i="1"/>
  <c r="BK160" i="1"/>
  <c r="AY160" i="1"/>
  <c r="AP157" i="1"/>
  <c r="AM159" i="1"/>
  <c r="AA159" i="1"/>
  <c r="AD157" i="1"/>
  <c r="O159" i="1"/>
  <c r="D146" i="1"/>
  <c r="C146" i="1"/>
  <c r="G145" i="1"/>
  <c r="B145" i="1"/>
  <c r="E145" i="1"/>
  <c r="F144" i="1"/>
  <c r="R158" i="1" l="1"/>
  <c r="AQ159" i="1"/>
  <c r="AR159" i="1"/>
  <c r="AS159" i="1"/>
  <c r="AU159" i="1"/>
  <c r="AO159" i="1"/>
  <c r="AT159" i="1"/>
  <c r="AF159" i="1"/>
  <c r="AG159" i="1"/>
  <c r="AH159" i="1"/>
  <c r="AI159" i="1"/>
  <c r="AE159" i="1"/>
  <c r="AC159" i="1"/>
  <c r="Q159" i="1"/>
  <c r="S159" i="1"/>
  <c r="T159" i="1"/>
  <c r="U159" i="1"/>
  <c r="V159" i="1"/>
  <c r="W159" i="1"/>
  <c r="K146" i="1"/>
  <c r="J146" i="1"/>
  <c r="BC160" i="1"/>
  <c r="BD160" i="1"/>
  <c r="BE160" i="1"/>
  <c r="BF160" i="1"/>
  <c r="BA160" i="1"/>
  <c r="BG160" i="1"/>
  <c r="BP160" i="1"/>
  <c r="BQ160" i="1"/>
  <c r="BR160" i="1"/>
  <c r="BS160" i="1"/>
  <c r="BM160" i="1"/>
  <c r="BJ160" i="1"/>
  <c r="Z159" i="1"/>
  <c r="AX160" i="1"/>
  <c r="AL159" i="1"/>
  <c r="N159" i="1"/>
  <c r="BT159" i="1"/>
  <c r="BH159" i="1"/>
  <c r="X158" i="1"/>
  <c r="AV158" i="1"/>
  <c r="AJ158" i="1"/>
  <c r="BO160" i="1"/>
  <c r="I146" i="1"/>
  <c r="H146" i="1"/>
  <c r="L145" i="1"/>
  <c r="BN159" i="1"/>
  <c r="BK161" i="1"/>
  <c r="AY161" i="1"/>
  <c r="AM160" i="1"/>
  <c r="AP158" i="1"/>
  <c r="AA160" i="1"/>
  <c r="AD158" i="1"/>
  <c r="O160" i="1"/>
  <c r="D147" i="1"/>
  <c r="F145" i="1"/>
  <c r="C147" i="1"/>
  <c r="G146" i="1"/>
  <c r="B146" i="1"/>
  <c r="E146" i="1"/>
  <c r="AQ160" i="1" l="1"/>
  <c r="AR160" i="1"/>
  <c r="AS160" i="1"/>
  <c r="AT160" i="1"/>
  <c r="AU160" i="1"/>
  <c r="AO160" i="1"/>
  <c r="AI160" i="1"/>
  <c r="AE160" i="1"/>
  <c r="AF160" i="1"/>
  <c r="AH160" i="1"/>
  <c r="AC160" i="1"/>
  <c r="AG160" i="1"/>
  <c r="U160" i="1"/>
  <c r="Q160" i="1"/>
  <c r="V160" i="1"/>
  <c r="W160" i="1"/>
  <c r="T160" i="1"/>
  <c r="S160" i="1"/>
  <c r="K147" i="1"/>
  <c r="J147" i="1"/>
  <c r="BD161" i="1"/>
  <c r="BE161" i="1"/>
  <c r="BF161" i="1"/>
  <c r="BG161" i="1"/>
  <c r="BC161" i="1"/>
  <c r="BA161" i="1"/>
  <c r="BP161" i="1"/>
  <c r="BQ161" i="1"/>
  <c r="BR161" i="1"/>
  <c r="BS161" i="1"/>
  <c r="BM161" i="1"/>
  <c r="BJ161" i="1"/>
  <c r="Z160" i="1"/>
  <c r="AX161" i="1"/>
  <c r="AL160" i="1"/>
  <c r="N160" i="1"/>
  <c r="BB160" i="1"/>
  <c r="BT160" i="1"/>
  <c r="BH160" i="1"/>
  <c r="X159" i="1"/>
  <c r="AV159" i="1"/>
  <c r="AJ159" i="1"/>
  <c r="BO161" i="1"/>
  <c r="R159" i="1"/>
  <c r="I147" i="1"/>
  <c r="H147" i="1"/>
  <c r="L146" i="1"/>
  <c r="AP159" i="1"/>
  <c r="BK162" i="1"/>
  <c r="BN160" i="1"/>
  <c r="AY162" i="1"/>
  <c r="AM161" i="1"/>
  <c r="AD159" i="1"/>
  <c r="AA161" i="1"/>
  <c r="O161" i="1"/>
  <c r="D148" i="1"/>
  <c r="C148" i="1"/>
  <c r="G147" i="1"/>
  <c r="B147" i="1"/>
  <c r="E147" i="1"/>
  <c r="F146" i="1"/>
  <c r="AT161" i="1" l="1"/>
  <c r="AU161" i="1"/>
  <c r="AQ161" i="1"/>
  <c r="AS161" i="1"/>
  <c r="AO161" i="1"/>
  <c r="AR161" i="1"/>
  <c r="AE161" i="1"/>
  <c r="AF161" i="1"/>
  <c r="AG161" i="1"/>
  <c r="AH161" i="1"/>
  <c r="AI161" i="1"/>
  <c r="AC161" i="1"/>
  <c r="Q161" i="1"/>
  <c r="S161" i="1"/>
  <c r="T161" i="1"/>
  <c r="U161" i="1"/>
  <c r="W161" i="1"/>
  <c r="V161" i="1"/>
  <c r="K148" i="1"/>
  <c r="J148" i="1"/>
  <c r="BG162" i="1"/>
  <c r="BC162" i="1"/>
  <c r="BD162" i="1"/>
  <c r="BF162" i="1"/>
  <c r="BE162" i="1"/>
  <c r="BA162" i="1"/>
  <c r="BP162" i="1"/>
  <c r="BQ162" i="1"/>
  <c r="BR162" i="1"/>
  <c r="BS162" i="1"/>
  <c r="BM162" i="1"/>
  <c r="BJ162" i="1"/>
  <c r="BB161" i="1"/>
  <c r="Z161" i="1"/>
  <c r="AX162" i="1"/>
  <c r="AL161" i="1"/>
  <c r="N161" i="1"/>
  <c r="BT161" i="1"/>
  <c r="BH161" i="1"/>
  <c r="X160" i="1"/>
  <c r="AJ160" i="1"/>
  <c r="AV160" i="1"/>
  <c r="BO162" i="1"/>
  <c r="R160" i="1"/>
  <c r="H148" i="1"/>
  <c r="I148" i="1"/>
  <c r="L147" i="1"/>
  <c r="BN161" i="1"/>
  <c r="BK163" i="1"/>
  <c r="AY163" i="1"/>
  <c r="AM162" i="1"/>
  <c r="AP160" i="1"/>
  <c r="AD160" i="1"/>
  <c r="AA162" i="1"/>
  <c r="O162" i="1"/>
  <c r="D149" i="1"/>
  <c r="F147" i="1"/>
  <c r="C149" i="1"/>
  <c r="G148" i="1"/>
  <c r="B148" i="1"/>
  <c r="E148" i="1"/>
  <c r="AQ162" i="1" l="1"/>
  <c r="AR162" i="1"/>
  <c r="AS162" i="1"/>
  <c r="AT162" i="1"/>
  <c r="AU162" i="1"/>
  <c r="AO162" i="1"/>
  <c r="AG162" i="1"/>
  <c r="AH162" i="1"/>
  <c r="AI162" i="1"/>
  <c r="AF162" i="1"/>
  <c r="AC162" i="1"/>
  <c r="AE162" i="1"/>
  <c r="Q162" i="1"/>
  <c r="S162" i="1"/>
  <c r="T162" i="1"/>
  <c r="U162" i="1"/>
  <c r="V162" i="1"/>
  <c r="W162" i="1"/>
  <c r="J149" i="1"/>
  <c r="K149" i="1"/>
  <c r="BC163" i="1"/>
  <c r="BD163" i="1"/>
  <c r="BE163" i="1"/>
  <c r="BF163" i="1"/>
  <c r="BG163" i="1"/>
  <c r="BA163" i="1"/>
  <c r="BP163" i="1"/>
  <c r="BQ163" i="1"/>
  <c r="BR163" i="1"/>
  <c r="BM163" i="1"/>
  <c r="BS163" i="1"/>
  <c r="BJ163" i="1"/>
  <c r="Z162" i="1"/>
  <c r="AX163" i="1"/>
  <c r="AL162" i="1"/>
  <c r="N162" i="1"/>
  <c r="BB162" i="1"/>
  <c r="BT162" i="1"/>
  <c r="BH162" i="1"/>
  <c r="X161" i="1"/>
  <c r="AJ161" i="1"/>
  <c r="AV161" i="1"/>
  <c r="BO163" i="1"/>
  <c r="R161" i="1"/>
  <c r="I149" i="1"/>
  <c r="H149" i="1"/>
  <c r="L148" i="1"/>
  <c r="BN162" i="1"/>
  <c r="BK164" i="1"/>
  <c r="AY164" i="1"/>
  <c r="AM163" i="1"/>
  <c r="AP161" i="1"/>
  <c r="AA163" i="1"/>
  <c r="AD161" i="1"/>
  <c r="O163" i="1"/>
  <c r="D150" i="1"/>
  <c r="F148" i="1"/>
  <c r="C150" i="1"/>
  <c r="G149" i="1"/>
  <c r="E149" i="1"/>
  <c r="B149" i="1"/>
  <c r="AR163" i="1" l="1"/>
  <c r="AS163" i="1"/>
  <c r="AT163" i="1"/>
  <c r="AU163" i="1"/>
  <c r="AQ163" i="1"/>
  <c r="AO163" i="1"/>
  <c r="AE163" i="1"/>
  <c r="AF163" i="1"/>
  <c r="AG163" i="1"/>
  <c r="AI163" i="1"/>
  <c r="AH163" i="1"/>
  <c r="AC163" i="1"/>
  <c r="Q163" i="1"/>
  <c r="V163" i="1"/>
  <c r="W163" i="1"/>
  <c r="S163" i="1"/>
  <c r="U163" i="1"/>
  <c r="T163" i="1"/>
  <c r="J150" i="1"/>
  <c r="K150" i="1"/>
  <c r="BE164" i="1"/>
  <c r="BF164" i="1"/>
  <c r="BG164" i="1"/>
  <c r="BD164" i="1"/>
  <c r="BC164" i="1"/>
  <c r="BA164" i="1"/>
  <c r="BP164" i="1"/>
  <c r="BQ164" i="1"/>
  <c r="BR164" i="1"/>
  <c r="BS164" i="1"/>
  <c r="BM164" i="1"/>
  <c r="BB163" i="1"/>
  <c r="BJ164" i="1"/>
  <c r="Z163" i="1"/>
  <c r="AX164" i="1"/>
  <c r="AL163" i="1"/>
  <c r="N163" i="1"/>
  <c r="BT163" i="1"/>
  <c r="BH163" i="1"/>
  <c r="R162" i="1"/>
  <c r="X162" i="1"/>
  <c r="AJ162" i="1"/>
  <c r="AV162" i="1"/>
  <c r="BO164" i="1"/>
  <c r="H150" i="1"/>
  <c r="I150" i="1"/>
  <c r="L149" i="1"/>
  <c r="AP162" i="1"/>
  <c r="AD162" i="1"/>
  <c r="BK165" i="1"/>
  <c r="BN163" i="1"/>
  <c r="AY165" i="1"/>
  <c r="AM164" i="1"/>
  <c r="AA164" i="1"/>
  <c r="O164" i="1"/>
  <c r="D151" i="1"/>
  <c r="C151" i="1"/>
  <c r="G150" i="1"/>
  <c r="E150" i="1"/>
  <c r="B150" i="1"/>
  <c r="F149" i="1"/>
  <c r="AU164" i="1" l="1"/>
  <c r="AQ164" i="1"/>
  <c r="AR164" i="1"/>
  <c r="AT164" i="1"/>
  <c r="AS164" i="1"/>
  <c r="AO164" i="1"/>
  <c r="AE164" i="1"/>
  <c r="AF164" i="1"/>
  <c r="AG164" i="1"/>
  <c r="AH164" i="1"/>
  <c r="AI164" i="1"/>
  <c r="AC164" i="1"/>
  <c r="Q164" i="1"/>
  <c r="S164" i="1"/>
  <c r="T164" i="1"/>
  <c r="U164" i="1"/>
  <c r="V164" i="1"/>
  <c r="W164" i="1"/>
  <c r="J151" i="1"/>
  <c r="K151" i="1"/>
  <c r="BC165" i="1"/>
  <c r="BD165" i="1"/>
  <c r="BE165" i="1"/>
  <c r="BG165" i="1"/>
  <c r="BF165" i="1"/>
  <c r="BA165" i="1"/>
  <c r="BP165" i="1"/>
  <c r="BQ165" i="1"/>
  <c r="BR165" i="1"/>
  <c r="BS165" i="1"/>
  <c r="BM165" i="1"/>
  <c r="BJ165" i="1"/>
  <c r="Z164" i="1"/>
  <c r="AX165" i="1"/>
  <c r="AL164" i="1"/>
  <c r="N164" i="1"/>
  <c r="BB164" i="1"/>
  <c r="BT164" i="1"/>
  <c r="BH164" i="1"/>
  <c r="R163" i="1"/>
  <c r="X163" i="1"/>
  <c r="AJ163" i="1"/>
  <c r="AV163" i="1"/>
  <c r="BO165" i="1"/>
  <c r="H151" i="1"/>
  <c r="I151" i="1"/>
  <c r="L150" i="1"/>
  <c r="BN164" i="1"/>
  <c r="BK166" i="1"/>
  <c r="AY166" i="1"/>
  <c r="AM165" i="1"/>
  <c r="AP163" i="1"/>
  <c r="AA165" i="1"/>
  <c r="AD163" i="1"/>
  <c r="O165" i="1"/>
  <c r="D152" i="1"/>
  <c r="F150" i="1"/>
  <c r="C152" i="1"/>
  <c r="G151" i="1"/>
  <c r="B151" i="1"/>
  <c r="E151" i="1"/>
  <c r="AQ165" i="1" l="1"/>
  <c r="AR165" i="1"/>
  <c r="AS165" i="1"/>
  <c r="AT165" i="1"/>
  <c r="AU165" i="1"/>
  <c r="AO165" i="1"/>
  <c r="AH165" i="1"/>
  <c r="AI165" i="1"/>
  <c r="AE165" i="1"/>
  <c r="AG165" i="1"/>
  <c r="AF165" i="1"/>
  <c r="AC165" i="1"/>
  <c r="R164" i="1"/>
  <c r="Q165" i="1"/>
  <c r="T165" i="1"/>
  <c r="U165" i="1"/>
  <c r="V165" i="1"/>
  <c r="W165" i="1"/>
  <c r="S165" i="1"/>
  <c r="K152" i="1"/>
  <c r="J152" i="1"/>
  <c r="BC166" i="1"/>
  <c r="BD166" i="1"/>
  <c r="BE166" i="1"/>
  <c r="BF166" i="1"/>
  <c r="BG166" i="1"/>
  <c r="BA166" i="1"/>
  <c r="BP166" i="1"/>
  <c r="BQ166" i="1"/>
  <c r="BR166" i="1"/>
  <c r="BS166" i="1"/>
  <c r="BM166" i="1"/>
  <c r="BJ166" i="1"/>
  <c r="Z165" i="1"/>
  <c r="BB165" i="1"/>
  <c r="AX166" i="1"/>
  <c r="AL165" i="1"/>
  <c r="N165" i="1"/>
  <c r="BT165" i="1"/>
  <c r="BH165" i="1"/>
  <c r="X164" i="1"/>
  <c r="AJ164" i="1"/>
  <c r="AV164" i="1"/>
  <c r="BO166" i="1"/>
  <c r="I152" i="1"/>
  <c r="H152" i="1"/>
  <c r="L151" i="1"/>
  <c r="BK167" i="1"/>
  <c r="BN165" i="1"/>
  <c r="AY167" i="1"/>
  <c r="AP164" i="1"/>
  <c r="AM166" i="1"/>
  <c r="AA166" i="1"/>
  <c r="AD164" i="1"/>
  <c r="O166" i="1"/>
  <c r="D153" i="1"/>
  <c r="C153" i="1"/>
  <c r="G152" i="1"/>
  <c r="B152" i="1"/>
  <c r="E152" i="1"/>
  <c r="F151" i="1"/>
  <c r="R165" i="1" l="1"/>
  <c r="AS166" i="1"/>
  <c r="AT166" i="1"/>
  <c r="AU166" i="1"/>
  <c r="AR166" i="1"/>
  <c r="AO166" i="1"/>
  <c r="AQ166" i="1"/>
  <c r="AE166" i="1"/>
  <c r="AF166" i="1"/>
  <c r="AG166" i="1"/>
  <c r="AH166" i="1"/>
  <c r="AC166" i="1"/>
  <c r="AI166" i="1"/>
  <c r="Q166" i="1"/>
  <c r="W166" i="1"/>
  <c r="S166" i="1"/>
  <c r="T166" i="1"/>
  <c r="V166" i="1"/>
  <c r="U166" i="1"/>
  <c r="K153" i="1"/>
  <c r="J153" i="1"/>
  <c r="BF167" i="1"/>
  <c r="BG167" i="1"/>
  <c r="BC167" i="1"/>
  <c r="BE167" i="1"/>
  <c r="BD167" i="1"/>
  <c r="BA167" i="1"/>
  <c r="BP167" i="1"/>
  <c r="BQ167" i="1"/>
  <c r="BR167" i="1"/>
  <c r="BS167" i="1"/>
  <c r="BM167" i="1"/>
  <c r="BJ167" i="1"/>
  <c r="BB166" i="1"/>
  <c r="Z166" i="1"/>
  <c r="AX167" i="1"/>
  <c r="AL166" i="1"/>
  <c r="N166" i="1"/>
  <c r="BT166" i="1"/>
  <c r="BH166" i="1"/>
  <c r="X165" i="1"/>
  <c r="AJ165" i="1"/>
  <c r="AV165" i="1"/>
  <c r="BO167" i="1"/>
  <c r="I153" i="1"/>
  <c r="H153" i="1"/>
  <c r="L152" i="1"/>
  <c r="BN166" i="1"/>
  <c r="BK168" i="1"/>
  <c r="AY168" i="1"/>
  <c r="AM167" i="1"/>
  <c r="AP165" i="1"/>
  <c r="AA167" i="1"/>
  <c r="AD165" i="1"/>
  <c r="O167" i="1"/>
  <c r="D154" i="1"/>
  <c r="F152" i="1"/>
  <c r="C154" i="1"/>
  <c r="G153" i="1"/>
  <c r="B153" i="1"/>
  <c r="E153" i="1"/>
  <c r="R166" i="1" l="1"/>
  <c r="AQ167" i="1"/>
  <c r="AR167" i="1"/>
  <c r="AS167" i="1"/>
  <c r="AU167" i="1"/>
  <c r="AO167" i="1"/>
  <c r="AT167" i="1"/>
  <c r="AF167" i="1"/>
  <c r="AG167" i="1"/>
  <c r="AH167" i="1"/>
  <c r="AI167" i="1"/>
  <c r="AE167" i="1"/>
  <c r="AC167" i="1"/>
  <c r="Q167" i="1"/>
  <c r="S167" i="1"/>
  <c r="T167" i="1"/>
  <c r="U167" i="1"/>
  <c r="V167" i="1"/>
  <c r="W167" i="1"/>
  <c r="K154" i="1"/>
  <c r="J154" i="1"/>
  <c r="BC168" i="1"/>
  <c r="BD168" i="1"/>
  <c r="BE168" i="1"/>
  <c r="BF168" i="1"/>
  <c r="BG168" i="1"/>
  <c r="BA168" i="1"/>
  <c r="BP168" i="1"/>
  <c r="BQ168" i="1"/>
  <c r="BR168" i="1"/>
  <c r="BS168" i="1"/>
  <c r="BM168" i="1"/>
  <c r="BJ168" i="1"/>
  <c r="Z167" i="1"/>
  <c r="AX168" i="1"/>
  <c r="AL167" i="1"/>
  <c r="N167" i="1"/>
  <c r="BB167" i="1"/>
  <c r="BT167" i="1"/>
  <c r="BH167" i="1"/>
  <c r="X166" i="1"/>
  <c r="AJ166" i="1"/>
  <c r="AV166" i="1"/>
  <c r="BO168" i="1"/>
  <c r="I154" i="1"/>
  <c r="H154" i="1"/>
  <c r="L153" i="1"/>
  <c r="BN167" i="1"/>
  <c r="BK169" i="1"/>
  <c r="AY169" i="1"/>
  <c r="AM168" i="1"/>
  <c r="AP166" i="1"/>
  <c r="AA168" i="1"/>
  <c r="AD166" i="1"/>
  <c r="O168" i="1"/>
  <c r="D155" i="1"/>
  <c r="C155" i="1"/>
  <c r="G154" i="1"/>
  <c r="B154" i="1"/>
  <c r="E154" i="1"/>
  <c r="F153" i="1"/>
  <c r="R167" i="1" l="1"/>
  <c r="AQ168" i="1"/>
  <c r="AR168" i="1"/>
  <c r="AS168" i="1"/>
  <c r="AT168" i="1"/>
  <c r="AU168" i="1"/>
  <c r="AO168" i="1"/>
  <c r="AI168" i="1"/>
  <c r="AE168" i="1"/>
  <c r="AF168" i="1"/>
  <c r="AH168" i="1"/>
  <c r="AC168" i="1"/>
  <c r="AG168" i="1"/>
  <c r="U168" i="1"/>
  <c r="V168" i="1"/>
  <c r="Q168" i="1"/>
  <c r="W168" i="1"/>
  <c r="T168" i="1"/>
  <c r="S168" i="1"/>
  <c r="K155" i="1"/>
  <c r="J155" i="1"/>
  <c r="BD169" i="1"/>
  <c r="BE169" i="1"/>
  <c r="BF169" i="1"/>
  <c r="BG169" i="1"/>
  <c r="BC169" i="1"/>
  <c r="BA169" i="1"/>
  <c r="BP169" i="1"/>
  <c r="BQ169" i="1"/>
  <c r="BR169" i="1"/>
  <c r="BS169" i="1"/>
  <c r="BM169" i="1"/>
  <c r="BJ169" i="1"/>
  <c r="Z168" i="1"/>
  <c r="AX169" i="1"/>
  <c r="AL168" i="1"/>
  <c r="N168" i="1"/>
  <c r="BB168" i="1"/>
  <c r="BT168" i="1"/>
  <c r="BH168" i="1"/>
  <c r="X167" i="1"/>
  <c r="AV167" i="1"/>
  <c r="AJ167" i="1"/>
  <c r="BO169" i="1"/>
  <c r="I155" i="1"/>
  <c r="H155" i="1"/>
  <c r="L154" i="1"/>
  <c r="BN168" i="1"/>
  <c r="BK170" i="1"/>
  <c r="AY170" i="1"/>
  <c r="AP167" i="1"/>
  <c r="AM169" i="1"/>
  <c r="AD167" i="1"/>
  <c r="AA169" i="1"/>
  <c r="O169" i="1"/>
  <c r="D156" i="1"/>
  <c r="F154" i="1"/>
  <c r="C156" i="1"/>
  <c r="G155" i="1"/>
  <c r="B155" i="1"/>
  <c r="E155" i="1"/>
  <c r="AT169" i="1" l="1"/>
  <c r="AU169" i="1"/>
  <c r="AQ169" i="1"/>
  <c r="AS169" i="1"/>
  <c r="AR169" i="1"/>
  <c r="AO169" i="1"/>
  <c r="AE169" i="1"/>
  <c r="AF169" i="1"/>
  <c r="AG169" i="1"/>
  <c r="AH169" i="1"/>
  <c r="AI169" i="1"/>
  <c r="AC169" i="1"/>
  <c r="Q169" i="1"/>
  <c r="S169" i="1"/>
  <c r="T169" i="1"/>
  <c r="U169" i="1"/>
  <c r="W169" i="1"/>
  <c r="V169" i="1"/>
  <c r="K156" i="1"/>
  <c r="J156" i="1"/>
  <c r="BG170" i="1"/>
  <c r="BC170" i="1"/>
  <c r="BD170" i="1"/>
  <c r="BF170" i="1"/>
  <c r="BE170" i="1"/>
  <c r="BA170" i="1"/>
  <c r="BP170" i="1"/>
  <c r="BQ170" i="1"/>
  <c r="BR170" i="1"/>
  <c r="BS170" i="1"/>
  <c r="BM170" i="1"/>
  <c r="BJ170" i="1"/>
  <c r="Z169" i="1"/>
  <c r="AX170" i="1"/>
  <c r="AL169" i="1"/>
  <c r="N169" i="1"/>
  <c r="BB169" i="1"/>
  <c r="R168" i="1"/>
  <c r="BT169" i="1"/>
  <c r="BH169" i="1"/>
  <c r="X168" i="1"/>
  <c r="AJ168" i="1"/>
  <c r="AV168" i="1"/>
  <c r="BO170" i="1"/>
  <c r="H156" i="1"/>
  <c r="I156" i="1"/>
  <c r="L155" i="1"/>
  <c r="BK171" i="1"/>
  <c r="BN169" i="1"/>
  <c r="AY171" i="1"/>
  <c r="AM170" i="1"/>
  <c r="AP168" i="1"/>
  <c r="AA170" i="1"/>
  <c r="AD168" i="1"/>
  <c r="O170" i="1"/>
  <c r="D157" i="1"/>
  <c r="F155" i="1"/>
  <c r="C157" i="1"/>
  <c r="G156" i="1"/>
  <c r="B156" i="1"/>
  <c r="E156" i="1"/>
  <c r="AQ170" i="1" l="1"/>
  <c r="AR170" i="1"/>
  <c r="AS170" i="1"/>
  <c r="AT170" i="1"/>
  <c r="AU170" i="1"/>
  <c r="AO170" i="1"/>
  <c r="AG170" i="1"/>
  <c r="AH170" i="1"/>
  <c r="AI170" i="1"/>
  <c r="AF170" i="1"/>
  <c r="AC170" i="1"/>
  <c r="AE170" i="1"/>
  <c r="Q170" i="1"/>
  <c r="S170" i="1"/>
  <c r="T170" i="1"/>
  <c r="U170" i="1"/>
  <c r="V170" i="1"/>
  <c r="W170" i="1"/>
  <c r="R169" i="1"/>
  <c r="J157" i="1"/>
  <c r="K157" i="1"/>
  <c r="BC171" i="1"/>
  <c r="BD171" i="1"/>
  <c r="BE171" i="1"/>
  <c r="BF171" i="1"/>
  <c r="BG171" i="1"/>
  <c r="BA171" i="1"/>
  <c r="BP171" i="1"/>
  <c r="BQ171" i="1"/>
  <c r="BR171" i="1"/>
  <c r="BM171" i="1"/>
  <c r="BS171" i="1"/>
  <c r="BJ171" i="1"/>
  <c r="BB170" i="1"/>
  <c r="Z170" i="1"/>
  <c r="AX171" i="1"/>
  <c r="AL170" i="1"/>
  <c r="N170" i="1"/>
  <c r="BT170" i="1"/>
  <c r="BH170" i="1"/>
  <c r="X169" i="1"/>
  <c r="AJ169" i="1"/>
  <c r="AV169" i="1"/>
  <c r="BO171" i="1"/>
  <c r="H157" i="1"/>
  <c r="I157" i="1"/>
  <c r="L156" i="1"/>
  <c r="BN170" i="1"/>
  <c r="BK172" i="1"/>
  <c r="AY172" i="1"/>
  <c r="AM171" i="1"/>
  <c r="AP169" i="1"/>
  <c r="AA171" i="1"/>
  <c r="AD169" i="1"/>
  <c r="O171" i="1"/>
  <c r="D158" i="1"/>
  <c r="C158" i="1"/>
  <c r="G157" i="1"/>
  <c r="E157" i="1"/>
  <c r="B157" i="1"/>
  <c r="F156" i="1"/>
  <c r="AR171" i="1" l="1"/>
  <c r="AS171" i="1"/>
  <c r="AT171" i="1"/>
  <c r="AU171" i="1"/>
  <c r="AQ171" i="1"/>
  <c r="AO171" i="1"/>
  <c r="AE171" i="1"/>
  <c r="AF171" i="1"/>
  <c r="AG171" i="1"/>
  <c r="AI171" i="1"/>
  <c r="AC171" i="1"/>
  <c r="AH171" i="1"/>
  <c r="R170" i="1"/>
  <c r="Q171" i="1"/>
  <c r="V171" i="1"/>
  <c r="W171" i="1"/>
  <c r="S171" i="1"/>
  <c r="U171" i="1"/>
  <c r="T171" i="1"/>
  <c r="J158" i="1"/>
  <c r="K158" i="1"/>
  <c r="BE172" i="1"/>
  <c r="BF172" i="1"/>
  <c r="BG172" i="1"/>
  <c r="BD172" i="1"/>
  <c r="BC172" i="1"/>
  <c r="BA172" i="1"/>
  <c r="BP172" i="1"/>
  <c r="BQ172" i="1"/>
  <c r="BR172" i="1"/>
  <c r="BS172" i="1"/>
  <c r="BM172" i="1"/>
  <c r="BB171" i="1"/>
  <c r="BJ172" i="1"/>
  <c r="Z171" i="1"/>
  <c r="AX172" i="1"/>
  <c r="AL171" i="1"/>
  <c r="N171" i="1"/>
  <c r="BT171" i="1"/>
  <c r="BH171" i="1"/>
  <c r="X170" i="1"/>
  <c r="AJ170" i="1"/>
  <c r="AV170" i="1"/>
  <c r="BO172" i="1"/>
  <c r="H158" i="1"/>
  <c r="I158" i="1"/>
  <c r="L157" i="1"/>
  <c r="AD170" i="1"/>
  <c r="BN171" i="1"/>
  <c r="BK173" i="1"/>
  <c r="AY173" i="1"/>
  <c r="AM172" i="1"/>
  <c r="AP170" i="1"/>
  <c r="AA172" i="1"/>
  <c r="O172" i="1"/>
  <c r="D159" i="1"/>
  <c r="F157" i="1"/>
  <c r="C159" i="1"/>
  <c r="G158" i="1"/>
  <c r="E158" i="1"/>
  <c r="B158" i="1"/>
  <c r="R171" i="1" l="1"/>
  <c r="AU172" i="1"/>
  <c r="AQ172" i="1"/>
  <c r="AR172" i="1"/>
  <c r="AT172" i="1"/>
  <c r="AS172" i="1"/>
  <c r="AO172" i="1"/>
  <c r="AE172" i="1"/>
  <c r="AF172" i="1"/>
  <c r="AG172" i="1"/>
  <c r="AH172" i="1"/>
  <c r="AI172" i="1"/>
  <c r="AC172" i="1"/>
  <c r="Q172" i="1"/>
  <c r="S172" i="1"/>
  <c r="T172" i="1"/>
  <c r="U172" i="1"/>
  <c r="V172" i="1"/>
  <c r="W172" i="1"/>
  <c r="J159" i="1"/>
  <c r="K159" i="1"/>
  <c r="BC173" i="1"/>
  <c r="BD173" i="1"/>
  <c r="BE173" i="1"/>
  <c r="BG173" i="1"/>
  <c r="BA173" i="1"/>
  <c r="BF173" i="1"/>
  <c r="BP173" i="1"/>
  <c r="BQ173" i="1"/>
  <c r="BR173" i="1"/>
  <c r="BS173" i="1"/>
  <c r="BM173" i="1"/>
  <c r="BJ173" i="1"/>
  <c r="Z172" i="1"/>
  <c r="AX173" i="1"/>
  <c r="AL172" i="1"/>
  <c r="N172" i="1"/>
  <c r="BB172" i="1"/>
  <c r="BT172" i="1"/>
  <c r="BH172" i="1"/>
  <c r="AD171" i="1"/>
  <c r="X171" i="1"/>
  <c r="AV171" i="1"/>
  <c r="BO173" i="1"/>
  <c r="AJ171" i="1"/>
  <c r="H159" i="1"/>
  <c r="I159" i="1"/>
  <c r="L158" i="1"/>
  <c r="BN172" i="1"/>
  <c r="BK174" i="1"/>
  <c r="AY174" i="1"/>
  <c r="AM173" i="1"/>
  <c r="AP171" i="1"/>
  <c r="AA173" i="1"/>
  <c r="O173" i="1"/>
  <c r="D160" i="1"/>
  <c r="C160" i="1"/>
  <c r="G159" i="1"/>
  <c r="B159" i="1"/>
  <c r="E159" i="1"/>
  <c r="F158" i="1"/>
  <c r="AQ173" i="1" l="1"/>
  <c r="AR173" i="1"/>
  <c r="AS173" i="1"/>
  <c r="AT173" i="1"/>
  <c r="AU173" i="1"/>
  <c r="AO173" i="1"/>
  <c r="AH173" i="1"/>
  <c r="AI173" i="1"/>
  <c r="AE173" i="1"/>
  <c r="AG173" i="1"/>
  <c r="AC173" i="1"/>
  <c r="AF173" i="1"/>
  <c r="Q173" i="1"/>
  <c r="T173" i="1"/>
  <c r="U173" i="1"/>
  <c r="V173" i="1"/>
  <c r="W173" i="1"/>
  <c r="S173" i="1"/>
  <c r="K160" i="1"/>
  <c r="J160" i="1"/>
  <c r="BC174" i="1"/>
  <c r="BD174" i="1"/>
  <c r="BE174" i="1"/>
  <c r="BF174" i="1"/>
  <c r="BG174" i="1"/>
  <c r="BA174" i="1"/>
  <c r="BP174" i="1"/>
  <c r="BQ174" i="1"/>
  <c r="BR174" i="1"/>
  <c r="BS174" i="1"/>
  <c r="BM174" i="1"/>
  <c r="BJ174" i="1"/>
  <c r="BB173" i="1"/>
  <c r="Z173" i="1"/>
  <c r="AX174" i="1"/>
  <c r="AL173" i="1"/>
  <c r="N173" i="1"/>
  <c r="R172" i="1"/>
  <c r="BT173" i="1"/>
  <c r="BH173" i="1"/>
  <c r="AD172" i="1"/>
  <c r="X172" i="1"/>
  <c r="AV172" i="1"/>
  <c r="BO174" i="1"/>
  <c r="AJ172" i="1"/>
  <c r="I160" i="1"/>
  <c r="H160" i="1"/>
  <c r="L159" i="1"/>
  <c r="BK175" i="1"/>
  <c r="BN173" i="1"/>
  <c r="AY175" i="1"/>
  <c r="AP172" i="1"/>
  <c r="AM174" i="1"/>
  <c r="AA174" i="1"/>
  <c r="O174" i="1"/>
  <c r="D161" i="1"/>
  <c r="F159" i="1"/>
  <c r="C161" i="1"/>
  <c r="G160" i="1"/>
  <c r="B160" i="1"/>
  <c r="E160" i="1"/>
  <c r="AS174" i="1" l="1"/>
  <c r="AT174" i="1"/>
  <c r="AU174" i="1"/>
  <c r="AR174" i="1"/>
  <c r="AO174" i="1"/>
  <c r="AQ174" i="1"/>
  <c r="AD173" i="1"/>
  <c r="AE174" i="1"/>
  <c r="AF174" i="1"/>
  <c r="AG174" i="1"/>
  <c r="AH174" i="1"/>
  <c r="AI174" i="1"/>
  <c r="AC174" i="1"/>
  <c r="Q174" i="1"/>
  <c r="W174" i="1"/>
  <c r="S174" i="1"/>
  <c r="T174" i="1"/>
  <c r="V174" i="1"/>
  <c r="U174" i="1"/>
  <c r="K161" i="1"/>
  <c r="J161" i="1"/>
  <c r="BF175" i="1"/>
  <c r="BG175" i="1"/>
  <c r="BC175" i="1"/>
  <c r="BE175" i="1"/>
  <c r="BA175" i="1"/>
  <c r="BD175" i="1"/>
  <c r="BP175" i="1"/>
  <c r="BQ175" i="1"/>
  <c r="BR175" i="1"/>
  <c r="BM175" i="1"/>
  <c r="BS175" i="1"/>
  <c r="BJ175" i="1"/>
  <c r="Z174" i="1"/>
  <c r="AX175" i="1"/>
  <c r="AL174" i="1"/>
  <c r="N174" i="1"/>
  <c r="R173" i="1"/>
  <c r="BB174" i="1"/>
  <c r="BT174" i="1"/>
  <c r="BH174" i="1"/>
  <c r="X173" i="1"/>
  <c r="AV173" i="1"/>
  <c r="BO175" i="1"/>
  <c r="AJ173" i="1"/>
  <c r="H161" i="1"/>
  <c r="I161" i="1"/>
  <c r="L160" i="1"/>
  <c r="BN174" i="1"/>
  <c r="BK176" i="1"/>
  <c r="AY176" i="1"/>
  <c r="AM175" i="1"/>
  <c r="AP173" i="1"/>
  <c r="AA175" i="1"/>
  <c r="O175" i="1"/>
  <c r="D162" i="1"/>
  <c r="C162" i="1"/>
  <c r="G161" i="1"/>
  <c r="B161" i="1"/>
  <c r="E161" i="1"/>
  <c r="F160" i="1"/>
  <c r="AQ175" i="1" l="1"/>
  <c r="AR175" i="1"/>
  <c r="AS175" i="1"/>
  <c r="AU175" i="1"/>
  <c r="AO175" i="1"/>
  <c r="AT175" i="1"/>
  <c r="AF175" i="1"/>
  <c r="AG175" i="1"/>
  <c r="AH175" i="1"/>
  <c r="AI175" i="1"/>
  <c r="AE175" i="1"/>
  <c r="AC175" i="1"/>
  <c r="Q175" i="1"/>
  <c r="S175" i="1"/>
  <c r="T175" i="1"/>
  <c r="U175" i="1"/>
  <c r="V175" i="1"/>
  <c r="W175" i="1"/>
  <c r="K162" i="1"/>
  <c r="J162" i="1"/>
  <c r="BC176" i="1"/>
  <c r="BD176" i="1"/>
  <c r="BE176" i="1"/>
  <c r="BF176" i="1"/>
  <c r="BA176" i="1"/>
  <c r="BG176" i="1"/>
  <c r="BP176" i="1"/>
  <c r="BQ176" i="1"/>
  <c r="BR176" i="1"/>
  <c r="BS176" i="1"/>
  <c r="BM176" i="1"/>
  <c r="BB175" i="1"/>
  <c r="BJ176" i="1"/>
  <c r="R174" i="1"/>
  <c r="Z175" i="1"/>
  <c r="AX176" i="1"/>
  <c r="AL175" i="1"/>
  <c r="N175" i="1"/>
  <c r="AD174" i="1"/>
  <c r="BT175" i="1"/>
  <c r="BH175" i="1"/>
  <c r="X174" i="1"/>
  <c r="AV174" i="1"/>
  <c r="BO176" i="1"/>
  <c r="AJ174" i="1"/>
  <c r="I162" i="1"/>
  <c r="H162" i="1"/>
  <c r="L161" i="1"/>
  <c r="BN175" i="1"/>
  <c r="BK177" i="1"/>
  <c r="AY177" i="1"/>
  <c r="AM176" i="1"/>
  <c r="AP174" i="1"/>
  <c r="AA176" i="1"/>
  <c r="O176" i="1"/>
  <c r="D163" i="1"/>
  <c r="F161" i="1"/>
  <c r="C163" i="1"/>
  <c r="G162" i="1"/>
  <c r="B162" i="1"/>
  <c r="E162" i="1"/>
  <c r="AQ176" i="1" l="1"/>
  <c r="AR176" i="1"/>
  <c r="AS176" i="1"/>
  <c r="AT176" i="1"/>
  <c r="AU176" i="1"/>
  <c r="AO176" i="1"/>
  <c r="AI176" i="1"/>
  <c r="AE176" i="1"/>
  <c r="AF176" i="1"/>
  <c r="AH176" i="1"/>
  <c r="AG176" i="1"/>
  <c r="AC176" i="1"/>
  <c r="AD175" i="1"/>
  <c r="U176" i="1"/>
  <c r="V176" i="1"/>
  <c r="W176" i="1"/>
  <c r="Q176" i="1"/>
  <c r="T176" i="1"/>
  <c r="S176" i="1"/>
  <c r="J163" i="1"/>
  <c r="K163" i="1"/>
  <c r="BD177" i="1"/>
  <c r="BE177" i="1"/>
  <c r="BF177" i="1"/>
  <c r="BG177" i="1"/>
  <c r="BC177" i="1"/>
  <c r="BA177" i="1"/>
  <c r="BB176" i="1"/>
  <c r="BP177" i="1"/>
  <c r="BQ177" i="1"/>
  <c r="BR177" i="1"/>
  <c r="BS177" i="1"/>
  <c r="BM177" i="1"/>
  <c r="BJ177" i="1"/>
  <c r="Z176" i="1"/>
  <c r="AX177" i="1"/>
  <c r="AL176" i="1"/>
  <c r="N176" i="1"/>
  <c r="R175" i="1"/>
  <c r="BT176" i="1"/>
  <c r="BH176" i="1"/>
  <c r="X175" i="1"/>
  <c r="AV175" i="1"/>
  <c r="BO177" i="1"/>
  <c r="AJ175" i="1"/>
  <c r="I163" i="1"/>
  <c r="H163" i="1"/>
  <c r="L162" i="1"/>
  <c r="AP175" i="1"/>
  <c r="BN176" i="1"/>
  <c r="BK178" i="1"/>
  <c r="AY178" i="1"/>
  <c r="AM177" i="1"/>
  <c r="AA177" i="1"/>
  <c r="O177" i="1"/>
  <c r="D164" i="1"/>
  <c r="C164" i="1"/>
  <c r="G163" i="1"/>
  <c r="B163" i="1"/>
  <c r="E163" i="1"/>
  <c r="F162" i="1"/>
  <c r="AT177" i="1" l="1"/>
  <c r="AU177" i="1"/>
  <c r="AQ177" i="1"/>
  <c r="AS177" i="1"/>
  <c r="AO177" i="1"/>
  <c r="AR177" i="1"/>
  <c r="AD176" i="1"/>
  <c r="AE177" i="1"/>
  <c r="AF177" i="1"/>
  <c r="AG177" i="1"/>
  <c r="AH177" i="1"/>
  <c r="AI177" i="1"/>
  <c r="AC177" i="1"/>
  <c r="Q177" i="1"/>
  <c r="S177" i="1"/>
  <c r="T177" i="1"/>
  <c r="U177" i="1"/>
  <c r="W177" i="1"/>
  <c r="V177" i="1"/>
  <c r="R176" i="1"/>
  <c r="K164" i="1"/>
  <c r="J164" i="1"/>
  <c r="BG178" i="1"/>
  <c r="BC178" i="1"/>
  <c r="BD178" i="1"/>
  <c r="BF178" i="1"/>
  <c r="BE178" i="1"/>
  <c r="BA178" i="1"/>
  <c r="BP178" i="1"/>
  <c r="BQ178" i="1"/>
  <c r="BR178" i="1"/>
  <c r="BS178" i="1"/>
  <c r="BM178" i="1"/>
  <c r="BJ178" i="1"/>
  <c r="Z177" i="1"/>
  <c r="AX178" i="1"/>
  <c r="AL177" i="1"/>
  <c r="N177" i="1"/>
  <c r="BB177" i="1"/>
  <c r="BT177" i="1"/>
  <c r="BH177" i="1"/>
  <c r="X176" i="1"/>
  <c r="AV176" i="1"/>
  <c r="BO178" i="1"/>
  <c r="AJ176" i="1"/>
  <c r="H164" i="1"/>
  <c r="I164" i="1"/>
  <c r="L163" i="1"/>
  <c r="BN177" i="1"/>
  <c r="BK179" i="1"/>
  <c r="AY179" i="1"/>
  <c r="AM178" i="1"/>
  <c r="AP176" i="1"/>
  <c r="AA178" i="1"/>
  <c r="O178" i="1"/>
  <c r="D165" i="1"/>
  <c r="F163" i="1"/>
  <c r="C165" i="1"/>
  <c r="G164" i="1"/>
  <c r="B164" i="1"/>
  <c r="E164" i="1"/>
  <c r="R177" i="1" l="1"/>
  <c r="AD177" i="1"/>
  <c r="AQ178" i="1"/>
  <c r="AR178" i="1"/>
  <c r="AS178" i="1"/>
  <c r="AT178" i="1"/>
  <c r="AO178" i="1"/>
  <c r="AU178" i="1"/>
  <c r="AG178" i="1"/>
  <c r="AH178" i="1"/>
  <c r="AI178" i="1"/>
  <c r="AF178" i="1"/>
  <c r="AE178" i="1"/>
  <c r="AC178" i="1"/>
  <c r="Q178" i="1"/>
  <c r="R178" i="1" s="1"/>
  <c r="S178" i="1"/>
  <c r="T178" i="1"/>
  <c r="U178" i="1"/>
  <c r="V178" i="1"/>
  <c r="W178" i="1"/>
  <c r="J165" i="1"/>
  <c r="K165" i="1"/>
  <c r="BC179" i="1"/>
  <c r="BD179" i="1"/>
  <c r="BE179" i="1"/>
  <c r="BF179" i="1"/>
  <c r="BG179" i="1"/>
  <c r="BA179" i="1"/>
  <c r="BP179" i="1"/>
  <c r="BQ179" i="1"/>
  <c r="BR179" i="1"/>
  <c r="BM179" i="1"/>
  <c r="BS179" i="1"/>
  <c r="BJ179" i="1"/>
  <c r="Z178" i="1"/>
  <c r="AX179" i="1"/>
  <c r="AL178" i="1"/>
  <c r="N178" i="1"/>
  <c r="BB178" i="1"/>
  <c r="BT178" i="1"/>
  <c r="BH178" i="1"/>
  <c r="X177" i="1"/>
  <c r="AV177" i="1"/>
  <c r="AJ177" i="1"/>
  <c r="BO179" i="1"/>
  <c r="I165" i="1"/>
  <c r="H165" i="1"/>
  <c r="L164" i="1"/>
  <c r="BN178" i="1"/>
  <c r="BK180" i="1"/>
  <c r="AY180" i="1"/>
  <c r="AM179" i="1"/>
  <c r="AP177" i="1"/>
  <c r="AA179" i="1"/>
  <c r="O179" i="1"/>
  <c r="D166" i="1"/>
  <c r="C166" i="1"/>
  <c r="G165" i="1"/>
  <c r="E165" i="1"/>
  <c r="B165" i="1"/>
  <c r="F164" i="1"/>
  <c r="AR179" i="1" l="1"/>
  <c r="AS179" i="1"/>
  <c r="AT179" i="1"/>
  <c r="AU179" i="1"/>
  <c r="AQ179" i="1"/>
  <c r="AO179" i="1"/>
  <c r="AE179" i="1"/>
  <c r="AF179" i="1"/>
  <c r="AG179" i="1"/>
  <c r="AI179" i="1"/>
  <c r="AH179" i="1"/>
  <c r="AC179" i="1"/>
  <c r="Q179" i="1"/>
  <c r="R179" i="1" s="1"/>
  <c r="V179" i="1"/>
  <c r="W179" i="1"/>
  <c r="S179" i="1"/>
  <c r="U179" i="1"/>
  <c r="T179" i="1"/>
  <c r="J166" i="1"/>
  <c r="K166" i="1"/>
  <c r="BE180" i="1"/>
  <c r="BF180" i="1"/>
  <c r="BG180" i="1"/>
  <c r="BD180" i="1"/>
  <c r="BC180" i="1"/>
  <c r="BA180" i="1"/>
  <c r="BP180" i="1"/>
  <c r="BQ180" i="1"/>
  <c r="BR180" i="1"/>
  <c r="BS180" i="1"/>
  <c r="BM180" i="1"/>
  <c r="BJ180" i="1"/>
  <c r="Z179" i="1"/>
  <c r="AX180" i="1"/>
  <c r="AL179" i="1"/>
  <c r="N179" i="1"/>
  <c r="BB179" i="1"/>
  <c r="BT179" i="1"/>
  <c r="BH179" i="1"/>
  <c r="X178" i="1"/>
  <c r="AJ178" i="1"/>
  <c r="AV178" i="1"/>
  <c r="BO180" i="1"/>
  <c r="AD178" i="1"/>
  <c r="H166" i="1"/>
  <c r="I166" i="1"/>
  <c r="L165" i="1"/>
  <c r="BN179" i="1"/>
  <c r="BK181" i="1"/>
  <c r="AY181" i="1"/>
  <c r="AM180" i="1"/>
  <c r="AP178" i="1"/>
  <c r="AA180" i="1"/>
  <c r="O180" i="1"/>
  <c r="D167" i="1"/>
  <c r="F165" i="1"/>
  <c r="C167" i="1"/>
  <c r="G166" i="1"/>
  <c r="E166" i="1"/>
  <c r="B166" i="1"/>
  <c r="AU180" i="1" l="1"/>
  <c r="AQ180" i="1"/>
  <c r="AR180" i="1"/>
  <c r="AT180" i="1"/>
  <c r="AO180" i="1"/>
  <c r="AS180" i="1"/>
  <c r="AE180" i="1"/>
  <c r="AF180" i="1"/>
  <c r="AG180" i="1"/>
  <c r="AH180" i="1"/>
  <c r="AI180" i="1"/>
  <c r="AC180" i="1"/>
  <c r="Q180" i="1"/>
  <c r="R180" i="1" s="1"/>
  <c r="S180" i="1"/>
  <c r="T180" i="1"/>
  <c r="U180" i="1"/>
  <c r="V180" i="1"/>
  <c r="W180" i="1"/>
  <c r="J167" i="1"/>
  <c r="K167" i="1"/>
  <c r="BC181" i="1"/>
  <c r="BD181" i="1"/>
  <c r="BE181" i="1"/>
  <c r="BG181" i="1"/>
  <c r="BA181" i="1"/>
  <c r="BF181" i="1"/>
  <c r="BP181" i="1"/>
  <c r="BQ181" i="1"/>
  <c r="BR181" i="1"/>
  <c r="BS181" i="1"/>
  <c r="BM181" i="1"/>
  <c r="BJ181" i="1"/>
  <c r="BB180" i="1"/>
  <c r="Z180" i="1"/>
  <c r="AX181" i="1"/>
  <c r="AL180" i="1"/>
  <c r="N180" i="1"/>
  <c r="BT180" i="1"/>
  <c r="BH180" i="1"/>
  <c r="X179" i="1"/>
  <c r="AJ179" i="1"/>
  <c r="AV179" i="1"/>
  <c r="BO181" i="1"/>
  <c r="AD179" i="1"/>
  <c r="H167" i="1"/>
  <c r="I167" i="1"/>
  <c r="L166" i="1"/>
  <c r="BN180" i="1"/>
  <c r="BK182" i="1"/>
  <c r="AY182" i="1"/>
  <c r="AM181" i="1"/>
  <c r="AP179" i="1"/>
  <c r="AA181" i="1"/>
  <c r="O181" i="1"/>
  <c r="D168" i="1"/>
  <c r="C168" i="1"/>
  <c r="G167" i="1"/>
  <c r="B167" i="1"/>
  <c r="E167" i="1"/>
  <c r="F166" i="1"/>
  <c r="AQ181" i="1" l="1"/>
  <c r="AR181" i="1"/>
  <c r="AS181" i="1"/>
  <c r="AT181" i="1"/>
  <c r="AU181" i="1"/>
  <c r="AO181" i="1"/>
  <c r="AH181" i="1"/>
  <c r="AI181" i="1"/>
  <c r="AE181" i="1"/>
  <c r="AG181" i="1"/>
  <c r="AF181" i="1"/>
  <c r="AC181" i="1"/>
  <c r="Q181" i="1"/>
  <c r="R181" i="1" s="1"/>
  <c r="T181" i="1"/>
  <c r="U181" i="1"/>
  <c r="V181" i="1"/>
  <c r="W181" i="1"/>
  <c r="S181" i="1"/>
  <c r="K168" i="1"/>
  <c r="J168" i="1"/>
  <c r="BC182" i="1"/>
  <c r="BD182" i="1"/>
  <c r="BE182" i="1"/>
  <c r="BF182" i="1"/>
  <c r="BG182" i="1"/>
  <c r="BA182" i="1"/>
  <c r="BP182" i="1"/>
  <c r="BQ182" i="1"/>
  <c r="BR182" i="1"/>
  <c r="BS182" i="1"/>
  <c r="BM182" i="1"/>
  <c r="BJ182" i="1"/>
  <c r="Z181" i="1"/>
  <c r="AX182" i="1"/>
  <c r="AL181" i="1"/>
  <c r="N181" i="1"/>
  <c r="BB181" i="1"/>
  <c r="BT181" i="1"/>
  <c r="BH181" i="1"/>
  <c r="X180" i="1"/>
  <c r="AJ180" i="1"/>
  <c r="AV180" i="1"/>
  <c r="BO182" i="1"/>
  <c r="AD180" i="1"/>
  <c r="I168" i="1"/>
  <c r="H168" i="1"/>
  <c r="L167" i="1"/>
  <c r="BN181" i="1"/>
  <c r="BK183" i="1"/>
  <c r="AY183" i="1"/>
  <c r="AP180" i="1"/>
  <c r="AM182" i="1"/>
  <c r="AA182" i="1"/>
  <c r="O182" i="1"/>
  <c r="D169" i="1"/>
  <c r="C169" i="1"/>
  <c r="G168" i="1"/>
  <c r="B168" i="1"/>
  <c r="E168" i="1"/>
  <c r="F167" i="1"/>
  <c r="AS182" i="1" l="1"/>
  <c r="AT182" i="1"/>
  <c r="AU182" i="1"/>
  <c r="AR182" i="1"/>
  <c r="AQ182" i="1"/>
  <c r="AO182" i="1"/>
  <c r="AE182" i="1"/>
  <c r="AF182" i="1"/>
  <c r="AG182" i="1"/>
  <c r="AH182" i="1"/>
  <c r="AI182" i="1"/>
  <c r="AC182" i="1"/>
  <c r="Q182" i="1"/>
  <c r="W182" i="1"/>
  <c r="S182" i="1"/>
  <c r="T182" i="1"/>
  <c r="V182" i="1"/>
  <c r="U182" i="1"/>
  <c r="K169" i="1"/>
  <c r="J169" i="1"/>
  <c r="BF183" i="1"/>
  <c r="BG183" i="1"/>
  <c r="BC183" i="1"/>
  <c r="BE183" i="1"/>
  <c r="BA183" i="1"/>
  <c r="BD183" i="1"/>
  <c r="BP183" i="1"/>
  <c r="BQ183" i="1"/>
  <c r="BR183" i="1"/>
  <c r="BS183" i="1"/>
  <c r="BM183" i="1"/>
  <c r="BJ183" i="1"/>
  <c r="BB182" i="1"/>
  <c r="Z182" i="1"/>
  <c r="AX183" i="1"/>
  <c r="AL182" i="1"/>
  <c r="N182" i="1"/>
  <c r="BT182" i="1"/>
  <c r="BH182" i="1"/>
  <c r="X181" i="1"/>
  <c r="AJ181" i="1"/>
  <c r="AV181" i="1"/>
  <c r="BO183" i="1"/>
  <c r="AD181" i="1"/>
  <c r="I169" i="1"/>
  <c r="H169" i="1"/>
  <c r="L168" i="1"/>
  <c r="BK184" i="1"/>
  <c r="BN182" i="1"/>
  <c r="AY184" i="1"/>
  <c r="AP181" i="1"/>
  <c r="AM183" i="1"/>
  <c r="AA183" i="1"/>
  <c r="O183" i="1"/>
  <c r="D170" i="1"/>
  <c r="F168" i="1"/>
  <c r="C170" i="1"/>
  <c r="G169" i="1"/>
  <c r="B169" i="1"/>
  <c r="E169" i="1"/>
  <c r="AD182" i="1" l="1"/>
  <c r="AQ183" i="1"/>
  <c r="AR183" i="1"/>
  <c r="AS183" i="1"/>
  <c r="AU183" i="1"/>
  <c r="AT183" i="1"/>
  <c r="AO183" i="1"/>
  <c r="AF183" i="1"/>
  <c r="AG183" i="1"/>
  <c r="AH183" i="1"/>
  <c r="AI183" i="1"/>
  <c r="AE183" i="1"/>
  <c r="AC183" i="1"/>
  <c r="AD183" i="1" s="1"/>
  <c r="Q183" i="1"/>
  <c r="S183" i="1"/>
  <c r="T183" i="1"/>
  <c r="U183" i="1"/>
  <c r="V183" i="1"/>
  <c r="W183" i="1"/>
  <c r="K170" i="1"/>
  <c r="J170" i="1"/>
  <c r="BC184" i="1"/>
  <c r="BD184" i="1"/>
  <c r="BE184" i="1"/>
  <c r="BF184" i="1"/>
  <c r="BA184" i="1"/>
  <c r="BG184" i="1"/>
  <c r="BP184" i="1"/>
  <c r="BQ184" i="1"/>
  <c r="BR184" i="1"/>
  <c r="BS184" i="1"/>
  <c r="BM184" i="1"/>
  <c r="BB183" i="1"/>
  <c r="BJ184" i="1"/>
  <c r="Z183" i="1"/>
  <c r="AX184" i="1"/>
  <c r="AL183" i="1"/>
  <c r="N183" i="1"/>
  <c r="R182" i="1"/>
  <c r="BT183" i="1"/>
  <c r="BH183" i="1"/>
  <c r="X182" i="1"/>
  <c r="AV182" i="1"/>
  <c r="BO184" i="1"/>
  <c r="AJ182" i="1"/>
  <c r="I170" i="1"/>
  <c r="H170" i="1"/>
  <c r="L169" i="1"/>
  <c r="BN183" i="1"/>
  <c r="BK185" i="1"/>
  <c r="AY185" i="1"/>
  <c r="AM184" i="1"/>
  <c r="AP182" i="1"/>
  <c r="AA184" i="1"/>
  <c r="O184" i="1"/>
  <c r="D171" i="1"/>
  <c r="F169" i="1"/>
  <c r="C171" i="1"/>
  <c r="G170" i="1"/>
  <c r="B170" i="1"/>
  <c r="E170" i="1"/>
  <c r="BB184" i="1" l="1"/>
  <c r="AQ184" i="1"/>
  <c r="AR184" i="1"/>
  <c r="AS184" i="1"/>
  <c r="AT184" i="1"/>
  <c r="AU184" i="1"/>
  <c r="AO184" i="1"/>
  <c r="AI184" i="1"/>
  <c r="AE184" i="1"/>
  <c r="AF184" i="1"/>
  <c r="AH184" i="1"/>
  <c r="AC184" i="1"/>
  <c r="AG184" i="1"/>
  <c r="U184" i="1"/>
  <c r="V184" i="1"/>
  <c r="W184" i="1"/>
  <c r="Q184" i="1"/>
  <c r="T184" i="1"/>
  <c r="S184" i="1"/>
  <c r="J171" i="1"/>
  <c r="K171" i="1"/>
  <c r="BD185" i="1"/>
  <c r="BE185" i="1"/>
  <c r="BF185" i="1"/>
  <c r="BG185" i="1"/>
  <c r="BC185" i="1"/>
  <c r="BA185" i="1"/>
  <c r="BP185" i="1"/>
  <c r="BQ185" i="1"/>
  <c r="BR185" i="1"/>
  <c r="BM185" i="1"/>
  <c r="BS185" i="1"/>
  <c r="BJ185" i="1"/>
  <c r="Z184" i="1"/>
  <c r="AX185" i="1"/>
  <c r="AL184" i="1"/>
  <c r="R183" i="1"/>
  <c r="N184" i="1"/>
  <c r="BT184" i="1"/>
  <c r="BH184" i="1"/>
  <c r="X183" i="1"/>
  <c r="AV183" i="1"/>
  <c r="BO185" i="1"/>
  <c r="AJ183" i="1"/>
  <c r="I171" i="1"/>
  <c r="H171" i="1"/>
  <c r="L170" i="1"/>
  <c r="AP183" i="1"/>
  <c r="BN184" i="1"/>
  <c r="BK186" i="1"/>
  <c r="AY186" i="1"/>
  <c r="AM185" i="1"/>
  <c r="AA185" i="1"/>
  <c r="O185" i="1"/>
  <c r="D172" i="1"/>
  <c r="F170" i="1"/>
  <c r="C172" i="1"/>
  <c r="B171" i="1"/>
  <c r="G171" i="1"/>
  <c r="E171" i="1"/>
  <c r="AT185" i="1" l="1"/>
  <c r="AU185" i="1"/>
  <c r="AQ185" i="1"/>
  <c r="AS185" i="1"/>
  <c r="AO185" i="1"/>
  <c r="AR185" i="1"/>
  <c r="AE185" i="1"/>
  <c r="AF185" i="1"/>
  <c r="AG185" i="1"/>
  <c r="AH185" i="1"/>
  <c r="AI185" i="1"/>
  <c r="AC185" i="1"/>
  <c r="Q185" i="1"/>
  <c r="S185" i="1"/>
  <c r="T185" i="1"/>
  <c r="U185" i="1"/>
  <c r="W185" i="1"/>
  <c r="V185" i="1"/>
  <c r="K172" i="1"/>
  <c r="J172" i="1"/>
  <c r="BG186" i="1"/>
  <c r="BC186" i="1"/>
  <c r="BD186" i="1"/>
  <c r="BF186" i="1"/>
  <c r="BE186" i="1"/>
  <c r="BA186" i="1"/>
  <c r="BS186" i="1"/>
  <c r="BQ186" i="1"/>
  <c r="BP186" i="1"/>
  <c r="BR186" i="1"/>
  <c r="BM186" i="1"/>
  <c r="R184" i="1"/>
  <c r="BJ186" i="1"/>
  <c r="Z185" i="1"/>
  <c r="AX186" i="1"/>
  <c r="AL185" i="1"/>
  <c r="N185" i="1"/>
  <c r="BB185" i="1"/>
  <c r="AD184" i="1"/>
  <c r="BT185" i="1"/>
  <c r="BH185" i="1"/>
  <c r="X184" i="1"/>
  <c r="AV184" i="1"/>
  <c r="AJ184" i="1"/>
  <c r="BO186" i="1"/>
  <c r="H172" i="1"/>
  <c r="I172" i="1"/>
  <c r="L171" i="1"/>
  <c r="BN185" i="1"/>
  <c r="BK187" i="1"/>
  <c r="AY187" i="1"/>
  <c r="AM186" i="1"/>
  <c r="AP184" i="1"/>
  <c r="AA186" i="1"/>
  <c r="O186" i="1"/>
  <c r="D173" i="1"/>
  <c r="F171" i="1"/>
  <c r="C173" i="1"/>
  <c r="G172" i="1"/>
  <c r="B172" i="1"/>
  <c r="E172" i="1"/>
  <c r="AQ186" i="1" l="1"/>
  <c r="AR186" i="1"/>
  <c r="AS186" i="1"/>
  <c r="AT186" i="1"/>
  <c r="AU186" i="1"/>
  <c r="AO186" i="1"/>
  <c r="AG186" i="1"/>
  <c r="AH186" i="1"/>
  <c r="AI186" i="1"/>
  <c r="AF186" i="1"/>
  <c r="AC186" i="1"/>
  <c r="AE186" i="1"/>
  <c r="Q186" i="1"/>
  <c r="S186" i="1"/>
  <c r="T186" i="1"/>
  <c r="U186" i="1"/>
  <c r="V186" i="1"/>
  <c r="W186" i="1"/>
  <c r="J173" i="1"/>
  <c r="K173" i="1"/>
  <c r="BC187" i="1"/>
  <c r="BD187" i="1"/>
  <c r="BE187" i="1"/>
  <c r="BF187" i="1"/>
  <c r="BG187" i="1"/>
  <c r="BA187" i="1"/>
  <c r="BM187" i="1"/>
  <c r="BP187" i="1"/>
  <c r="BQ187" i="1"/>
  <c r="BR187" i="1"/>
  <c r="BS187" i="1"/>
  <c r="R185" i="1"/>
  <c r="BJ187" i="1"/>
  <c r="BB186" i="1"/>
  <c r="Z186" i="1"/>
  <c r="AX187" i="1"/>
  <c r="AL186" i="1"/>
  <c r="N186" i="1"/>
  <c r="BT186" i="1"/>
  <c r="BH186" i="1"/>
  <c r="X185" i="1"/>
  <c r="AJ185" i="1"/>
  <c r="AV185" i="1"/>
  <c r="BO187" i="1"/>
  <c r="AD185" i="1"/>
  <c r="H173" i="1"/>
  <c r="I173" i="1"/>
  <c r="L172" i="1"/>
  <c r="BN186" i="1"/>
  <c r="BK188" i="1"/>
  <c r="AY188" i="1"/>
  <c r="AM187" i="1"/>
  <c r="AP185" i="1"/>
  <c r="AA187" i="1"/>
  <c r="O187" i="1"/>
  <c r="D174" i="1"/>
  <c r="F172" i="1"/>
  <c r="C174" i="1"/>
  <c r="G173" i="1"/>
  <c r="B173" i="1"/>
  <c r="E173" i="1"/>
  <c r="AR187" i="1" l="1"/>
  <c r="AS187" i="1"/>
  <c r="AT187" i="1"/>
  <c r="AU187" i="1"/>
  <c r="AQ187" i="1"/>
  <c r="AO187" i="1"/>
  <c r="AE187" i="1"/>
  <c r="AF187" i="1"/>
  <c r="AG187" i="1"/>
  <c r="AI187" i="1"/>
  <c r="AC187" i="1"/>
  <c r="AH187" i="1"/>
  <c r="Q187" i="1"/>
  <c r="V187" i="1"/>
  <c r="W187" i="1"/>
  <c r="S187" i="1"/>
  <c r="U187" i="1"/>
  <c r="T187" i="1"/>
  <c r="J174" i="1"/>
  <c r="K174" i="1"/>
  <c r="BE188" i="1"/>
  <c r="BF188" i="1"/>
  <c r="BG188" i="1"/>
  <c r="BD188" i="1"/>
  <c r="BC188" i="1"/>
  <c r="BA188" i="1"/>
  <c r="BS188" i="1"/>
  <c r="BM188" i="1"/>
  <c r="BQ188" i="1"/>
  <c r="BP188" i="1"/>
  <c r="BR188" i="1"/>
  <c r="R186" i="1"/>
  <c r="BJ188" i="1"/>
  <c r="Z187" i="1"/>
  <c r="AX188" i="1"/>
  <c r="AL187" i="1"/>
  <c r="N187" i="1"/>
  <c r="BB187" i="1"/>
  <c r="BT187" i="1"/>
  <c r="BH187" i="1"/>
  <c r="X186" i="1"/>
  <c r="AJ186" i="1"/>
  <c r="AV186" i="1"/>
  <c r="AD186" i="1"/>
  <c r="BO188" i="1"/>
  <c r="H174" i="1"/>
  <c r="I174" i="1"/>
  <c r="BN187" i="1"/>
  <c r="L173" i="1"/>
  <c r="BK189" i="1"/>
  <c r="AY189" i="1"/>
  <c r="AM188" i="1"/>
  <c r="AP186" i="1"/>
  <c r="AA188" i="1"/>
  <c r="O188" i="1"/>
  <c r="D175" i="1"/>
  <c r="F173" i="1"/>
  <c r="C175" i="1"/>
  <c r="G174" i="1"/>
  <c r="E174" i="1"/>
  <c r="B174" i="1"/>
  <c r="AU188" i="1" l="1"/>
  <c r="AQ188" i="1"/>
  <c r="AR188" i="1"/>
  <c r="AT188" i="1"/>
  <c r="AS188" i="1"/>
  <c r="AO188" i="1"/>
  <c r="AD187" i="1"/>
  <c r="AE188" i="1"/>
  <c r="AF188" i="1"/>
  <c r="AG188" i="1"/>
  <c r="AH188" i="1"/>
  <c r="AI188" i="1"/>
  <c r="AC188" i="1"/>
  <c r="Q188" i="1"/>
  <c r="S188" i="1"/>
  <c r="T188" i="1"/>
  <c r="U188" i="1"/>
  <c r="V188" i="1"/>
  <c r="W188" i="1"/>
  <c r="J175" i="1"/>
  <c r="K175" i="1"/>
  <c r="BC189" i="1"/>
  <c r="BD189" i="1"/>
  <c r="BE189" i="1"/>
  <c r="BG189" i="1"/>
  <c r="BA189" i="1"/>
  <c r="BF189" i="1"/>
  <c r="BP189" i="1"/>
  <c r="BQ189" i="1"/>
  <c r="BM189" i="1"/>
  <c r="BR189" i="1"/>
  <c r="BS189" i="1"/>
  <c r="R187" i="1"/>
  <c r="BJ189" i="1"/>
  <c r="Z188" i="1"/>
  <c r="AX189" i="1"/>
  <c r="AL188" i="1"/>
  <c r="N188" i="1"/>
  <c r="BB188" i="1"/>
  <c r="BT188" i="1"/>
  <c r="BH188" i="1"/>
  <c r="X187" i="1"/>
  <c r="AV187" i="1"/>
  <c r="AJ187" i="1"/>
  <c r="BO189" i="1"/>
  <c r="H175" i="1"/>
  <c r="I175" i="1"/>
  <c r="L174" i="1"/>
  <c r="BN188" i="1"/>
  <c r="BK190" i="1"/>
  <c r="AY190" i="1"/>
  <c r="AM189" i="1"/>
  <c r="AP187" i="1"/>
  <c r="AA189" i="1"/>
  <c r="O189" i="1"/>
  <c r="D176" i="1"/>
  <c r="F174" i="1"/>
  <c r="C176" i="1"/>
  <c r="G175" i="1"/>
  <c r="B175" i="1"/>
  <c r="E175" i="1"/>
  <c r="AQ189" i="1" l="1"/>
  <c r="AR189" i="1"/>
  <c r="AS189" i="1"/>
  <c r="AT189" i="1"/>
  <c r="AU189" i="1"/>
  <c r="AO189" i="1"/>
  <c r="AH189" i="1"/>
  <c r="AI189" i="1"/>
  <c r="AE189" i="1"/>
  <c r="AG189" i="1"/>
  <c r="AF189" i="1"/>
  <c r="AC189" i="1"/>
  <c r="Q189" i="1"/>
  <c r="T189" i="1"/>
  <c r="U189" i="1"/>
  <c r="V189" i="1"/>
  <c r="W189" i="1"/>
  <c r="S189" i="1"/>
  <c r="K176" i="1"/>
  <c r="J176" i="1"/>
  <c r="BC190" i="1"/>
  <c r="BD190" i="1"/>
  <c r="BE190" i="1"/>
  <c r="BF190" i="1"/>
  <c r="BG190" i="1"/>
  <c r="BA190" i="1"/>
  <c r="BS190" i="1"/>
  <c r="BQ190" i="1"/>
  <c r="BM190" i="1"/>
  <c r="BP190" i="1"/>
  <c r="BR190" i="1"/>
  <c r="R188" i="1"/>
  <c r="Z189" i="1"/>
  <c r="BJ190" i="1"/>
  <c r="AX190" i="1"/>
  <c r="AL189" i="1"/>
  <c r="N189" i="1"/>
  <c r="BB189" i="1"/>
  <c r="BT189" i="1"/>
  <c r="BH189" i="1"/>
  <c r="X188" i="1"/>
  <c r="AJ188" i="1"/>
  <c r="AV188" i="1"/>
  <c r="AD188" i="1"/>
  <c r="BO190" i="1"/>
  <c r="I176" i="1"/>
  <c r="H176" i="1"/>
  <c r="L175" i="1"/>
  <c r="BK191" i="1"/>
  <c r="BN189" i="1"/>
  <c r="AY191" i="1"/>
  <c r="AM190" i="1"/>
  <c r="AP188" i="1"/>
  <c r="AA190" i="1"/>
  <c r="O190" i="1"/>
  <c r="D177" i="1"/>
  <c r="C177" i="1"/>
  <c r="G176" i="1"/>
  <c r="B176" i="1"/>
  <c r="E176" i="1"/>
  <c r="F175" i="1"/>
  <c r="AS190" i="1" l="1"/>
  <c r="AT190" i="1"/>
  <c r="AU190" i="1"/>
  <c r="AR190" i="1"/>
  <c r="AO190" i="1"/>
  <c r="AQ190" i="1"/>
  <c r="AD189" i="1"/>
  <c r="AE190" i="1"/>
  <c r="AF190" i="1"/>
  <c r="AG190" i="1"/>
  <c r="AH190" i="1"/>
  <c r="AI190" i="1"/>
  <c r="AC190" i="1"/>
  <c r="Q190" i="1"/>
  <c r="W190" i="1"/>
  <c r="S190" i="1"/>
  <c r="T190" i="1"/>
  <c r="V190" i="1"/>
  <c r="U190" i="1"/>
  <c r="K177" i="1"/>
  <c r="J177" i="1"/>
  <c r="BF191" i="1"/>
  <c r="BG191" i="1"/>
  <c r="BC191" i="1"/>
  <c r="BE191" i="1"/>
  <c r="BD191" i="1"/>
  <c r="BA191" i="1"/>
  <c r="BP191" i="1"/>
  <c r="BQ191" i="1"/>
  <c r="BR191" i="1"/>
  <c r="BS191" i="1"/>
  <c r="BM191" i="1"/>
  <c r="BJ191" i="1"/>
  <c r="Z190" i="1"/>
  <c r="AX191" i="1"/>
  <c r="AL190" i="1"/>
  <c r="N190" i="1"/>
  <c r="BB190" i="1"/>
  <c r="BT190" i="1"/>
  <c r="BH190" i="1"/>
  <c r="X189" i="1"/>
  <c r="AV189" i="1"/>
  <c r="AJ189" i="1"/>
  <c r="BO191" i="1"/>
  <c r="R189" i="1"/>
  <c r="I177" i="1"/>
  <c r="H177" i="1"/>
  <c r="L176" i="1"/>
  <c r="BN190" i="1"/>
  <c r="BK192" i="1"/>
  <c r="AY192" i="1"/>
  <c r="AM191" i="1"/>
  <c r="AP189" i="1"/>
  <c r="AA191" i="1"/>
  <c r="O191" i="1"/>
  <c r="D178" i="1"/>
  <c r="F176" i="1"/>
  <c r="C178" i="1"/>
  <c r="G177" i="1"/>
  <c r="B177" i="1"/>
  <c r="E177" i="1"/>
  <c r="AQ191" i="1" l="1"/>
  <c r="AR191" i="1"/>
  <c r="AS191" i="1"/>
  <c r="AU191" i="1"/>
  <c r="AO191" i="1"/>
  <c r="AT191" i="1"/>
  <c r="AF191" i="1"/>
  <c r="AG191" i="1"/>
  <c r="AH191" i="1"/>
  <c r="AI191" i="1"/>
  <c r="AE191" i="1"/>
  <c r="AC191" i="1"/>
  <c r="Q191" i="1"/>
  <c r="S191" i="1"/>
  <c r="T191" i="1"/>
  <c r="U191" i="1"/>
  <c r="V191" i="1"/>
  <c r="W191" i="1"/>
  <c r="K178" i="1"/>
  <c r="J178" i="1"/>
  <c r="BC192" i="1"/>
  <c r="BD192" i="1"/>
  <c r="BE192" i="1"/>
  <c r="BF192" i="1"/>
  <c r="BG192" i="1"/>
  <c r="BA192" i="1"/>
  <c r="BS192" i="1"/>
  <c r="BP192" i="1"/>
  <c r="BM192" i="1"/>
  <c r="BR192" i="1"/>
  <c r="BQ192" i="1"/>
  <c r="BJ192" i="1"/>
  <c r="AX192" i="1"/>
  <c r="AL191" i="1"/>
  <c r="Z191" i="1"/>
  <c r="N191" i="1"/>
  <c r="BB191" i="1"/>
  <c r="AD190" i="1"/>
  <c r="BT191" i="1"/>
  <c r="BH191" i="1"/>
  <c r="X190" i="1"/>
  <c r="AV190" i="1"/>
  <c r="AJ190" i="1"/>
  <c r="R190" i="1"/>
  <c r="BO192" i="1"/>
  <c r="I178" i="1"/>
  <c r="H178" i="1"/>
  <c r="L177" i="1"/>
  <c r="BK193" i="1"/>
  <c r="BN191" i="1"/>
  <c r="AY193" i="1"/>
  <c r="AM192" i="1"/>
  <c r="AP190" i="1"/>
  <c r="AA192" i="1"/>
  <c r="O192" i="1"/>
  <c r="D179" i="1"/>
  <c r="F177" i="1"/>
  <c r="C179" i="1"/>
  <c r="G178" i="1"/>
  <c r="B178" i="1"/>
  <c r="E178" i="1"/>
  <c r="AQ192" i="1" l="1"/>
  <c r="AR192" i="1"/>
  <c r="AS192" i="1"/>
  <c r="AT192" i="1"/>
  <c r="AU192" i="1"/>
  <c r="AO192" i="1"/>
  <c r="AI192" i="1"/>
  <c r="AE192" i="1"/>
  <c r="AF192" i="1"/>
  <c r="AH192" i="1"/>
  <c r="AC192" i="1"/>
  <c r="AG192" i="1"/>
  <c r="U192" i="1"/>
  <c r="V192" i="1"/>
  <c r="W192" i="1"/>
  <c r="Q192" i="1"/>
  <c r="T192" i="1"/>
  <c r="S192" i="1"/>
  <c r="J179" i="1"/>
  <c r="K179" i="1"/>
  <c r="BD193" i="1"/>
  <c r="BE193" i="1"/>
  <c r="BF193" i="1"/>
  <c r="BG193" i="1"/>
  <c r="BC193" i="1"/>
  <c r="BA193" i="1"/>
  <c r="BP193" i="1"/>
  <c r="BQ193" i="1"/>
  <c r="BR193" i="1"/>
  <c r="BS193" i="1"/>
  <c r="BM193" i="1"/>
  <c r="BJ193" i="1"/>
  <c r="Z192" i="1"/>
  <c r="AX193" i="1"/>
  <c r="AL192" i="1"/>
  <c r="N192" i="1"/>
  <c r="BB192" i="1"/>
  <c r="BT192" i="1"/>
  <c r="BH192" i="1"/>
  <c r="X191" i="1"/>
  <c r="AJ191" i="1"/>
  <c r="AV191" i="1"/>
  <c r="BO193" i="1"/>
  <c r="AD191" i="1"/>
  <c r="R191" i="1"/>
  <c r="I179" i="1"/>
  <c r="H179" i="1"/>
  <c r="L178" i="1"/>
  <c r="BN192" i="1"/>
  <c r="BK194" i="1"/>
  <c r="AY194" i="1"/>
  <c r="AM193" i="1"/>
  <c r="AP191" i="1"/>
  <c r="AA193" i="1"/>
  <c r="O193" i="1"/>
  <c r="D180" i="1"/>
  <c r="F178" i="1"/>
  <c r="C180" i="1"/>
  <c r="B179" i="1"/>
  <c r="E179" i="1"/>
  <c r="G179" i="1"/>
  <c r="AT193" i="1" l="1"/>
  <c r="AU193" i="1"/>
  <c r="AQ193" i="1"/>
  <c r="AS193" i="1"/>
  <c r="AO193" i="1"/>
  <c r="AR193" i="1"/>
  <c r="AE193" i="1"/>
  <c r="AF193" i="1"/>
  <c r="AG193" i="1"/>
  <c r="AH193" i="1"/>
  <c r="AI193" i="1"/>
  <c r="AC193" i="1"/>
  <c r="Q193" i="1"/>
  <c r="S193" i="1"/>
  <c r="T193" i="1"/>
  <c r="U193" i="1"/>
  <c r="W193" i="1"/>
  <c r="V193" i="1"/>
  <c r="K180" i="1"/>
  <c r="J180" i="1"/>
  <c r="BG194" i="1"/>
  <c r="BC194" i="1"/>
  <c r="BD194" i="1"/>
  <c r="BF194" i="1"/>
  <c r="BE194" i="1"/>
  <c r="BA194" i="1"/>
  <c r="BS194" i="1"/>
  <c r="BP194" i="1"/>
  <c r="BQ194" i="1"/>
  <c r="BR194" i="1"/>
  <c r="BM194" i="1"/>
  <c r="BJ194" i="1"/>
  <c r="Z193" i="1"/>
  <c r="AX194" i="1"/>
  <c r="AL193" i="1"/>
  <c r="N193" i="1"/>
  <c r="BB193" i="1"/>
  <c r="BT193" i="1"/>
  <c r="BH193" i="1"/>
  <c r="R192" i="1"/>
  <c r="X192" i="1"/>
  <c r="AJ192" i="1"/>
  <c r="AV192" i="1"/>
  <c r="BO194" i="1"/>
  <c r="AD192" i="1"/>
  <c r="H180" i="1"/>
  <c r="I180" i="1"/>
  <c r="L179" i="1"/>
  <c r="BN193" i="1"/>
  <c r="BK195" i="1"/>
  <c r="AY195" i="1"/>
  <c r="AP192" i="1"/>
  <c r="AM194" i="1"/>
  <c r="AA194" i="1"/>
  <c r="O194" i="1"/>
  <c r="D181" i="1"/>
  <c r="C181" i="1"/>
  <c r="G180" i="1"/>
  <c r="B180" i="1"/>
  <c r="E180" i="1"/>
  <c r="F179" i="1"/>
  <c r="AQ194" i="1" l="1"/>
  <c r="AR194" i="1"/>
  <c r="AS194" i="1"/>
  <c r="AT194" i="1"/>
  <c r="AU194" i="1"/>
  <c r="AO194" i="1"/>
  <c r="AG194" i="1"/>
  <c r="AH194" i="1"/>
  <c r="AI194" i="1"/>
  <c r="AF194" i="1"/>
  <c r="AC194" i="1"/>
  <c r="AE194" i="1"/>
  <c r="Q194" i="1"/>
  <c r="S194" i="1"/>
  <c r="T194" i="1"/>
  <c r="U194" i="1"/>
  <c r="V194" i="1"/>
  <c r="W194" i="1"/>
  <c r="J181" i="1"/>
  <c r="K181" i="1"/>
  <c r="BC195" i="1"/>
  <c r="BD195" i="1"/>
  <c r="BE195" i="1"/>
  <c r="BF195" i="1"/>
  <c r="BG195" i="1"/>
  <c r="BA195" i="1"/>
  <c r="BB194" i="1"/>
  <c r="BM195" i="1"/>
  <c r="BP195" i="1"/>
  <c r="BQ195" i="1"/>
  <c r="BR195" i="1"/>
  <c r="BS195" i="1"/>
  <c r="BJ195" i="1"/>
  <c r="Z194" i="1"/>
  <c r="AX195" i="1"/>
  <c r="AL194" i="1"/>
  <c r="N194" i="1"/>
  <c r="BT194" i="1"/>
  <c r="BH194" i="1"/>
  <c r="X193" i="1"/>
  <c r="AJ193" i="1"/>
  <c r="AV193" i="1"/>
  <c r="BO195" i="1"/>
  <c r="AD193" i="1"/>
  <c r="R193" i="1"/>
  <c r="I181" i="1"/>
  <c r="H181" i="1"/>
  <c r="L180" i="1"/>
  <c r="BK196" i="1"/>
  <c r="BN194" i="1"/>
  <c r="AY196" i="1"/>
  <c r="AP193" i="1"/>
  <c r="AM195" i="1"/>
  <c r="AA195" i="1"/>
  <c r="O195" i="1"/>
  <c r="D182" i="1"/>
  <c r="F180" i="1"/>
  <c r="C182" i="1"/>
  <c r="G181" i="1"/>
  <c r="E181" i="1"/>
  <c r="B181" i="1"/>
  <c r="AR195" i="1" l="1"/>
  <c r="AS195" i="1"/>
  <c r="AT195" i="1"/>
  <c r="AU195" i="1"/>
  <c r="AQ195" i="1"/>
  <c r="AO195" i="1"/>
  <c r="AE195" i="1"/>
  <c r="AF195" i="1"/>
  <c r="AG195" i="1"/>
  <c r="AI195" i="1"/>
  <c r="AC195" i="1"/>
  <c r="AH195" i="1"/>
  <c r="Q195" i="1"/>
  <c r="V195" i="1"/>
  <c r="W195" i="1"/>
  <c r="S195" i="1"/>
  <c r="U195" i="1"/>
  <c r="T195" i="1"/>
  <c r="J182" i="1"/>
  <c r="K182" i="1"/>
  <c r="BE196" i="1"/>
  <c r="BF196" i="1"/>
  <c r="BG196" i="1"/>
  <c r="BD196" i="1"/>
  <c r="BC196" i="1"/>
  <c r="BA196" i="1"/>
  <c r="BS196" i="1"/>
  <c r="BM196" i="1"/>
  <c r="BQ196" i="1"/>
  <c r="BP196" i="1"/>
  <c r="BR196" i="1"/>
  <c r="BJ196" i="1"/>
  <c r="Z195" i="1"/>
  <c r="AX196" i="1"/>
  <c r="AL195" i="1"/>
  <c r="N195" i="1"/>
  <c r="BB195" i="1"/>
  <c r="BT195" i="1"/>
  <c r="BH195" i="1"/>
  <c r="X194" i="1"/>
  <c r="AJ194" i="1"/>
  <c r="AV194" i="1"/>
  <c r="R194" i="1"/>
  <c r="BO196" i="1"/>
  <c r="AD194" i="1"/>
  <c r="H182" i="1"/>
  <c r="I182" i="1"/>
  <c r="L181" i="1"/>
  <c r="BN195" i="1"/>
  <c r="BK197" i="1"/>
  <c r="AY197" i="1"/>
  <c r="AM196" i="1"/>
  <c r="AP194" i="1"/>
  <c r="AA196" i="1"/>
  <c r="O196" i="1"/>
  <c r="D183" i="1"/>
  <c r="C183" i="1"/>
  <c r="G182" i="1"/>
  <c r="E182" i="1"/>
  <c r="B182" i="1"/>
  <c r="F181" i="1"/>
  <c r="AU196" i="1" l="1"/>
  <c r="AQ196" i="1"/>
  <c r="AR196" i="1"/>
  <c r="AT196" i="1"/>
  <c r="AS196" i="1"/>
  <c r="AO196" i="1"/>
  <c r="AE196" i="1"/>
  <c r="AF196" i="1"/>
  <c r="AG196" i="1"/>
  <c r="AH196" i="1"/>
  <c r="AI196" i="1"/>
  <c r="AC196" i="1"/>
  <c r="Q196" i="1"/>
  <c r="S196" i="1"/>
  <c r="T196" i="1"/>
  <c r="U196" i="1"/>
  <c r="V196" i="1"/>
  <c r="W196" i="1"/>
  <c r="J183" i="1"/>
  <c r="K183" i="1"/>
  <c r="BB196" i="1"/>
  <c r="BC197" i="1"/>
  <c r="BD197" i="1"/>
  <c r="BE197" i="1"/>
  <c r="BG197" i="1"/>
  <c r="BA197" i="1"/>
  <c r="BF197" i="1"/>
  <c r="BP197" i="1"/>
  <c r="BQ197" i="1"/>
  <c r="BM197" i="1"/>
  <c r="BR197" i="1"/>
  <c r="BS197" i="1"/>
  <c r="BJ197" i="1"/>
  <c r="Z196" i="1"/>
  <c r="AX197" i="1"/>
  <c r="AL196" i="1"/>
  <c r="N196" i="1"/>
  <c r="BT196" i="1"/>
  <c r="BH196" i="1"/>
  <c r="R195" i="1"/>
  <c r="X195" i="1"/>
  <c r="AJ195" i="1"/>
  <c r="AV195" i="1"/>
  <c r="BO197" i="1"/>
  <c r="AD195" i="1"/>
  <c r="H183" i="1"/>
  <c r="I183" i="1"/>
  <c r="L182" i="1"/>
  <c r="BN196" i="1"/>
  <c r="AP195" i="1"/>
  <c r="BK198" i="1"/>
  <c r="AY198" i="1"/>
  <c r="AM197" i="1"/>
  <c r="AA197" i="1"/>
  <c r="O197" i="1"/>
  <c r="D184" i="1"/>
  <c r="F182" i="1"/>
  <c r="C184" i="1"/>
  <c r="G183" i="1"/>
  <c r="B183" i="1"/>
  <c r="E183" i="1"/>
  <c r="BB197" i="1" l="1"/>
  <c r="AQ197" i="1"/>
  <c r="AR197" i="1"/>
  <c r="AS197" i="1"/>
  <c r="AT197" i="1"/>
  <c r="AU197" i="1"/>
  <c r="AO197" i="1"/>
  <c r="AH197" i="1"/>
  <c r="AI197" i="1"/>
  <c r="AE197" i="1"/>
  <c r="AG197" i="1"/>
  <c r="AF197" i="1"/>
  <c r="AC197" i="1"/>
  <c r="Q197" i="1"/>
  <c r="T197" i="1"/>
  <c r="U197" i="1"/>
  <c r="V197" i="1"/>
  <c r="W197" i="1"/>
  <c r="S197" i="1"/>
  <c r="K184" i="1"/>
  <c r="J184" i="1"/>
  <c r="BC198" i="1"/>
  <c r="BD198" i="1"/>
  <c r="BE198" i="1"/>
  <c r="BF198" i="1"/>
  <c r="BG198" i="1"/>
  <c r="BA198" i="1"/>
  <c r="BB198" i="1" s="1"/>
  <c r="BS198" i="1"/>
  <c r="BQ198" i="1"/>
  <c r="BM198" i="1"/>
  <c r="BP198" i="1"/>
  <c r="BR198" i="1"/>
  <c r="BJ198" i="1"/>
  <c r="Z197" i="1"/>
  <c r="AX198" i="1"/>
  <c r="AL197" i="1"/>
  <c r="N197" i="1"/>
  <c r="BT197" i="1"/>
  <c r="BH197" i="1"/>
  <c r="AD196" i="1"/>
  <c r="R196" i="1"/>
  <c r="X196" i="1"/>
  <c r="AV196" i="1"/>
  <c r="BO198" i="1"/>
  <c r="AJ196" i="1"/>
  <c r="I184" i="1"/>
  <c r="H184" i="1"/>
  <c r="L183" i="1"/>
  <c r="BN197" i="1"/>
  <c r="BK199" i="1"/>
  <c r="AY199" i="1"/>
  <c r="AM198" i="1"/>
  <c r="AP196" i="1"/>
  <c r="AA198" i="1"/>
  <c r="O198" i="1"/>
  <c r="D185" i="1"/>
  <c r="C185" i="1"/>
  <c r="G184" i="1"/>
  <c r="B184" i="1"/>
  <c r="E184" i="1"/>
  <c r="F183" i="1"/>
  <c r="AS198" i="1" l="1"/>
  <c r="AT198" i="1"/>
  <c r="AU198" i="1"/>
  <c r="AR198" i="1"/>
  <c r="AO198" i="1"/>
  <c r="AQ198" i="1"/>
  <c r="AE198" i="1"/>
  <c r="AF198" i="1"/>
  <c r="AG198" i="1"/>
  <c r="AH198" i="1"/>
  <c r="AC198" i="1"/>
  <c r="AI198" i="1"/>
  <c r="Q198" i="1"/>
  <c r="W198" i="1"/>
  <c r="S198" i="1"/>
  <c r="T198" i="1"/>
  <c r="V198" i="1"/>
  <c r="U198" i="1"/>
  <c r="K185" i="1"/>
  <c r="J185" i="1"/>
  <c r="BF199" i="1"/>
  <c r="BG199" i="1"/>
  <c r="BC199" i="1"/>
  <c r="BE199" i="1"/>
  <c r="BA199" i="1"/>
  <c r="BB199" i="1" s="1"/>
  <c r="BD199" i="1"/>
  <c r="BP199" i="1"/>
  <c r="BQ199" i="1"/>
  <c r="BR199" i="1"/>
  <c r="BS199" i="1"/>
  <c r="BM199" i="1"/>
  <c r="R197" i="1"/>
  <c r="BJ199" i="1"/>
  <c r="Z198" i="1"/>
  <c r="AX199" i="1"/>
  <c r="AL198" i="1"/>
  <c r="N198" i="1"/>
  <c r="AD197" i="1"/>
  <c r="BT198" i="1"/>
  <c r="BH198" i="1"/>
  <c r="X197" i="1"/>
  <c r="AV197" i="1"/>
  <c r="BO199" i="1"/>
  <c r="AJ197" i="1"/>
  <c r="I185" i="1"/>
  <c r="H185" i="1"/>
  <c r="L184" i="1"/>
  <c r="BN198" i="1"/>
  <c r="BK200" i="1"/>
  <c r="AY200" i="1"/>
  <c r="AM199" i="1"/>
  <c r="AP197" i="1"/>
  <c r="AA199" i="1"/>
  <c r="O199" i="1"/>
  <c r="D186" i="1"/>
  <c r="C186" i="1"/>
  <c r="G185" i="1"/>
  <c r="B185" i="1"/>
  <c r="E185" i="1"/>
  <c r="F184" i="1"/>
  <c r="AQ199" i="1" l="1"/>
  <c r="AR199" i="1"/>
  <c r="AS199" i="1"/>
  <c r="AU199" i="1"/>
  <c r="AO199" i="1"/>
  <c r="AT199" i="1"/>
  <c r="AD198" i="1"/>
  <c r="AF199" i="1"/>
  <c r="AG199" i="1"/>
  <c r="AH199" i="1"/>
  <c r="AI199" i="1"/>
  <c r="AE199" i="1"/>
  <c r="AC199" i="1"/>
  <c r="Q199" i="1"/>
  <c r="S199" i="1"/>
  <c r="T199" i="1"/>
  <c r="U199" i="1"/>
  <c r="V199" i="1"/>
  <c r="W199" i="1"/>
  <c r="K186" i="1"/>
  <c r="J186" i="1"/>
  <c r="BC200" i="1"/>
  <c r="BD200" i="1"/>
  <c r="BE200" i="1"/>
  <c r="BF200" i="1"/>
  <c r="BG200" i="1"/>
  <c r="BA200" i="1"/>
  <c r="BB200" i="1" s="1"/>
  <c r="BS200" i="1"/>
  <c r="BQ200" i="1"/>
  <c r="BP200" i="1"/>
  <c r="BM200" i="1"/>
  <c r="BR200" i="1"/>
  <c r="R198" i="1"/>
  <c r="BJ200" i="1"/>
  <c r="Z199" i="1"/>
  <c r="AX200" i="1"/>
  <c r="AL199" i="1"/>
  <c r="N199" i="1"/>
  <c r="BT199" i="1"/>
  <c r="BH199" i="1"/>
  <c r="X198" i="1"/>
  <c r="AV198" i="1"/>
  <c r="AP198" i="1"/>
  <c r="AJ198" i="1"/>
  <c r="BO200" i="1"/>
  <c r="I186" i="1"/>
  <c r="H186" i="1"/>
  <c r="L185" i="1"/>
  <c r="BN199" i="1"/>
  <c r="BK201" i="1"/>
  <c r="AY201" i="1"/>
  <c r="AM200" i="1"/>
  <c r="AA200" i="1"/>
  <c r="O200" i="1"/>
  <c r="D187" i="1"/>
  <c r="C187" i="1"/>
  <c r="G186" i="1"/>
  <c r="B186" i="1"/>
  <c r="E186" i="1"/>
  <c r="F185" i="1"/>
  <c r="AQ200" i="1" l="1"/>
  <c r="AR200" i="1"/>
  <c r="AS200" i="1"/>
  <c r="AT200" i="1"/>
  <c r="AU200" i="1"/>
  <c r="AO200" i="1"/>
  <c r="AI200" i="1"/>
  <c r="AE200" i="1"/>
  <c r="AF200" i="1"/>
  <c r="AH200" i="1"/>
  <c r="AC200" i="1"/>
  <c r="AG200" i="1"/>
  <c r="U200" i="1"/>
  <c r="V200" i="1"/>
  <c r="W200" i="1"/>
  <c r="T200" i="1"/>
  <c r="Q200" i="1"/>
  <c r="S200" i="1"/>
  <c r="K187" i="1"/>
  <c r="J187" i="1"/>
  <c r="BD201" i="1"/>
  <c r="BE201" i="1"/>
  <c r="BF201" i="1"/>
  <c r="BG201" i="1"/>
  <c r="BC201" i="1"/>
  <c r="BA201" i="1"/>
  <c r="BB201" i="1" s="1"/>
  <c r="BP201" i="1"/>
  <c r="BQ201" i="1"/>
  <c r="BR201" i="1"/>
  <c r="BS201" i="1"/>
  <c r="BM201" i="1"/>
  <c r="R199" i="1"/>
  <c r="BJ201" i="1"/>
  <c r="Z200" i="1"/>
  <c r="AX201" i="1"/>
  <c r="AL200" i="1"/>
  <c r="N200" i="1"/>
  <c r="BT200" i="1"/>
  <c r="BH200" i="1"/>
  <c r="X199" i="1"/>
  <c r="AJ199" i="1"/>
  <c r="AV199" i="1"/>
  <c r="BO201" i="1"/>
  <c r="AD199" i="1"/>
  <c r="I187" i="1"/>
  <c r="H187" i="1"/>
  <c r="L186" i="1"/>
  <c r="BK202" i="1"/>
  <c r="BN200" i="1"/>
  <c r="AY202" i="1"/>
  <c r="AM201" i="1"/>
  <c r="AP199" i="1"/>
  <c r="AA201" i="1"/>
  <c r="O201" i="1"/>
  <c r="D188" i="1"/>
  <c r="F186" i="1"/>
  <c r="C188" i="1"/>
  <c r="G187" i="1"/>
  <c r="B187" i="1"/>
  <c r="E187" i="1"/>
  <c r="AT201" i="1" l="1"/>
  <c r="AU201" i="1"/>
  <c r="AQ201" i="1"/>
  <c r="AS201" i="1"/>
  <c r="AO201" i="1"/>
  <c r="AR201" i="1"/>
  <c r="AE201" i="1"/>
  <c r="AF201" i="1"/>
  <c r="AG201" i="1"/>
  <c r="AH201" i="1"/>
  <c r="AI201" i="1"/>
  <c r="AC201" i="1"/>
  <c r="Q201" i="1"/>
  <c r="S201" i="1"/>
  <c r="T201" i="1"/>
  <c r="U201" i="1"/>
  <c r="W201" i="1"/>
  <c r="V201" i="1"/>
  <c r="K188" i="1"/>
  <c r="J188" i="1"/>
  <c r="BG202" i="1"/>
  <c r="BC202" i="1"/>
  <c r="BD202" i="1"/>
  <c r="BF202" i="1"/>
  <c r="BA202" i="1"/>
  <c r="BE202" i="1"/>
  <c r="BS202" i="1"/>
  <c r="BP202" i="1"/>
  <c r="BR202" i="1"/>
  <c r="BM202" i="1"/>
  <c r="BQ202" i="1"/>
  <c r="BJ202" i="1"/>
  <c r="Z201" i="1"/>
  <c r="AX202" i="1"/>
  <c r="AL201" i="1"/>
  <c r="N201" i="1"/>
  <c r="BT201" i="1"/>
  <c r="BH201" i="1"/>
  <c r="X200" i="1"/>
  <c r="AJ200" i="1"/>
  <c r="AV200" i="1"/>
  <c r="BO202" i="1"/>
  <c r="AD200" i="1"/>
  <c r="R200" i="1"/>
  <c r="H188" i="1"/>
  <c r="I188" i="1"/>
  <c r="L187" i="1"/>
  <c r="BN201" i="1"/>
  <c r="BK203" i="1"/>
  <c r="AY203" i="1"/>
  <c r="AP200" i="1"/>
  <c r="AM202" i="1"/>
  <c r="AA202" i="1"/>
  <c r="O202" i="1"/>
  <c r="D189" i="1"/>
  <c r="F187" i="1"/>
  <c r="C189" i="1"/>
  <c r="G188" i="1"/>
  <c r="B188" i="1"/>
  <c r="E188" i="1"/>
  <c r="AQ202" i="1" l="1"/>
  <c r="AR202" i="1"/>
  <c r="AS202" i="1"/>
  <c r="AT202" i="1"/>
  <c r="AO202" i="1"/>
  <c r="AU202" i="1"/>
  <c r="AG202" i="1"/>
  <c r="AH202" i="1"/>
  <c r="AI202" i="1"/>
  <c r="AF202" i="1"/>
  <c r="AE202" i="1"/>
  <c r="AC202" i="1"/>
  <c r="Q202" i="1"/>
  <c r="S202" i="1"/>
  <c r="T202" i="1"/>
  <c r="U202" i="1"/>
  <c r="V202" i="1"/>
  <c r="W202" i="1"/>
  <c r="J189" i="1"/>
  <c r="K189" i="1"/>
  <c r="BC203" i="1"/>
  <c r="BD203" i="1"/>
  <c r="BE203" i="1"/>
  <c r="BF203" i="1"/>
  <c r="BG203" i="1"/>
  <c r="BA203" i="1"/>
  <c r="BM203" i="1"/>
  <c r="BP203" i="1"/>
  <c r="BQ203" i="1"/>
  <c r="BR203" i="1"/>
  <c r="BS203" i="1"/>
  <c r="BJ203" i="1"/>
  <c r="Z202" i="1"/>
  <c r="AX203" i="1"/>
  <c r="AL202" i="1"/>
  <c r="N202" i="1"/>
  <c r="BB202" i="1"/>
  <c r="BT202" i="1"/>
  <c r="BH202" i="1"/>
  <c r="X201" i="1"/>
  <c r="AJ201" i="1"/>
  <c r="AV201" i="1"/>
  <c r="R201" i="1"/>
  <c r="BO203" i="1"/>
  <c r="AD201" i="1"/>
  <c r="I189" i="1"/>
  <c r="H189" i="1"/>
  <c r="L188" i="1"/>
  <c r="BN202" i="1"/>
  <c r="BK204" i="1"/>
  <c r="AY204" i="1"/>
  <c r="AP201" i="1"/>
  <c r="AM203" i="1"/>
  <c r="AA203" i="1"/>
  <c r="O203" i="1"/>
  <c r="D190" i="1"/>
  <c r="F188" i="1"/>
  <c r="C190" i="1"/>
  <c r="G189" i="1"/>
  <c r="E189" i="1"/>
  <c r="B189" i="1"/>
  <c r="AR203" i="1" l="1"/>
  <c r="AS203" i="1"/>
  <c r="AT203" i="1"/>
  <c r="AU203" i="1"/>
  <c r="AQ203" i="1"/>
  <c r="AO203" i="1"/>
  <c r="AE203" i="1"/>
  <c r="AF203" i="1"/>
  <c r="AG203" i="1"/>
  <c r="AI203" i="1"/>
  <c r="AH203" i="1"/>
  <c r="AC203" i="1"/>
  <c r="Q203" i="1"/>
  <c r="V203" i="1"/>
  <c r="W203" i="1"/>
  <c r="S203" i="1"/>
  <c r="U203" i="1"/>
  <c r="T203" i="1"/>
  <c r="J190" i="1"/>
  <c r="K190" i="1"/>
  <c r="BE204" i="1"/>
  <c r="BF204" i="1"/>
  <c r="BG204" i="1"/>
  <c r="BD204" i="1"/>
  <c r="BC204" i="1"/>
  <c r="BA204" i="1"/>
  <c r="BS204" i="1"/>
  <c r="BQ204" i="1"/>
  <c r="BM204" i="1"/>
  <c r="BP204" i="1"/>
  <c r="BR204" i="1"/>
  <c r="BJ204" i="1"/>
  <c r="Z203" i="1"/>
  <c r="AX204" i="1"/>
  <c r="AL203" i="1"/>
  <c r="N203" i="1"/>
  <c r="BB203" i="1"/>
  <c r="BT203" i="1"/>
  <c r="BH203" i="1"/>
  <c r="X202" i="1"/>
  <c r="AJ202" i="1"/>
  <c r="AV202" i="1"/>
  <c r="BO204" i="1"/>
  <c r="AD202" i="1"/>
  <c r="R202" i="1"/>
  <c r="H190" i="1"/>
  <c r="I190" i="1"/>
  <c r="L189" i="1"/>
  <c r="BK205" i="1"/>
  <c r="BN203" i="1"/>
  <c r="AY205" i="1"/>
  <c r="AM204" i="1"/>
  <c r="AP202" i="1"/>
  <c r="AA204" i="1"/>
  <c r="O204" i="1"/>
  <c r="D191" i="1"/>
  <c r="F189" i="1"/>
  <c r="C191" i="1"/>
  <c r="G190" i="1"/>
  <c r="E190" i="1"/>
  <c r="B190" i="1"/>
  <c r="AU204" i="1" l="1"/>
  <c r="AQ204" i="1"/>
  <c r="AR204" i="1"/>
  <c r="AT204" i="1"/>
  <c r="AS204" i="1"/>
  <c r="AO204" i="1"/>
  <c r="AE204" i="1"/>
  <c r="AF204" i="1"/>
  <c r="AG204" i="1"/>
  <c r="AH204" i="1"/>
  <c r="AI204" i="1"/>
  <c r="AC204" i="1"/>
  <c r="Q204" i="1"/>
  <c r="S204" i="1"/>
  <c r="T204" i="1"/>
  <c r="U204" i="1"/>
  <c r="V204" i="1"/>
  <c r="W204" i="1"/>
  <c r="J191" i="1"/>
  <c r="K191" i="1"/>
  <c r="BC205" i="1"/>
  <c r="BD205" i="1"/>
  <c r="BE205" i="1"/>
  <c r="BG205" i="1"/>
  <c r="BA205" i="1"/>
  <c r="BF205" i="1"/>
  <c r="BP205" i="1"/>
  <c r="BQ205" i="1"/>
  <c r="BM205" i="1"/>
  <c r="BR205" i="1"/>
  <c r="BS205" i="1"/>
  <c r="BJ205" i="1"/>
  <c r="BB204" i="1"/>
  <c r="Z204" i="1"/>
  <c r="AX205" i="1"/>
  <c r="AL204" i="1"/>
  <c r="N204" i="1"/>
  <c r="BT204" i="1"/>
  <c r="BH204" i="1"/>
  <c r="X203" i="1"/>
  <c r="AJ203" i="1"/>
  <c r="AV203" i="1"/>
  <c r="R203" i="1"/>
  <c r="BO205" i="1"/>
  <c r="AD203" i="1"/>
  <c r="H191" i="1"/>
  <c r="I191" i="1"/>
  <c r="L190" i="1"/>
  <c r="BN204" i="1"/>
  <c r="BK206" i="1"/>
  <c r="AY206" i="1"/>
  <c r="AP203" i="1"/>
  <c r="AM205" i="1"/>
  <c r="AA205" i="1"/>
  <c r="O205" i="1"/>
  <c r="D192" i="1"/>
  <c r="F190" i="1"/>
  <c r="C192" i="1"/>
  <c r="G191" i="1"/>
  <c r="B191" i="1"/>
  <c r="E191" i="1"/>
  <c r="AQ205" i="1" l="1"/>
  <c r="AR205" i="1"/>
  <c r="AS205" i="1"/>
  <c r="AT205" i="1"/>
  <c r="AU205" i="1"/>
  <c r="AO205" i="1"/>
  <c r="AH205" i="1"/>
  <c r="AI205" i="1"/>
  <c r="AE205" i="1"/>
  <c r="AG205" i="1"/>
  <c r="AF205" i="1"/>
  <c r="AC205" i="1"/>
  <c r="R204" i="1"/>
  <c r="Q205" i="1"/>
  <c r="T205" i="1"/>
  <c r="U205" i="1"/>
  <c r="V205" i="1"/>
  <c r="W205" i="1"/>
  <c r="S205" i="1"/>
  <c r="K192" i="1"/>
  <c r="J192" i="1"/>
  <c r="BC206" i="1"/>
  <c r="BD206" i="1"/>
  <c r="BE206" i="1"/>
  <c r="BF206" i="1"/>
  <c r="BG206" i="1"/>
  <c r="BA206" i="1"/>
  <c r="BS206" i="1"/>
  <c r="BM206" i="1"/>
  <c r="BQ206" i="1"/>
  <c r="BP206" i="1"/>
  <c r="BR206" i="1"/>
  <c r="BJ206" i="1"/>
  <c r="BB205" i="1"/>
  <c r="Z205" i="1"/>
  <c r="AX206" i="1"/>
  <c r="AL205" i="1"/>
  <c r="N205" i="1"/>
  <c r="BT205" i="1"/>
  <c r="BH205" i="1"/>
  <c r="X204" i="1"/>
  <c r="AJ204" i="1"/>
  <c r="AV204" i="1"/>
  <c r="BO206" i="1"/>
  <c r="AD204" i="1"/>
  <c r="I192" i="1"/>
  <c r="H192" i="1"/>
  <c r="L191" i="1"/>
  <c r="BK207" i="1"/>
  <c r="BN205" i="1"/>
  <c r="AY207" i="1"/>
  <c r="AM206" i="1"/>
  <c r="AP204" i="1"/>
  <c r="AA206" i="1"/>
  <c r="O206" i="1"/>
  <c r="D193" i="1"/>
  <c r="C193" i="1"/>
  <c r="G192" i="1"/>
  <c r="B192" i="1"/>
  <c r="E192" i="1"/>
  <c r="F191" i="1"/>
  <c r="R205" i="1" l="1"/>
  <c r="AS206" i="1"/>
  <c r="AT206" i="1"/>
  <c r="AU206" i="1"/>
  <c r="AR206" i="1"/>
  <c r="AO206" i="1"/>
  <c r="AQ206" i="1"/>
  <c r="AE206" i="1"/>
  <c r="AF206" i="1"/>
  <c r="AG206" i="1"/>
  <c r="AH206" i="1"/>
  <c r="AI206" i="1"/>
  <c r="AC206" i="1"/>
  <c r="Q206" i="1"/>
  <c r="W206" i="1"/>
  <c r="S206" i="1"/>
  <c r="T206" i="1"/>
  <c r="V206" i="1"/>
  <c r="U206" i="1"/>
  <c r="K193" i="1"/>
  <c r="J193" i="1"/>
  <c r="BF207" i="1"/>
  <c r="BG207" i="1"/>
  <c r="BC207" i="1"/>
  <c r="BE207" i="1"/>
  <c r="BD207" i="1"/>
  <c r="BA207" i="1"/>
  <c r="BP207" i="1"/>
  <c r="BQ207" i="1"/>
  <c r="BR207" i="1"/>
  <c r="BS207" i="1"/>
  <c r="BM207" i="1"/>
  <c r="BB206" i="1"/>
  <c r="BJ207" i="1"/>
  <c r="Z206" i="1"/>
  <c r="AX207" i="1"/>
  <c r="AL206" i="1"/>
  <c r="N206" i="1"/>
  <c r="BT206" i="1"/>
  <c r="BH206" i="1"/>
  <c r="X205" i="1"/>
  <c r="AJ205" i="1"/>
  <c r="AV205" i="1"/>
  <c r="BO207" i="1"/>
  <c r="AD205" i="1"/>
  <c r="I193" i="1"/>
  <c r="H193" i="1"/>
  <c r="L192" i="1"/>
  <c r="BN206" i="1"/>
  <c r="BK208" i="1"/>
  <c r="AY208" i="1"/>
  <c r="AM207" i="1"/>
  <c r="AP205" i="1"/>
  <c r="AA207" i="1"/>
  <c r="O207" i="1"/>
  <c r="D194" i="1"/>
  <c r="F192" i="1"/>
  <c r="C194" i="1"/>
  <c r="G193" i="1"/>
  <c r="B193" i="1"/>
  <c r="E193" i="1"/>
  <c r="R206" i="1" l="1"/>
  <c r="AQ207" i="1"/>
  <c r="AR207" i="1"/>
  <c r="AS207" i="1"/>
  <c r="AU207" i="1"/>
  <c r="AT207" i="1"/>
  <c r="AO207" i="1"/>
  <c r="AF207" i="1"/>
  <c r="AG207" i="1"/>
  <c r="AH207" i="1"/>
  <c r="AI207" i="1"/>
  <c r="AE207" i="1"/>
  <c r="AC207" i="1"/>
  <c r="Q207" i="1"/>
  <c r="S207" i="1"/>
  <c r="T207" i="1"/>
  <c r="U207" i="1"/>
  <c r="V207" i="1"/>
  <c r="W207" i="1"/>
  <c r="K194" i="1"/>
  <c r="J194" i="1"/>
  <c r="BC208" i="1"/>
  <c r="BD208" i="1"/>
  <c r="BE208" i="1"/>
  <c r="BF208" i="1"/>
  <c r="BG208" i="1"/>
  <c r="BA208" i="1"/>
  <c r="BB207" i="1"/>
  <c r="BS208" i="1"/>
  <c r="BQ208" i="1"/>
  <c r="BP208" i="1"/>
  <c r="BM208" i="1"/>
  <c r="BR208" i="1"/>
  <c r="BJ208" i="1"/>
  <c r="Z207" i="1"/>
  <c r="AX208" i="1"/>
  <c r="AL207" i="1"/>
  <c r="N207" i="1"/>
  <c r="BT207" i="1"/>
  <c r="BH207" i="1"/>
  <c r="X206" i="1"/>
  <c r="AJ206" i="1"/>
  <c r="AV206" i="1"/>
  <c r="BO208" i="1"/>
  <c r="AD206" i="1"/>
  <c r="I194" i="1"/>
  <c r="H194" i="1"/>
  <c r="L193" i="1"/>
  <c r="BN207" i="1"/>
  <c r="BK209" i="1"/>
  <c r="AY209" i="1"/>
  <c r="AM208" i="1"/>
  <c r="AP206" i="1"/>
  <c r="AA208" i="1"/>
  <c r="O208" i="1"/>
  <c r="D195" i="1"/>
  <c r="C195" i="1"/>
  <c r="G194" i="1"/>
  <c r="B194" i="1"/>
  <c r="E194" i="1"/>
  <c r="F193" i="1"/>
  <c r="R207" i="1" l="1"/>
  <c r="BB208" i="1"/>
  <c r="AQ208" i="1"/>
  <c r="AR208" i="1"/>
  <c r="AS208" i="1"/>
  <c r="AT208" i="1"/>
  <c r="AU208" i="1"/>
  <c r="AO208" i="1"/>
  <c r="AI208" i="1"/>
  <c r="AE208" i="1"/>
  <c r="AF208" i="1"/>
  <c r="AH208" i="1"/>
  <c r="AC208" i="1"/>
  <c r="AG208" i="1"/>
  <c r="U208" i="1"/>
  <c r="V208" i="1"/>
  <c r="W208" i="1"/>
  <c r="Q208" i="1"/>
  <c r="T208" i="1"/>
  <c r="S208" i="1"/>
  <c r="K195" i="1"/>
  <c r="J195" i="1"/>
  <c r="BD209" i="1"/>
  <c r="BE209" i="1"/>
  <c r="BF209" i="1"/>
  <c r="BG209" i="1"/>
  <c r="BC209" i="1"/>
  <c r="BA209" i="1"/>
  <c r="BP209" i="1"/>
  <c r="BQ209" i="1"/>
  <c r="BR209" i="1"/>
  <c r="BS209" i="1"/>
  <c r="BM209" i="1"/>
  <c r="BJ209" i="1"/>
  <c r="Z208" i="1"/>
  <c r="AX209" i="1"/>
  <c r="AL208" i="1"/>
  <c r="N208" i="1"/>
  <c r="BT208" i="1"/>
  <c r="BH208" i="1"/>
  <c r="BN208" i="1"/>
  <c r="X207" i="1"/>
  <c r="AJ207" i="1"/>
  <c r="AV207" i="1"/>
  <c r="BO209" i="1"/>
  <c r="AD207" i="1"/>
  <c r="I195" i="1"/>
  <c r="H195" i="1"/>
  <c r="L194" i="1"/>
  <c r="BK210" i="1"/>
  <c r="AY210" i="1"/>
  <c r="AM209" i="1"/>
  <c r="AP207" i="1"/>
  <c r="AA209" i="1"/>
  <c r="O209" i="1"/>
  <c r="D196" i="1"/>
  <c r="F194" i="1"/>
  <c r="C196" i="1"/>
  <c r="G195" i="1"/>
  <c r="B195" i="1"/>
  <c r="E195" i="1"/>
  <c r="AT209" i="1" l="1"/>
  <c r="AU209" i="1"/>
  <c r="AQ209" i="1"/>
  <c r="AS209" i="1"/>
  <c r="AR209" i="1"/>
  <c r="AO209" i="1"/>
  <c r="AE209" i="1"/>
  <c r="AF209" i="1"/>
  <c r="AG209" i="1"/>
  <c r="AH209" i="1"/>
  <c r="AI209" i="1"/>
  <c r="AC209" i="1"/>
  <c r="Q209" i="1"/>
  <c r="S209" i="1"/>
  <c r="T209" i="1"/>
  <c r="U209" i="1"/>
  <c r="W209" i="1"/>
  <c r="V209" i="1"/>
  <c r="K196" i="1"/>
  <c r="J196" i="1"/>
  <c r="BG210" i="1"/>
  <c r="BC210" i="1"/>
  <c r="BD210" i="1"/>
  <c r="BF210" i="1"/>
  <c r="BE210" i="1"/>
  <c r="BA210" i="1"/>
  <c r="BS210" i="1"/>
  <c r="BP210" i="1"/>
  <c r="BQ210" i="1"/>
  <c r="BR210" i="1"/>
  <c r="BM210" i="1"/>
  <c r="BJ210" i="1"/>
  <c r="Z209" i="1"/>
  <c r="AX210" i="1"/>
  <c r="AL209" i="1"/>
  <c r="N209" i="1"/>
  <c r="BB209" i="1"/>
  <c r="BT209" i="1"/>
  <c r="BH209" i="1"/>
  <c r="X208" i="1"/>
  <c r="AJ208" i="1"/>
  <c r="AV208" i="1"/>
  <c r="BO210" i="1"/>
  <c r="AD208" i="1"/>
  <c r="R208" i="1"/>
  <c r="H196" i="1"/>
  <c r="I196" i="1"/>
  <c r="L195" i="1"/>
  <c r="BK211" i="1"/>
  <c r="BN209" i="1"/>
  <c r="AY211" i="1"/>
  <c r="AP208" i="1"/>
  <c r="AM210" i="1"/>
  <c r="AA210" i="1"/>
  <c r="O210" i="1"/>
  <c r="D197" i="1"/>
  <c r="C197" i="1"/>
  <c r="G196" i="1"/>
  <c r="B196" i="1"/>
  <c r="E196" i="1"/>
  <c r="F195" i="1"/>
  <c r="AQ210" i="1" l="1"/>
  <c r="AR210" i="1"/>
  <c r="AS210" i="1"/>
  <c r="AT210" i="1"/>
  <c r="AU210" i="1"/>
  <c r="AO210" i="1"/>
  <c r="AG210" i="1"/>
  <c r="AH210" i="1"/>
  <c r="AI210" i="1"/>
  <c r="AF210" i="1"/>
  <c r="AC210" i="1"/>
  <c r="AE210" i="1"/>
  <c r="Q210" i="1"/>
  <c r="S210" i="1"/>
  <c r="T210" i="1"/>
  <c r="U210" i="1"/>
  <c r="V210" i="1"/>
  <c r="W210" i="1"/>
  <c r="J197" i="1"/>
  <c r="K197" i="1"/>
  <c r="BC211" i="1"/>
  <c r="BD211" i="1"/>
  <c r="BE211" i="1"/>
  <c r="BF211" i="1"/>
  <c r="BG211" i="1"/>
  <c r="BA211" i="1"/>
  <c r="BM211" i="1"/>
  <c r="BP211" i="1"/>
  <c r="BQ211" i="1"/>
  <c r="BR211" i="1"/>
  <c r="BS211" i="1"/>
  <c r="BB210" i="1"/>
  <c r="BJ211" i="1"/>
  <c r="Z210" i="1"/>
  <c r="AX211" i="1"/>
  <c r="AL210" i="1"/>
  <c r="N210" i="1"/>
  <c r="BT210" i="1"/>
  <c r="BH210" i="1"/>
  <c r="X209" i="1"/>
  <c r="AJ209" i="1"/>
  <c r="AV209" i="1"/>
  <c r="R209" i="1"/>
  <c r="BO211" i="1"/>
  <c r="AD209" i="1"/>
  <c r="H197" i="1"/>
  <c r="I197" i="1"/>
  <c r="L196" i="1"/>
  <c r="BN210" i="1"/>
  <c r="BK212" i="1"/>
  <c r="AY212" i="1"/>
  <c r="AM211" i="1"/>
  <c r="AP209" i="1"/>
  <c r="AA211" i="1"/>
  <c r="O211" i="1"/>
  <c r="D198" i="1"/>
  <c r="F196" i="1"/>
  <c r="C198" i="1"/>
  <c r="E197" i="1"/>
  <c r="G197" i="1"/>
  <c r="B197" i="1"/>
  <c r="AR211" i="1" l="1"/>
  <c r="AS211" i="1"/>
  <c r="AT211" i="1"/>
  <c r="AU211" i="1"/>
  <c r="AQ211" i="1"/>
  <c r="AO211" i="1"/>
  <c r="AE211" i="1"/>
  <c r="AF211" i="1"/>
  <c r="AG211" i="1"/>
  <c r="AI211" i="1"/>
  <c r="AH211" i="1"/>
  <c r="AC211" i="1"/>
  <c r="Q211" i="1"/>
  <c r="V211" i="1"/>
  <c r="W211" i="1"/>
  <c r="S211" i="1"/>
  <c r="U211" i="1"/>
  <c r="T211" i="1"/>
  <c r="K198" i="1"/>
  <c r="J198" i="1"/>
  <c r="BE212" i="1"/>
  <c r="BF212" i="1"/>
  <c r="BG212" i="1"/>
  <c r="BD212" i="1"/>
  <c r="BC212" i="1"/>
  <c r="BA212" i="1"/>
  <c r="BS212" i="1"/>
  <c r="BM212" i="1"/>
  <c r="BQ212" i="1"/>
  <c r="BP212" i="1"/>
  <c r="BR212" i="1"/>
  <c r="BJ212" i="1"/>
  <c r="Z211" i="1"/>
  <c r="AX212" i="1"/>
  <c r="AL211" i="1"/>
  <c r="N211" i="1"/>
  <c r="BB211" i="1"/>
  <c r="BT211" i="1"/>
  <c r="BH211" i="1"/>
  <c r="X210" i="1"/>
  <c r="AJ210" i="1"/>
  <c r="AV210" i="1"/>
  <c r="BO212" i="1"/>
  <c r="AD210" i="1"/>
  <c r="R210" i="1"/>
  <c r="H198" i="1"/>
  <c r="I198" i="1"/>
  <c r="L197" i="1"/>
  <c r="BK213" i="1"/>
  <c r="BN211" i="1"/>
  <c r="AY213" i="1"/>
  <c r="AM212" i="1"/>
  <c r="AP210" i="1"/>
  <c r="AA212" i="1"/>
  <c r="O212" i="1"/>
  <c r="D199" i="1"/>
  <c r="C199" i="1"/>
  <c r="G198" i="1"/>
  <c r="E198" i="1"/>
  <c r="B198" i="1"/>
  <c r="F197" i="1"/>
  <c r="AU212" i="1" l="1"/>
  <c r="AQ212" i="1"/>
  <c r="AR212" i="1"/>
  <c r="AT212" i="1"/>
  <c r="AS212" i="1"/>
  <c r="AO212" i="1"/>
  <c r="AE212" i="1"/>
  <c r="AF212" i="1"/>
  <c r="AG212" i="1"/>
  <c r="AH212" i="1"/>
  <c r="AI212" i="1"/>
  <c r="AC212" i="1"/>
  <c r="Q212" i="1"/>
  <c r="S212" i="1"/>
  <c r="T212" i="1"/>
  <c r="U212" i="1"/>
  <c r="V212" i="1"/>
  <c r="W212" i="1"/>
  <c r="J199" i="1"/>
  <c r="K199" i="1"/>
  <c r="BC213" i="1"/>
  <c r="BD213" i="1"/>
  <c r="BE213" i="1"/>
  <c r="BG213" i="1"/>
  <c r="BA213" i="1"/>
  <c r="BF213" i="1"/>
  <c r="BP213" i="1"/>
  <c r="BQ213" i="1"/>
  <c r="BM213" i="1"/>
  <c r="BR213" i="1"/>
  <c r="BS213" i="1"/>
  <c r="BJ213" i="1"/>
  <c r="BB212" i="1"/>
  <c r="Z212" i="1"/>
  <c r="AX213" i="1"/>
  <c r="AL212" i="1"/>
  <c r="N212" i="1"/>
  <c r="BT212" i="1"/>
  <c r="BH212" i="1"/>
  <c r="X211" i="1"/>
  <c r="AJ211" i="1"/>
  <c r="AV211" i="1"/>
  <c r="BO213" i="1"/>
  <c r="AD211" i="1"/>
  <c r="H199" i="1"/>
  <c r="I199" i="1"/>
  <c r="L198" i="1"/>
  <c r="AP211" i="1"/>
  <c r="BN212" i="1"/>
  <c r="BK214" i="1"/>
  <c r="AY214" i="1"/>
  <c r="AM213" i="1"/>
  <c r="AA213" i="1"/>
  <c r="R211" i="1"/>
  <c r="O213" i="1"/>
  <c r="D200" i="1"/>
  <c r="F198" i="1"/>
  <c r="C200" i="1"/>
  <c r="G199" i="1"/>
  <c r="B199" i="1"/>
  <c r="E199" i="1"/>
  <c r="AQ213" i="1" l="1"/>
  <c r="AR213" i="1"/>
  <c r="AS213" i="1"/>
  <c r="AT213" i="1"/>
  <c r="AU213" i="1"/>
  <c r="AO213" i="1"/>
  <c r="AH213" i="1"/>
  <c r="AI213" i="1"/>
  <c r="AE213" i="1"/>
  <c r="AG213" i="1"/>
  <c r="AC213" i="1"/>
  <c r="AF213" i="1"/>
  <c r="Q213" i="1"/>
  <c r="T213" i="1"/>
  <c r="U213" i="1"/>
  <c r="V213" i="1"/>
  <c r="W213" i="1"/>
  <c r="S213" i="1"/>
  <c r="K200" i="1"/>
  <c r="J200" i="1"/>
  <c r="BC214" i="1"/>
  <c r="BD214" i="1"/>
  <c r="BE214" i="1"/>
  <c r="BF214" i="1"/>
  <c r="BG214" i="1"/>
  <c r="BA214" i="1"/>
  <c r="BS214" i="1"/>
  <c r="BM214" i="1"/>
  <c r="BQ214" i="1"/>
  <c r="BP214" i="1"/>
  <c r="BR214" i="1"/>
  <c r="BB213" i="1"/>
  <c r="BJ214" i="1"/>
  <c r="Z213" i="1"/>
  <c r="AX214" i="1"/>
  <c r="AL213" i="1"/>
  <c r="N213" i="1"/>
  <c r="BT213" i="1"/>
  <c r="BH213" i="1"/>
  <c r="X212" i="1"/>
  <c r="AJ212" i="1"/>
  <c r="AV212" i="1"/>
  <c r="BO214" i="1"/>
  <c r="AD212" i="1"/>
  <c r="I200" i="1"/>
  <c r="H200" i="1"/>
  <c r="L199" i="1"/>
  <c r="BN213" i="1"/>
  <c r="BK215" i="1"/>
  <c r="AY215" i="1"/>
  <c r="AM214" i="1"/>
  <c r="AP212" i="1"/>
  <c r="AA214" i="1"/>
  <c r="O214" i="1"/>
  <c r="R212" i="1"/>
  <c r="D201" i="1"/>
  <c r="C201" i="1"/>
  <c r="G200" i="1"/>
  <c r="B200" i="1"/>
  <c r="E200" i="1"/>
  <c r="F199" i="1"/>
  <c r="AS214" i="1" l="1"/>
  <c r="AT214" i="1"/>
  <c r="AU214" i="1"/>
  <c r="AR214" i="1"/>
  <c r="AO214" i="1"/>
  <c r="AQ214" i="1"/>
  <c r="AE214" i="1"/>
  <c r="AF214" i="1"/>
  <c r="AG214" i="1"/>
  <c r="AH214" i="1"/>
  <c r="AI214" i="1"/>
  <c r="AC214" i="1"/>
  <c r="Q214" i="1"/>
  <c r="W214" i="1"/>
  <c r="S214" i="1"/>
  <c r="T214" i="1"/>
  <c r="V214" i="1"/>
  <c r="U214" i="1"/>
  <c r="K201" i="1"/>
  <c r="J201" i="1"/>
  <c r="BB214" i="1"/>
  <c r="BF215" i="1"/>
  <c r="BG215" i="1"/>
  <c r="BC215" i="1"/>
  <c r="BE215" i="1"/>
  <c r="BA215" i="1"/>
  <c r="BD215" i="1"/>
  <c r="BP215" i="1"/>
  <c r="BQ215" i="1"/>
  <c r="BR215" i="1"/>
  <c r="BS215" i="1"/>
  <c r="BM215" i="1"/>
  <c r="BJ215" i="1"/>
  <c r="Z214" i="1"/>
  <c r="AX215" i="1"/>
  <c r="AL214" i="1"/>
  <c r="N214" i="1"/>
  <c r="BT214" i="1"/>
  <c r="BH214" i="1"/>
  <c r="X213" i="1"/>
  <c r="AJ213" i="1"/>
  <c r="AV213" i="1"/>
  <c r="BO215" i="1"/>
  <c r="AD213" i="1"/>
  <c r="I201" i="1"/>
  <c r="H201" i="1"/>
  <c r="L200" i="1"/>
  <c r="BN214" i="1"/>
  <c r="BK216" i="1"/>
  <c r="AY216" i="1"/>
  <c r="AM215" i="1"/>
  <c r="AP213" i="1"/>
  <c r="AA215" i="1"/>
  <c r="O215" i="1"/>
  <c r="R213" i="1"/>
  <c r="D202" i="1"/>
  <c r="F200" i="1"/>
  <c r="C202" i="1"/>
  <c r="G201" i="1"/>
  <c r="B201" i="1"/>
  <c r="E201" i="1"/>
  <c r="BB215" i="1" l="1"/>
  <c r="AQ215" i="1"/>
  <c r="AR215" i="1"/>
  <c r="AS215" i="1"/>
  <c r="AU215" i="1"/>
  <c r="AO215" i="1"/>
  <c r="AT215" i="1"/>
  <c r="AF215" i="1"/>
  <c r="AG215" i="1"/>
  <c r="AH215" i="1"/>
  <c r="AI215" i="1"/>
  <c r="AE215" i="1"/>
  <c r="AC215" i="1"/>
  <c r="Q215" i="1"/>
  <c r="S215" i="1"/>
  <c r="T215" i="1"/>
  <c r="U215" i="1"/>
  <c r="V215" i="1"/>
  <c r="W215" i="1"/>
  <c r="K202" i="1"/>
  <c r="J202" i="1"/>
  <c r="BC216" i="1"/>
  <c r="BD216" i="1"/>
  <c r="BE216" i="1"/>
  <c r="BF216" i="1"/>
  <c r="BG216" i="1"/>
  <c r="BA216" i="1"/>
  <c r="BS216" i="1"/>
  <c r="BP216" i="1"/>
  <c r="BM216" i="1"/>
  <c r="BR216" i="1"/>
  <c r="BQ216" i="1"/>
  <c r="BJ216" i="1"/>
  <c r="Z215" i="1"/>
  <c r="AX216" i="1"/>
  <c r="AL215" i="1"/>
  <c r="N215" i="1"/>
  <c r="BT215" i="1"/>
  <c r="BH215" i="1"/>
  <c r="X214" i="1"/>
  <c r="AJ214" i="1"/>
  <c r="AV214" i="1"/>
  <c r="BO216" i="1"/>
  <c r="AD214" i="1"/>
  <c r="I202" i="1"/>
  <c r="H202" i="1"/>
  <c r="L201" i="1"/>
  <c r="BN215" i="1"/>
  <c r="R214" i="1"/>
  <c r="BK217" i="1"/>
  <c r="AY217" i="1"/>
  <c r="AM216" i="1"/>
  <c r="AP214" i="1"/>
  <c r="AA216" i="1"/>
  <c r="O216" i="1"/>
  <c r="D203" i="1"/>
  <c r="C203" i="1"/>
  <c r="G202" i="1"/>
  <c r="B202" i="1"/>
  <c r="E202" i="1"/>
  <c r="F201" i="1"/>
  <c r="AQ216" i="1" l="1"/>
  <c r="AR216" i="1"/>
  <c r="AS216" i="1"/>
  <c r="AT216" i="1"/>
  <c r="AU216" i="1"/>
  <c r="AO216" i="1"/>
  <c r="AI216" i="1"/>
  <c r="AE216" i="1"/>
  <c r="AF216" i="1"/>
  <c r="AH216" i="1"/>
  <c r="AC216" i="1"/>
  <c r="AG216" i="1"/>
  <c r="Q216" i="1"/>
  <c r="U216" i="1"/>
  <c r="V216" i="1"/>
  <c r="W216" i="1"/>
  <c r="T216" i="1"/>
  <c r="S216" i="1"/>
  <c r="K203" i="1"/>
  <c r="J203" i="1"/>
  <c r="BD217" i="1"/>
  <c r="BE217" i="1"/>
  <c r="BF217" i="1"/>
  <c r="BG217" i="1"/>
  <c r="BC217" i="1"/>
  <c r="BA217" i="1"/>
  <c r="BP217" i="1"/>
  <c r="BQ217" i="1"/>
  <c r="BR217" i="1"/>
  <c r="BS217" i="1"/>
  <c r="BM217" i="1"/>
  <c r="BJ217" i="1"/>
  <c r="Z216" i="1"/>
  <c r="AX217" i="1"/>
  <c r="AL216" i="1"/>
  <c r="N216" i="1"/>
  <c r="BB216" i="1"/>
  <c r="BT216" i="1"/>
  <c r="BH216" i="1"/>
  <c r="BN216" i="1"/>
  <c r="X215" i="1"/>
  <c r="AJ215" i="1"/>
  <c r="AV215" i="1"/>
  <c r="BO217" i="1"/>
  <c r="AD215" i="1"/>
  <c r="I203" i="1"/>
  <c r="H203" i="1"/>
  <c r="L202" i="1"/>
  <c r="BK218" i="1"/>
  <c r="AY218" i="1"/>
  <c r="AM217" i="1"/>
  <c r="AP215" i="1"/>
  <c r="AA217" i="1"/>
  <c r="O217" i="1"/>
  <c r="R215" i="1"/>
  <c r="D204" i="1"/>
  <c r="F202" i="1"/>
  <c r="C204" i="1"/>
  <c r="G203" i="1"/>
  <c r="B203" i="1"/>
  <c r="E203" i="1"/>
  <c r="AT217" i="1" l="1"/>
  <c r="AU217" i="1"/>
  <c r="AQ217" i="1"/>
  <c r="AS217" i="1"/>
  <c r="AO217" i="1"/>
  <c r="AR217" i="1"/>
  <c r="AE217" i="1"/>
  <c r="AF217" i="1"/>
  <c r="AG217" i="1"/>
  <c r="AH217" i="1"/>
  <c r="AI217" i="1"/>
  <c r="AC217" i="1"/>
  <c r="Q217" i="1"/>
  <c r="S217" i="1"/>
  <c r="T217" i="1"/>
  <c r="U217" i="1"/>
  <c r="W217" i="1"/>
  <c r="V217" i="1"/>
  <c r="K204" i="1"/>
  <c r="J204" i="1"/>
  <c r="BG218" i="1"/>
  <c r="BC218" i="1"/>
  <c r="BD218" i="1"/>
  <c r="BF218" i="1"/>
  <c r="BE218" i="1"/>
  <c r="BA218" i="1"/>
  <c r="BB217" i="1"/>
  <c r="BS218" i="1"/>
  <c r="BQ218" i="1"/>
  <c r="BP218" i="1"/>
  <c r="BR218" i="1"/>
  <c r="BM218" i="1"/>
  <c r="BJ218" i="1"/>
  <c r="Z217" i="1"/>
  <c r="AX218" i="1"/>
  <c r="AL217" i="1"/>
  <c r="N217" i="1"/>
  <c r="BT217" i="1"/>
  <c r="BH217" i="1"/>
  <c r="BN217" i="1"/>
  <c r="X216" i="1"/>
  <c r="AJ216" i="1"/>
  <c r="AV216" i="1"/>
  <c r="AD216" i="1"/>
  <c r="BO218" i="1"/>
  <c r="H204" i="1"/>
  <c r="I204" i="1"/>
  <c r="L203" i="1"/>
  <c r="BK219" i="1"/>
  <c r="AY219" i="1"/>
  <c r="AP216" i="1"/>
  <c r="AM218" i="1"/>
  <c r="AA218" i="1"/>
  <c r="R216" i="1"/>
  <c r="O218" i="1"/>
  <c r="D205" i="1"/>
  <c r="C205" i="1"/>
  <c r="G204" i="1"/>
  <c r="B204" i="1"/>
  <c r="E204" i="1"/>
  <c r="F203" i="1"/>
  <c r="BB218" i="1" l="1"/>
  <c r="AQ218" i="1"/>
  <c r="AR218" i="1"/>
  <c r="AS218" i="1"/>
  <c r="AT218" i="1"/>
  <c r="AO218" i="1"/>
  <c r="AU218" i="1"/>
  <c r="AG218" i="1"/>
  <c r="AH218" i="1"/>
  <c r="AI218" i="1"/>
  <c r="AF218" i="1"/>
  <c r="AE218" i="1"/>
  <c r="AC218" i="1"/>
  <c r="Q218" i="1"/>
  <c r="S218" i="1"/>
  <c r="T218" i="1"/>
  <c r="U218" i="1"/>
  <c r="V218" i="1"/>
  <c r="W218" i="1"/>
  <c r="J205" i="1"/>
  <c r="K205" i="1"/>
  <c r="BC219" i="1"/>
  <c r="BD219" i="1"/>
  <c r="BE219" i="1"/>
  <c r="BF219" i="1"/>
  <c r="BG219" i="1"/>
  <c r="BA219" i="1"/>
  <c r="BB219" i="1" s="1"/>
  <c r="BM219" i="1"/>
  <c r="BP219" i="1"/>
  <c r="BQ219" i="1"/>
  <c r="BR219" i="1"/>
  <c r="BS219" i="1"/>
  <c r="BN218" i="1"/>
  <c r="Z218" i="1"/>
  <c r="BJ219" i="1"/>
  <c r="AX219" i="1"/>
  <c r="AL218" i="1"/>
  <c r="N218" i="1"/>
  <c r="BT218" i="1"/>
  <c r="BH218" i="1"/>
  <c r="X217" i="1"/>
  <c r="AJ217" i="1"/>
  <c r="AV217" i="1"/>
  <c r="BO219" i="1"/>
  <c r="AD217" i="1"/>
  <c r="I205" i="1"/>
  <c r="H205" i="1"/>
  <c r="L204" i="1"/>
  <c r="BK220" i="1"/>
  <c r="AY220" i="1"/>
  <c r="AP217" i="1"/>
  <c r="AM219" i="1"/>
  <c r="AA219" i="1"/>
  <c r="R217" i="1"/>
  <c r="O219" i="1"/>
  <c r="D206" i="1"/>
  <c r="F204" i="1"/>
  <c r="C206" i="1"/>
  <c r="G205" i="1"/>
  <c r="E205" i="1"/>
  <c r="B205" i="1"/>
  <c r="AR219" i="1" l="1"/>
  <c r="AS219" i="1"/>
  <c r="AT219" i="1"/>
  <c r="AU219" i="1"/>
  <c r="AQ219" i="1"/>
  <c r="AO219" i="1"/>
  <c r="AE219" i="1"/>
  <c r="AF219" i="1"/>
  <c r="AG219" i="1"/>
  <c r="AI219" i="1"/>
  <c r="AH219" i="1"/>
  <c r="AC219" i="1"/>
  <c r="Q219" i="1"/>
  <c r="V219" i="1"/>
  <c r="W219" i="1"/>
  <c r="S219" i="1"/>
  <c r="U219" i="1"/>
  <c r="T219" i="1"/>
  <c r="J206" i="1"/>
  <c r="K206" i="1"/>
  <c r="BE220" i="1"/>
  <c r="BF220" i="1"/>
  <c r="BG220" i="1"/>
  <c r="BD220" i="1"/>
  <c r="BC220" i="1"/>
  <c r="BA220" i="1"/>
  <c r="BS220" i="1"/>
  <c r="BM220" i="1"/>
  <c r="BQ220" i="1"/>
  <c r="BP220" i="1"/>
  <c r="BR220" i="1"/>
  <c r="BN219" i="1"/>
  <c r="BJ220" i="1"/>
  <c r="Z219" i="1"/>
  <c r="AX220" i="1"/>
  <c r="AL219" i="1"/>
  <c r="N219" i="1"/>
  <c r="BT219" i="1"/>
  <c r="BH219" i="1"/>
  <c r="X218" i="1"/>
  <c r="AJ218" i="1"/>
  <c r="AV218" i="1"/>
  <c r="BO220" i="1"/>
  <c r="AD218" i="1"/>
  <c r="H206" i="1"/>
  <c r="I206" i="1"/>
  <c r="L205" i="1"/>
  <c r="BK221" i="1"/>
  <c r="AY221" i="1"/>
  <c r="AM220" i="1"/>
  <c r="AP218" i="1"/>
  <c r="AA220" i="1"/>
  <c r="O220" i="1"/>
  <c r="R218" i="1"/>
  <c r="D207" i="1"/>
  <c r="C207" i="1"/>
  <c r="G206" i="1"/>
  <c r="E206" i="1"/>
  <c r="B206" i="1"/>
  <c r="F205" i="1"/>
  <c r="BN220" i="1" l="1"/>
  <c r="AU220" i="1"/>
  <c r="AQ220" i="1"/>
  <c r="AR220" i="1"/>
  <c r="AT220" i="1"/>
  <c r="AS220" i="1"/>
  <c r="AO220" i="1"/>
  <c r="AE220" i="1"/>
  <c r="AF220" i="1"/>
  <c r="AG220" i="1"/>
  <c r="AH220" i="1"/>
  <c r="AI220" i="1"/>
  <c r="AC220" i="1"/>
  <c r="Q220" i="1"/>
  <c r="S220" i="1"/>
  <c r="T220" i="1"/>
  <c r="U220" i="1"/>
  <c r="V220" i="1"/>
  <c r="W220" i="1"/>
  <c r="J207" i="1"/>
  <c r="K207" i="1"/>
  <c r="BC221" i="1"/>
  <c r="BD221" i="1"/>
  <c r="BE221" i="1"/>
  <c r="BG221" i="1"/>
  <c r="BA221" i="1"/>
  <c r="BF221" i="1"/>
  <c r="BP221" i="1"/>
  <c r="BQ221" i="1"/>
  <c r="BM221" i="1"/>
  <c r="BR221" i="1"/>
  <c r="BS221" i="1"/>
  <c r="BJ221" i="1"/>
  <c r="AX221" i="1"/>
  <c r="AL220" i="1"/>
  <c r="Z220" i="1"/>
  <c r="N220" i="1"/>
  <c r="BB220" i="1"/>
  <c r="BT220" i="1"/>
  <c r="BH220" i="1"/>
  <c r="X219" i="1"/>
  <c r="AJ219" i="1"/>
  <c r="AV219" i="1"/>
  <c r="BO221" i="1"/>
  <c r="AD219" i="1"/>
  <c r="H207" i="1"/>
  <c r="I207" i="1"/>
  <c r="L206" i="1"/>
  <c r="AP219" i="1"/>
  <c r="R219" i="1"/>
  <c r="BK222" i="1"/>
  <c r="AY222" i="1"/>
  <c r="AM221" i="1"/>
  <c r="AA221" i="1"/>
  <c r="O221" i="1"/>
  <c r="D208" i="1"/>
  <c r="F206" i="1"/>
  <c r="C208" i="1"/>
  <c r="G207" i="1"/>
  <c r="B207" i="1"/>
  <c r="E207" i="1"/>
  <c r="AQ221" i="1" l="1"/>
  <c r="AR221" i="1"/>
  <c r="AS221" i="1"/>
  <c r="AT221" i="1"/>
  <c r="AU221" i="1"/>
  <c r="AO221" i="1"/>
  <c r="AH221" i="1"/>
  <c r="AI221" i="1"/>
  <c r="AE221" i="1"/>
  <c r="AG221" i="1"/>
  <c r="AF221" i="1"/>
  <c r="AC221" i="1"/>
  <c r="Q221" i="1"/>
  <c r="T221" i="1"/>
  <c r="U221" i="1"/>
  <c r="V221" i="1"/>
  <c r="W221" i="1"/>
  <c r="S221" i="1"/>
  <c r="K208" i="1"/>
  <c r="J208" i="1"/>
  <c r="BC222" i="1"/>
  <c r="BD222" i="1"/>
  <c r="BE222" i="1"/>
  <c r="BF222" i="1"/>
  <c r="BG222" i="1"/>
  <c r="BA222" i="1"/>
  <c r="BS222" i="1"/>
  <c r="BM222" i="1"/>
  <c r="BP222" i="1"/>
  <c r="BQ222" i="1"/>
  <c r="BR222" i="1"/>
  <c r="BJ222" i="1"/>
  <c r="Z221" i="1"/>
  <c r="AX222" i="1"/>
  <c r="AL221" i="1"/>
  <c r="N221" i="1"/>
  <c r="BB221" i="1"/>
  <c r="BN221" i="1"/>
  <c r="BT221" i="1"/>
  <c r="BH221" i="1"/>
  <c r="X220" i="1"/>
  <c r="AJ220" i="1"/>
  <c r="AV220" i="1"/>
  <c r="BO222" i="1"/>
  <c r="AD220" i="1"/>
  <c r="I208" i="1"/>
  <c r="H208" i="1"/>
  <c r="L207" i="1"/>
  <c r="BK223" i="1"/>
  <c r="AY223" i="1"/>
  <c r="AM222" i="1"/>
  <c r="AP220" i="1"/>
  <c r="AA222" i="1"/>
  <c r="O222" i="1"/>
  <c r="R220" i="1"/>
  <c r="D209" i="1"/>
  <c r="C209" i="1"/>
  <c r="G208" i="1"/>
  <c r="B208" i="1"/>
  <c r="E208" i="1"/>
  <c r="F207" i="1"/>
  <c r="AS222" i="1" l="1"/>
  <c r="AT222" i="1"/>
  <c r="AU222" i="1"/>
  <c r="AR222" i="1"/>
  <c r="AO222" i="1"/>
  <c r="AQ222" i="1"/>
  <c r="AE222" i="1"/>
  <c r="AF222" i="1"/>
  <c r="AG222" i="1"/>
  <c r="AH222" i="1"/>
  <c r="AC222" i="1"/>
  <c r="AI222" i="1"/>
  <c r="Q222" i="1"/>
  <c r="W222" i="1"/>
  <c r="S222" i="1"/>
  <c r="T222" i="1"/>
  <c r="V222" i="1"/>
  <c r="U222" i="1"/>
  <c r="K209" i="1"/>
  <c r="J209" i="1"/>
  <c r="BF223" i="1"/>
  <c r="BG223" i="1"/>
  <c r="BC223" i="1"/>
  <c r="BE223" i="1"/>
  <c r="BA223" i="1"/>
  <c r="BD223" i="1"/>
  <c r="BB222" i="1"/>
  <c r="BP223" i="1"/>
  <c r="BQ223" i="1"/>
  <c r="BR223" i="1"/>
  <c r="BS223" i="1"/>
  <c r="BM223" i="1"/>
  <c r="BJ223" i="1"/>
  <c r="Z222" i="1"/>
  <c r="AX223" i="1"/>
  <c r="AL222" i="1"/>
  <c r="N222" i="1"/>
  <c r="BN222" i="1"/>
  <c r="BT222" i="1"/>
  <c r="BH222" i="1"/>
  <c r="X221" i="1"/>
  <c r="AJ221" i="1"/>
  <c r="AV221" i="1"/>
  <c r="BO223" i="1"/>
  <c r="AD221" i="1"/>
  <c r="I209" i="1"/>
  <c r="H209" i="1"/>
  <c r="L208" i="1"/>
  <c r="R221" i="1"/>
  <c r="BK224" i="1"/>
  <c r="AY224" i="1"/>
  <c r="AM223" i="1"/>
  <c r="AP221" i="1"/>
  <c r="AA223" i="1"/>
  <c r="O223" i="1"/>
  <c r="D210" i="1"/>
  <c r="F208" i="1"/>
  <c r="C210" i="1"/>
  <c r="G209" i="1"/>
  <c r="B209" i="1"/>
  <c r="E209" i="1"/>
  <c r="AQ223" i="1" l="1"/>
  <c r="AR223" i="1"/>
  <c r="AS223" i="1"/>
  <c r="AU223" i="1"/>
  <c r="AO223" i="1"/>
  <c r="AT223" i="1"/>
  <c r="AF223" i="1"/>
  <c r="AG223" i="1"/>
  <c r="AH223" i="1"/>
  <c r="AI223" i="1"/>
  <c r="AE223" i="1"/>
  <c r="AC223" i="1"/>
  <c r="Q223" i="1"/>
  <c r="S223" i="1"/>
  <c r="T223" i="1"/>
  <c r="U223" i="1"/>
  <c r="V223" i="1"/>
  <c r="W223" i="1"/>
  <c r="K210" i="1"/>
  <c r="J210" i="1"/>
  <c r="BC224" i="1"/>
  <c r="BD224" i="1"/>
  <c r="BE224" i="1"/>
  <c r="BF224" i="1"/>
  <c r="BA224" i="1"/>
  <c r="BG224" i="1"/>
  <c r="BS224" i="1"/>
  <c r="BQ224" i="1"/>
  <c r="BP224" i="1"/>
  <c r="BM224" i="1"/>
  <c r="BR224" i="1"/>
  <c r="BJ224" i="1"/>
  <c r="Z223" i="1"/>
  <c r="AX224" i="1"/>
  <c r="AL223" i="1"/>
  <c r="N223" i="1"/>
  <c r="BN223" i="1"/>
  <c r="BB223" i="1"/>
  <c r="BT223" i="1"/>
  <c r="BH223" i="1"/>
  <c r="X222" i="1"/>
  <c r="AJ222" i="1"/>
  <c r="AV222" i="1"/>
  <c r="BO224" i="1"/>
  <c r="AD222" i="1"/>
  <c r="I210" i="1"/>
  <c r="H210" i="1"/>
  <c r="L209" i="1"/>
  <c r="R222" i="1"/>
  <c r="BK225" i="1"/>
  <c r="AY225" i="1"/>
  <c r="AM224" i="1"/>
  <c r="AP222" i="1"/>
  <c r="AA224" i="1"/>
  <c r="O224" i="1"/>
  <c r="D211" i="1"/>
  <c r="C211" i="1"/>
  <c r="G210" i="1"/>
  <c r="B210" i="1"/>
  <c r="E210" i="1"/>
  <c r="F209" i="1"/>
  <c r="AQ224" i="1" l="1"/>
  <c r="AR224" i="1"/>
  <c r="AS224" i="1"/>
  <c r="AT224" i="1"/>
  <c r="AU224" i="1"/>
  <c r="AO224" i="1"/>
  <c r="AI224" i="1"/>
  <c r="AE224" i="1"/>
  <c r="AF224" i="1"/>
  <c r="AH224" i="1"/>
  <c r="AC224" i="1"/>
  <c r="AG224" i="1"/>
  <c r="Q224" i="1"/>
  <c r="W224" i="1"/>
  <c r="S224" i="1"/>
  <c r="T224" i="1"/>
  <c r="V224" i="1"/>
  <c r="U224" i="1"/>
  <c r="K211" i="1"/>
  <c r="J211" i="1"/>
  <c r="BD225" i="1"/>
  <c r="BE225" i="1"/>
  <c r="BF225" i="1"/>
  <c r="BG225" i="1"/>
  <c r="BC225" i="1"/>
  <c r="BA225" i="1"/>
  <c r="BP225" i="1"/>
  <c r="BQ225" i="1"/>
  <c r="BR225" i="1"/>
  <c r="BS225" i="1"/>
  <c r="BM225" i="1"/>
  <c r="BB224" i="1"/>
  <c r="BJ225" i="1"/>
  <c r="Z224" i="1"/>
  <c r="AX225" i="1"/>
  <c r="AL224" i="1"/>
  <c r="N224" i="1"/>
  <c r="BN224" i="1"/>
  <c r="BT224" i="1"/>
  <c r="BH224" i="1"/>
  <c r="X223" i="1"/>
  <c r="AJ223" i="1"/>
  <c r="AV223" i="1"/>
  <c r="L210" i="1"/>
  <c r="BO225" i="1"/>
  <c r="AD223" i="1"/>
  <c r="I211" i="1"/>
  <c r="H211" i="1"/>
  <c r="BK226" i="1"/>
  <c r="AY226" i="1"/>
  <c r="AM225" i="1"/>
  <c r="AP223" i="1"/>
  <c r="AA225" i="1"/>
  <c r="O225" i="1"/>
  <c r="R223" i="1"/>
  <c r="D212" i="1"/>
  <c r="F210" i="1"/>
  <c r="C212" i="1"/>
  <c r="G211" i="1"/>
  <c r="B211" i="1"/>
  <c r="E211" i="1"/>
  <c r="AT225" i="1" l="1"/>
  <c r="AU225" i="1"/>
  <c r="AQ225" i="1"/>
  <c r="AS225" i="1"/>
  <c r="AO225" i="1"/>
  <c r="AR225" i="1"/>
  <c r="AE225" i="1"/>
  <c r="AF225" i="1"/>
  <c r="AG225" i="1"/>
  <c r="AH225" i="1"/>
  <c r="AI225" i="1"/>
  <c r="AC225" i="1"/>
  <c r="Q225" i="1"/>
  <c r="S225" i="1"/>
  <c r="T225" i="1"/>
  <c r="U225" i="1"/>
  <c r="V225" i="1"/>
  <c r="W225" i="1"/>
  <c r="K212" i="1"/>
  <c r="J212" i="1"/>
  <c r="BG226" i="1"/>
  <c r="BC226" i="1"/>
  <c r="BD226" i="1"/>
  <c r="BF226" i="1"/>
  <c r="BE226" i="1"/>
  <c r="BA226" i="1"/>
  <c r="BS226" i="1"/>
  <c r="BQ226" i="1"/>
  <c r="BP226" i="1"/>
  <c r="BR226" i="1"/>
  <c r="BM226" i="1"/>
  <c r="BN225" i="1"/>
  <c r="BJ226" i="1"/>
  <c r="Z225" i="1"/>
  <c r="AX226" i="1"/>
  <c r="AL225" i="1"/>
  <c r="N225" i="1"/>
  <c r="BB225" i="1"/>
  <c r="BT225" i="1"/>
  <c r="BH225" i="1"/>
  <c r="X224" i="1"/>
  <c r="AJ224" i="1"/>
  <c r="AV224" i="1"/>
  <c r="AD224" i="1"/>
  <c r="BO226" i="1"/>
  <c r="H212" i="1"/>
  <c r="I212" i="1"/>
  <c r="L211" i="1"/>
  <c r="BK227" i="1"/>
  <c r="AY227" i="1"/>
  <c r="AP224" i="1"/>
  <c r="AM226" i="1"/>
  <c r="AA226" i="1"/>
  <c r="R224" i="1"/>
  <c r="O226" i="1"/>
  <c r="D213" i="1"/>
  <c r="C213" i="1"/>
  <c r="G212" i="1"/>
  <c r="B212" i="1"/>
  <c r="E212" i="1"/>
  <c r="F211" i="1"/>
  <c r="AQ226" i="1" l="1"/>
  <c r="AR226" i="1"/>
  <c r="AS226" i="1"/>
  <c r="AT226" i="1"/>
  <c r="AU226" i="1"/>
  <c r="AO226" i="1"/>
  <c r="AG226" i="1"/>
  <c r="AH226" i="1"/>
  <c r="AI226" i="1"/>
  <c r="AF226" i="1"/>
  <c r="AC226" i="1"/>
  <c r="AE226" i="1"/>
  <c r="Q226" i="1"/>
  <c r="U226" i="1"/>
  <c r="V226" i="1"/>
  <c r="W226" i="1"/>
  <c r="T226" i="1"/>
  <c r="S226" i="1"/>
  <c r="J213" i="1"/>
  <c r="K213" i="1"/>
  <c r="BC227" i="1"/>
  <c r="BD227" i="1"/>
  <c r="BE227" i="1"/>
  <c r="BF227" i="1"/>
  <c r="BG227" i="1"/>
  <c r="BA227" i="1"/>
  <c r="BM227" i="1"/>
  <c r="BP227" i="1"/>
  <c r="BQ227" i="1"/>
  <c r="BR227" i="1"/>
  <c r="BS227" i="1"/>
  <c r="BJ227" i="1"/>
  <c r="BB226" i="1"/>
  <c r="Z226" i="1"/>
  <c r="AX227" i="1"/>
  <c r="AL226" i="1"/>
  <c r="N226" i="1"/>
  <c r="BN226" i="1"/>
  <c r="BT226" i="1"/>
  <c r="BH226" i="1"/>
  <c r="X225" i="1"/>
  <c r="AJ225" i="1"/>
  <c r="AV225" i="1"/>
  <c r="BO227" i="1"/>
  <c r="AD225" i="1"/>
  <c r="H213" i="1"/>
  <c r="I213" i="1"/>
  <c r="L212" i="1"/>
  <c r="BK228" i="1"/>
  <c r="AY228" i="1"/>
  <c r="AM227" i="1"/>
  <c r="AP225" i="1"/>
  <c r="AA227" i="1"/>
  <c r="O227" i="1"/>
  <c r="R225" i="1"/>
  <c r="D214" i="1"/>
  <c r="F212" i="1"/>
  <c r="C214" i="1"/>
  <c r="G213" i="1"/>
  <c r="B213" i="1"/>
  <c r="E213" i="1"/>
  <c r="AR227" i="1" l="1"/>
  <c r="AS227" i="1"/>
  <c r="AT227" i="1"/>
  <c r="AU227" i="1"/>
  <c r="AQ227" i="1"/>
  <c r="AO227" i="1"/>
  <c r="AE227" i="1"/>
  <c r="AF227" i="1"/>
  <c r="AG227" i="1"/>
  <c r="AI227" i="1"/>
  <c r="AH227" i="1"/>
  <c r="AC227" i="1"/>
  <c r="Q227" i="1"/>
  <c r="W227" i="1"/>
  <c r="S227" i="1"/>
  <c r="T227" i="1"/>
  <c r="U227" i="1"/>
  <c r="V227" i="1"/>
  <c r="J214" i="1"/>
  <c r="K214" i="1"/>
  <c r="BE228" i="1"/>
  <c r="BF228" i="1"/>
  <c r="BG228" i="1"/>
  <c r="BD228" i="1"/>
  <c r="BC228" i="1"/>
  <c r="BA228" i="1"/>
  <c r="BS228" i="1"/>
  <c r="BM228" i="1"/>
  <c r="BP228" i="1"/>
  <c r="BR228" i="1"/>
  <c r="BQ228" i="1"/>
  <c r="BB227" i="1"/>
  <c r="BJ228" i="1"/>
  <c r="Z227" i="1"/>
  <c r="AX228" i="1"/>
  <c r="AL227" i="1"/>
  <c r="N227" i="1"/>
  <c r="BN227" i="1"/>
  <c r="BT227" i="1"/>
  <c r="BH227" i="1"/>
  <c r="X226" i="1"/>
  <c r="AJ226" i="1"/>
  <c r="AV226" i="1"/>
  <c r="BO228" i="1"/>
  <c r="AD226" i="1"/>
  <c r="H214" i="1"/>
  <c r="I214" i="1"/>
  <c r="L213" i="1"/>
  <c r="BK229" i="1"/>
  <c r="AY229" i="1"/>
  <c r="AM228" i="1"/>
  <c r="AP226" i="1"/>
  <c r="AA228" i="1"/>
  <c r="O228" i="1"/>
  <c r="R226" i="1"/>
  <c r="D215" i="1"/>
  <c r="C215" i="1"/>
  <c r="G214" i="1"/>
  <c r="E214" i="1"/>
  <c r="B214" i="1"/>
  <c r="F213" i="1"/>
  <c r="AU228" i="1" l="1"/>
  <c r="AQ228" i="1"/>
  <c r="AR228" i="1"/>
  <c r="AT228" i="1"/>
  <c r="AS228" i="1"/>
  <c r="AO228" i="1"/>
  <c r="AE228" i="1"/>
  <c r="AF228" i="1"/>
  <c r="AG228" i="1"/>
  <c r="AH228" i="1"/>
  <c r="AI228" i="1"/>
  <c r="AC228" i="1"/>
  <c r="Q228" i="1"/>
  <c r="S228" i="1"/>
  <c r="T228" i="1"/>
  <c r="U228" i="1"/>
  <c r="V228" i="1"/>
  <c r="W228" i="1"/>
  <c r="J215" i="1"/>
  <c r="K215" i="1"/>
  <c r="BC229" i="1"/>
  <c r="BD229" i="1"/>
  <c r="BE229" i="1"/>
  <c r="BG229" i="1"/>
  <c r="BF229" i="1"/>
  <c r="BA229" i="1"/>
  <c r="BB228" i="1"/>
  <c r="BP229" i="1"/>
  <c r="BQ229" i="1"/>
  <c r="BM229" i="1"/>
  <c r="BR229" i="1"/>
  <c r="BS229" i="1"/>
  <c r="BJ229" i="1"/>
  <c r="Z228" i="1"/>
  <c r="AX229" i="1"/>
  <c r="AL228" i="1"/>
  <c r="N228" i="1"/>
  <c r="BN228" i="1"/>
  <c r="BT228" i="1"/>
  <c r="BH228" i="1"/>
  <c r="X227" i="1"/>
  <c r="AJ227" i="1"/>
  <c r="AV227" i="1"/>
  <c r="BO229" i="1"/>
  <c r="AD227" i="1"/>
  <c r="H215" i="1"/>
  <c r="I215" i="1"/>
  <c r="L214" i="1"/>
  <c r="AP227" i="1"/>
  <c r="BK230" i="1"/>
  <c r="AY230" i="1"/>
  <c r="AM229" i="1"/>
  <c r="AA229" i="1"/>
  <c r="R227" i="1"/>
  <c r="O229" i="1"/>
  <c r="D216" i="1"/>
  <c r="F214" i="1"/>
  <c r="C216" i="1"/>
  <c r="G215" i="1"/>
  <c r="B215" i="1"/>
  <c r="E215" i="1"/>
  <c r="BB229" i="1" l="1"/>
  <c r="AQ229" i="1"/>
  <c r="AR229" i="1"/>
  <c r="AS229" i="1"/>
  <c r="AT229" i="1"/>
  <c r="AU229" i="1"/>
  <c r="AO229" i="1"/>
  <c r="AH229" i="1"/>
  <c r="AI229" i="1"/>
  <c r="AE229" i="1"/>
  <c r="AG229" i="1"/>
  <c r="AF229" i="1"/>
  <c r="AC229" i="1"/>
  <c r="Q229" i="1"/>
  <c r="V229" i="1"/>
  <c r="W229" i="1"/>
  <c r="S229" i="1"/>
  <c r="U229" i="1"/>
  <c r="T229" i="1"/>
  <c r="K216" i="1"/>
  <c r="J216" i="1"/>
  <c r="BC230" i="1"/>
  <c r="BD230" i="1"/>
  <c r="BE230" i="1"/>
  <c r="BF230" i="1"/>
  <c r="BG230" i="1"/>
  <c r="BA230" i="1"/>
  <c r="BS230" i="1"/>
  <c r="BQ230" i="1"/>
  <c r="BM230" i="1"/>
  <c r="BP230" i="1"/>
  <c r="BR230" i="1"/>
  <c r="BN229" i="1"/>
  <c r="BJ230" i="1"/>
  <c r="Z229" i="1"/>
  <c r="AX230" i="1"/>
  <c r="AL229" i="1"/>
  <c r="N229" i="1"/>
  <c r="BT229" i="1"/>
  <c r="BH229" i="1"/>
  <c r="X228" i="1"/>
  <c r="AJ228" i="1"/>
  <c r="AV228" i="1"/>
  <c r="BO230" i="1"/>
  <c r="AP228" i="1"/>
  <c r="AD228" i="1"/>
  <c r="I216" i="1"/>
  <c r="H216" i="1"/>
  <c r="L215" i="1"/>
  <c r="BK231" i="1"/>
  <c r="AY231" i="1"/>
  <c r="AM230" i="1"/>
  <c r="AA230" i="1"/>
  <c r="O230" i="1"/>
  <c r="R228" i="1"/>
  <c r="D217" i="1"/>
  <c r="C217" i="1"/>
  <c r="G216" i="1"/>
  <c r="B216" i="1"/>
  <c r="E216" i="1"/>
  <c r="F215" i="1"/>
  <c r="AS230" i="1" l="1"/>
  <c r="AT230" i="1"/>
  <c r="AU230" i="1"/>
  <c r="AR230" i="1"/>
  <c r="AO230" i="1"/>
  <c r="AQ230" i="1"/>
  <c r="AE230" i="1"/>
  <c r="AF230" i="1"/>
  <c r="AG230" i="1"/>
  <c r="AH230" i="1"/>
  <c r="AI230" i="1"/>
  <c r="AC230" i="1"/>
  <c r="Q230" i="1"/>
  <c r="S230" i="1"/>
  <c r="T230" i="1"/>
  <c r="U230" i="1"/>
  <c r="V230" i="1"/>
  <c r="W230" i="1"/>
  <c r="K217" i="1"/>
  <c r="J217" i="1"/>
  <c r="BF231" i="1"/>
  <c r="BG231" i="1"/>
  <c r="BC231" i="1"/>
  <c r="BE231" i="1"/>
  <c r="BD231" i="1"/>
  <c r="BA231" i="1"/>
  <c r="BP231" i="1"/>
  <c r="BQ231" i="1"/>
  <c r="BR231" i="1"/>
  <c r="BS231" i="1"/>
  <c r="BM231" i="1"/>
  <c r="BN230" i="1"/>
  <c r="BJ231" i="1"/>
  <c r="Z230" i="1"/>
  <c r="AX231" i="1"/>
  <c r="AL230" i="1"/>
  <c r="N230" i="1"/>
  <c r="BB230" i="1"/>
  <c r="BT230" i="1"/>
  <c r="BH230" i="1"/>
  <c r="X229" i="1"/>
  <c r="AJ229" i="1"/>
  <c r="AV229" i="1"/>
  <c r="AD229" i="1"/>
  <c r="BO231" i="1"/>
  <c r="AP229" i="1"/>
  <c r="I217" i="1"/>
  <c r="H217" i="1"/>
  <c r="L216" i="1"/>
  <c r="BK232" i="1"/>
  <c r="AY232" i="1"/>
  <c r="AM231" i="1"/>
  <c r="AA231" i="1"/>
  <c r="O231" i="1"/>
  <c r="R229" i="1"/>
  <c r="D218" i="1"/>
  <c r="F216" i="1"/>
  <c r="C218" i="1"/>
  <c r="G217" i="1"/>
  <c r="B217" i="1"/>
  <c r="E217" i="1"/>
  <c r="AQ231" i="1" l="1"/>
  <c r="AR231" i="1"/>
  <c r="AS231" i="1"/>
  <c r="AU231" i="1"/>
  <c r="AO231" i="1"/>
  <c r="AT231" i="1"/>
  <c r="AF231" i="1"/>
  <c r="AG231" i="1"/>
  <c r="AH231" i="1"/>
  <c r="AI231" i="1"/>
  <c r="AE231" i="1"/>
  <c r="AC231" i="1"/>
  <c r="Q231" i="1"/>
  <c r="T231" i="1"/>
  <c r="U231" i="1"/>
  <c r="V231" i="1"/>
  <c r="W231" i="1"/>
  <c r="S231" i="1"/>
  <c r="K218" i="1"/>
  <c r="J218" i="1"/>
  <c r="BC232" i="1"/>
  <c r="BD232" i="1"/>
  <c r="BE232" i="1"/>
  <c r="BF232" i="1"/>
  <c r="BG232" i="1"/>
  <c r="BA232" i="1"/>
  <c r="BB231" i="1"/>
  <c r="BS232" i="1"/>
  <c r="BQ232" i="1"/>
  <c r="BP232" i="1"/>
  <c r="BM232" i="1"/>
  <c r="BR232" i="1"/>
  <c r="BJ232" i="1"/>
  <c r="Z231" i="1"/>
  <c r="AX232" i="1"/>
  <c r="AL231" i="1"/>
  <c r="N231" i="1"/>
  <c r="BN231" i="1"/>
  <c r="BT231" i="1"/>
  <c r="BH231" i="1"/>
  <c r="X230" i="1"/>
  <c r="AJ230" i="1"/>
  <c r="AV230" i="1"/>
  <c r="AP230" i="1"/>
  <c r="BO232" i="1"/>
  <c r="AD230" i="1"/>
  <c r="I218" i="1"/>
  <c r="H218" i="1"/>
  <c r="L217" i="1"/>
  <c r="BK233" i="1"/>
  <c r="AY233" i="1"/>
  <c r="AM232" i="1"/>
  <c r="AA232" i="1"/>
  <c r="O232" i="1"/>
  <c r="R230" i="1"/>
  <c r="D219" i="1"/>
  <c r="C219" i="1"/>
  <c r="G218" i="1"/>
  <c r="B218" i="1"/>
  <c r="E218" i="1"/>
  <c r="F217" i="1"/>
  <c r="BB232" i="1" l="1"/>
  <c r="AQ232" i="1"/>
  <c r="AR232" i="1"/>
  <c r="AS232" i="1"/>
  <c r="AT232" i="1"/>
  <c r="AU232" i="1"/>
  <c r="AO232" i="1"/>
  <c r="AI232" i="1"/>
  <c r="AE232" i="1"/>
  <c r="AF232" i="1"/>
  <c r="AH232" i="1"/>
  <c r="AC232" i="1"/>
  <c r="AG232" i="1"/>
  <c r="Q232" i="1"/>
  <c r="W232" i="1"/>
  <c r="V232" i="1"/>
  <c r="S232" i="1"/>
  <c r="T232" i="1"/>
  <c r="U232" i="1"/>
  <c r="J219" i="1"/>
  <c r="K219" i="1"/>
  <c r="BD233" i="1"/>
  <c r="BE233" i="1"/>
  <c r="BF233" i="1"/>
  <c r="BG233" i="1"/>
  <c r="BC233" i="1"/>
  <c r="BA233" i="1"/>
  <c r="BP233" i="1"/>
  <c r="BQ233" i="1"/>
  <c r="BR233" i="1"/>
  <c r="BS233" i="1"/>
  <c r="BM233" i="1"/>
  <c r="BN232" i="1"/>
  <c r="BJ233" i="1"/>
  <c r="AP231" i="1"/>
  <c r="Z232" i="1"/>
  <c r="AX233" i="1"/>
  <c r="AL232" i="1"/>
  <c r="N232" i="1"/>
  <c r="BT232" i="1"/>
  <c r="BH232" i="1"/>
  <c r="X231" i="1"/>
  <c r="AJ231" i="1"/>
  <c r="AV231" i="1"/>
  <c r="BO233" i="1"/>
  <c r="AD231" i="1"/>
  <c r="I219" i="1"/>
  <c r="H219" i="1"/>
  <c r="L218" i="1"/>
  <c r="BK234" i="1"/>
  <c r="AY234" i="1"/>
  <c r="AM233" i="1"/>
  <c r="AA233" i="1"/>
  <c r="O233" i="1"/>
  <c r="R231" i="1"/>
  <c r="D220" i="1"/>
  <c r="F218" i="1"/>
  <c r="C220" i="1"/>
  <c r="B219" i="1"/>
  <c r="E219" i="1"/>
  <c r="G219" i="1"/>
  <c r="AT233" i="1" l="1"/>
  <c r="AU233" i="1"/>
  <c r="AQ233" i="1"/>
  <c r="AS233" i="1"/>
  <c r="AR233" i="1"/>
  <c r="AO233" i="1"/>
  <c r="AE233" i="1"/>
  <c r="AF233" i="1"/>
  <c r="AG233" i="1"/>
  <c r="AH233" i="1"/>
  <c r="AI233" i="1"/>
  <c r="AC233" i="1"/>
  <c r="Q233" i="1"/>
  <c r="S233" i="1"/>
  <c r="T233" i="1"/>
  <c r="U233" i="1"/>
  <c r="V233" i="1"/>
  <c r="W233" i="1"/>
  <c r="K220" i="1"/>
  <c r="J220" i="1"/>
  <c r="BG234" i="1"/>
  <c r="BC234" i="1"/>
  <c r="BD234" i="1"/>
  <c r="BF234" i="1"/>
  <c r="BE234" i="1"/>
  <c r="BA234" i="1"/>
  <c r="BS234" i="1"/>
  <c r="BP234" i="1"/>
  <c r="BQ234" i="1"/>
  <c r="BR234" i="1"/>
  <c r="BM234" i="1"/>
  <c r="Z233" i="1"/>
  <c r="BJ234" i="1"/>
  <c r="AX234" i="1"/>
  <c r="AL233" i="1"/>
  <c r="N233" i="1"/>
  <c r="BN233" i="1"/>
  <c r="BB233" i="1"/>
  <c r="BT233" i="1"/>
  <c r="BH233" i="1"/>
  <c r="X232" i="1"/>
  <c r="AJ232" i="1"/>
  <c r="AV232" i="1"/>
  <c r="BO234" i="1"/>
  <c r="AP232" i="1"/>
  <c r="AD232" i="1"/>
  <c r="H220" i="1"/>
  <c r="I220" i="1"/>
  <c r="L219" i="1"/>
  <c r="BK235" i="1"/>
  <c r="AY235" i="1"/>
  <c r="AM234" i="1"/>
  <c r="AA234" i="1"/>
  <c r="R232" i="1"/>
  <c r="O234" i="1"/>
  <c r="D221" i="1"/>
  <c r="C221" i="1"/>
  <c r="G220" i="1"/>
  <c r="B220" i="1"/>
  <c r="E220" i="1"/>
  <c r="F219" i="1"/>
  <c r="AQ234" i="1" l="1"/>
  <c r="AR234" i="1"/>
  <c r="AS234" i="1"/>
  <c r="AT234" i="1"/>
  <c r="AU234" i="1"/>
  <c r="AO234" i="1"/>
  <c r="AG234" i="1"/>
  <c r="AH234" i="1"/>
  <c r="AI234" i="1"/>
  <c r="AF234" i="1"/>
  <c r="AC234" i="1"/>
  <c r="AE234" i="1"/>
  <c r="Q234" i="1"/>
  <c r="U234" i="1"/>
  <c r="V234" i="1"/>
  <c r="T234" i="1"/>
  <c r="W234" i="1"/>
  <c r="S234" i="1"/>
  <c r="J221" i="1"/>
  <c r="K221" i="1"/>
  <c r="BC235" i="1"/>
  <c r="BD235" i="1"/>
  <c r="BE235" i="1"/>
  <c r="BF235" i="1"/>
  <c r="BG235" i="1"/>
  <c r="BA235" i="1"/>
  <c r="BM235" i="1"/>
  <c r="BP235" i="1"/>
  <c r="BQ235" i="1"/>
  <c r="BR235" i="1"/>
  <c r="BS235" i="1"/>
  <c r="BB234" i="1"/>
  <c r="BJ235" i="1"/>
  <c r="Z234" i="1"/>
  <c r="AX235" i="1"/>
  <c r="AL234" i="1"/>
  <c r="N234" i="1"/>
  <c r="BN234" i="1"/>
  <c r="BT234" i="1"/>
  <c r="BH234" i="1"/>
  <c r="X233" i="1"/>
  <c r="AJ233" i="1"/>
  <c r="AV233" i="1"/>
  <c r="BO235" i="1"/>
  <c r="AP233" i="1"/>
  <c r="AD233" i="1"/>
  <c r="I221" i="1"/>
  <c r="H221" i="1"/>
  <c r="L220" i="1"/>
  <c r="BK236" i="1"/>
  <c r="AY236" i="1"/>
  <c r="AM235" i="1"/>
  <c r="AA235" i="1"/>
  <c r="R233" i="1"/>
  <c r="O235" i="1"/>
  <c r="D222" i="1"/>
  <c r="F220" i="1"/>
  <c r="C222" i="1"/>
  <c r="G221" i="1"/>
  <c r="E221" i="1"/>
  <c r="B221" i="1"/>
  <c r="AR235" i="1" l="1"/>
  <c r="AS235" i="1"/>
  <c r="AT235" i="1"/>
  <c r="AU235" i="1"/>
  <c r="AQ235" i="1"/>
  <c r="AO235" i="1"/>
  <c r="AE235" i="1"/>
  <c r="AF235" i="1"/>
  <c r="AG235" i="1"/>
  <c r="AI235" i="1"/>
  <c r="AC235" i="1"/>
  <c r="AH235" i="1"/>
  <c r="Q235" i="1"/>
  <c r="S235" i="1"/>
  <c r="T235" i="1"/>
  <c r="U235" i="1"/>
  <c r="W235" i="1"/>
  <c r="V235" i="1"/>
  <c r="J222" i="1"/>
  <c r="K222" i="1"/>
  <c r="BE236" i="1"/>
  <c r="BF236" i="1"/>
  <c r="BG236" i="1"/>
  <c r="BD236" i="1"/>
  <c r="BC236" i="1"/>
  <c r="BA236" i="1"/>
  <c r="BS236" i="1"/>
  <c r="BM236" i="1"/>
  <c r="BQ236" i="1"/>
  <c r="BP236" i="1"/>
  <c r="BR236" i="1"/>
  <c r="BJ236" i="1"/>
  <c r="AX236" i="1"/>
  <c r="AL235" i="1"/>
  <c r="Z235" i="1"/>
  <c r="N235" i="1"/>
  <c r="BN235" i="1"/>
  <c r="BB235" i="1"/>
  <c r="BT235" i="1"/>
  <c r="BH235" i="1"/>
  <c r="X234" i="1"/>
  <c r="AJ234" i="1"/>
  <c r="AV234" i="1"/>
  <c r="BO236" i="1"/>
  <c r="AP234" i="1"/>
  <c r="AD234" i="1"/>
  <c r="H222" i="1"/>
  <c r="I222" i="1"/>
  <c r="L221" i="1"/>
  <c r="BK237" i="1"/>
  <c r="AY237" i="1"/>
  <c r="AM236" i="1"/>
  <c r="AA236" i="1"/>
  <c r="O236" i="1"/>
  <c r="R234" i="1"/>
  <c r="D223" i="1"/>
  <c r="C223" i="1"/>
  <c r="G222" i="1"/>
  <c r="E222" i="1"/>
  <c r="B222" i="1"/>
  <c r="F221" i="1"/>
  <c r="AU236" i="1" l="1"/>
  <c r="AQ236" i="1"/>
  <c r="AR236" i="1"/>
  <c r="AT236" i="1"/>
  <c r="AS236" i="1"/>
  <c r="AO236" i="1"/>
  <c r="AE236" i="1"/>
  <c r="AF236" i="1"/>
  <c r="AG236" i="1"/>
  <c r="AH236" i="1"/>
  <c r="AI236" i="1"/>
  <c r="AC236" i="1"/>
  <c r="Q236" i="1"/>
  <c r="S236" i="1"/>
  <c r="T236" i="1"/>
  <c r="U236" i="1"/>
  <c r="V236" i="1"/>
  <c r="W236" i="1"/>
  <c r="J223" i="1"/>
  <c r="K223" i="1"/>
  <c r="BC237" i="1"/>
  <c r="BD237" i="1"/>
  <c r="BE237" i="1"/>
  <c r="BG237" i="1"/>
  <c r="BA237" i="1"/>
  <c r="BF237" i="1"/>
  <c r="BP237" i="1"/>
  <c r="BQ237" i="1"/>
  <c r="BM237" i="1"/>
  <c r="BR237" i="1"/>
  <c r="BS237" i="1"/>
  <c r="BJ237" i="1"/>
  <c r="Z236" i="1"/>
  <c r="AX237" i="1"/>
  <c r="AL236" i="1"/>
  <c r="N236" i="1"/>
  <c r="BB236" i="1"/>
  <c r="BN236" i="1"/>
  <c r="BT236" i="1"/>
  <c r="BH236" i="1"/>
  <c r="X235" i="1"/>
  <c r="AJ235" i="1"/>
  <c r="AV235" i="1"/>
  <c r="BO237" i="1"/>
  <c r="AP235" i="1"/>
  <c r="AD235" i="1"/>
  <c r="H223" i="1"/>
  <c r="I223" i="1"/>
  <c r="L222" i="1"/>
  <c r="R235" i="1"/>
  <c r="BK238" i="1"/>
  <c r="AY238" i="1"/>
  <c r="AM237" i="1"/>
  <c r="AA237" i="1"/>
  <c r="O237" i="1"/>
  <c r="D224" i="1"/>
  <c r="F222" i="1"/>
  <c r="C224" i="1"/>
  <c r="G223" i="1"/>
  <c r="B223" i="1"/>
  <c r="E223" i="1"/>
  <c r="AQ237" i="1" l="1"/>
  <c r="AR237" i="1"/>
  <c r="AS237" i="1"/>
  <c r="AT237" i="1"/>
  <c r="AU237" i="1"/>
  <c r="AO237" i="1"/>
  <c r="AH237" i="1"/>
  <c r="AI237" i="1"/>
  <c r="AE237" i="1"/>
  <c r="AG237" i="1"/>
  <c r="AF237" i="1"/>
  <c r="AC237" i="1"/>
  <c r="Q237" i="1"/>
  <c r="V237" i="1"/>
  <c r="W237" i="1"/>
  <c r="S237" i="1"/>
  <c r="T237" i="1"/>
  <c r="U237" i="1"/>
  <c r="K224" i="1"/>
  <c r="J224" i="1"/>
  <c r="BC238" i="1"/>
  <c r="BD238" i="1"/>
  <c r="BE238" i="1"/>
  <c r="BF238" i="1"/>
  <c r="BG238" i="1"/>
  <c r="BA238" i="1"/>
  <c r="BS238" i="1"/>
  <c r="BM238" i="1"/>
  <c r="BQ238" i="1"/>
  <c r="BP238" i="1"/>
  <c r="BR238" i="1"/>
  <c r="BN237" i="1"/>
  <c r="BJ238" i="1"/>
  <c r="Z237" i="1"/>
  <c r="AX238" i="1"/>
  <c r="AL237" i="1"/>
  <c r="N237" i="1"/>
  <c r="BB237" i="1"/>
  <c r="BT237" i="1"/>
  <c r="BH237" i="1"/>
  <c r="X236" i="1"/>
  <c r="AJ236" i="1"/>
  <c r="AV236" i="1"/>
  <c r="AP236" i="1"/>
  <c r="BO238" i="1"/>
  <c r="I224" i="1"/>
  <c r="H224" i="1"/>
  <c r="L223" i="1"/>
  <c r="BK239" i="1"/>
  <c r="AY239" i="1"/>
  <c r="AM238" i="1"/>
  <c r="AA238" i="1"/>
  <c r="AD236" i="1"/>
  <c r="O238" i="1"/>
  <c r="R236" i="1"/>
  <c r="D225" i="1"/>
  <c r="C225" i="1"/>
  <c r="G224" i="1"/>
  <c r="B224" i="1"/>
  <c r="E224" i="1"/>
  <c r="F223" i="1"/>
  <c r="AS238" i="1" l="1"/>
  <c r="AT238" i="1"/>
  <c r="AU238" i="1"/>
  <c r="AR238" i="1"/>
  <c r="AO238" i="1"/>
  <c r="AQ238" i="1"/>
  <c r="AE238" i="1"/>
  <c r="AF238" i="1"/>
  <c r="AG238" i="1"/>
  <c r="AH238" i="1"/>
  <c r="AC238" i="1"/>
  <c r="AI238" i="1"/>
  <c r="Q238" i="1"/>
  <c r="S238" i="1"/>
  <c r="T238" i="1"/>
  <c r="U238" i="1"/>
  <c r="V238" i="1"/>
  <c r="W238" i="1"/>
  <c r="K225" i="1"/>
  <c r="J225" i="1"/>
  <c r="BF239" i="1"/>
  <c r="BG239" i="1"/>
  <c r="BC239" i="1"/>
  <c r="BE239" i="1"/>
  <c r="BA239" i="1"/>
  <c r="BD239" i="1"/>
  <c r="BP239" i="1"/>
  <c r="BQ239" i="1"/>
  <c r="BR239" i="1"/>
  <c r="BS239" i="1"/>
  <c r="BM239" i="1"/>
  <c r="BJ239" i="1"/>
  <c r="BB238" i="1"/>
  <c r="Z238" i="1"/>
  <c r="AX239" i="1"/>
  <c r="AL238" i="1"/>
  <c r="N238" i="1"/>
  <c r="BN238" i="1"/>
  <c r="BT238" i="1"/>
  <c r="BH238" i="1"/>
  <c r="X237" i="1"/>
  <c r="AJ237" i="1"/>
  <c r="AV237" i="1"/>
  <c r="BO239" i="1"/>
  <c r="AP237" i="1"/>
  <c r="I225" i="1"/>
  <c r="H225" i="1"/>
  <c r="L224" i="1"/>
  <c r="R237" i="1"/>
  <c r="BK240" i="1"/>
  <c r="AY240" i="1"/>
  <c r="AM239" i="1"/>
  <c r="AA239" i="1"/>
  <c r="AD237" i="1"/>
  <c r="O239" i="1"/>
  <c r="D226" i="1"/>
  <c r="F224" i="1"/>
  <c r="C226" i="1"/>
  <c r="G225" i="1"/>
  <c r="B225" i="1"/>
  <c r="E225" i="1"/>
  <c r="AQ239" i="1" l="1"/>
  <c r="AR239" i="1"/>
  <c r="AS239" i="1"/>
  <c r="AU239" i="1"/>
  <c r="AO239" i="1"/>
  <c r="AT239" i="1"/>
  <c r="AF239" i="1"/>
  <c r="AG239" i="1"/>
  <c r="AH239" i="1"/>
  <c r="AI239" i="1"/>
  <c r="AE239" i="1"/>
  <c r="AC239" i="1"/>
  <c r="Q239" i="1"/>
  <c r="T239" i="1"/>
  <c r="U239" i="1"/>
  <c r="V239" i="1"/>
  <c r="W239" i="1"/>
  <c r="S239" i="1"/>
  <c r="K226" i="1"/>
  <c r="J226" i="1"/>
  <c r="BC240" i="1"/>
  <c r="BD240" i="1"/>
  <c r="BE240" i="1"/>
  <c r="BF240" i="1"/>
  <c r="BA240" i="1"/>
  <c r="BG240" i="1"/>
  <c r="BS240" i="1"/>
  <c r="BP240" i="1"/>
  <c r="BM240" i="1"/>
  <c r="BR240" i="1"/>
  <c r="BQ240" i="1"/>
  <c r="BJ240" i="1"/>
  <c r="Z239" i="1"/>
  <c r="AX240" i="1"/>
  <c r="AL239" i="1"/>
  <c r="N239" i="1"/>
  <c r="BN239" i="1"/>
  <c r="BB239" i="1"/>
  <c r="BT239" i="1"/>
  <c r="BH239" i="1"/>
  <c r="X238" i="1"/>
  <c r="AJ238" i="1"/>
  <c r="AV238" i="1"/>
  <c r="AP238" i="1"/>
  <c r="BO240" i="1"/>
  <c r="R238" i="1"/>
  <c r="I226" i="1"/>
  <c r="H226" i="1"/>
  <c r="L225" i="1"/>
  <c r="BK241" i="1"/>
  <c r="AY241" i="1"/>
  <c r="AM240" i="1"/>
  <c r="AD238" i="1"/>
  <c r="AA240" i="1"/>
  <c r="O240" i="1"/>
  <c r="D227" i="1"/>
  <c r="C227" i="1"/>
  <c r="G226" i="1"/>
  <c r="B226" i="1"/>
  <c r="E226" i="1"/>
  <c r="F225" i="1"/>
  <c r="AQ240" i="1" l="1"/>
  <c r="AR240" i="1"/>
  <c r="AS240" i="1"/>
  <c r="AT240" i="1"/>
  <c r="AU240" i="1"/>
  <c r="AO240" i="1"/>
  <c r="AI240" i="1"/>
  <c r="AE240" i="1"/>
  <c r="AF240" i="1"/>
  <c r="AH240" i="1"/>
  <c r="AG240" i="1"/>
  <c r="AC240" i="1"/>
  <c r="Q240" i="1"/>
  <c r="W240" i="1"/>
  <c r="V240" i="1"/>
  <c r="S240" i="1"/>
  <c r="T240" i="1"/>
  <c r="U240" i="1"/>
  <c r="J227" i="1"/>
  <c r="K227" i="1"/>
  <c r="BB240" i="1"/>
  <c r="BD241" i="1"/>
  <c r="BE241" i="1"/>
  <c r="BF241" i="1"/>
  <c r="BG241" i="1"/>
  <c r="BC241" i="1"/>
  <c r="BA241" i="1"/>
  <c r="BP241" i="1"/>
  <c r="BQ241" i="1"/>
  <c r="BR241" i="1"/>
  <c r="BS241" i="1"/>
  <c r="BM241" i="1"/>
  <c r="BJ241" i="1"/>
  <c r="Z240" i="1"/>
  <c r="AX241" i="1"/>
  <c r="AL240" i="1"/>
  <c r="N240" i="1"/>
  <c r="BN240" i="1"/>
  <c r="BT240" i="1"/>
  <c r="BH240" i="1"/>
  <c r="X239" i="1"/>
  <c r="AJ239" i="1"/>
  <c r="AV239" i="1"/>
  <c r="R239" i="1"/>
  <c r="BO241" i="1"/>
  <c r="AP239" i="1"/>
  <c r="I227" i="1"/>
  <c r="H227" i="1"/>
  <c r="L226" i="1"/>
  <c r="BK242" i="1"/>
  <c r="AY242" i="1"/>
  <c r="AM241" i="1"/>
  <c r="AA241" i="1"/>
  <c r="AD239" i="1"/>
  <c r="O241" i="1"/>
  <c r="D228" i="1"/>
  <c r="F226" i="1"/>
  <c r="C228" i="1"/>
  <c r="G227" i="1"/>
  <c r="B227" i="1"/>
  <c r="E227" i="1"/>
  <c r="BB241" i="1" l="1"/>
  <c r="AT241" i="1"/>
  <c r="AU241" i="1"/>
  <c r="AQ241" i="1"/>
  <c r="AS241" i="1"/>
  <c r="AO241" i="1"/>
  <c r="AR241" i="1"/>
  <c r="AE241" i="1"/>
  <c r="AF241" i="1"/>
  <c r="AG241" i="1"/>
  <c r="AH241" i="1"/>
  <c r="AI241" i="1"/>
  <c r="AC241" i="1"/>
  <c r="Q241" i="1"/>
  <c r="S241" i="1"/>
  <c r="T241" i="1"/>
  <c r="U241" i="1"/>
  <c r="V241" i="1"/>
  <c r="W241" i="1"/>
  <c r="K228" i="1"/>
  <c r="J228" i="1"/>
  <c r="BG242" i="1"/>
  <c r="BC242" i="1"/>
  <c r="BD242" i="1"/>
  <c r="BF242" i="1"/>
  <c r="BE242" i="1"/>
  <c r="BA242" i="1"/>
  <c r="BB242" i="1" s="1"/>
  <c r="BS242" i="1"/>
  <c r="BQ242" i="1"/>
  <c r="BP242" i="1"/>
  <c r="BR242" i="1"/>
  <c r="BM242" i="1"/>
  <c r="BN241" i="1"/>
  <c r="AP240" i="1"/>
  <c r="BJ242" i="1"/>
  <c r="Z241" i="1"/>
  <c r="AX242" i="1"/>
  <c r="AL241" i="1"/>
  <c r="N241" i="1"/>
  <c r="BT241" i="1"/>
  <c r="BH241" i="1"/>
  <c r="X240" i="1"/>
  <c r="AJ240" i="1"/>
  <c r="BO242" i="1"/>
  <c r="AV240" i="1"/>
  <c r="R240" i="1"/>
  <c r="H228" i="1"/>
  <c r="I228" i="1"/>
  <c r="L227" i="1"/>
  <c r="BK243" i="1"/>
  <c r="AY243" i="1"/>
  <c r="AM242" i="1"/>
  <c r="AD240" i="1"/>
  <c r="AA242" i="1"/>
  <c r="O242" i="1"/>
  <c r="D229" i="1"/>
  <c r="C229" i="1"/>
  <c r="G228" i="1"/>
  <c r="B228" i="1"/>
  <c r="E228" i="1"/>
  <c r="F227" i="1"/>
  <c r="BN242" i="1" l="1"/>
  <c r="AQ242" i="1"/>
  <c r="AR242" i="1"/>
  <c r="AS242" i="1"/>
  <c r="AT242" i="1"/>
  <c r="AO242" i="1"/>
  <c r="AU242" i="1"/>
  <c r="AG242" i="1"/>
  <c r="AH242" i="1"/>
  <c r="AI242" i="1"/>
  <c r="AF242" i="1"/>
  <c r="AE242" i="1"/>
  <c r="AC242" i="1"/>
  <c r="Q242" i="1"/>
  <c r="U242" i="1"/>
  <c r="V242" i="1"/>
  <c r="W242" i="1"/>
  <c r="T242" i="1"/>
  <c r="S242" i="1"/>
  <c r="J229" i="1"/>
  <c r="K229" i="1"/>
  <c r="BC243" i="1"/>
  <c r="BD243" i="1"/>
  <c r="BE243" i="1"/>
  <c r="BF243" i="1"/>
  <c r="BG243" i="1"/>
  <c r="BA243" i="1"/>
  <c r="BM243" i="1"/>
  <c r="BP243" i="1"/>
  <c r="BQ243" i="1"/>
  <c r="BR243" i="1"/>
  <c r="BS243" i="1"/>
  <c r="AP241" i="1"/>
  <c r="BJ243" i="1"/>
  <c r="Z242" i="1"/>
  <c r="AX243" i="1"/>
  <c r="AL242" i="1"/>
  <c r="N242" i="1"/>
  <c r="BT242" i="1"/>
  <c r="BH242" i="1"/>
  <c r="R241" i="1"/>
  <c r="X241" i="1"/>
  <c r="AJ241" i="1"/>
  <c r="BO243" i="1"/>
  <c r="AV241" i="1"/>
  <c r="H229" i="1"/>
  <c r="I229" i="1"/>
  <c r="L228" i="1"/>
  <c r="BK244" i="1"/>
  <c r="AY244" i="1"/>
  <c r="AM243" i="1"/>
  <c r="AD241" i="1"/>
  <c r="AA243" i="1"/>
  <c r="O243" i="1"/>
  <c r="D230" i="1"/>
  <c r="F228" i="1"/>
  <c r="C230" i="1"/>
  <c r="E229" i="1"/>
  <c r="G229" i="1"/>
  <c r="B229" i="1"/>
  <c r="BN243" i="1" l="1"/>
  <c r="AR243" i="1"/>
  <c r="AS243" i="1"/>
  <c r="AT243" i="1"/>
  <c r="AU243" i="1"/>
  <c r="AQ243" i="1"/>
  <c r="AO243" i="1"/>
  <c r="AE243" i="1"/>
  <c r="AF243" i="1"/>
  <c r="AG243" i="1"/>
  <c r="AI243" i="1"/>
  <c r="AH243" i="1"/>
  <c r="AC243" i="1"/>
  <c r="Q243" i="1"/>
  <c r="S243" i="1"/>
  <c r="T243" i="1"/>
  <c r="U243" i="1"/>
  <c r="V243" i="1"/>
  <c r="W243" i="1"/>
  <c r="J230" i="1"/>
  <c r="K230" i="1"/>
  <c r="BE244" i="1"/>
  <c r="BF244" i="1"/>
  <c r="BG244" i="1"/>
  <c r="BD244" i="1"/>
  <c r="BC244" i="1"/>
  <c r="BA244" i="1"/>
  <c r="BS244" i="1"/>
  <c r="BM244" i="1"/>
  <c r="BN244" i="1" s="1"/>
  <c r="BQ244" i="1"/>
  <c r="BP244" i="1"/>
  <c r="BR244" i="1"/>
  <c r="AP242" i="1"/>
  <c r="BJ244" i="1"/>
  <c r="Z243" i="1"/>
  <c r="AX244" i="1"/>
  <c r="AL243" i="1"/>
  <c r="N243" i="1"/>
  <c r="BB243" i="1"/>
  <c r="R242" i="1"/>
  <c r="BT243" i="1"/>
  <c r="BH243" i="1"/>
  <c r="X242" i="1"/>
  <c r="AJ242" i="1"/>
  <c r="BO244" i="1"/>
  <c r="AV242" i="1"/>
  <c r="H230" i="1"/>
  <c r="I230" i="1"/>
  <c r="L229" i="1"/>
  <c r="BK245" i="1"/>
  <c r="AY245" i="1"/>
  <c r="AM244" i="1"/>
  <c r="AA244" i="1"/>
  <c r="AD242" i="1"/>
  <c r="O244" i="1"/>
  <c r="D231" i="1"/>
  <c r="F229" i="1"/>
  <c r="C231" i="1"/>
  <c r="E230" i="1"/>
  <c r="B230" i="1"/>
  <c r="G230" i="1"/>
  <c r="AU244" i="1" l="1"/>
  <c r="AQ244" i="1"/>
  <c r="AR244" i="1"/>
  <c r="AT244" i="1"/>
  <c r="AS244" i="1"/>
  <c r="AO244" i="1"/>
  <c r="AE244" i="1"/>
  <c r="AF244" i="1"/>
  <c r="AG244" i="1"/>
  <c r="AH244" i="1"/>
  <c r="AI244" i="1"/>
  <c r="AC244" i="1"/>
  <c r="Q244" i="1"/>
  <c r="S244" i="1"/>
  <c r="T244" i="1"/>
  <c r="U244" i="1"/>
  <c r="V244" i="1"/>
  <c r="W244" i="1"/>
  <c r="J231" i="1"/>
  <c r="K231" i="1"/>
  <c r="BC245" i="1"/>
  <c r="BD245" i="1"/>
  <c r="BE245" i="1"/>
  <c r="BG245" i="1"/>
  <c r="BA245" i="1"/>
  <c r="BF245" i="1"/>
  <c r="BP245" i="1"/>
  <c r="BQ245" i="1"/>
  <c r="BM245" i="1"/>
  <c r="BR245" i="1"/>
  <c r="BS245" i="1"/>
  <c r="AP243" i="1"/>
  <c r="BJ245" i="1"/>
  <c r="Z244" i="1"/>
  <c r="R243" i="1"/>
  <c r="AX245" i="1"/>
  <c r="AL244" i="1"/>
  <c r="N244" i="1"/>
  <c r="BB244" i="1"/>
  <c r="BT244" i="1"/>
  <c r="BH244" i="1"/>
  <c r="X243" i="1"/>
  <c r="AJ243" i="1"/>
  <c r="BO245" i="1"/>
  <c r="AV243" i="1"/>
  <c r="H231" i="1"/>
  <c r="I231" i="1"/>
  <c r="L230" i="1"/>
  <c r="AD243" i="1"/>
  <c r="BK246" i="1"/>
  <c r="AY246" i="1"/>
  <c r="AM245" i="1"/>
  <c r="AA245" i="1"/>
  <c r="O245" i="1"/>
  <c r="D232" i="1"/>
  <c r="C232" i="1"/>
  <c r="B231" i="1"/>
  <c r="G231" i="1"/>
  <c r="E231" i="1"/>
  <c r="F230" i="1"/>
  <c r="AQ245" i="1" l="1"/>
  <c r="AR245" i="1"/>
  <c r="AS245" i="1"/>
  <c r="AT245" i="1"/>
  <c r="AU245" i="1"/>
  <c r="AO245" i="1"/>
  <c r="AH245" i="1"/>
  <c r="AI245" i="1"/>
  <c r="AE245" i="1"/>
  <c r="AG245" i="1"/>
  <c r="AF245" i="1"/>
  <c r="AC245" i="1"/>
  <c r="Q245" i="1"/>
  <c r="V245" i="1"/>
  <c r="W245" i="1"/>
  <c r="S245" i="1"/>
  <c r="U245" i="1"/>
  <c r="T245" i="1"/>
  <c r="K232" i="1"/>
  <c r="J232" i="1"/>
  <c r="BC246" i="1"/>
  <c r="BD246" i="1"/>
  <c r="BE246" i="1"/>
  <c r="BF246" i="1"/>
  <c r="BG246" i="1"/>
  <c r="BA246" i="1"/>
  <c r="BS246" i="1"/>
  <c r="BM246" i="1"/>
  <c r="BP246" i="1"/>
  <c r="BQ246" i="1"/>
  <c r="BR246" i="1"/>
  <c r="R244" i="1"/>
  <c r="BB245" i="1"/>
  <c r="BJ246" i="1"/>
  <c r="Z245" i="1"/>
  <c r="AX246" i="1"/>
  <c r="AL245" i="1"/>
  <c r="N245" i="1"/>
  <c r="AP244" i="1"/>
  <c r="BN245" i="1"/>
  <c r="BT245" i="1"/>
  <c r="BH245" i="1"/>
  <c r="X244" i="1"/>
  <c r="AJ244" i="1"/>
  <c r="BO246" i="1"/>
  <c r="AV244" i="1"/>
  <c r="AD244" i="1"/>
  <c r="I232" i="1"/>
  <c r="H232" i="1"/>
  <c r="L231" i="1"/>
  <c r="BK247" i="1"/>
  <c r="AY247" i="1"/>
  <c r="AM246" i="1"/>
  <c r="AA246" i="1"/>
  <c r="O246" i="1"/>
  <c r="D233" i="1"/>
  <c r="F231" i="1"/>
  <c r="C233" i="1"/>
  <c r="G232" i="1"/>
  <c r="B232" i="1"/>
  <c r="E232" i="1"/>
  <c r="AS246" i="1" l="1"/>
  <c r="AT246" i="1"/>
  <c r="AU246" i="1"/>
  <c r="AR246" i="1"/>
  <c r="AQ246" i="1"/>
  <c r="AO246" i="1"/>
  <c r="AE246" i="1"/>
  <c r="AF246" i="1"/>
  <c r="AG246" i="1"/>
  <c r="AH246" i="1"/>
  <c r="AC246" i="1"/>
  <c r="AI246" i="1"/>
  <c r="Q246" i="1"/>
  <c r="S246" i="1"/>
  <c r="T246" i="1"/>
  <c r="U246" i="1"/>
  <c r="V246" i="1"/>
  <c r="W246" i="1"/>
  <c r="K233" i="1"/>
  <c r="J233" i="1"/>
  <c r="BB246" i="1"/>
  <c r="BF247" i="1"/>
  <c r="BG247" i="1"/>
  <c r="BC247" i="1"/>
  <c r="BE247" i="1"/>
  <c r="BA247" i="1"/>
  <c r="BD247" i="1"/>
  <c r="BP247" i="1"/>
  <c r="BQ247" i="1"/>
  <c r="BR247" i="1"/>
  <c r="BS247" i="1"/>
  <c r="BM247" i="1"/>
  <c r="BN246" i="1"/>
  <c r="BJ247" i="1"/>
  <c r="AP245" i="1"/>
  <c r="Z246" i="1"/>
  <c r="AX247" i="1"/>
  <c r="AL246" i="1"/>
  <c r="N246" i="1"/>
  <c r="R245" i="1"/>
  <c r="BT246" i="1"/>
  <c r="BH246" i="1"/>
  <c r="X245" i="1"/>
  <c r="AJ245" i="1"/>
  <c r="BO247" i="1"/>
  <c r="AV245" i="1"/>
  <c r="AD245" i="1"/>
  <c r="I233" i="1"/>
  <c r="H233" i="1"/>
  <c r="L232" i="1"/>
  <c r="BK248" i="1"/>
  <c r="AY248" i="1"/>
  <c r="AM247" i="1"/>
  <c r="AA247" i="1"/>
  <c r="O247" i="1"/>
  <c r="D234" i="1"/>
  <c r="C234" i="1"/>
  <c r="G233" i="1"/>
  <c r="B233" i="1"/>
  <c r="E233" i="1"/>
  <c r="F232" i="1"/>
  <c r="AQ247" i="1" l="1"/>
  <c r="AR247" i="1"/>
  <c r="AS247" i="1"/>
  <c r="AU247" i="1"/>
  <c r="AT247" i="1"/>
  <c r="AO247" i="1"/>
  <c r="AF247" i="1"/>
  <c r="AG247" i="1"/>
  <c r="AH247" i="1"/>
  <c r="AI247" i="1"/>
  <c r="AE247" i="1"/>
  <c r="AC247" i="1"/>
  <c r="Q247" i="1"/>
  <c r="T247" i="1"/>
  <c r="S247" i="1"/>
  <c r="U247" i="1"/>
  <c r="V247" i="1"/>
  <c r="W247" i="1"/>
  <c r="K234" i="1"/>
  <c r="J234" i="1"/>
  <c r="BC248" i="1"/>
  <c r="BD248" i="1"/>
  <c r="BE248" i="1"/>
  <c r="BF248" i="1"/>
  <c r="BA248" i="1"/>
  <c r="BG248" i="1"/>
  <c r="BS248" i="1"/>
  <c r="BQ248" i="1"/>
  <c r="BP248" i="1"/>
  <c r="BM248" i="1"/>
  <c r="BR248" i="1"/>
  <c r="BN247" i="1"/>
  <c r="R246" i="1"/>
  <c r="Z247" i="1"/>
  <c r="BJ248" i="1"/>
  <c r="AX248" i="1"/>
  <c r="G43" i="7" s="1"/>
  <c r="AL247" i="1"/>
  <c r="N247" i="1"/>
  <c r="BB247" i="1"/>
  <c r="AP246" i="1"/>
  <c r="BT247" i="1"/>
  <c r="BH247" i="1"/>
  <c r="X246" i="1"/>
  <c r="AJ246" i="1"/>
  <c r="AV246" i="1"/>
  <c r="BO248" i="1"/>
  <c r="H9" i="7"/>
  <c r="AD246" i="1"/>
  <c r="I234" i="1"/>
  <c r="H234" i="1"/>
  <c r="L233" i="1"/>
  <c r="AM248" i="1"/>
  <c r="AA248" i="1"/>
  <c r="O248" i="1"/>
  <c r="D235" i="1"/>
  <c r="F233" i="1"/>
  <c r="C235" i="1"/>
  <c r="G234" i="1"/>
  <c r="B234" i="1"/>
  <c r="E234" i="1"/>
  <c r="AQ248" i="1" l="1"/>
  <c r="AR248" i="1"/>
  <c r="AS248" i="1"/>
  <c r="AT248" i="1"/>
  <c r="AU248" i="1"/>
  <c r="AO248" i="1"/>
  <c r="AI248" i="1"/>
  <c r="AE248" i="1"/>
  <c r="AF248" i="1"/>
  <c r="AH248" i="1"/>
  <c r="AC248" i="1"/>
  <c r="AG248" i="1"/>
  <c r="Q248" i="1"/>
  <c r="W248" i="1"/>
  <c r="V248" i="1"/>
  <c r="S248" i="1"/>
  <c r="T248" i="1"/>
  <c r="U248" i="1"/>
  <c r="J235" i="1"/>
  <c r="K235" i="1"/>
  <c r="H44" i="7"/>
  <c r="G44" i="7"/>
  <c r="H45" i="7"/>
  <c r="H46" i="7"/>
  <c r="H10" i="7"/>
  <c r="H47" i="7"/>
  <c r="H48" i="7"/>
  <c r="G9" i="7"/>
  <c r="G45" i="7"/>
  <c r="G46" i="7"/>
  <c r="G48" i="7"/>
  <c r="G10" i="7"/>
  <c r="G47" i="7"/>
  <c r="G11" i="7"/>
  <c r="G29" i="7"/>
  <c r="G32" i="7"/>
  <c r="G33" i="7"/>
  <c r="G34" i="7"/>
  <c r="G35" i="7"/>
  <c r="G36" i="7"/>
  <c r="G40" i="7"/>
  <c r="G42" i="7"/>
  <c r="AL248" i="1"/>
  <c r="Z248" i="1"/>
  <c r="E11" i="7" s="1"/>
  <c r="N248" i="1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30" i="7"/>
  <c r="G31" i="7"/>
  <c r="G37" i="7"/>
  <c r="G38" i="7"/>
  <c r="G39" i="7"/>
  <c r="G41" i="7"/>
  <c r="E18" i="7"/>
  <c r="E27" i="7"/>
  <c r="E36" i="7"/>
  <c r="E42" i="7"/>
  <c r="E43" i="7"/>
  <c r="R247" i="1"/>
  <c r="BT248" i="1"/>
  <c r="BH248" i="1"/>
  <c r="BH249" i="1" s="1"/>
  <c r="AK4" i="4" s="1"/>
  <c r="X247" i="1"/>
  <c r="AJ247" i="1"/>
  <c r="AV247" i="1"/>
  <c r="AP247" i="1"/>
  <c r="AD247" i="1"/>
  <c r="E44" i="7"/>
  <c r="I235" i="1"/>
  <c r="H235" i="1"/>
  <c r="L234" i="1"/>
  <c r="BN248" i="1"/>
  <c r="BN249" i="1" s="1"/>
  <c r="BF250" i="1"/>
  <c r="BB248" i="1"/>
  <c r="BB249" i="1" s="1"/>
  <c r="D236" i="1"/>
  <c r="C236" i="1"/>
  <c r="G235" i="1"/>
  <c r="B235" i="1"/>
  <c r="E235" i="1"/>
  <c r="F234" i="1"/>
  <c r="E35" i="7" l="1"/>
  <c r="E26" i="7"/>
  <c r="E17" i="7"/>
  <c r="E33" i="7"/>
  <c r="E25" i="7"/>
  <c r="E16" i="7"/>
  <c r="E32" i="7"/>
  <c r="E24" i="7"/>
  <c r="E15" i="7"/>
  <c r="E31" i="7"/>
  <c r="E22" i="7"/>
  <c r="E14" i="7"/>
  <c r="E30" i="7"/>
  <c r="E21" i="7"/>
  <c r="E13" i="7"/>
  <c r="E40" i="7"/>
  <c r="E38" i="7"/>
  <c r="E29" i="7"/>
  <c r="E20" i="7"/>
  <c r="E12" i="7"/>
  <c r="E41" i="7"/>
  <c r="E39" i="7"/>
  <c r="E37" i="7"/>
  <c r="E28" i="7"/>
  <c r="E19" i="7"/>
  <c r="K236" i="1"/>
  <c r="J236" i="1"/>
  <c r="E23" i="7"/>
  <c r="BT249" i="1"/>
  <c r="AS4" i="3" s="1"/>
  <c r="BQ6" i="1"/>
  <c r="F9" i="7"/>
  <c r="F46" i="7"/>
  <c r="F48" i="7"/>
  <c r="F47" i="7"/>
  <c r="F45" i="7"/>
  <c r="F10" i="7"/>
  <c r="E10" i="7"/>
  <c r="E47" i="7"/>
  <c r="E48" i="7"/>
  <c r="E45" i="7"/>
  <c r="E46" i="7"/>
  <c r="E34" i="7"/>
  <c r="E9" i="7"/>
  <c r="D44" i="7"/>
  <c r="D9" i="7"/>
  <c r="D45" i="7"/>
  <c r="D10" i="7"/>
  <c r="D47" i="7"/>
  <c r="D46" i="7"/>
  <c r="D48" i="7"/>
  <c r="D14" i="7"/>
  <c r="G49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D11" i="7"/>
  <c r="D12" i="7"/>
  <c r="D13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H49" i="7"/>
  <c r="AK4" i="3"/>
  <c r="X248" i="1"/>
  <c r="AJ248" i="1"/>
  <c r="AV248" i="1"/>
  <c r="H236" i="1"/>
  <c r="I236" i="1"/>
  <c r="BG2" i="1"/>
  <c r="AX1" i="12" s="1"/>
  <c r="L235" i="1"/>
  <c r="AO4" i="2"/>
  <c r="AD248" i="1"/>
  <c r="AD249" i="1" s="1"/>
  <c r="AT250" i="1"/>
  <c r="AP248" i="1"/>
  <c r="AP249" i="1" s="1"/>
  <c r="R248" i="1"/>
  <c r="R249" i="1" s="1"/>
  <c r="D237" i="1"/>
  <c r="F235" i="1"/>
  <c r="C237" i="1"/>
  <c r="G236" i="1"/>
  <c r="B236" i="1"/>
  <c r="E236" i="1"/>
  <c r="X249" i="1" l="1"/>
  <c r="M4" i="3" s="1"/>
  <c r="U6" i="1"/>
  <c r="J237" i="1"/>
  <c r="K237" i="1"/>
  <c r="AX4" i="2"/>
  <c r="AS4" i="4"/>
  <c r="BS2" i="1"/>
  <c r="BJ1" i="12" s="1"/>
  <c r="AV249" i="1"/>
  <c r="AS6" i="1"/>
  <c r="E49" i="7"/>
  <c r="E50" i="7" s="1"/>
  <c r="AJ249" i="1"/>
  <c r="U4" i="3" s="1"/>
  <c r="AG6" i="1"/>
  <c r="G50" i="7"/>
  <c r="G53" i="7"/>
  <c r="F49" i="7"/>
  <c r="D49" i="7"/>
  <c r="H50" i="7"/>
  <c r="H53" i="7"/>
  <c r="I237" i="1"/>
  <c r="H237" i="1"/>
  <c r="L236" i="1"/>
  <c r="D238" i="1"/>
  <c r="C238" i="1"/>
  <c r="E237" i="1"/>
  <c r="G237" i="1"/>
  <c r="B237" i="1"/>
  <c r="F236" i="1"/>
  <c r="AC4" i="3" l="1"/>
  <c r="AF4" i="2"/>
  <c r="W2" i="1"/>
  <c r="N1" i="12" s="1"/>
  <c r="N4" i="2"/>
  <c r="J238" i="1"/>
  <c r="K238" i="1"/>
  <c r="AU2" i="1"/>
  <c r="AL1" i="12" s="1"/>
  <c r="AC4" i="4"/>
  <c r="W4" i="2"/>
  <c r="AI2" i="1"/>
  <c r="Z1" i="12" s="1"/>
  <c r="U4" i="4"/>
  <c r="E53" i="7"/>
  <c r="F50" i="7"/>
  <c r="F53" i="7"/>
  <c r="D50" i="7"/>
  <c r="D53" i="7"/>
  <c r="H238" i="1"/>
  <c r="I238" i="1"/>
  <c r="L237" i="1"/>
  <c r="D239" i="1"/>
  <c r="F237" i="1"/>
  <c r="C239" i="1"/>
  <c r="E238" i="1"/>
  <c r="B238" i="1"/>
  <c r="G238" i="1"/>
  <c r="J239" i="1" l="1"/>
  <c r="K239" i="1"/>
  <c r="H239" i="1"/>
  <c r="I239" i="1"/>
  <c r="L238" i="1"/>
  <c r="D240" i="1"/>
  <c r="C240" i="1"/>
  <c r="B239" i="1"/>
  <c r="E239" i="1"/>
  <c r="G239" i="1"/>
  <c r="F238" i="1"/>
  <c r="K240" i="1" l="1"/>
  <c r="J240" i="1"/>
  <c r="I240" i="1"/>
  <c r="H240" i="1"/>
  <c r="L239" i="1"/>
  <c r="D241" i="1"/>
  <c r="F239" i="1"/>
  <c r="C241" i="1"/>
  <c r="G240" i="1"/>
  <c r="B240" i="1"/>
  <c r="E240" i="1"/>
  <c r="K241" i="1" l="1"/>
  <c r="J241" i="1"/>
  <c r="I241" i="1"/>
  <c r="H241" i="1"/>
  <c r="L240" i="1"/>
  <c r="D242" i="1"/>
  <c r="C242" i="1"/>
  <c r="G241" i="1"/>
  <c r="B241" i="1"/>
  <c r="E241" i="1"/>
  <c r="F240" i="1"/>
  <c r="K242" i="1" l="1"/>
  <c r="J242" i="1"/>
  <c r="I242" i="1"/>
  <c r="H242" i="1"/>
  <c r="L241" i="1"/>
  <c r="D243" i="1"/>
  <c r="F241" i="1"/>
  <c r="C243" i="1"/>
  <c r="G242" i="1"/>
  <c r="B242" i="1"/>
  <c r="E242" i="1"/>
  <c r="K243" i="1" l="1"/>
  <c r="J243" i="1"/>
  <c r="I243" i="1"/>
  <c r="H243" i="1"/>
  <c r="L242" i="1"/>
  <c r="D244" i="1"/>
  <c r="C244" i="1"/>
  <c r="G243" i="1"/>
  <c r="B243" i="1"/>
  <c r="E243" i="1"/>
  <c r="F242" i="1"/>
  <c r="K244" i="1" l="1"/>
  <c r="J244" i="1"/>
  <c r="H244" i="1"/>
  <c r="I244" i="1"/>
  <c r="L243" i="1"/>
  <c r="D245" i="1"/>
  <c r="F243" i="1"/>
  <c r="C245" i="1"/>
  <c r="G244" i="1"/>
  <c r="B244" i="1"/>
  <c r="E244" i="1"/>
  <c r="J245" i="1" l="1"/>
  <c r="K245" i="1"/>
  <c r="H245" i="1"/>
  <c r="I245" i="1"/>
  <c r="L244" i="1"/>
  <c r="D246" i="1"/>
  <c r="C246" i="1"/>
  <c r="E245" i="1"/>
  <c r="G245" i="1"/>
  <c r="B245" i="1"/>
  <c r="F244" i="1"/>
  <c r="J246" i="1" l="1"/>
  <c r="K246" i="1"/>
  <c r="H246" i="1"/>
  <c r="I246" i="1"/>
  <c r="L245" i="1"/>
  <c r="D247" i="1"/>
  <c r="F245" i="1"/>
  <c r="C247" i="1"/>
  <c r="E246" i="1"/>
  <c r="B246" i="1"/>
  <c r="G246" i="1"/>
  <c r="J247" i="1" l="1"/>
  <c r="K247" i="1"/>
  <c r="H247" i="1"/>
  <c r="I247" i="1"/>
  <c r="L246" i="1"/>
  <c r="D248" i="1"/>
  <c r="C248" i="1"/>
  <c r="B247" i="1"/>
  <c r="E247" i="1"/>
  <c r="G247" i="1"/>
  <c r="F246" i="1"/>
  <c r="K248" i="1" l="1"/>
  <c r="J248" i="1"/>
  <c r="I248" i="1"/>
  <c r="H248" i="1"/>
  <c r="L247" i="1"/>
  <c r="F247" i="1"/>
  <c r="J250" i="1"/>
  <c r="G248" i="1"/>
  <c r="B248" i="1"/>
  <c r="E248" i="1"/>
  <c r="C46" i="7" l="1"/>
  <c r="I46" i="7" s="1"/>
  <c r="C10" i="7"/>
  <c r="I10" i="7" s="1"/>
  <c r="C9" i="7"/>
  <c r="I9" i="7" s="1"/>
  <c r="C48" i="7"/>
  <c r="I48" i="7" s="1"/>
  <c r="C45" i="7"/>
  <c r="I45" i="7" s="1"/>
  <c r="C47" i="7"/>
  <c r="I47" i="7" s="1"/>
  <c r="C11" i="7"/>
  <c r="I11" i="7" s="1"/>
  <c r="E249" i="1"/>
  <c r="G249" i="1" s="1"/>
  <c r="C12" i="7"/>
  <c r="I12" i="7" s="1"/>
  <c r="C13" i="7"/>
  <c r="I13" i="7" s="1"/>
  <c r="C14" i="7"/>
  <c r="C15" i="7"/>
  <c r="I15" i="7" s="1"/>
  <c r="C16" i="7"/>
  <c r="I16" i="7" s="1"/>
  <c r="C17" i="7"/>
  <c r="I17" i="7" s="1"/>
  <c r="C18" i="7"/>
  <c r="I18" i="7" s="1"/>
  <c r="C19" i="7"/>
  <c r="I19" i="7" s="1"/>
  <c r="C20" i="7"/>
  <c r="I20" i="7" s="1"/>
  <c r="C21" i="7"/>
  <c r="I21" i="7" s="1"/>
  <c r="C22" i="7"/>
  <c r="I22" i="7" s="1"/>
  <c r="C23" i="7"/>
  <c r="I23" i="7" s="1"/>
  <c r="C24" i="7"/>
  <c r="I24" i="7" s="1"/>
  <c r="C25" i="7"/>
  <c r="I25" i="7" s="1"/>
  <c r="C26" i="7"/>
  <c r="I26" i="7" s="1"/>
  <c r="C27" i="7"/>
  <c r="I27" i="7" s="1"/>
  <c r="C28" i="7"/>
  <c r="I28" i="7" s="1"/>
  <c r="C29" i="7"/>
  <c r="I29" i="7" s="1"/>
  <c r="C30" i="7"/>
  <c r="I30" i="7" s="1"/>
  <c r="C31" i="7"/>
  <c r="I31" i="7" s="1"/>
  <c r="C32" i="7"/>
  <c r="I32" i="7" s="1"/>
  <c r="C33" i="7"/>
  <c r="I33" i="7" s="1"/>
  <c r="C34" i="7"/>
  <c r="I34" i="7" s="1"/>
  <c r="C35" i="7"/>
  <c r="I35" i="7" s="1"/>
  <c r="C36" i="7"/>
  <c r="I36" i="7" s="1"/>
  <c r="C37" i="7"/>
  <c r="I37" i="7" s="1"/>
  <c r="C38" i="7"/>
  <c r="I38" i="7" s="1"/>
  <c r="C39" i="7"/>
  <c r="I39" i="7" s="1"/>
  <c r="C40" i="7"/>
  <c r="I40" i="7" s="1"/>
  <c r="C41" i="7"/>
  <c r="I41" i="7" s="1"/>
  <c r="C42" i="7"/>
  <c r="I42" i="7" s="1"/>
  <c r="C43" i="7"/>
  <c r="I43" i="7" s="1"/>
  <c r="C44" i="7"/>
  <c r="I44" i="7" s="1"/>
  <c r="L248" i="1"/>
  <c r="I6" i="1" s="1"/>
  <c r="F248" i="1"/>
  <c r="F249" i="1" s="1"/>
  <c r="L249" i="1" l="1"/>
  <c r="E4" i="3" s="1"/>
  <c r="C49" i="7"/>
  <c r="I14" i="7"/>
  <c r="M4" i="4"/>
  <c r="K2" i="1" l="1"/>
  <c r="B1" i="12" s="1"/>
  <c r="E4" i="4"/>
  <c r="E4" i="2"/>
  <c r="C50" i="7"/>
  <c r="J50" i="7" s="1"/>
  <c r="C53" i="7"/>
  <c r="J53" i="7" s="1"/>
  <c r="J49" i="7"/>
</calcChain>
</file>

<file path=xl/sharedStrings.xml><?xml version="1.0" encoding="utf-8"?>
<sst xmlns="http://schemas.openxmlformats.org/spreadsheetml/2006/main" count="1786" uniqueCount="304">
  <si>
    <t>GRANJA</t>
  </si>
  <si>
    <t>TEJABAN</t>
  </si>
  <si>
    <t>LOTE</t>
  </si>
  <si>
    <t>EDAD CAMBIO</t>
  </si>
  <si>
    <t>FECHA DE NACIMIENTO</t>
  </si>
  <si>
    <t>FECHA DE CAMBIO</t>
  </si>
  <si>
    <t>TOTAL DE LECHONES</t>
  </si>
  <si>
    <t>PESO TOTAL</t>
  </si>
  <si>
    <t>PROMEDIO</t>
  </si>
  <si>
    <t>SEMANA</t>
  </si>
  <si>
    <t>FECHA</t>
  </si>
  <si>
    <t>EDAD</t>
  </si>
  <si>
    <t>MUERTOS</t>
  </si>
  <si>
    <t>PESO</t>
  </si>
  <si>
    <t>CERDOS</t>
  </si>
  <si>
    <t>EXISTENCIA</t>
  </si>
  <si>
    <t>VENTAS</t>
  </si>
  <si>
    <t>N. LECHONES</t>
  </si>
  <si>
    <t>Primera</t>
  </si>
  <si>
    <t>Lote</t>
  </si>
  <si>
    <t>Segunda</t>
  </si>
  <si>
    <t>Tejaban</t>
  </si>
  <si>
    <t>Desecho</t>
  </si>
  <si>
    <t>Inv. Animales</t>
  </si>
  <si>
    <t>Fecha</t>
  </si>
  <si>
    <t>Semana</t>
  </si>
  <si>
    <t xml:space="preserve">Dias </t>
  </si>
  <si>
    <t>Cliente</t>
  </si>
  <si>
    <t>Cerdos</t>
  </si>
  <si>
    <t>Kilos</t>
  </si>
  <si>
    <t>K/p</t>
  </si>
  <si>
    <t>Causa</t>
  </si>
  <si>
    <t xml:space="preserve"> </t>
  </si>
  <si>
    <t>Granja</t>
  </si>
  <si>
    <t>Cerdos Fase 3 Med</t>
  </si>
  <si>
    <t>Cerdos Fase 4 Med</t>
  </si>
  <si>
    <t>Cerdos Fase 5 Med</t>
  </si>
  <si>
    <t>Cerdos Fase 6 Med</t>
  </si>
  <si>
    <t>Cerdos Ractopamina Med</t>
  </si>
  <si>
    <t>Cerdos Fase 3 +Tilo</t>
  </si>
  <si>
    <t>Cerdos Fase 4 +Tilo</t>
  </si>
  <si>
    <t>Cerdos Fase 5 +Tilo</t>
  </si>
  <si>
    <t>Cerdos Fase 6 +Tilo</t>
  </si>
  <si>
    <t>Cerdos Racto +Tilo</t>
  </si>
  <si>
    <t>Cerdos Fase 2 Med</t>
  </si>
  <si>
    <t>Cerdos Fa2.5 Med</t>
  </si>
  <si>
    <t>Cerdos Iniciador Med</t>
  </si>
  <si>
    <t>Cerdos Crec/Med</t>
  </si>
  <si>
    <t>Cerdos Des/Med</t>
  </si>
  <si>
    <t>Cerdos Finalizador Med</t>
  </si>
  <si>
    <t>Cerdos Fin/Rac Med</t>
  </si>
  <si>
    <t>Cerdos Iniciador +Tilo</t>
  </si>
  <si>
    <t>Cerdos Crecimiento +Tilo</t>
  </si>
  <si>
    <t>Cerdos Desarrollo +Tilo</t>
  </si>
  <si>
    <t>Cerdos Finalizador +Tilo</t>
  </si>
  <si>
    <t>Cerdos Fin/Rac +Tilo</t>
  </si>
  <si>
    <t>Cerdos Iniciador Normal+Tilo/Floran</t>
  </si>
  <si>
    <t>Iniciador Cerdos</t>
  </si>
  <si>
    <t>Cerdos Fase 3</t>
  </si>
  <si>
    <t>Cerdos Fase 4</t>
  </si>
  <si>
    <t>Cerdos Fase 5</t>
  </si>
  <si>
    <t>Cerdos Fase 6</t>
  </si>
  <si>
    <t>Cerdos Racmina</t>
  </si>
  <si>
    <t>Cerdos Fase 2</t>
  </si>
  <si>
    <t>Cerdos Fase 2.5</t>
  </si>
  <si>
    <t>Cerdos Iniciador</t>
  </si>
  <si>
    <t>Cerdos Crecimiento</t>
  </si>
  <si>
    <t>Cerdos Desarrollo</t>
  </si>
  <si>
    <t>Cerdos Finalizador</t>
  </si>
  <si>
    <t>Cerdos Fin/Rac</t>
  </si>
  <si>
    <t>Gestantes Med</t>
  </si>
  <si>
    <t>Lactantes Med</t>
  </si>
  <si>
    <t>Remplazo Med</t>
  </si>
  <si>
    <t>Cerdos Gestacion</t>
  </si>
  <si>
    <t>Cerdos Lactacion</t>
  </si>
  <si>
    <t>Cerdos Remplazo</t>
  </si>
  <si>
    <t>F. CAMBIO</t>
  </si>
  <si>
    <t>INTERNO</t>
  </si>
  <si>
    <t>EXTERNO</t>
  </si>
  <si>
    <t>TRASLADOS</t>
  </si>
  <si>
    <t>CAMBIO SITIO 3</t>
  </si>
  <si>
    <t>CODIGO</t>
  </si>
  <si>
    <t>FORMULA</t>
  </si>
  <si>
    <t>Nutalc</t>
  </si>
  <si>
    <t>Initec Integral</t>
  </si>
  <si>
    <t>Nupig Sew 150 Ppm Tiamulina+400Ppm Amoxicilina</t>
  </si>
  <si>
    <t>Nutonik</t>
  </si>
  <si>
    <t>Nupig Uno Kappa</t>
  </si>
  <si>
    <t>Fase 2 + Karitil</t>
  </si>
  <si>
    <t>Cambio</t>
  </si>
  <si>
    <t>FECHA DE DESTETE</t>
  </si>
  <si>
    <t>EDAD AL DESTETE</t>
  </si>
  <si>
    <t>MUERTOS/ SEMANA</t>
  </si>
  <si>
    <t>TOTAL LECHONES</t>
  </si>
  <si>
    <t>No. LECHONES ENTRADA</t>
  </si>
  <si>
    <t>TOTAL MUERTOS</t>
  </si>
  <si>
    <t>%MORTALIDAD</t>
  </si>
  <si>
    <t>% MORTALIDAD</t>
  </si>
  <si>
    <t>DIAS TOTAL</t>
  </si>
  <si>
    <t>DIAS PROMEDIO</t>
  </si>
  <si>
    <t>TRANSFERENCIA</t>
  </si>
  <si>
    <t>TOTAL</t>
  </si>
  <si>
    <t>HP</t>
  </si>
  <si>
    <t>TERMINAL</t>
  </si>
  <si>
    <t>DIAS</t>
  </si>
  <si>
    <t>kg Recibidos</t>
  </si>
  <si>
    <t>Kg Consm</t>
  </si>
  <si>
    <t>ALIMENTO</t>
  </si>
  <si>
    <t>kg Recibido</t>
  </si>
  <si>
    <t>Kg Cnsm</t>
  </si>
  <si>
    <t>Total</t>
  </si>
  <si>
    <t>(en blanco)</t>
  </si>
  <si>
    <t>Total general</t>
  </si>
  <si>
    <t>GRUPO</t>
  </si>
  <si>
    <t>N. CERDOS</t>
  </si>
  <si>
    <t>Grupo</t>
  </si>
  <si>
    <t>Actino</t>
  </si>
  <si>
    <t>Ahogado</t>
  </si>
  <si>
    <t>Anemia</t>
  </si>
  <si>
    <t>Asatis</t>
  </si>
  <si>
    <t>Asfixia</t>
  </si>
  <si>
    <t>Atorado</t>
  </si>
  <si>
    <t>Bajo Peso</t>
  </si>
  <si>
    <t>Brinco</t>
  </si>
  <si>
    <t>Caido</t>
  </si>
  <si>
    <t>Circovirus</t>
  </si>
  <si>
    <t>Clostridiosis</t>
  </si>
  <si>
    <t>Coccida</t>
  </si>
  <si>
    <t>Coriza</t>
  </si>
  <si>
    <t>Deforme</t>
  </si>
  <si>
    <t>Des-Ombligado</t>
  </si>
  <si>
    <t>Desangrado</t>
  </si>
  <si>
    <t>Desnutrido</t>
  </si>
  <si>
    <t>Destripado</t>
  </si>
  <si>
    <t>Diarrea</t>
  </si>
  <si>
    <t>Disenteria</t>
  </si>
  <si>
    <t>E_Coli</t>
  </si>
  <si>
    <t>Embarque</t>
  </si>
  <si>
    <t>Estafiococo Aureus</t>
  </si>
  <si>
    <t>Extraviado</t>
  </si>
  <si>
    <t>Fracturado</t>
  </si>
  <si>
    <t>Gelatinoso</t>
  </si>
  <si>
    <t>Golpeado</t>
  </si>
  <si>
    <t>H7</t>
  </si>
  <si>
    <t>Hernia</t>
  </si>
  <si>
    <t>Hipotermia</t>
  </si>
  <si>
    <t>Ileitis</t>
  </si>
  <si>
    <t>Manejo</t>
  </si>
  <si>
    <t>Mordido</t>
  </si>
  <si>
    <t>Muerte Natural</t>
  </si>
  <si>
    <t>Muerte Súbita</t>
  </si>
  <si>
    <t>Neumonia</t>
  </si>
  <si>
    <t>Newcastle</t>
  </si>
  <si>
    <t>Nutricional</t>
  </si>
  <si>
    <t>Otras</t>
  </si>
  <si>
    <t>Palido</t>
  </si>
  <si>
    <t>Pasteurella</t>
  </si>
  <si>
    <t>Post</t>
  </si>
  <si>
    <t>Prolapso</t>
  </si>
  <si>
    <t>Prrs</t>
  </si>
  <si>
    <t>Redrojo</t>
  </si>
  <si>
    <t>Retrasados</t>
  </si>
  <si>
    <t>Sacrificado</t>
  </si>
  <si>
    <t>Shock Anafilactico</t>
  </si>
  <si>
    <t>Staphylococos</t>
  </si>
  <si>
    <t>Streptococos</t>
  </si>
  <si>
    <t>Tapado</t>
  </si>
  <si>
    <t>Ulcera gástrica</t>
  </si>
  <si>
    <t>Vacuna</t>
  </si>
  <si>
    <t>Viruela</t>
  </si>
  <si>
    <t>Fecha:</t>
  </si>
  <si>
    <t>Eventos a procesar:</t>
  </si>
  <si>
    <t>Lotes a procesar:</t>
  </si>
  <si>
    <t>GRANJAS</t>
  </si>
  <si>
    <t>SITIOS_1</t>
  </si>
  <si>
    <t>SITIOS_2</t>
  </si>
  <si>
    <t>SITIOS_3</t>
  </si>
  <si>
    <t>Cuarentena</t>
  </si>
  <si>
    <t>Esperanza</t>
  </si>
  <si>
    <t>Moro</t>
  </si>
  <si>
    <t>Terrero</t>
  </si>
  <si>
    <t>Berrenda</t>
  </si>
  <si>
    <t>Aparicio</t>
  </si>
  <si>
    <t>Piedras</t>
  </si>
  <si>
    <t>Peña</t>
  </si>
  <si>
    <t>Loma</t>
  </si>
  <si>
    <t>Laja</t>
  </si>
  <si>
    <t>Cuna</t>
  </si>
  <si>
    <t>Isabel</t>
  </si>
  <si>
    <t>GRUPOS</t>
  </si>
  <si>
    <t>GRUPOS_S1</t>
  </si>
  <si>
    <t>G000_Grupo_A</t>
  </si>
  <si>
    <t>G101_Vta</t>
  </si>
  <si>
    <t>G102_Grupo_A</t>
  </si>
  <si>
    <t>G000_Grupo_B</t>
  </si>
  <si>
    <t>G101_Grupo_A</t>
  </si>
  <si>
    <t>G102_Grupo_B</t>
  </si>
  <si>
    <t>G101_Grupo_B</t>
  </si>
  <si>
    <t>G102_Grupo_C</t>
  </si>
  <si>
    <t>G101_Grupo_C</t>
  </si>
  <si>
    <t>G102_Grupo_D</t>
  </si>
  <si>
    <t>G101_Grupo_D</t>
  </si>
  <si>
    <t>G102_Grupo_E</t>
  </si>
  <si>
    <t>G102_Grupo_F</t>
  </si>
  <si>
    <t>G102_Grupo_G</t>
  </si>
  <si>
    <t>G102_Grupo_H</t>
  </si>
  <si>
    <t>GRUPOS_S2</t>
  </si>
  <si>
    <t>G201_Grupo_A</t>
  </si>
  <si>
    <t>G202_Grupo_A</t>
  </si>
  <si>
    <t>G203_Grupo_A</t>
  </si>
  <si>
    <t>G201_Grupo_A1</t>
  </si>
  <si>
    <t>G202_Grupo_B</t>
  </si>
  <si>
    <t>G203_Grupo_B</t>
  </si>
  <si>
    <t>G201_Grupo_B</t>
  </si>
  <si>
    <t>G201_Grupo_B1</t>
  </si>
  <si>
    <t>GRUPOS_S3</t>
  </si>
  <si>
    <t>G301_Grupo_A</t>
  </si>
  <si>
    <t>G302_Grupo_A</t>
  </si>
  <si>
    <t>G303_Grupo_A</t>
  </si>
  <si>
    <t>G304_Grupo_A</t>
  </si>
  <si>
    <t>G305_Grupo_A</t>
  </si>
  <si>
    <t>G306_Grupo_A</t>
  </si>
  <si>
    <t>G301_Grupo_B</t>
  </si>
  <si>
    <t>G302_Grupo_B</t>
  </si>
  <si>
    <t>G303_Grupo_B</t>
  </si>
  <si>
    <t>G304_Grupo_B</t>
  </si>
  <si>
    <t>G305_Grupo_B</t>
  </si>
  <si>
    <t>G306_Grupo_B</t>
  </si>
  <si>
    <t>TEJABANES</t>
  </si>
  <si>
    <t>TEJABANES_S1</t>
  </si>
  <si>
    <t>NA</t>
  </si>
  <si>
    <t>Tejaban 17 y 18</t>
  </si>
  <si>
    <t>Tejaban 19 y 20</t>
  </si>
  <si>
    <t>Tejaban del 1 al 6</t>
  </si>
  <si>
    <t>Tejaban del 7 al 16</t>
  </si>
  <si>
    <t>Tejaban 1</t>
  </si>
  <si>
    <t>Tejaban 2</t>
  </si>
  <si>
    <t>Tejaban 3</t>
  </si>
  <si>
    <t>Tejaban 4</t>
  </si>
  <si>
    <t>Tejaban 5</t>
  </si>
  <si>
    <t>Tejaban 6</t>
  </si>
  <si>
    <t>Tejaban 7</t>
  </si>
  <si>
    <t>Tejaban 8</t>
  </si>
  <si>
    <t>TEJABANES_S2</t>
  </si>
  <si>
    <t>Tejaban 1, 2 y 3</t>
  </si>
  <si>
    <t>Tejaban 5 y 9</t>
  </si>
  <si>
    <t>Tejaban 4, 6 Y 8</t>
  </si>
  <si>
    <t>Tejaban 7 y 10</t>
  </si>
  <si>
    <t>TEJABANES_S3</t>
  </si>
  <si>
    <t>Tejaban  8 y 6</t>
  </si>
  <si>
    <t>Tejaban 3 y 1</t>
  </si>
  <si>
    <t>Tejaban  11 y 9</t>
  </si>
  <si>
    <t>Tejaban 4 y 2</t>
  </si>
  <si>
    <t>Tejaban 12 y 10</t>
  </si>
  <si>
    <t>Tejaban 7 y 5</t>
  </si>
  <si>
    <t>Tejaban 10 y 9</t>
  </si>
  <si>
    <t>Tejaban 11 y 12</t>
  </si>
  <si>
    <t>Tejaban 8 y 6</t>
  </si>
  <si>
    <t>Tejaban 11 y 9</t>
  </si>
  <si>
    <t>Tejaban  12 y 10</t>
  </si>
  <si>
    <t>Ruta:</t>
  </si>
  <si>
    <t>\\10.2.2.248\Porcicola\captura\eventos\in\</t>
  </si>
  <si>
    <t>G102_Grupo_I</t>
  </si>
  <si>
    <t>G102_Grupo_J</t>
  </si>
  <si>
    <t>Tejaban 9</t>
  </si>
  <si>
    <t>Tejaban 10</t>
  </si>
  <si>
    <t>ESPERANZA</t>
  </si>
  <si>
    <t>10</t>
  </si>
  <si>
    <t>5</t>
  </si>
  <si>
    <t>9</t>
  </si>
  <si>
    <t>7</t>
  </si>
  <si>
    <t>redrojo</t>
  </si>
  <si>
    <t>palido</t>
  </si>
  <si>
    <t>PALIDO</t>
  </si>
  <si>
    <t>BRINCO</t>
  </si>
  <si>
    <t>prrs</t>
  </si>
  <si>
    <t>L72748</t>
  </si>
  <si>
    <t>brinco</t>
  </si>
  <si>
    <t>fecha</t>
  </si>
  <si>
    <t>hp</t>
  </si>
  <si>
    <t>L73171</t>
  </si>
  <si>
    <t>streptococos</t>
  </si>
  <si>
    <t>diarrea</t>
  </si>
  <si>
    <t>L71967</t>
  </si>
  <si>
    <t>EXISTENCIA ACTULA</t>
  </si>
  <si>
    <t>dias/consumo</t>
  </si>
  <si>
    <t>E/Inicial</t>
  </si>
  <si>
    <t>E/Final</t>
  </si>
  <si>
    <t>E/Acumulada</t>
  </si>
  <si>
    <t>N.Cerdos</t>
  </si>
  <si>
    <t>T. Consumir</t>
  </si>
  <si>
    <t>Proyeccion</t>
  </si>
  <si>
    <t>Real</t>
  </si>
  <si>
    <t>P-R</t>
  </si>
  <si>
    <t>L73654</t>
  </si>
  <si>
    <t>REDROJO</t>
  </si>
  <si>
    <t>L73742</t>
  </si>
  <si>
    <t>GRUPO A</t>
  </si>
  <si>
    <t>KG_RECIBIDOS</t>
  </si>
  <si>
    <t>KG_CONSUMIDOS</t>
  </si>
  <si>
    <t>NOMBRE</t>
  </si>
  <si>
    <t>GRUPO B</t>
  </si>
  <si>
    <t>L74026</t>
  </si>
  <si>
    <t>Sitio: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</si>
</sst>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name val="Verdana"/>
      <family val="2"/>
      <charset val="1"/>
    </font>
    <font>
      <sz val="11"/>
      <name val="Calibri"/>
      <family val="2"/>
      <scheme val="minor"/>
    </font>
    <font>
      <b/>
      <sz val="11"/>
      <color theme="1"/>
      <name val="Arial"/>
      <family val="2"/>
    </font>
    <font>
      <sz val="11"/>
      <color rgb="FF000000"/>
      <name val="Calibri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name val="Verdana"/>
      <family val="2"/>
      <charset val="1"/>
    </font>
    <font>
      <b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0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226">
    <xf numFmtId="0" fontId="0" fillId="0" borderId="0" xfId="0"/>
    <xf numFmtId="0" fontId="4" fillId="0" borderId="0" xfId="0" applyNumberFormat="1" applyFont="1" applyFill="1" applyBorder="1" applyAlignment="1" applyProtection="1">
      <alignment horizontal="left" vertical="center"/>
    </xf>
    <xf numFmtId="0" fontId="2" fillId="0" borderId="0" xfId="0" applyFont="1" applyAlignment="1">
      <alignment horizontal="left"/>
    </xf>
    <xf numFmtId="0" fontId="2" fillId="0" borderId="1" xfId="0" applyFont="1" applyBorder="1" applyAlignment="1">
      <alignment horizontal="left"/>
    </xf>
    <xf numFmtId="14" fontId="2" fillId="0" borderId="0" xfId="0" applyNumberFormat="1" applyFont="1" applyAlignment="1">
      <alignment horizontal="left"/>
    </xf>
    <xf numFmtId="14" fontId="2" fillId="0" borderId="1" xfId="0" applyNumberFormat="1" applyFont="1" applyFill="1" applyBorder="1" applyAlignment="1">
      <alignment horizontal="left"/>
    </xf>
    <xf numFmtId="14" fontId="2" fillId="2" borderId="1" xfId="0" applyNumberFormat="1" applyFont="1" applyFill="1" applyBorder="1" applyAlignment="1">
      <alignment horizontal="left"/>
    </xf>
    <xf numFmtId="14" fontId="2" fillId="2" borderId="3" xfId="0" applyNumberFormat="1" applyFont="1" applyFill="1" applyBorder="1" applyAlignment="1">
      <alignment horizontal="left"/>
    </xf>
    <xf numFmtId="0" fontId="2" fillId="0" borderId="1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left"/>
    </xf>
    <xf numFmtId="0" fontId="2" fillId="2" borderId="3" xfId="0" applyFont="1" applyFill="1" applyBorder="1" applyAlignment="1">
      <alignment horizontal="center"/>
    </xf>
    <xf numFmtId="14" fontId="2" fillId="0" borderId="1" xfId="0" applyNumberFormat="1" applyFont="1" applyBorder="1" applyAlignment="1">
      <alignment horizontal="left"/>
    </xf>
    <xf numFmtId="0" fontId="2" fillId="0" borderId="5" xfId="0" applyFont="1" applyBorder="1" applyAlignment="1">
      <alignment horizontal="left"/>
    </xf>
    <xf numFmtId="164" fontId="2" fillId="0" borderId="5" xfId="0" applyNumberFormat="1" applyFont="1" applyBorder="1" applyAlignment="1">
      <alignment horizontal="left"/>
    </xf>
    <xf numFmtId="14" fontId="2" fillId="0" borderId="0" xfId="0" applyNumberFormat="1" applyFont="1" applyFill="1" applyBorder="1" applyAlignment="1">
      <alignment horizontal="left"/>
    </xf>
    <xf numFmtId="0" fontId="2" fillId="0" borderId="0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center"/>
    </xf>
    <xf numFmtId="2" fontId="0" fillId="3" borderId="0" xfId="0" applyNumberFormat="1" applyFill="1"/>
    <xf numFmtId="2" fontId="0" fillId="3" borderId="0" xfId="0" applyNumberFormat="1" applyFill="1" applyBorder="1"/>
    <xf numFmtId="0" fontId="0" fillId="3" borderId="0" xfId="0" applyFill="1" applyBorder="1"/>
    <xf numFmtId="1" fontId="0" fillId="3" borderId="0" xfId="0" applyNumberFormat="1" applyFill="1" applyBorder="1" applyAlignment="1">
      <alignment horizontal="right"/>
    </xf>
    <xf numFmtId="1" fontId="0" fillId="3" borderId="0" xfId="0" applyNumberFormat="1" applyFill="1" applyAlignment="1">
      <alignment horizontal="right"/>
    </xf>
    <xf numFmtId="0" fontId="0" fillId="3" borderId="1" xfId="0" applyFill="1" applyBorder="1" applyAlignment="1">
      <alignment horizontal="center"/>
    </xf>
    <xf numFmtId="1" fontId="0" fillId="3" borderId="1" xfId="1" applyNumberFormat="1" applyFont="1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1" xfId="1" applyNumberFormat="1" applyFont="1" applyFill="1" applyBorder="1" applyAlignment="1">
      <alignment horizontal="center"/>
    </xf>
    <xf numFmtId="0" fontId="0" fillId="3" borderId="3" xfId="0" applyFill="1" applyBorder="1" applyAlignment="1" applyProtection="1">
      <alignment horizontal="center"/>
    </xf>
    <xf numFmtId="2" fontId="0" fillId="3" borderId="0" xfId="0" applyNumberFormat="1" applyFill="1" applyAlignment="1">
      <alignment horizontal="center"/>
    </xf>
    <xf numFmtId="0" fontId="5" fillId="0" borderId="0" xfId="0" applyNumberFormat="1" applyFont="1" applyFill="1" applyBorder="1" applyAlignment="1" applyProtection="1">
      <alignment horizontal="left" vertical="center"/>
    </xf>
    <xf numFmtId="0" fontId="2" fillId="0" borderId="1" xfId="0" applyFont="1" applyBorder="1" applyAlignment="1">
      <alignment horizontal="center"/>
    </xf>
    <xf numFmtId="14" fontId="0" fillId="2" borderId="1" xfId="0" applyNumberFormat="1" applyFill="1" applyBorder="1" applyAlignment="1">
      <alignment horizontal="left"/>
    </xf>
    <xf numFmtId="14" fontId="0" fillId="0" borderId="1" xfId="0" applyNumberFormat="1" applyFill="1" applyBorder="1" applyAlignment="1">
      <alignment horizontal="left"/>
    </xf>
    <xf numFmtId="0" fontId="0" fillId="0" borderId="1" xfId="0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0" borderId="0" xfId="0" applyFont="1" applyAlignment="1"/>
    <xf numFmtId="2" fontId="4" fillId="0" borderId="0" xfId="0" applyNumberFormat="1" applyFont="1" applyFill="1" applyBorder="1" applyAlignment="1" applyProtection="1">
      <alignment horizontal="left" vertical="center"/>
    </xf>
    <xf numFmtId="2" fontId="5" fillId="0" borderId="0" xfId="0" applyNumberFormat="1" applyFont="1" applyFill="1" applyBorder="1" applyAlignment="1" applyProtection="1">
      <alignment horizontal="left" vertical="center"/>
    </xf>
    <xf numFmtId="0" fontId="5" fillId="0" borderId="7" xfId="0" applyNumberFormat="1" applyFont="1" applyFill="1" applyBorder="1" applyAlignment="1" applyProtection="1">
      <alignment horizontal="left" vertical="center"/>
    </xf>
    <xf numFmtId="0" fontId="0" fillId="0" borderId="0" xfId="0" applyAlignment="1"/>
    <xf numFmtId="14" fontId="0" fillId="0" borderId="1" xfId="0" applyNumberFormat="1" applyFill="1" applyBorder="1" applyProtection="1"/>
    <xf numFmtId="1" fontId="0" fillId="0" borderId="1" xfId="1" applyNumberFormat="1" applyFont="1" applyFill="1" applyBorder="1" applyAlignment="1">
      <alignment horizontal="center"/>
    </xf>
    <xf numFmtId="0" fontId="0" fillId="0" borderId="3" xfId="0" applyFill="1" applyBorder="1" applyAlignment="1" applyProtection="1">
      <alignment horizontal="center"/>
    </xf>
    <xf numFmtId="0" fontId="0" fillId="0" borderId="1" xfId="0" applyFill="1" applyBorder="1" applyAlignment="1" applyProtection="1">
      <alignment horizontal="center"/>
    </xf>
    <xf numFmtId="2" fontId="0" fillId="0" borderId="1" xfId="0" applyNumberFormat="1" applyFill="1" applyBorder="1"/>
    <xf numFmtId="0" fontId="0" fillId="0" borderId="1" xfId="0" applyFill="1" applyBorder="1" applyProtection="1"/>
    <xf numFmtId="14" fontId="0" fillId="0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/>
    <xf numFmtId="14" fontId="0" fillId="0" borderId="0" xfId="0" applyNumberFormat="1" applyAlignment="1">
      <alignment horizontal="left"/>
    </xf>
    <xf numFmtId="14" fontId="0" fillId="0" borderId="0" xfId="0" applyNumberFormat="1"/>
    <xf numFmtId="0" fontId="0" fillId="0" borderId="0" xfId="0" applyNumberFormat="1"/>
    <xf numFmtId="1" fontId="0" fillId="0" borderId="0" xfId="0" applyNumberFormat="1"/>
    <xf numFmtId="9" fontId="0" fillId="0" borderId="0" xfId="2" applyFont="1" applyAlignment="1">
      <alignment horizontal="left"/>
    </xf>
    <xf numFmtId="1" fontId="0" fillId="0" borderId="0" xfId="0" applyNumberFormat="1" applyAlignment="1">
      <alignment horizontal="left"/>
    </xf>
    <xf numFmtId="1" fontId="0" fillId="0" borderId="1" xfId="0" applyNumberFormat="1" applyFill="1" applyBorder="1" applyAlignment="1" applyProtection="1">
      <alignment horizontal="center"/>
    </xf>
    <xf numFmtId="1" fontId="0" fillId="0" borderId="1" xfId="0" applyNumberFormat="1" applyFill="1" applyBorder="1" applyProtection="1"/>
    <xf numFmtId="1" fontId="0" fillId="0" borderId="1" xfId="0" applyNumberFormat="1" applyFill="1" applyBorder="1"/>
    <xf numFmtId="0" fontId="6" fillId="0" borderId="8" xfId="0" applyFont="1" applyFill="1" applyBorder="1" applyAlignment="1">
      <alignment horizontal="center"/>
    </xf>
    <xf numFmtId="1" fontId="6" fillId="0" borderId="8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Fill="1"/>
    <xf numFmtId="0" fontId="0" fillId="0" borderId="0" xfId="0" applyFill="1" applyBorder="1"/>
    <xf numFmtId="1" fontId="0" fillId="0" borderId="0" xfId="0" applyNumberFormat="1" applyFill="1"/>
    <xf numFmtId="0" fontId="0" fillId="0" borderId="8" xfId="0" applyFill="1" applyBorder="1"/>
    <xf numFmtId="0" fontId="0" fillId="0" borderId="8" xfId="0" applyFill="1" applyBorder="1" applyProtection="1"/>
    <xf numFmtId="0" fontId="0" fillId="0" borderId="8" xfId="0" applyFill="1" applyBorder="1" applyProtection="1">
      <protection locked="0"/>
    </xf>
    <xf numFmtId="0" fontId="0" fillId="0" borderId="8" xfId="0" applyFill="1" applyBorder="1" applyAlignment="1">
      <alignment horizontal="left"/>
    </xf>
    <xf numFmtId="0" fontId="0" fillId="0" borderId="8" xfId="0" applyNumberFormat="1" applyFill="1" applyBorder="1"/>
    <xf numFmtId="1" fontId="0" fillId="0" borderId="8" xfId="0" applyNumberFormat="1" applyFill="1" applyBorder="1"/>
    <xf numFmtId="0" fontId="0" fillId="0" borderId="3" xfId="0" applyFill="1" applyBorder="1" applyAlignment="1">
      <alignment horizontal="center"/>
    </xf>
    <xf numFmtId="1" fontId="0" fillId="0" borderId="8" xfId="0" applyNumberFormat="1" applyFill="1" applyBorder="1" applyProtection="1">
      <protection locked="0"/>
    </xf>
    <xf numFmtId="0" fontId="0" fillId="0" borderId="0" xfId="0" applyFill="1" applyAlignment="1">
      <alignment horizontal="center"/>
    </xf>
    <xf numFmtId="2" fontId="0" fillId="0" borderId="0" xfId="0" applyNumberFormat="1" applyFill="1"/>
    <xf numFmtId="2" fontId="0" fillId="0" borderId="0" xfId="0" applyNumberFormat="1" applyFill="1" applyBorder="1"/>
    <xf numFmtId="0" fontId="0" fillId="0" borderId="0" xfId="0" applyFill="1" applyBorder="1" applyAlignment="1">
      <alignment horizontal="right"/>
    </xf>
    <xf numFmtId="0" fontId="0" fillId="0" borderId="0" xfId="0" applyFill="1" applyAlignment="1">
      <alignment horizontal="right"/>
    </xf>
    <xf numFmtId="0" fontId="0" fillId="0" borderId="0" xfId="0" applyNumberFormat="1" applyFill="1" applyAlignment="1">
      <alignment horizontal="right"/>
    </xf>
    <xf numFmtId="49" fontId="0" fillId="0" borderId="0" xfId="0" applyNumberFormat="1" applyFill="1" applyAlignment="1">
      <alignment horizontal="right"/>
    </xf>
    <xf numFmtId="1" fontId="0" fillId="0" borderId="0" xfId="0" applyNumberFormat="1" applyFill="1" applyBorder="1" applyAlignment="1">
      <alignment horizontal="right"/>
    </xf>
    <xf numFmtId="1" fontId="0" fillId="0" borderId="0" xfId="0" applyNumberFormat="1" applyFill="1" applyAlignment="1">
      <alignment horizontal="right"/>
    </xf>
    <xf numFmtId="2" fontId="0" fillId="0" borderId="2" xfId="0" applyNumberFormat="1" applyFill="1" applyBorder="1"/>
    <xf numFmtId="1" fontId="0" fillId="0" borderId="1" xfId="0" applyNumberForma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NumberFormat="1" applyFill="1" applyAlignment="1">
      <alignment horizontal="left"/>
    </xf>
    <xf numFmtId="49" fontId="0" fillId="0" borderId="0" xfId="0" applyNumberFormat="1" applyFill="1" applyAlignment="1">
      <alignment horizontal="left"/>
    </xf>
    <xf numFmtId="1" fontId="0" fillId="0" borderId="0" xfId="0" applyNumberFormat="1" applyFill="1" applyAlignment="1">
      <alignment horizontal="left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0" xfId="0" applyFont="1" applyBorder="1" applyAlignment="1">
      <alignment horizontal="left"/>
    </xf>
    <xf numFmtId="0" fontId="2" fillId="0" borderId="8" xfId="0" applyFont="1" applyBorder="1" applyAlignment="1">
      <alignment horizontal="left"/>
    </xf>
    <xf numFmtId="14" fontId="2" fillId="2" borderId="8" xfId="0" applyNumberFormat="1" applyFont="1" applyFill="1" applyBorder="1" applyAlignment="1">
      <alignment horizontal="left"/>
    </xf>
    <xf numFmtId="0" fontId="2" fillId="2" borderId="8" xfId="0" applyFont="1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8" xfId="0" applyFill="1" applyBorder="1"/>
    <xf numFmtId="0" fontId="0" fillId="3" borderId="8" xfId="0" applyFill="1" applyBorder="1" applyAlignment="1">
      <alignment horizontal="center"/>
    </xf>
    <xf numFmtId="2" fontId="0" fillId="3" borderId="8" xfId="0" applyNumberFormat="1" applyFill="1" applyBorder="1"/>
    <xf numFmtId="1" fontId="0" fillId="3" borderId="8" xfId="1" applyNumberFormat="1" applyFont="1" applyFill="1" applyBorder="1" applyAlignment="1">
      <alignment horizontal="center"/>
    </xf>
    <xf numFmtId="0" fontId="0" fillId="3" borderId="8" xfId="0" applyFill="1" applyBorder="1" applyAlignment="1" applyProtection="1">
      <alignment horizontal="center"/>
    </xf>
    <xf numFmtId="49" fontId="0" fillId="3" borderId="0" xfId="0" applyNumberFormat="1" applyFill="1" applyAlignment="1">
      <alignment horizontal="center"/>
    </xf>
    <xf numFmtId="49" fontId="0" fillId="3" borderId="0" xfId="0" applyNumberFormat="1" applyFill="1"/>
    <xf numFmtId="0" fontId="3" fillId="3" borderId="8" xfId="0" applyFont="1" applyFill="1" applyBorder="1" applyAlignment="1">
      <alignment horizontal="center"/>
    </xf>
    <xf numFmtId="0" fontId="0" fillId="3" borderId="8" xfId="1" applyNumberFormat="1" applyFont="1" applyFill="1" applyBorder="1" applyAlignment="1">
      <alignment horizontal="center"/>
    </xf>
    <xf numFmtId="0" fontId="0" fillId="0" borderId="8" xfId="0" applyBorder="1"/>
    <xf numFmtId="14" fontId="0" fillId="0" borderId="8" xfId="0" applyNumberFormat="1" applyFill="1" applyBorder="1" applyAlignment="1" applyProtection="1">
      <alignment horizontal="center"/>
    </xf>
    <xf numFmtId="14" fontId="0" fillId="0" borderId="8" xfId="0" applyNumberFormat="1" applyFill="1" applyBorder="1" applyProtection="1"/>
    <xf numFmtId="14" fontId="0" fillId="0" borderId="8" xfId="0" applyNumberFormat="1" applyFill="1" applyBorder="1"/>
    <xf numFmtId="2" fontId="0" fillId="0" borderId="8" xfId="0" applyNumberFormat="1" applyFill="1" applyBorder="1"/>
    <xf numFmtId="14" fontId="0" fillId="0" borderId="8" xfId="0" applyNumberFormat="1" applyFill="1" applyBorder="1" applyAlignment="1">
      <alignment horizontal="center"/>
    </xf>
    <xf numFmtId="1" fontId="0" fillId="0" borderId="8" xfId="1" applyNumberFormat="1" applyFont="1" applyFill="1" applyBorder="1" applyAlignment="1">
      <alignment horizontal="center"/>
    </xf>
    <xf numFmtId="0" fontId="0" fillId="0" borderId="8" xfId="0" applyFill="1" applyBorder="1" applyAlignment="1" applyProtection="1">
      <alignment horizontal="left"/>
    </xf>
    <xf numFmtId="49" fontId="0" fillId="0" borderId="8" xfId="0" applyNumberFormat="1" applyFill="1" applyBorder="1"/>
    <xf numFmtId="16" fontId="0" fillId="0" borderId="8" xfId="0" applyNumberFormat="1" applyFill="1" applyBorder="1"/>
    <xf numFmtId="14" fontId="0" fillId="0" borderId="8" xfId="0" applyNumberFormat="1" applyFill="1" applyBorder="1" applyProtection="1">
      <protection locked="0"/>
    </xf>
    <xf numFmtId="0" fontId="0" fillId="0" borderId="8" xfId="0" applyFont="1" applyFill="1" applyBorder="1" applyAlignment="1" applyProtection="1">
      <alignment horizontal="center"/>
      <protection locked="0"/>
    </xf>
    <xf numFmtId="1" fontId="2" fillId="0" borderId="8" xfId="0" applyNumberFormat="1" applyFont="1" applyFill="1" applyBorder="1" applyAlignment="1" applyProtection="1">
      <protection locked="0"/>
    </xf>
    <xf numFmtId="1" fontId="2" fillId="0" borderId="8" xfId="0" applyNumberFormat="1" applyFont="1" applyFill="1" applyBorder="1" applyProtection="1">
      <protection locked="0"/>
    </xf>
    <xf numFmtId="0" fontId="2" fillId="0" borderId="8" xfId="0" applyFont="1" applyFill="1" applyBorder="1" applyProtection="1">
      <protection locked="0"/>
    </xf>
    <xf numFmtId="0" fontId="0" fillId="0" borderId="8" xfId="0" applyFill="1" applyBorder="1" applyAlignment="1" applyProtection="1">
      <alignment horizontal="center"/>
      <protection locked="0"/>
    </xf>
    <xf numFmtId="0" fontId="0" fillId="0" borderId="8" xfId="0" applyFont="1" applyFill="1" applyBorder="1" applyAlignment="1" applyProtection="1">
      <alignment horizontal="center"/>
    </xf>
    <xf numFmtId="1" fontId="2" fillId="0" borderId="8" xfId="0" applyNumberFormat="1" applyFont="1" applyFill="1" applyBorder="1" applyAlignment="1" applyProtection="1"/>
    <xf numFmtId="0" fontId="0" fillId="0" borderId="8" xfId="0" applyFont="1" applyFill="1" applyBorder="1" applyAlignment="1" applyProtection="1"/>
    <xf numFmtId="1" fontId="2" fillId="0" borderId="8" xfId="0" applyNumberFormat="1" applyFont="1" applyFill="1" applyBorder="1" applyProtection="1"/>
    <xf numFmtId="0" fontId="2" fillId="0" borderId="8" xfId="0" applyFont="1" applyFill="1" applyBorder="1" applyProtection="1"/>
    <xf numFmtId="0" fontId="4" fillId="0" borderId="8" xfId="0" applyNumberFormat="1" applyFont="1" applyFill="1" applyBorder="1" applyAlignment="1" applyProtection="1">
      <alignment horizontal="center" vertical="center"/>
    </xf>
    <xf numFmtId="0" fontId="0" fillId="0" borderId="8" xfId="0" applyFill="1" applyBorder="1" applyAlignment="1" applyProtection="1">
      <alignment horizontal="center"/>
    </xf>
    <xf numFmtId="0" fontId="0" fillId="0" borderId="8" xfId="0" applyFill="1" applyBorder="1" applyAlignment="1">
      <alignment horizontal="center"/>
    </xf>
    <xf numFmtId="0" fontId="9" fillId="0" borderId="0" xfId="0" applyFont="1" applyBorder="1" applyAlignment="1" applyProtection="1">
      <alignment horizontal="right"/>
    </xf>
    <xf numFmtId="14" fontId="8" fillId="0" borderId="8" xfId="0" applyNumberFormat="1" applyFont="1" applyBorder="1" applyProtection="1">
      <protection locked="0"/>
    </xf>
    <xf numFmtId="0" fontId="8" fillId="0" borderId="0" xfId="0" applyFont="1" applyBorder="1" applyAlignment="1" applyProtection="1"/>
    <xf numFmtId="0" fontId="8" fillId="0" borderId="0" xfId="0" applyFont="1" applyBorder="1" applyProtection="1"/>
    <xf numFmtId="14" fontId="8" fillId="0" borderId="0" xfId="0" applyNumberFormat="1" applyFont="1" applyBorder="1" applyProtection="1"/>
    <xf numFmtId="0" fontId="9" fillId="0" borderId="0" xfId="0" applyFont="1" applyBorder="1" applyProtection="1"/>
    <xf numFmtId="0" fontId="0" fillId="0" borderId="0" xfId="0" applyBorder="1"/>
    <xf numFmtId="0" fontId="9" fillId="0" borderId="0" xfId="0" applyFont="1" applyProtection="1"/>
    <xf numFmtId="0" fontId="8" fillId="0" borderId="0" xfId="0" applyFont="1" applyProtection="1"/>
    <xf numFmtId="0" fontId="9" fillId="0" borderId="8" xfId="0" applyFont="1" applyBorder="1" applyProtection="1"/>
    <xf numFmtId="0" fontId="8" fillId="0" borderId="8" xfId="0" applyFont="1" applyBorder="1" applyProtection="1"/>
    <xf numFmtId="16" fontId="8" fillId="0" borderId="8" xfId="0" quotePrefix="1" applyNumberFormat="1" applyFont="1" applyBorder="1" applyProtection="1"/>
    <xf numFmtId="49" fontId="2" fillId="0" borderId="8" xfId="0" applyNumberFormat="1" applyFont="1" applyBorder="1" applyAlignment="1">
      <alignment horizontal="left"/>
    </xf>
    <xf numFmtId="0" fontId="8" fillId="0" borderId="0" xfId="0" applyFont="1" applyBorder="1" applyAlignment="1" applyProtection="1">
      <alignment horizontal="left"/>
    </xf>
    <xf numFmtId="16" fontId="2" fillId="0" borderId="1" xfId="0" applyNumberFormat="1" applyFont="1" applyBorder="1" applyAlignment="1" applyProtection="1">
      <alignment horizontal="left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0" fillId="3" borderId="8" xfId="0" applyFill="1" applyBorder="1" applyAlignment="1" applyProtection="1">
      <alignment horizontal="center"/>
      <protection locked="0"/>
    </xf>
    <xf numFmtId="2" fontId="0" fillId="3" borderId="8" xfId="0" applyNumberFormat="1" applyFill="1" applyBorder="1" applyProtection="1">
      <protection locked="0"/>
    </xf>
    <xf numFmtId="0" fontId="0" fillId="3" borderId="8" xfId="0" applyFill="1" applyBorder="1" applyProtection="1">
      <protection locked="0"/>
    </xf>
    <xf numFmtId="0" fontId="0" fillId="3" borderId="0" xfId="0" applyFill="1" applyBorder="1" applyProtection="1">
      <protection locked="0"/>
    </xf>
    <xf numFmtId="2" fontId="0" fillId="3" borderId="0" xfId="0" applyNumberFormat="1" applyFill="1" applyBorder="1" applyProtection="1">
      <protection locked="0"/>
    </xf>
    <xf numFmtId="0" fontId="0" fillId="3" borderId="0" xfId="0" applyFill="1" applyProtection="1">
      <protection locked="0"/>
    </xf>
    <xf numFmtId="2" fontId="0" fillId="3" borderId="0" xfId="0" applyNumberFormat="1" applyFill="1" applyProtection="1">
      <protection locked="0"/>
    </xf>
    <xf numFmtId="14" fontId="0" fillId="3" borderId="8" xfId="0" applyNumberFormat="1" applyFill="1" applyBorder="1" applyAlignment="1" applyProtection="1">
      <alignment horizontal="center"/>
      <protection locked="0"/>
    </xf>
    <xf numFmtId="14" fontId="0" fillId="3" borderId="8" xfId="0" applyNumberFormat="1" applyFill="1" applyBorder="1" applyProtection="1">
      <protection locked="0"/>
    </xf>
    <xf numFmtId="0" fontId="0" fillId="3" borderId="1" xfId="0" applyFill="1" applyBorder="1" applyAlignment="1" applyProtection="1">
      <alignment horizontal="center"/>
      <protection locked="0"/>
    </xf>
    <xf numFmtId="2" fontId="0" fillId="3" borderId="1" xfId="0" applyNumberFormat="1" applyFill="1" applyBorder="1" applyProtection="1">
      <protection locked="0"/>
    </xf>
    <xf numFmtId="0" fontId="0" fillId="3" borderId="1" xfId="0" applyFill="1" applyBorder="1" applyProtection="1">
      <protection locked="0"/>
    </xf>
    <xf numFmtId="14" fontId="0" fillId="3" borderId="0" xfId="0" applyNumberFormat="1" applyFill="1" applyBorder="1" applyProtection="1">
      <protection locked="0"/>
    </xf>
    <xf numFmtId="3" fontId="2" fillId="2" borderId="1" xfId="0" applyNumberFormat="1" applyFont="1" applyFill="1" applyBorder="1" applyAlignment="1">
      <alignment horizontal="left"/>
    </xf>
    <xf numFmtId="3" fontId="0" fillId="0" borderId="8" xfId="0" applyNumberFormat="1" applyFill="1" applyBorder="1"/>
    <xf numFmtId="2" fontId="0" fillId="0" borderId="10" xfId="0" applyNumberFormat="1" applyFill="1" applyBorder="1" applyAlignment="1">
      <alignment vertical="center" wrapText="1"/>
    </xf>
    <xf numFmtId="0" fontId="0" fillId="0" borderId="10" xfId="0" applyBorder="1" applyAlignment="1">
      <alignment vertical="center"/>
    </xf>
    <xf numFmtId="2" fontId="0" fillId="0" borderId="14" xfId="0" applyNumberFormat="1" applyFill="1" applyBorder="1" applyAlignment="1">
      <alignment vertical="center" wrapText="1"/>
    </xf>
    <xf numFmtId="0" fontId="0" fillId="0" borderId="9" xfId="0" applyBorder="1" applyAlignment="1">
      <alignment vertical="center"/>
    </xf>
    <xf numFmtId="0" fontId="0" fillId="0" borderId="15" xfId="0" applyFill="1" applyBorder="1"/>
    <xf numFmtId="0" fontId="0" fillId="0" borderId="16" xfId="0" applyFill="1" applyBorder="1"/>
    <xf numFmtId="0" fontId="0" fillId="0" borderId="17" xfId="0" applyFill="1" applyBorder="1"/>
    <xf numFmtId="2" fontId="0" fillId="0" borderId="0" xfId="0" applyNumberFormat="1" applyFont="1" applyAlignment="1"/>
    <xf numFmtId="0" fontId="0" fillId="0" borderId="18" xfId="0" applyBorder="1"/>
    <xf numFmtId="0" fontId="0" fillId="0" borderId="19" xfId="0" applyBorder="1"/>
    <xf numFmtId="9" fontId="0" fillId="0" borderId="8" xfId="2" applyFont="1" applyFill="1" applyBorder="1"/>
    <xf numFmtId="2" fontId="5" fillId="0" borderId="20" xfId="0" applyNumberFormat="1" applyFont="1" applyFill="1" applyBorder="1" applyAlignment="1" applyProtection="1">
      <alignment horizontal="left" vertical="center"/>
    </xf>
    <xf numFmtId="0" fontId="5" fillId="0" borderId="21" xfId="0" applyNumberFormat="1" applyFont="1" applyFill="1" applyBorder="1" applyAlignment="1" applyProtection="1">
      <alignment horizontal="left" vertical="center"/>
    </xf>
    <xf numFmtId="1" fontId="0" fillId="0" borderId="22" xfId="0" applyNumberFormat="1" applyFill="1" applyBorder="1"/>
    <xf numFmtId="1" fontId="0" fillId="0" borderId="23" xfId="0" applyNumberFormat="1" applyFill="1" applyBorder="1"/>
    <xf numFmtId="0" fontId="0" fillId="0" borderId="10" xfId="0" applyNumberFormat="1" applyBorder="1" applyAlignment="1">
      <alignment vertical="center"/>
    </xf>
    <xf numFmtId="3" fontId="0" fillId="2" borderId="1" xfId="0" applyNumberFormat="1" applyFill="1" applyBorder="1" applyAlignment="1">
      <alignment horizontal="left"/>
    </xf>
    <xf numFmtId="14" fontId="2" fillId="0" borderId="1" xfId="4" applyNumberFormat="1" applyFont="1" applyBorder="1" applyAlignment="1">
      <alignment horizontal="left"/>
    </xf>
    <xf numFmtId="0" fontId="11" fillId="0" borderId="0" xfId="0" applyFont="1"/>
    <xf numFmtId="0" fontId="11" fillId="0" borderId="0" xfId="0" applyNumberFormat="1" applyFont="1"/>
    <xf numFmtId="0" fontId="11" fillId="0" borderId="0" xfId="0" applyNumberFormat="1" applyFont="1" applyAlignment="1"/>
    <xf numFmtId="0" fontId="12" fillId="0" borderId="0" xfId="0" applyNumberFormat="1" applyFont="1" applyFill="1" applyBorder="1" applyAlignment="1" applyProtection="1">
      <alignment horizontal="left" vertical="center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11" fillId="0" borderId="0" xfId="0" applyFont="1" applyAlignment="1"/>
    <xf numFmtId="1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2" borderId="3" xfId="0" applyFont="1" applyFill="1" applyBorder="1" applyAlignment="1">
      <alignment horizontal="left"/>
    </xf>
    <xf numFmtId="0" fontId="2" fillId="2" borderId="4" xfId="0" applyFont="1" applyFill="1" applyBorder="1" applyAlignment="1">
      <alignment horizontal="left"/>
    </xf>
    <xf numFmtId="49" fontId="0" fillId="2" borderId="3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0" fontId="0" fillId="2" borderId="3" xfId="0" applyFill="1" applyBorder="1" applyAlignment="1" applyProtection="1">
      <alignment horizontal="left"/>
      <protection locked="0"/>
    </xf>
    <xf numFmtId="0" fontId="0" fillId="2" borderId="4" xfId="0" applyFill="1" applyBorder="1" applyAlignment="1" applyProtection="1">
      <alignment horizontal="left"/>
      <protection locked="0"/>
    </xf>
    <xf numFmtId="0" fontId="0" fillId="2" borderId="3" xfId="0" applyFill="1" applyBorder="1" applyAlignment="1">
      <alignment horizontal="left"/>
    </xf>
    <xf numFmtId="0" fontId="0" fillId="2" borderId="4" xfId="0" applyFill="1" applyBorder="1" applyAlignment="1">
      <alignment horizontal="left"/>
    </xf>
    <xf numFmtId="0" fontId="2" fillId="0" borderId="2" xfId="0" applyFont="1" applyBorder="1" applyAlignment="1">
      <alignment horizontal="right"/>
    </xf>
    <xf numFmtId="0" fontId="2" fillId="0" borderId="0" xfId="0" applyFont="1" applyAlignment="1">
      <alignment horizontal="right"/>
    </xf>
    <xf numFmtId="0" fontId="2" fillId="0" borderId="2" xfId="0" applyFont="1" applyBorder="1" applyAlignment="1">
      <alignment horizontal="center"/>
    </xf>
    <xf numFmtId="0" fontId="0" fillId="2" borderId="3" xfId="0" applyFill="1" applyBorder="1" applyAlignment="1" applyProtection="1">
      <alignment horizontal="left"/>
    </xf>
    <xf numFmtId="0" fontId="0" fillId="2" borderId="4" xfId="0" applyFill="1" applyBorder="1" applyAlignment="1" applyProtection="1">
      <alignment horizontal="left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0" fontId="2" fillId="2" borderId="3" xfId="0" applyFont="1" applyFill="1" applyBorder="1" applyAlignment="1" applyProtection="1">
      <alignment horizontal="center"/>
      <protection locked="0"/>
    </xf>
    <xf numFmtId="0" fontId="2" fillId="2" borderId="4" xfId="0" applyFont="1" applyFill="1" applyBorder="1" applyAlignment="1" applyProtection="1">
      <alignment horizontal="center"/>
      <protection locked="0"/>
    </xf>
    <xf numFmtId="0" fontId="0" fillId="0" borderId="1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12" xfId="0" applyNumberFormat="1" applyFill="1" applyBorder="1" applyAlignment="1">
      <alignment horizontal="center"/>
    </xf>
    <xf numFmtId="0" fontId="0" fillId="0" borderId="13" xfId="0" applyNumberFormat="1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 wrapText="1"/>
    </xf>
    <xf numFmtId="0" fontId="8" fillId="0" borderId="0" xfId="0" applyFont="1" applyBorder="1" applyAlignment="1" applyProtection="1">
      <alignment horizontal="center"/>
    </xf>
    <xf numFmtId="0" fontId="10" fillId="0" borderId="3" xfId="3" applyBorder="1" applyAlignment="1" applyProtection="1">
      <alignment horizontal="left"/>
    </xf>
    <xf numFmtId="0" fontId="8" fillId="0" borderId="24" xfId="0" applyFont="1" applyBorder="1" applyAlignment="1" applyProtection="1">
      <alignment horizontal="left"/>
    </xf>
    <xf numFmtId="0" fontId="8" fillId="0" borderId="4" xfId="0" applyFont="1" applyBorder="1" applyAlignment="1" applyProtection="1">
      <alignment horizontal="left"/>
    </xf>
    <xf numFmtId="0" fontId="11" fillId="0" borderId="0" xfId="0" applyNumberFormat="1" applyFont="1" applyAlignment="1">
      <alignment horizontal="center"/>
    </xf>
  </cellXfs>
  <cellStyles count="5">
    <cellStyle name="Hipervínculo" xfId="3" builtinId="8"/>
    <cellStyle name="Millares" xfId="1" builtinId="3"/>
    <cellStyle name="Moneda" xfId="4" builtinId="4"/>
    <cellStyle name="Normal" xfId="0" builtinId="0"/>
    <cellStyle name="Porcentaje" xfId="2" builtinId="5"/>
  </cellStyles>
  <dxfs count="507"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LABORATORIO!$I$2</c:f>
              <c:strCache>
                <c:ptCount val="1"/>
                <c:pt idx="0">
                  <c:v>Proyeccion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LABORATORIO!$B$3:$B$53</c:f>
              <c:strCache>
                <c:ptCount val="35"/>
                <c:pt idx="0">
                  <c:v>Nutalc</c:v>
                </c:pt>
                <c:pt idx="1">
                  <c:v>Initec Integral</c:v>
                </c:pt>
                <c:pt idx="2">
                  <c:v>Nupig Sew 150 Ppm Tiamulina+400Ppm Amoxicilina</c:v>
                </c:pt>
                <c:pt idx="3">
                  <c:v>Nutonik</c:v>
                </c:pt>
                <c:pt idx="4">
                  <c:v>Nupig Uno Kappa</c:v>
                </c:pt>
                <c:pt idx="5">
                  <c:v>Cerdos Fase 4 Med</c:v>
                </c:pt>
                <c:pt idx="6">
                  <c:v>Cerdos Fase 5 Med</c:v>
                </c:pt>
                <c:pt idx="7">
                  <c:v>Cerdos Fase 3 +Tilo</c:v>
                </c:pt>
                <c:pt idx="8">
                  <c:v>Cerdos Fase 4 +Tilo</c:v>
                </c:pt>
                <c:pt idx="9">
                  <c:v>Cerdos Fase 5 +Tilo</c:v>
                </c:pt>
                <c:pt idx="10">
                  <c:v>Cerdos Fase 6 +Tilo</c:v>
                </c:pt>
                <c:pt idx="11">
                  <c:v>Cerdos Racto +Tilo</c:v>
                </c:pt>
                <c:pt idx="12">
                  <c:v>Cerdos Fase 2 Med</c:v>
                </c:pt>
                <c:pt idx="13">
                  <c:v>Cerdos Fa2.5 Med</c:v>
                </c:pt>
                <c:pt idx="14">
                  <c:v>Cerdos Crec/Med</c:v>
                </c:pt>
                <c:pt idx="15">
                  <c:v>Cerdos Des/Med</c:v>
                </c:pt>
                <c:pt idx="16">
                  <c:v>Cerdos Iniciador +Tilo</c:v>
                </c:pt>
                <c:pt idx="17">
                  <c:v>Cerdos Crecimiento +Tilo</c:v>
                </c:pt>
                <c:pt idx="18">
                  <c:v>Cerdos Desarrollo +Tilo</c:v>
                </c:pt>
                <c:pt idx="19">
                  <c:v>Cerdos Finalizador +Tilo</c:v>
                </c:pt>
                <c:pt idx="20">
                  <c:v>Cerdos Fin/Rac +Tilo</c:v>
                </c:pt>
                <c:pt idx="21">
                  <c:v>Cerdos Iniciador Normal+Tilo/Floran</c:v>
                </c:pt>
                <c:pt idx="22">
                  <c:v>Fase 2 + Karitil</c:v>
                </c:pt>
                <c:pt idx="23">
                  <c:v>Cerdos Fase 3</c:v>
                </c:pt>
                <c:pt idx="24">
                  <c:v>Cerdos Fase 4</c:v>
                </c:pt>
                <c:pt idx="25">
                  <c:v>Cerdos Fase 5</c:v>
                </c:pt>
                <c:pt idx="26">
                  <c:v>Cerdos Fase 6</c:v>
                </c:pt>
                <c:pt idx="27">
                  <c:v>Cerdos Racmina</c:v>
                </c:pt>
                <c:pt idx="28">
                  <c:v>Cerdos Fase 2</c:v>
                </c:pt>
                <c:pt idx="29">
                  <c:v>Cerdos Fase 2.5</c:v>
                </c:pt>
                <c:pt idx="30">
                  <c:v>Cerdos Iniciador</c:v>
                </c:pt>
                <c:pt idx="31">
                  <c:v>Cerdos Crecimiento</c:v>
                </c:pt>
                <c:pt idx="32">
                  <c:v>Cerdos Desarrollo</c:v>
                </c:pt>
                <c:pt idx="33">
                  <c:v>Cerdos Finalizador</c:v>
                </c:pt>
                <c:pt idx="34">
                  <c:v>Cerdos Fin/Rac</c:v>
                </c:pt>
              </c:strCache>
            </c:strRef>
          </c:cat>
          <c:val>
            <c:numRef>
              <c:f>LABORATORIO!$I$3:$I$53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545.69999999999993</c:v>
                </c:pt>
                <c:pt idx="3">
                  <c:v>0</c:v>
                </c:pt>
                <c:pt idx="4">
                  <c:v>6366.5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10004.5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32742</c:v>
                </c:pt>
                <c:pt idx="17">
                  <c:v>72760</c:v>
                </c:pt>
                <c:pt idx="18">
                  <c:v>100045</c:v>
                </c:pt>
                <c:pt idx="19">
                  <c:v>54570</c:v>
                </c:pt>
                <c:pt idx="20">
                  <c:v>136425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23647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</c:ser>
        <c:ser>
          <c:idx val="1"/>
          <c:order val="1"/>
          <c:tx>
            <c:strRef>
              <c:f>LABORATORIO!$J$2</c:f>
              <c:strCache>
                <c:ptCount val="1"/>
                <c:pt idx="0">
                  <c:v>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LABORATORIO!$B$3:$B$53</c:f>
              <c:strCache>
                <c:ptCount val="35"/>
                <c:pt idx="0">
                  <c:v>Nutalc</c:v>
                </c:pt>
                <c:pt idx="1">
                  <c:v>Initec Integral</c:v>
                </c:pt>
                <c:pt idx="2">
                  <c:v>Nupig Sew 150 Ppm Tiamulina+400Ppm Amoxicilina</c:v>
                </c:pt>
                <c:pt idx="3">
                  <c:v>Nutonik</c:v>
                </c:pt>
                <c:pt idx="4">
                  <c:v>Nupig Uno Kappa</c:v>
                </c:pt>
                <c:pt idx="5">
                  <c:v>Cerdos Fase 4 Med</c:v>
                </c:pt>
                <c:pt idx="6">
                  <c:v>Cerdos Fase 5 Med</c:v>
                </c:pt>
                <c:pt idx="7">
                  <c:v>Cerdos Fase 3 +Tilo</c:v>
                </c:pt>
                <c:pt idx="8">
                  <c:v>Cerdos Fase 4 +Tilo</c:v>
                </c:pt>
                <c:pt idx="9">
                  <c:v>Cerdos Fase 5 +Tilo</c:v>
                </c:pt>
                <c:pt idx="10">
                  <c:v>Cerdos Fase 6 +Tilo</c:v>
                </c:pt>
                <c:pt idx="11">
                  <c:v>Cerdos Racto +Tilo</c:v>
                </c:pt>
                <c:pt idx="12">
                  <c:v>Cerdos Fase 2 Med</c:v>
                </c:pt>
                <c:pt idx="13">
                  <c:v>Cerdos Fa2.5 Med</c:v>
                </c:pt>
                <c:pt idx="14">
                  <c:v>Cerdos Crec/Med</c:v>
                </c:pt>
                <c:pt idx="15">
                  <c:v>Cerdos Des/Med</c:v>
                </c:pt>
                <c:pt idx="16">
                  <c:v>Cerdos Iniciador +Tilo</c:v>
                </c:pt>
                <c:pt idx="17">
                  <c:v>Cerdos Crecimiento +Tilo</c:v>
                </c:pt>
                <c:pt idx="18">
                  <c:v>Cerdos Desarrollo +Tilo</c:v>
                </c:pt>
                <c:pt idx="19">
                  <c:v>Cerdos Finalizador +Tilo</c:v>
                </c:pt>
                <c:pt idx="20">
                  <c:v>Cerdos Fin/Rac +Tilo</c:v>
                </c:pt>
                <c:pt idx="21">
                  <c:v>Cerdos Iniciador Normal+Tilo/Floran</c:v>
                </c:pt>
                <c:pt idx="22">
                  <c:v>Fase 2 + Karitil</c:v>
                </c:pt>
                <c:pt idx="23">
                  <c:v>Cerdos Fase 3</c:v>
                </c:pt>
                <c:pt idx="24">
                  <c:v>Cerdos Fase 4</c:v>
                </c:pt>
                <c:pt idx="25">
                  <c:v>Cerdos Fase 5</c:v>
                </c:pt>
                <c:pt idx="26">
                  <c:v>Cerdos Fase 6</c:v>
                </c:pt>
                <c:pt idx="27">
                  <c:v>Cerdos Racmina</c:v>
                </c:pt>
                <c:pt idx="28">
                  <c:v>Cerdos Fase 2</c:v>
                </c:pt>
                <c:pt idx="29">
                  <c:v>Cerdos Fase 2.5</c:v>
                </c:pt>
                <c:pt idx="30">
                  <c:v>Cerdos Iniciador</c:v>
                </c:pt>
                <c:pt idx="31">
                  <c:v>Cerdos Crecimiento</c:v>
                </c:pt>
                <c:pt idx="32">
                  <c:v>Cerdos Desarrollo</c:v>
                </c:pt>
                <c:pt idx="33">
                  <c:v>Cerdos Finalizador</c:v>
                </c:pt>
                <c:pt idx="34">
                  <c:v>Cerdos Fin/Rac</c:v>
                </c:pt>
              </c:strCache>
            </c:strRef>
          </c:cat>
          <c:val>
            <c:numRef>
              <c:f>LABORATORIO!$J$3:$J$53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600</c:v>
                </c:pt>
                <c:pt idx="3">
                  <c:v>0</c:v>
                </c:pt>
                <c:pt idx="4">
                  <c:v>4500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10000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25520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71555568"/>
        <c:axId val="171551648"/>
        <c:axId val="121276264"/>
      </c:bar3DChart>
      <c:catAx>
        <c:axId val="171555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1551648"/>
        <c:crosses val="autoZero"/>
        <c:auto val="1"/>
        <c:lblAlgn val="ctr"/>
        <c:lblOffset val="100"/>
        <c:noMultiLvlLbl val="0"/>
      </c:catAx>
      <c:valAx>
        <c:axId val="17155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1555568"/>
        <c:crosses val="autoZero"/>
        <c:crossBetween val="between"/>
      </c:valAx>
      <c:serAx>
        <c:axId val="1212762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1551648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LABORATORIO!$U$2</c:f>
              <c:strCache>
                <c:ptCount val="1"/>
                <c:pt idx="0">
                  <c:v>Proyeccion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LABORATORIO!$N$3:$N$53</c:f>
              <c:strCache>
                <c:ptCount val="35"/>
                <c:pt idx="0">
                  <c:v>Nutalc</c:v>
                </c:pt>
                <c:pt idx="1">
                  <c:v>Initec Integral</c:v>
                </c:pt>
                <c:pt idx="2">
                  <c:v>Nupig Sew 150 Ppm Tiamulina+400Ppm Amoxicilina</c:v>
                </c:pt>
                <c:pt idx="3">
                  <c:v>Nutonik</c:v>
                </c:pt>
                <c:pt idx="4">
                  <c:v>Nupig Uno Kappa</c:v>
                </c:pt>
                <c:pt idx="5">
                  <c:v>Cerdos Fase 4 Med</c:v>
                </c:pt>
                <c:pt idx="6">
                  <c:v>Cerdos Fase 5 Med</c:v>
                </c:pt>
                <c:pt idx="7">
                  <c:v>Cerdos Fase 3 +Tilo</c:v>
                </c:pt>
                <c:pt idx="8">
                  <c:v>Cerdos Fase 4 +Tilo</c:v>
                </c:pt>
                <c:pt idx="9">
                  <c:v>Cerdos Fase 5 +Tilo</c:v>
                </c:pt>
                <c:pt idx="10">
                  <c:v>Cerdos Fase 6 +Tilo</c:v>
                </c:pt>
                <c:pt idx="11">
                  <c:v>Cerdos Racto +Tilo</c:v>
                </c:pt>
                <c:pt idx="12">
                  <c:v>Cerdos Fase 2 Med</c:v>
                </c:pt>
                <c:pt idx="13">
                  <c:v>Cerdos Fa2.5 Med</c:v>
                </c:pt>
                <c:pt idx="14">
                  <c:v>Cerdos Crec/Med</c:v>
                </c:pt>
                <c:pt idx="15">
                  <c:v>Cerdos Des/Med</c:v>
                </c:pt>
                <c:pt idx="16">
                  <c:v>Cerdos Iniciador +Tilo</c:v>
                </c:pt>
                <c:pt idx="17">
                  <c:v>Cerdos Crecimiento +Tilo</c:v>
                </c:pt>
                <c:pt idx="18">
                  <c:v>Cerdos Desarrollo +Tilo</c:v>
                </c:pt>
                <c:pt idx="19">
                  <c:v>Cerdos Finalizador +Tilo</c:v>
                </c:pt>
                <c:pt idx="20">
                  <c:v>Cerdos Fin/Rac +Tilo</c:v>
                </c:pt>
                <c:pt idx="21">
                  <c:v>Cerdos Iniciador Normal+Tilo/Floran</c:v>
                </c:pt>
                <c:pt idx="22">
                  <c:v>Fase 2 + Karitil</c:v>
                </c:pt>
                <c:pt idx="23">
                  <c:v>Cerdos Fase 3</c:v>
                </c:pt>
                <c:pt idx="24">
                  <c:v>Cerdos Fase 4</c:v>
                </c:pt>
                <c:pt idx="25">
                  <c:v>Cerdos Fase 5</c:v>
                </c:pt>
                <c:pt idx="26">
                  <c:v>Cerdos Fase 6</c:v>
                </c:pt>
                <c:pt idx="27">
                  <c:v>Cerdos Racmina</c:v>
                </c:pt>
                <c:pt idx="28">
                  <c:v>Cerdos Fase 2</c:v>
                </c:pt>
                <c:pt idx="29">
                  <c:v>Cerdos Fase 2.5</c:v>
                </c:pt>
                <c:pt idx="30">
                  <c:v>Cerdos Iniciador</c:v>
                </c:pt>
                <c:pt idx="31">
                  <c:v>Cerdos Crecimiento</c:v>
                </c:pt>
                <c:pt idx="32">
                  <c:v>Cerdos Desarrollo</c:v>
                </c:pt>
                <c:pt idx="33">
                  <c:v>Cerdos Finalizador</c:v>
                </c:pt>
                <c:pt idx="34">
                  <c:v>Cerdos Fin/Rac</c:v>
                </c:pt>
              </c:strCache>
            </c:strRef>
          </c:cat>
          <c:val>
            <c:numRef>
              <c:f>LABORATORIO!$U$3:$U$53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600</c:v>
                </c:pt>
                <c:pt idx="3">
                  <c:v>0</c:v>
                </c:pt>
                <c:pt idx="4">
                  <c:v>7000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11000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36000</c:v>
                </c:pt>
                <c:pt idx="17">
                  <c:v>80000</c:v>
                </c:pt>
                <c:pt idx="18">
                  <c:v>110000</c:v>
                </c:pt>
                <c:pt idx="19">
                  <c:v>60000</c:v>
                </c:pt>
                <c:pt idx="20">
                  <c:v>150000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26000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</c:ser>
        <c:ser>
          <c:idx val="1"/>
          <c:order val="1"/>
          <c:tx>
            <c:strRef>
              <c:f>LABORATORIO!$V$2</c:f>
              <c:strCache>
                <c:ptCount val="1"/>
                <c:pt idx="0">
                  <c:v>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LABORATORIO!$N$3:$N$53</c:f>
              <c:strCache>
                <c:ptCount val="35"/>
                <c:pt idx="0">
                  <c:v>Nutalc</c:v>
                </c:pt>
                <c:pt idx="1">
                  <c:v>Initec Integral</c:v>
                </c:pt>
                <c:pt idx="2">
                  <c:v>Nupig Sew 150 Ppm Tiamulina+400Ppm Amoxicilina</c:v>
                </c:pt>
                <c:pt idx="3">
                  <c:v>Nutonik</c:v>
                </c:pt>
                <c:pt idx="4">
                  <c:v>Nupig Uno Kappa</c:v>
                </c:pt>
                <c:pt idx="5">
                  <c:v>Cerdos Fase 4 Med</c:v>
                </c:pt>
                <c:pt idx="6">
                  <c:v>Cerdos Fase 5 Med</c:v>
                </c:pt>
                <c:pt idx="7">
                  <c:v>Cerdos Fase 3 +Tilo</c:v>
                </c:pt>
                <c:pt idx="8">
                  <c:v>Cerdos Fase 4 +Tilo</c:v>
                </c:pt>
                <c:pt idx="9">
                  <c:v>Cerdos Fase 5 +Tilo</c:v>
                </c:pt>
                <c:pt idx="10">
                  <c:v>Cerdos Fase 6 +Tilo</c:v>
                </c:pt>
                <c:pt idx="11">
                  <c:v>Cerdos Racto +Tilo</c:v>
                </c:pt>
                <c:pt idx="12">
                  <c:v>Cerdos Fase 2 Med</c:v>
                </c:pt>
                <c:pt idx="13">
                  <c:v>Cerdos Fa2.5 Med</c:v>
                </c:pt>
                <c:pt idx="14">
                  <c:v>Cerdos Crec/Med</c:v>
                </c:pt>
                <c:pt idx="15">
                  <c:v>Cerdos Des/Med</c:v>
                </c:pt>
                <c:pt idx="16">
                  <c:v>Cerdos Iniciador +Tilo</c:v>
                </c:pt>
                <c:pt idx="17">
                  <c:v>Cerdos Crecimiento +Tilo</c:v>
                </c:pt>
                <c:pt idx="18">
                  <c:v>Cerdos Desarrollo +Tilo</c:v>
                </c:pt>
                <c:pt idx="19">
                  <c:v>Cerdos Finalizador +Tilo</c:v>
                </c:pt>
                <c:pt idx="20">
                  <c:v>Cerdos Fin/Rac +Tilo</c:v>
                </c:pt>
                <c:pt idx="21">
                  <c:v>Cerdos Iniciador Normal+Tilo/Floran</c:v>
                </c:pt>
                <c:pt idx="22">
                  <c:v>Fase 2 + Karitil</c:v>
                </c:pt>
                <c:pt idx="23">
                  <c:v>Cerdos Fase 3</c:v>
                </c:pt>
                <c:pt idx="24">
                  <c:v>Cerdos Fase 4</c:v>
                </c:pt>
                <c:pt idx="25">
                  <c:v>Cerdos Fase 5</c:v>
                </c:pt>
                <c:pt idx="26">
                  <c:v>Cerdos Fase 6</c:v>
                </c:pt>
                <c:pt idx="27">
                  <c:v>Cerdos Racmina</c:v>
                </c:pt>
                <c:pt idx="28">
                  <c:v>Cerdos Fase 2</c:v>
                </c:pt>
                <c:pt idx="29">
                  <c:v>Cerdos Fase 2.5</c:v>
                </c:pt>
                <c:pt idx="30">
                  <c:v>Cerdos Iniciador</c:v>
                </c:pt>
                <c:pt idx="31">
                  <c:v>Cerdos Crecimiento</c:v>
                </c:pt>
                <c:pt idx="32">
                  <c:v>Cerdos Desarrollo</c:v>
                </c:pt>
                <c:pt idx="33">
                  <c:v>Cerdos Finalizador</c:v>
                </c:pt>
                <c:pt idx="34">
                  <c:v>Cerdos Fin/Rac</c:v>
                </c:pt>
              </c:strCache>
            </c:strRef>
          </c:cat>
          <c:val>
            <c:numRef>
              <c:f>LABORATORIO!$V$3:$V$53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23760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14110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71552432"/>
        <c:axId val="171549296"/>
        <c:axId val="177828712"/>
      </c:bar3DChart>
      <c:catAx>
        <c:axId val="171552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1549296"/>
        <c:crosses val="autoZero"/>
        <c:auto val="1"/>
        <c:lblAlgn val="ctr"/>
        <c:lblOffset val="100"/>
        <c:noMultiLvlLbl val="0"/>
      </c:catAx>
      <c:valAx>
        <c:axId val="17154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1552432"/>
        <c:crosses val="autoZero"/>
        <c:crossBetween val="between"/>
      </c:valAx>
      <c:serAx>
        <c:axId val="1778287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1549296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LABORATORIO!$AG$2</c:f>
              <c:strCache>
                <c:ptCount val="1"/>
                <c:pt idx="0">
                  <c:v>Proyeccion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LABORATORIO!$Z$3:$Z$53</c:f>
              <c:strCache>
                <c:ptCount val="35"/>
                <c:pt idx="0">
                  <c:v>Nutalc</c:v>
                </c:pt>
                <c:pt idx="1">
                  <c:v>Initec Integral</c:v>
                </c:pt>
                <c:pt idx="2">
                  <c:v>Nupig Sew 150 Ppm Tiamulina+400Ppm Amoxicilina</c:v>
                </c:pt>
                <c:pt idx="3">
                  <c:v>Nutonik</c:v>
                </c:pt>
                <c:pt idx="4">
                  <c:v>Nupig Uno Kappa</c:v>
                </c:pt>
                <c:pt idx="5">
                  <c:v>Cerdos Fase 4 Med</c:v>
                </c:pt>
                <c:pt idx="6">
                  <c:v>Cerdos Fase 5 Med</c:v>
                </c:pt>
                <c:pt idx="7">
                  <c:v>Cerdos Fase 3 +Tilo</c:v>
                </c:pt>
                <c:pt idx="8">
                  <c:v>Cerdos Fase 4 +Tilo</c:v>
                </c:pt>
                <c:pt idx="9">
                  <c:v>Cerdos Fase 5 +Tilo</c:v>
                </c:pt>
                <c:pt idx="10">
                  <c:v>Cerdos Fase 6 +Tilo</c:v>
                </c:pt>
                <c:pt idx="11">
                  <c:v>Cerdos Racto +Tilo</c:v>
                </c:pt>
                <c:pt idx="12">
                  <c:v>Cerdos Fase 2 Med</c:v>
                </c:pt>
                <c:pt idx="13">
                  <c:v>Cerdos Fa2.5 Med</c:v>
                </c:pt>
                <c:pt idx="14">
                  <c:v>Cerdos Crec/Med</c:v>
                </c:pt>
                <c:pt idx="15">
                  <c:v>Cerdos Des/Med</c:v>
                </c:pt>
                <c:pt idx="16">
                  <c:v>Cerdos Iniciador +Tilo</c:v>
                </c:pt>
                <c:pt idx="17">
                  <c:v>Cerdos Crecimiento +Tilo</c:v>
                </c:pt>
                <c:pt idx="18">
                  <c:v>Cerdos Desarrollo +Tilo</c:v>
                </c:pt>
                <c:pt idx="19">
                  <c:v>Cerdos Finalizador +Tilo</c:v>
                </c:pt>
                <c:pt idx="20">
                  <c:v>Cerdos Fin/Rac +Tilo</c:v>
                </c:pt>
                <c:pt idx="21">
                  <c:v>Cerdos Iniciador Normal+Tilo/Floran</c:v>
                </c:pt>
                <c:pt idx="22">
                  <c:v>Fase 2 + Karitil</c:v>
                </c:pt>
                <c:pt idx="23">
                  <c:v>Cerdos Fase 3</c:v>
                </c:pt>
                <c:pt idx="24">
                  <c:v>Cerdos Fase 4</c:v>
                </c:pt>
                <c:pt idx="25">
                  <c:v>Cerdos Fase 5</c:v>
                </c:pt>
                <c:pt idx="26">
                  <c:v>Cerdos Fase 6</c:v>
                </c:pt>
                <c:pt idx="27">
                  <c:v>Cerdos Racmina</c:v>
                </c:pt>
                <c:pt idx="28">
                  <c:v>Cerdos Fase 2</c:v>
                </c:pt>
                <c:pt idx="29">
                  <c:v>Cerdos Fase 2.5</c:v>
                </c:pt>
                <c:pt idx="30">
                  <c:v>Cerdos Iniciador</c:v>
                </c:pt>
                <c:pt idx="31">
                  <c:v>Cerdos Crecimiento</c:v>
                </c:pt>
                <c:pt idx="32">
                  <c:v>Cerdos Desarrollo</c:v>
                </c:pt>
                <c:pt idx="33">
                  <c:v>Cerdos Finalizador</c:v>
                </c:pt>
                <c:pt idx="34">
                  <c:v>Cerdos Fin/Rac</c:v>
                </c:pt>
              </c:strCache>
            </c:strRef>
          </c:cat>
          <c:val>
            <c:numRef>
              <c:f>LABORATORIO!$AG$3:$AG$53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629.4</c:v>
                </c:pt>
                <c:pt idx="3">
                  <c:v>0</c:v>
                </c:pt>
                <c:pt idx="4">
                  <c:v>7343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11539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37764</c:v>
                </c:pt>
                <c:pt idx="17">
                  <c:v>83920</c:v>
                </c:pt>
                <c:pt idx="18">
                  <c:v>115390</c:v>
                </c:pt>
                <c:pt idx="19">
                  <c:v>62940</c:v>
                </c:pt>
                <c:pt idx="20">
                  <c:v>157350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27274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</c:ser>
        <c:ser>
          <c:idx val="1"/>
          <c:order val="1"/>
          <c:tx>
            <c:strRef>
              <c:f>LABORATORIO!$AH$2</c:f>
              <c:strCache>
                <c:ptCount val="1"/>
                <c:pt idx="0">
                  <c:v>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LABORATORIO!$Z$3:$Z$53</c:f>
              <c:strCache>
                <c:ptCount val="35"/>
                <c:pt idx="0">
                  <c:v>Nutalc</c:v>
                </c:pt>
                <c:pt idx="1">
                  <c:v>Initec Integral</c:v>
                </c:pt>
                <c:pt idx="2">
                  <c:v>Nupig Sew 150 Ppm Tiamulina+400Ppm Amoxicilina</c:v>
                </c:pt>
                <c:pt idx="3">
                  <c:v>Nutonik</c:v>
                </c:pt>
                <c:pt idx="4">
                  <c:v>Nupig Uno Kappa</c:v>
                </c:pt>
                <c:pt idx="5">
                  <c:v>Cerdos Fase 4 Med</c:v>
                </c:pt>
                <c:pt idx="6">
                  <c:v>Cerdos Fase 5 Med</c:v>
                </c:pt>
                <c:pt idx="7">
                  <c:v>Cerdos Fase 3 +Tilo</c:v>
                </c:pt>
                <c:pt idx="8">
                  <c:v>Cerdos Fase 4 +Tilo</c:v>
                </c:pt>
                <c:pt idx="9">
                  <c:v>Cerdos Fase 5 +Tilo</c:v>
                </c:pt>
                <c:pt idx="10">
                  <c:v>Cerdos Fase 6 +Tilo</c:v>
                </c:pt>
                <c:pt idx="11">
                  <c:v>Cerdos Racto +Tilo</c:v>
                </c:pt>
                <c:pt idx="12">
                  <c:v>Cerdos Fase 2 Med</c:v>
                </c:pt>
                <c:pt idx="13">
                  <c:v>Cerdos Fa2.5 Med</c:v>
                </c:pt>
                <c:pt idx="14">
                  <c:v>Cerdos Crec/Med</c:v>
                </c:pt>
                <c:pt idx="15">
                  <c:v>Cerdos Des/Med</c:v>
                </c:pt>
                <c:pt idx="16">
                  <c:v>Cerdos Iniciador +Tilo</c:v>
                </c:pt>
                <c:pt idx="17">
                  <c:v>Cerdos Crecimiento +Tilo</c:v>
                </c:pt>
                <c:pt idx="18">
                  <c:v>Cerdos Desarrollo +Tilo</c:v>
                </c:pt>
                <c:pt idx="19">
                  <c:v>Cerdos Finalizador +Tilo</c:v>
                </c:pt>
                <c:pt idx="20">
                  <c:v>Cerdos Fin/Rac +Tilo</c:v>
                </c:pt>
                <c:pt idx="21">
                  <c:v>Cerdos Iniciador Normal+Tilo/Floran</c:v>
                </c:pt>
                <c:pt idx="22">
                  <c:v>Fase 2 + Karitil</c:v>
                </c:pt>
                <c:pt idx="23">
                  <c:v>Cerdos Fase 3</c:v>
                </c:pt>
                <c:pt idx="24">
                  <c:v>Cerdos Fase 4</c:v>
                </c:pt>
                <c:pt idx="25">
                  <c:v>Cerdos Fase 5</c:v>
                </c:pt>
                <c:pt idx="26">
                  <c:v>Cerdos Fase 6</c:v>
                </c:pt>
                <c:pt idx="27">
                  <c:v>Cerdos Racmina</c:v>
                </c:pt>
                <c:pt idx="28">
                  <c:v>Cerdos Fase 2</c:v>
                </c:pt>
                <c:pt idx="29">
                  <c:v>Cerdos Fase 2.5</c:v>
                </c:pt>
                <c:pt idx="30">
                  <c:v>Cerdos Iniciador</c:v>
                </c:pt>
                <c:pt idx="31">
                  <c:v>Cerdos Crecimiento</c:v>
                </c:pt>
                <c:pt idx="32">
                  <c:v>Cerdos Desarrollo</c:v>
                </c:pt>
                <c:pt idx="33">
                  <c:v>Cerdos Finalizador</c:v>
                </c:pt>
                <c:pt idx="34">
                  <c:v>Cerdos Fin/Rac</c:v>
                </c:pt>
              </c:strCache>
            </c:strRef>
          </c:cat>
          <c:val>
            <c:numRef>
              <c:f>LABORATORIO!$AH$3:$AH$53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600</c:v>
                </c:pt>
                <c:pt idx="3">
                  <c:v>0</c:v>
                </c:pt>
                <c:pt idx="4">
                  <c:v>4500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12780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16100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71549688"/>
        <c:axId val="171553608"/>
        <c:axId val="177822352"/>
      </c:bar3DChart>
      <c:catAx>
        <c:axId val="171549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1553608"/>
        <c:crosses val="autoZero"/>
        <c:auto val="1"/>
        <c:lblAlgn val="ctr"/>
        <c:lblOffset val="100"/>
        <c:noMultiLvlLbl val="0"/>
      </c:catAx>
      <c:valAx>
        <c:axId val="171553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1549688"/>
        <c:crosses val="autoZero"/>
        <c:crossBetween val="between"/>
      </c:valAx>
      <c:serAx>
        <c:axId val="1778223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1553608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LABORATORIO!$AS$2</c:f>
              <c:strCache>
                <c:ptCount val="1"/>
                <c:pt idx="0">
                  <c:v>Proyeccion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LABORATORIO!$AL$3:$AL$53</c:f>
              <c:strCache>
                <c:ptCount val="35"/>
                <c:pt idx="0">
                  <c:v>Nutalc</c:v>
                </c:pt>
                <c:pt idx="1">
                  <c:v>Initec Integral</c:v>
                </c:pt>
                <c:pt idx="2">
                  <c:v>Nupig Sew 150 Ppm Tiamulina+400Ppm Amoxicilina</c:v>
                </c:pt>
                <c:pt idx="3">
                  <c:v>Nutonik</c:v>
                </c:pt>
                <c:pt idx="4">
                  <c:v>Nupig Uno Kappa</c:v>
                </c:pt>
                <c:pt idx="5">
                  <c:v>Cerdos Fase 4 Med</c:v>
                </c:pt>
                <c:pt idx="6">
                  <c:v>Cerdos Fase 5 Med</c:v>
                </c:pt>
                <c:pt idx="7">
                  <c:v>Cerdos Fase 3 +Tilo</c:v>
                </c:pt>
                <c:pt idx="8">
                  <c:v>Cerdos Fase 4 +Tilo</c:v>
                </c:pt>
                <c:pt idx="9">
                  <c:v>Cerdos Fase 5 +Tilo</c:v>
                </c:pt>
                <c:pt idx="10">
                  <c:v>Cerdos Fase 6 +Tilo</c:v>
                </c:pt>
                <c:pt idx="11">
                  <c:v>Cerdos Racto +Tilo</c:v>
                </c:pt>
                <c:pt idx="12">
                  <c:v>Cerdos Fase 2 Med</c:v>
                </c:pt>
                <c:pt idx="13">
                  <c:v>Cerdos Fa2.5 Med</c:v>
                </c:pt>
                <c:pt idx="14">
                  <c:v>Cerdos Crec/Med</c:v>
                </c:pt>
                <c:pt idx="15">
                  <c:v>Cerdos Des/Med</c:v>
                </c:pt>
                <c:pt idx="16">
                  <c:v>Cerdos Iniciador +Tilo</c:v>
                </c:pt>
                <c:pt idx="17">
                  <c:v>Cerdos Crecimiento +Tilo</c:v>
                </c:pt>
                <c:pt idx="18">
                  <c:v>Cerdos Desarrollo +Tilo</c:v>
                </c:pt>
                <c:pt idx="19">
                  <c:v>Cerdos Finalizador +Tilo</c:v>
                </c:pt>
                <c:pt idx="20">
                  <c:v>Cerdos Fin/Rac +Tilo</c:v>
                </c:pt>
                <c:pt idx="21">
                  <c:v>Cerdos Iniciador Normal+Tilo/Floran</c:v>
                </c:pt>
                <c:pt idx="22">
                  <c:v>Fase 2 + Karitil</c:v>
                </c:pt>
                <c:pt idx="23">
                  <c:v>Cerdos Fase 3</c:v>
                </c:pt>
                <c:pt idx="24">
                  <c:v>Cerdos Fase 4</c:v>
                </c:pt>
                <c:pt idx="25">
                  <c:v>Cerdos Fase 5</c:v>
                </c:pt>
                <c:pt idx="26">
                  <c:v>Cerdos Fase 6</c:v>
                </c:pt>
                <c:pt idx="27">
                  <c:v>Cerdos Racmina</c:v>
                </c:pt>
                <c:pt idx="28">
                  <c:v>Cerdos Fase 2</c:v>
                </c:pt>
                <c:pt idx="29">
                  <c:v>Cerdos Fase 2.5</c:v>
                </c:pt>
                <c:pt idx="30">
                  <c:v>Cerdos Iniciador</c:v>
                </c:pt>
                <c:pt idx="31">
                  <c:v>Cerdos Crecimiento</c:v>
                </c:pt>
                <c:pt idx="32">
                  <c:v>Cerdos Desarrollo</c:v>
                </c:pt>
                <c:pt idx="33">
                  <c:v>Cerdos Finalizador</c:v>
                </c:pt>
                <c:pt idx="34">
                  <c:v>Cerdos Fin/Rac</c:v>
                </c:pt>
              </c:strCache>
            </c:strRef>
          </c:cat>
          <c:val>
            <c:numRef>
              <c:f>LABORATORIO!$AS$3:$AS$53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654.9</c:v>
                </c:pt>
                <c:pt idx="3">
                  <c:v>0</c:v>
                </c:pt>
                <c:pt idx="4">
                  <c:v>7640.5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12006.5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39294</c:v>
                </c:pt>
                <c:pt idx="17">
                  <c:v>87320</c:v>
                </c:pt>
                <c:pt idx="18">
                  <c:v>120065</c:v>
                </c:pt>
                <c:pt idx="19">
                  <c:v>65490</c:v>
                </c:pt>
                <c:pt idx="20">
                  <c:v>163725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28379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</c:ser>
        <c:ser>
          <c:idx val="1"/>
          <c:order val="1"/>
          <c:tx>
            <c:strRef>
              <c:f>LABORATORIO!$AT$2</c:f>
              <c:strCache>
                <c:ptCount val="1"/>
                <c:pt idx="0">
                  <c:v>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LABORATORIO!$AL$3:$AL$53</c:f>
              <c:strCache>
                <c:ptCount val="35"/>
                <c:pt idx="0">
                  <c:v>Nutalc</c:v>
                </c:pt>
                <c:pt idx="1">
                  <c:v>Initec Integral</c:v>
                </c:pt>
                <c:pt idx="2">
                  <c:v>Nupig Sew 150 Ppm Tiamulina+400Ppm Amoxicilina</c:v>
                </c:pt>
                <c:pt idx="3">
                  <c:v>Nutonik</c:v>
                </c:pt>
                <c:pt idx="4">
                  <c:v>Nupig Uno Kappa</c:v>
                </c:pt>
                <c:pt idx="5">
                  <c:v>Cerdos Fase 4 Med</c:v>
                </c:pt>
                <c:pt idx="6">
                  <c:v>Cerdos Fase 5 Med</c:v>
                </c:pt>
                <c:pt idx="7">
                  <c:v>Cerdos Fase 3 +Tilo</c:v>
                </c:pt>
                <c:pt idx="8">
                  <c:v>Cerdos Fase 4 +Tilo</c:v>
                </c:pt>
                <c:pt idx="9">
                  <c:v>Cerdos Fase 5 +Tilo</c:v>
                </c:pt>
                <c:pt idx="10">
                  <c:v>Cerdos Fase 6 +Tilo</c:v>
                </c:pt>
                <c:pt idx="11">
                  <c:v>Cerdos Racto +Tilo</c:v>
                </c:pt>
                <c:pt idx="12">
                  <c:v>Cerdos Fase 2 Med</c:v>
                </c:pt>
                <c:pt idx="13">
                  <c:v>Cerdos Fa2.5 Med</c:v>
                </c:pt>
                <c:pt idx="14">
                  <c:v>Cerdos Crec/Med</c:v>
                </c:pt>
                <c:pt idx="15">
                  <c:v>Cerdos Des/Med</c:v>
                </c:pt>
                <c:pt idx="16">
                  <c:v>Cerdos Iniciador +Tilo</c:v>
                </c:pt>
                <c:pt idx="17">
                  <c:v>Cerdos Crecimiento +Tilo</c:v>
                </c:pt>
                <c:pt idx="18">
                  <c:v>Cerdos Desarrollo +Tilo</c:v>
                </c:pt>
                <c:pt idx="19">
                  <c:v>Cerdos Finalizador +Tilo</c:v>
                </c:pt>
                <c:pt idx="20">
                  <c:v>Cerdos Fin/Rac +Tilo</c:v>
                </c:pt>
                <c:pt idx="21">
                  <c:v>Cerdos Iniciador Normal+Tilo/Floran</c:v>
                </c:pt>
                <c:pt idx="22">
                  <c:v>Fase 2 + Karitil</c:v>
                </c:pt>
                <c:pt idx="23">
                  <c:v>Cerdos Fase 3</c:v>
                </c:pt>
                <c:pt idx="24">
                  <c:v>Cerdos Fase 4</c:v>
                </c:pt>
                <c:pt idx="25">
                  <c:v>Cerdos Fase 5</c:v>
                </c:pt>
                <c:pt idx="26">
                  <c:v>Cerdos Fase 6</c:v>
                </c:pt>
                <c:pt idx="27">
                  <c:v>Cerdos Racmina</c:v>
                </c:pt>
                <c:pt idx="28">
                  <c:v>Cerdos Fase 2</c:v>
                </c:pt>
                <c:pt idx="29">
                  <c:v>Cerdos Fase 2.5</c:v>
                </c:pt>
                <c:pt idx="30">
                  <c:v>Cerdos Iniciador</c:v>
                </c:pt>
                <c:pt idx="31">
                  <c:v>Cerdos Crecimiento</c:v>
                </c:pt>
                <c:pt idx="32">
                  <c:v>Cerdos Desarrollo</c:v>
                </c:pt>
                <c:pt idx="33">
                  <c:v>Cerdos Finalizador</c:v>
                </c:pt>
                <c:pt idx="34">
                  <c:v>Cerdos Fin/Rac</c:v>
                </c:pt>
              </c:strCache>
            </c:strRef>
          </c:cat>
          <c:val>
            <c:numRef>
              <c:f>LABORATORIO!$AT$3:$AT$53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600</c:v>
                </c:pt>
                <c:pt idx="3">
                  <c:v>0</c:v>
                </c:pt>
                <c:pt idx="4">
                  <c:v>4500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6740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13860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71550080"/>
        <c:axId val="171552040"/>
        <c:axId val="177824896"/>
      </c:bar3DChart>
      <c:catAx>
        <c:axId val="17155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1552040"/>
        <c:crosses val="autoZero"/>
        <c:auto val="1"/>
        <c:lblAlgn val="ctr"/>
        <c:lblOffset val="100"/>
        <c:noMultiLvlLbl val="0"/>
      </c:catAx>
      <c:valAx>
        <c:axId val="171552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1550080"/>
        <c:crosses val="autoZero"/>
        <c:crossBetween val="between"/>
      </c:valAx>
      <c:serAx>
        <c:axId val="1778248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1552040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LABORATORIO!$BE$2</c:f>
              <c:strCache>
                <c:ptCount val="1"/>
                <c:pt idx="0">
                  <c:v>Proyeccion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LABORATORIO!$AX$3:$AX$53</c:f>
              <c:strCache>
                <c:ptCount val="35"/>
                <c:pt idx="0">
                  <c:v>Nutalc</c:v>
                </c:pt>
                <c:pt idx="1">
                  <c:v>Initec Integral</c:v>
                </c:pt>
                <c:pt idx="2">
                  <c:v>Nupig Sew 150 Ppm Tiamulina+400Ppm Amoxicilina</c:v>
                </c:pt>
                <c:pt idx="3">
                  <c:v>Nutonik</c:v>
                </c:pt>
                <c:pt idx="4">
                  <c:v>Nupig Uno Kappa</c:v>
                </c:pt>
                <c:pt idx="5">
                  <c:v>Cerdos Fase 4 Med</c:v>
                </c:pt>
                <c:pt idx="6">
                  <c:v>Cerdos Fase 5 Med</c:v>
                </c:pt>
                <c:pt idx="7">
                  <c:v>Cerdos Fase 3 +Tilo</c:v>
                </c:pt>
                <c:pt idx="8">
                  <c:v>Cerdos Fase 4 +Tilo</c:v>
                </c:pt>
                <c:pt idx="9">
                  <c:v>Cerdos Fase 5 +Tilo</c:v>
                </c:pt>
                <c:pt idx="10">
                  <c:v>Cerdos Fase 6 +Tilo</c:v>
                </c:pt>
                <c:pt idx="11">
                  <c:v>Cerdos Racto +Tilo</c:v>
                </c:pt>
                <c:pt idx="12">
                  <c:v>Cerdos Fase 2 Med</c:v>
                </c:pt>
                <c:pt idx="13">
                  <c:v>Cerdos Fa2.5 Med</c:v>
                </c:pt>
                <c:pt idx="14">
                  <c:v>Cerdos Crec/Med</c:v>
                </c:pt>
                <c:pt idx="15">
                  <c:v>Cerdos Des/Med</c:v>
                </c:pt>
                <c:pt idx="16">
                  <c:v>Cerdos Iniciador +Tilo</c:v>
                </c:pt>
                <c:pt idx="17">
                  <c:v>Cerdos Crecimiento +Tilo</c:v>
                </c:pt>
                <c:pt idx="18">
                  <c:v>Cerdos Desarrollo +Tilo</c:v>
                </c:pt>
                <c:pt idx="19">
                  <c:v>Cerdos Finalizador +Tilo</c:v>
                </c:pt>
                <c:pt idx="20">
                  <c:v>Cerdos Fin/Rac +Tilo</c:v>
                </c:pt>
                <c:pt idx="21">
                  <c:v>Cerdos Iniciador Normal+Tilo/Floran</c:v>
                </c:pt>
                <c:pt idx="22">
                  <c:v>Fase 2 + Karitil</c:v>
                </c:pt>
                <c:pt idx="23">
                  <c:v>Cerdos Fase 3</c:v>
                </c:pt>
                <c:pt idx="24">
                  <c:v>Cerdos Fase 4</c:v>
                </c:pt>
                <c:pt idx="25">
                  <c:v>Cerdos Fase 5</c:v>
                </c:pt>
                <c:pt idx="26">
                  <c:v>Cerdos Fase 6</c:v>
                </c:pt>
                <c:pt idx="27">
                  <c:v>Cerdos Racmina</c:v>
                </c:pt>
                <c:pt idx="28">
                  <c:v>Cerdos Fase 2</c:v>
                </c:pt>
                <c:pt idx="29">
                  <c:v>Cerdos Fase 2.5</c:v>
                </c:pt>
                <c:pt idx="30">
                  <c:v>Cerdos Iniciador</c:v>
                </c:pt>
                <c:pt idx="31">
                  <c:v>Cerdos Crecimiento</c:v>
                </c:pt>
                <c:pt idx="32">
                  <c:v>Cerdos Desarrollo</c:v>
                </c:pt>
                <c:pt idx="33">
                  <c:v>Cerdos Finalizador</c:v>
                </c:pt>
                <c:pt idx="34">
                  <c:v>Cerdos Fin/Rac</c:v>
                </c:pt>
              </c:strCache>
            </c:strRef>
          </c:cat>
          <c:val>
            <c:numRef>
              <c:f>LABORATORIO!$BE$3:$BE$53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655.5</c:v>
                </c:pt>
                <c:pt idx="3">
                  <c:v>0</c:v>
                </c:pt>
                <c:pt idx="4">
                  <c:v>7647.5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12017.5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39330</c:v>
                </c:pt>
                <c:pt idx="17">
                  <c:v>87400</c:v>
                </c:pt>
                <c:pt idx="18">
                  <c:v>120175</c:v>
                </c:pt>
                <c:pt idx="19">
                  <c:v>65550</c:v>
                </c:pt>
                <c:pt idx="20">
                  <c:v>163875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28405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</c:ser>
        <c:ser>
          <c:idx val="1"/>
          <c:order val="1"/>
          <c:tx>
            <c:strRef>
              <c:f>LABORATORIO!$BF$2</c:f>
              <c:strCache>
                <c:ptCount val="1"/>
                <c:pt idx="0">
                  <c:v>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LABORATORIO!$AX$3:$AX$53</c:f>
              <c:strCache>
                <c:ptCount val="35"/>
                <c:pt idx="0">
                  <c:v>Nutalc</c:v>
                </c:pt>
                <c:pt idx="1">
                  <c:v>Initec Integral</c:v>
                </c:pt>
                <c:pt idx="2">
                  <c:v>Nupig Sew 150 Ppm Tiamulina+400Ppm Amoxicilina</c:v>
                </c:pt>
                <c:pt idx="3">
                  <c:v>Nutonik</c:v>
                </c:pt>
                <c:pt idx="4">
                  <c:v>Nupig Uno Kappa</c:v>
                </c:pt>
                <c:pt idx="5">
                  <c:v>Cerdos Fase 4 Med</c:v>
                </c:pt>
                <c:pt idx="6">
                  <c:v>Cerdos Fase 5 Med</c:v>
                </c:pt>
                <c:pt idx="7">
                  <c:v>Cerdos Fase 3 +Tilo</c:v>
                </c:pt>
                <c:pt idx="8">
                  <c:v>Cerdos Fase 4 +Tilo</c:v>
                </c:pt>
                <c:pt idx="9">
                  <c:v>Cerdos Fase 5 +Tilo</c:v>
                </c:pt>
                <c:pt idx="10">
                  <c:v>Cerdos Fase 6 +Tilo</c:v>
                </c:pt>
                <c:pt idx="11">
                  <c:v>Cerdos Racto +Tilo</c:v>
                </c:pt>
                <c:pt idx="12">
                  <c:v>Cerdos Fase 2 Med</c:v>
                </c:pt>
                <c:pt idx="13">
                  <c:v>Cerdos Fa2.5 Med</c:v>
                </c:pt>
                <c:pt idx="14">
                  <c:v>Cerdos Crec/Med</c:v>
                </c:pt>
                <c:pt idx="15">
                  <c:v>Cerdos Des/Med</c:v>
                </c:pt>
                <c:pt idx="16">
                  <c:v>Cerdos Iniciador +Tilo</c:v>
                </c:pt>
                <c:pt idx="17">
                  <c:v>Cerdos Crecimiento +Tilo</c:v>
                </c:pt>
                <c:pt idx="18">
                  <c:v>Cerdos Desarrollo +Tilo</c:v>
                </c:pt>
                <c:pt idx="19">
                  <c:v>Cerdos Finalizador +Tilo</c:v>
                </c:pt>
                <c:pt idx="20">
                  <c:v>Cerdos Fin/Rac +Tilo</c:v>
                </c:pt>
                <c:pt idx="21">
                  <c:v>Cerdos Iniciador Normal+Tilo/Floran</c:v>
                </c:pt>
                <c:pt idx="22">
                  <c:v>Fase 2 + Karitil</c:v>
                </c:pt>
                <c:pt idx="23">
                  <c:v>Cerdos Fase 3</c:v>
                </c:pt>
                <c:pt idx="24">
                  <c:v>Cerdos Fase 4</c:v>
                </c:pt>
                <c:pt idx="25">
                  <c:v>Cerdos Fase 5</c:v>
                </c:pt>
                <c:pt idx="26">
                  <c:v>Cerdos Fase 6</c:v>
                </c:pt>
                <c:pt idx="27">
                  <c:v>Cerdos Racmina</c:v>
                </c:pt>
                <c:pt idx="28">
                  <c:v>Cerdos Fase 2</c:v>
                </c:pt>
                <c:pt idx="29">
                  <c:v>Cerdos Fase 2.5</c:v>
                </c:pt>
                <c:pt idx="30">
                  <c:v>Cerdos Iniciador</c:v>
                </c:pt>
                <c:pt idx="31">
                  <c:v>Cerdos Crecimiento</c:v>
                </c:pt>
                <c:pt idx="32">
                  <c:v>Cerdos Desarrollo</c:v>
                </c:pt>
                <c:pt idx="33">
                  <c:v>Cerdos Finalizador</c:v>
                </c:pt>
                <c:pt idx="34">
                  <c:v>Cerdos Fin/Rac</c:v>
                </c:pt>
              </c:strCache>
            </c:strRef>
          </c:cat>
          <c:val>
            <c:numRef>
              <c:f>LABORATORIO!$BF$3:$BF$53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600</c:v>
                </c:pt>
                <c:pt idx="3">
                  <c:v>0</c:v>
                </c:pt>
                <c:pt idx="4">
                  <c:v>4500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9310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71550864"/>
        <c:axId val="171551256"/>
        <c:axId val="177827016"/>
      </c:bar3DChart>
      <c:catAx>
        <c:axId val="171550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1551256"/>
        <c:crosses val="autoZero"/>
        <c:auto val="1"/>
        <c:lblAlgn val="ctr"/>
        <c:lblOffset val="100"/>
        <c:noMultiLvlLbl val="0"/>
      </c:catAx>
      <c:valAx>
        <c:axId val="171551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1550864"/>
        <c:crosses val="autoZero"/>
        <c:crossBetween val="between"/>
      </c:valAx>
      <c:serAx>
        <c:axId val="1778270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1551256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LABORATORIO!$BQ$2</c:f>
              <c:strCache>
                <c:ptCount val="1"/>
                <c:pt idx="0">
                  <c:v>Proyeccion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LABORATORIO!$BJ$3:$BJ$53</c:f>
              <c:strCache>
                <c:ptCount val="35"/>
                <c:pt idx="0">
                  <c:v>Nutalc</c:v>
                </c:pt>
                <c:pt idx="1">
                  <c:v>Initec Integral</c:v>
                </c:pt>
                <c:pt idx="2">
                  <c:v>Nupig Sew 150 Ppm Tiamulina+400Ppm Amoxicilina</c:v>
                </c:pt>
                <c:pt idx="3">
                  <c:v>Nutonik</c:v>
                </c:pt>
                <c:pt idx="4">
                  <c:v>Nupig Uno Kappa</c:v>
                </c:pt>
                <c:pt idx="5">
                  <c:v>Cerdos Fase 4 Med</c:v>
                </c:pt>
                <c:pt idx="6">
                  <c:v>Cerdos Fase 5 Med</c:v>
                </c:pt>
                <c:pt idx="7">
                  <c:v>Cerdos Fase 3 +Tilo</c:v>
                </c:pt>
                <c:pt idx="8">
                  <c:v>Cerdos Fase 4 +Tilo</c:v>
                </c:pt>
                <c:pt idx="9">
                  <c:v>Cerdos Fase 5 +Tilo</c:v>
                </c:pt>
                <c:pt idx="10">
                  <c:v>Cerdos Fase 6 +Tilo</c:v>
                </c:pt>
                <c:pt idx="11">
                  <c:v>Cerdos Racto +Tilo</c:v>
                </c:pt>
                <c:pt idx="12">
                  <c:v>Cerdos Fase 2 Med</c:v>
                </c:pt>
                <c:pt idx="13">
                  <c:v>Cerdos Fa2.5 Med</c:v>
                </c:pt>
                <c:pt idx="14">
                  <c:v>Cerdos Crec/Med</c:v>
                </c:pt>
                <c:pt idx="15">
                  <c:v>Cerdos Des/Med</c:v>
                </c:pt>
                <c:pt idx="16">
                  <c:v>Cerdos Iniciador +Tilo</c:v>
                </c:pt>
                <c:pt idx="17">
                  <c:v>Cerdos Crecimiento +Tilo</c:v>
                </c:pt>
                <c:pt idx="18">
                  <c:v>Cerdos Desarrollo +Tilo</c:v>
                </c:pt>
                <c:pt idx="19">
                  <c:v>Cerdos Finalizador +Tilo</c:v>
                </c:pt>
                <c:pt idx="20">
                  <c:v>Cerdos Fin/Rac +Tilo</c:v>
                </c:pt>
                <c:pt idx="21">
                  <c:v>Cerdos Iniciador Normal+Tilo/Floran</c:v>
                </c:pt>
                <c:pt idx="22">
                  <c:v>Fase 2 + Karitil</c:v>
                </c:pt>
                <c:pt idx="23">
                  <c:v>Cerdos Fase 3</c:v>
                </c:pt>
                <c:pt idx="24">
                  <c:v>Cerdos Fase 4</c:v>
                </c:pt>
                <c:pt idx="25">
                  <c:v>Cerdos Fase 5</c:v>
                </c:pt>
                <c:pt idx="26">
                  <c:v>Cerdos Fase 6</c:v>
                </c:pt>
                <c:pt idx="27">
                  <c:v>Cerdos Racmina</c:v>
                </c:pt>
                <c:pt idx="28">
                  <c:v>Cerdos Fase 2</c:v>
                </c:pt>
                <c:pt idx="29">
                  <c:v>Cerdos Fase 2.5</c:v>
                </c:pt>
                <c:pt idx="30">
                  <c:v>Cerdos Iniciador</c:v>
                </c:pt>
                <c:pt idx="31">
                  <c:v>Cerdos Crecimiento</c:v>
                </c:pt>
                <c:pt idx="32">
                  <c:v>Cerdos Desarrollo</c:v>
                </c:pt>
                <c:pt idx="33">
                  <c:v>Cerdos Finalizador</c:v>
                </c:pt>
                <c:pt idx="34">
                  <c:v>Cerdos Fin/Rac</c:v>
                </c:pt>
              </c:strCache>
            </c:strRef>
          </c:cat>
          <c:val>
            <c:numRef>
              <c:f>LABORATORIO!$BQ$3:$BQ$53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299.39999999999998</c:v>
                </c:pt>
                <c:pt idx="3">
                  <c:v>0</c:v>
                </c:pt>
                <c:pt idx="4">
                  <c:v>3493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5489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17964</c:v>
                </c:pt>
                <c:pt idx="17">
                  <c:v>39920</c:v>
                </c:pt>
                <c:pt idx="18">
                  <c:v>54890</c:v>
                </c:pt>
                <c:pt idx="19">
                  <c:v>29940</c:v>
                </c:pt>
                <c:pt idx="20">
                  <c:v>74850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</c:ser>
        <c:ser>
          <c:idx val="1"/>
          <c:order val="1"/>
          <c:tx>
            <c:strRef>
              <c:f>LABORATORIO!$BR$2</c:f>
              <c:strCache>
                <c:ptCount val="1"/>
                <c:pt idx="0">
                  <c:v>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LABORATORIO!$BJ$3:$BJ$53</c:f>
              <c:strCache>
                <c:ptCount val="35"/>
                <c:pt idx="0">
                  <c:v>Nutalc</c:v>
                </c:pt>
                <c:pt idx="1">
                  <c:v>Initec Integral</c:v>
                </c:pt>
                <c:pt idx="2">
                  <c:v>Nupig Sew 150 Ppm Tiamulina+400Ppm Amoxicilina</c:v>
                </c:pt>
                <c:pt idx="3">
                  <c:v>Nutonik</c:v>
                </c:pt>
                <c:pt idx="4">
                  <c:v>Nupig Uno Kappa</c:v>
                </c:pt>
                <c:pt idx="5">
                  <c:v>Cerdos Fase 4 Med</c:v>
                </c:pt>
                <c:pt idx="6">
                  <c:v>Cerdos Fase 5 Med</c:v>
                </c:pt>
                <c:pt idx="7">
                  <c:v>Cerdos Fase 3 +Tilo</c:v>
                </c:pt>
                <c:pt idx="8">
                  <c:v>Cerdos Fase 4 +Tilo</c:v>
                </c:pt>
                <c:pt idx="9">
                  <c:v>Cerdos Fase 5 +Tilo</c:v>
                </c:pt>
                <c:pt idx="10">
                  <c:v>Cerdos Fase 6 +Tilo</c:v>
                </c:pt>
                <c:pt idx="11">
                  <c:v>Cerdos Racto +Tilo</c:v>
                </c:pt>
                <c:pt idx="12">
                  <c:v>Cerdos Fase 2 Med</c:v>
                </c:pt>
                <c:pt idx="13">
                  <c:v>Cerdos Fa2.5 Med</c:v>
                </c:pt>
                <c:pt idx="14">
                  <c:v>Cerdos Crec/Med</c:v>
                </c:pt>
                <c:pt idx="15">
                  <c:v>Cerdos Des/Med</c:v>
                </c:pt>
                <c:pt idx="16">
                  <c:v>Cerdos Iniciador +Tilo</c:v>
                </c:pt>
                <c:pt idx="17">
                  <c:v>Cerdos Crecimiento +Tilo</c:v>
                </c:pt>
                <c:pt idx="18">
                  <c:v>Cerdos Desarrollo +Tilo</c:v>
                </c:pt>
                <c:pt idx="19">
                  <c:v>Cerdos Finalizador +Tilo</c:v>
                </c:pt>
                <c:pt idx="20">
                  <c:v>Cerdos Fin/Rac +Tilo</c:v>
                </c:pt>
                <c:pt idx="21">
                  <c:v>Cerdos Iniciador Normal+Tilo/Floran</c:v>
                </c:pt>
                <c:pt idx="22">
                  <c:v>Fase 2 + Karitil</c:v>
                </c:pt>
                <c:pt idx="23">
                  <c:v>Cerdos Fase 3</c:v>
                </c:pt>
                <c:pt idx="24">
                  <c:v>Cerdos Fase 4</c:v>
                </c:pt>
                <c:pt idx="25">
                  <c:v>Cerdos Fase 5</c:v>
                </c:pt>
                <c:pt idx="26">
                  <c:v>Cerdos Fase 6</c:v>
                </c:pt>
                <c:pt idx="27">
                  <c:v>Cerdos Racmina</c:v>
                </c:pt>
                <c:pt idx="28">
                  <c:v>Cerdos Fase 2</c:v>
                </c:pt>
                <c:pt idx="29">
                  <c:v>Cerdos Fase 2.5</c:v>
                </c:pt>
                <c:pt idx="30">
                  <c:v>Cerdos Iniciador</c:v>
                </c:pt>
                <c:pt idx="31">
                  <c:v>Cerdos Crecimiento</c:v>
                </c:pt>
                <c:pt idx="32">
                  <c:v>Cerdos Desarrollo</c:v>
                </c:pt>
                <c:pt idx="33">
                  <c:v>Cerdos Finalizador</c:v>
                </c:pt>
                <c:pt idx="34">
                  <c:v>Cerdos Fin/Rac</c:v>
                </c:pt>
              </c:strCache>
            </c:strRef>
          </c:cat>
          <c:val>
            <c:numRef>
              <c:f>LABORATORIO!$BR$3:$BR$53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600</c:v>
                </c:pt>
                <c:pt idx="3">
                  <c:v>0</c:v>
                </c:pt>
                <c:pt idx="4">
                  <c:v>4500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10000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78569632"/>
        <c:axId val="178565320"/>
        <c:axId val="177829560"/>
      </c:bar3DChart>
      <c:catAx>
        <c:axId val="178569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8565320"/>
        <c:crosses val="autoZero"/>
        <c:auto val="1"/>
        <c:lblAlgn val="ctr"/>
        <c:lblOffset val="100"/>
        <c:noMultiLvlLbl val="0"/>
      </c:catAx>
      <c:valAx>
        <c:axId val="178565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8569632"/>
        <c:crosses val="autoZero"/>
        <c:crossBetween val="between"/>
      </c:valAx>
      <c:serAx>
        <c:axId val="1778295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8565320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11.emf"/><Relationship Id="rId7" Type="http://schemas.openxmlformats.org/officeDocument/2006/relationships/image" Target="../media/image7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6" Type="http://schemas.openxmlformats.org/officeDocument/2006/relationships/image" Target="../media/image8.emf"/><Relationship Id="rId5" Type="http://schemas.openxmlformats.org/officeDocument/2006/relationships/image" Target="../media/image9.emf"/><Relationship Id="rId10" Type="http://schemas.openxmlformats.org/officeDocument/2006/relationships/image" Target="../media/image4.emf"/><Relationship Id="rId4" Type="http://schemas.openxmlformats.org/officeDocument/2006/relationships/image" Target="../media/image10.emf"/><Relationship Id="rId9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19051</xdr:colOff>
      <xdr:row>0</xdr:row>
      <xdr:rowOff>9525</xdr:rowOff>
    </xdr:from>
    <xdr:to>
      <xdr:col>2</xdr:col>
      <xdr:colOff>466725</xdr:colOff>
      <xdr:row>2</xdr:row>
      <xdr:rowOff>111585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1" y="9525"/>
          <a:ext cx="1285874" cy="483060"/>
        </a:xfrm>
        <a:prstGeom prst="rect">
          <a:avLst/>
        </a:prstGeom>
      </xdr:spPr>
    </xdr:pic>
    <xdr:clientData/>
  </xdr:twoCellAnchor>
  <xdr:oneCellAnchor>
    <xdr:from>
      <xdr:col>10</xdr:col>
      <xdr:colOff>19051</xdr:colOff>
      <xdr:row>0</xdr:row>
      <xdr:rowOff>9525</xdr:rowOff>
    </xdr:from>
    <xdr:ext cx="1285874" cy="483060"/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1" y="9525"/>
          <a:ext cx="1285874" cy="483060"/>
        </a:xfrm>
        <a:prstGeom prst="rect">
          <a:avLst/>
        </a:prstGeom>
      </xdr:spPr>
    </xdr:pic>
    <xdr:clientData/>
  </xdr:oneCellAnchor>
  <xdr:oneCellAnchor>
    <xdr:from>
      <xdr:col>19</xdr:col>
      <xdr:colOff>19051</xdr:colOff>
      <xdr:row>0</xdr:row>
      <xdr:rowOff>9525</xdr:rowOff>
    </xdr:from>
    <xdr:ext cx="1285874" cy="483060"/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54101" y="9525"/>
          <a:ext cx="1285874" cy="483060"/>
        </a:xfrm>
        <a:prstGeom prst="rect">
          <a:avLst/>
        </a:prstGeom>
      </xdr:spPr>
    </xdr:pic>
    <xdr:clientData/>
  </xdr:oneCellAnchor>
  <xdr:oneCellAnchor>
    <xdr:from>
      <xdr:col>28</xdr:col>
      <xdr:colOff>19051</xdr:colOff>
      <xdr:row>0</xdr:row>
      <xdr:rowOff>9525</xdr:rowOff>
    </xdr:from>
    <xdr:ext cx="1285874" cy="483060"/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02601" y="9525"/>
          <a:ext cx="1285874" cy="483060"/>
        </a:xfrm>
        <a:prstGeom prst="rect">
          <a:avLst/>
        </a:prstGeom>
      </xdr:spPr>
    </xdr:pic>
    <xdr:clientData/>
  </xdr:oneCellAnchor>
  <xdr:oneCellAnchor>
    <xdr:from>
      <xdr:col>37</xdr:col>
      <xdr:colOff>209551</xdr:colOff>
      <xdr:row>0</xdr:row>
      <xdr:rowOff>0</xdr:rowOff>
    </xdr:from>
    <xdr:ext cx="1285874" cy="483060"/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08176" y="0"/>
          <a:ext cx="1285874" cy="483060"/>
        </a:xfrm>
        <a:prstGeom prst="rect">
          <a:avLst/>
        </a:prstGeom>
      </xdr:spPr>
    </xdr:pic>
    <xdr:clientData/>
  </xdr:oneCellAnchor>
  <xdr:oneCellAnchor>
    <xdr:from>
      <xdr:col>46</xdr:col>
      <xdr:colOff>19051</xdr:colOff>
      <xdr:row>0</xdr:row>
      <xdr:rowOff>9525</xdr:rowOff>
    </xdr:from>
    <xdr:ext cx="1285874" cy="483060"/>
    <xdr:pic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013776" y="9525"/>
          <a:ext cx="1285874" cy="483060"/>
        </a:xfrm>
        <a:prstGeom prst="rect">
          <a:avLst/>
        </a:prstGeom>
      </xdr:spPr>
    </xdr:pic>
    <xdr:clientData/>
  </xdr:oneCellAnchor>
  <xdr:twoCellAnchor editAs="oneCell">
    <xdr:from>
      <xdr:col>1</xdr:col>
      <xdr:colOff>19051</xdr:colOff>
      <xdr:row>0</xdr:row>
      <xdr:rowOff>9525</xdr:rowOff>
    </xdr:from>
    <xdr:to>
      <xdr:col>2</xdr:col>
      <xdr:colOff>466725</xdr:colOff>
      <xdr:row>2</xdr:row>
      <xdr:rowOff>111585</xdr:rowOff>
    </xdr:to>
    <xdr:pic>
      <xdr:nvPicPr>
        <xdr:cNvPr id="8" name="Imagen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1" y="9525"/>
          <a:ext cx="1285874" cy="483060"/>
        </a:xfrm>
        <a:prstGeom prst="rect">
          <a:avLst/>
        </a:prstGeom>
      </xdr:spPr>
    </xdr:pic>
    <xdr:clientData/>
  </xdr:twoCellAnchor>
  <xdr:oneCellAnchor>
    <xdr:from>
      <xdr:col>10</xdr:col>
      <xdr:colOff>19051</xdr:colOff>
      <xdr:row>0</xdr:row>
      <xdr:rowOff>9525</xdr:rowOff>
    </xdr:from>
    <xdr:ext cx="1285874" cy="483060"/>
    <xdr:pic>
      <xdr:nvPicPr>
        <xdr:cNvPr id="9" name="Imagen 8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1" y="9525"/>
          <a:ext cx="1285874" cy="483060"/>
        </a:xfrm>
        <a:prstGeom prst="rect">
          <a:avLst/>
        </a:prstGeom>
      </xdr:spPr>
    </xdr:pic>
    <xdr:clientData/>
  </xdr:oneCellAnchor>
  <xdr:oneCellAnchor>
    <xdr:from>
      <xdr:col>19</xdr:col>
      <xdr:colOff>19051</xdr:colOff>
      <xdr:row>0</xdr:row>
      <xdr:rowOff>9525</xdr:rowOff>
    </xdr:from>
    <xdr:ext cx="1285874" cy="483060"/>
    <xdr:pic>
      <xdr:nvPicPr>
        <xdr:cNvPr id="10" name="Imagen 9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54101" y="9525"/>
          <a:ext cx="1285874" cy="483060"/>
        </a:xfrm>
        <a:prstGeom prst="rect">
          <a:avLst/>
        </a:prstGeom>
      </xdr:spPr>
    </xdr:pic>
    <xdr:clientData/>
  </xdr:oneCellAnchor>
  <xdr:oneCellAnchor>
    <xdr:from>
      <xdr:col>28</xdr:col>
      <xdr:colOff>19051</xdr:colOff>
      <xdr:row>0</xdr:row>
      <xdr:rowOff>9525</xdr:rowOff>
    </xdr:from>
    <xdr:ext cx="1285874" cy="483060"/>
    <xdr:pic>
      <xdr:nvPicPr>
        <xdr:cNvPr id="11" name="Imagen 10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02601" y="9525"/>
          <a:ext cx="1285874" cy="483060"/>
        </a:xfrm>
        <a:prstGeom prst="rect">
          <a:avLst/>
        </a:prstGeom>
      </xdr:spPr>
    </xdr:pic>
    <xdr:clientData/>
  </xdr:oneCellAnchor>
  <xdr:oneCellAnchor>
    <xdr:from>
      <xdr:col>46</xdr:col>
      <xdr:colOff>19051</xdr:colOff>
      <xdr:row>0</xdr:row>
      <xdr:rowOff>9525</xdr:rowOff>
    </xdr:from>
    <xdr:ext cx="1285874" cy="483060"/>
    <xdr:pic>
      <xdr:nvPicPr>
        <xdr:cNvPr id="12" name="Imagen 1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013776" y="9525"/>
          <a:ext cx="1285874" cy="48306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19051</xdr:colOff>
      <xdr:row>0</xdr:row>
      <xdr:rowOff>9525</xdr:rowOff>
    </xdr:from>
    <xdr:to>
      <xdr:col>2</xdr:col>
      <xdr:colOff>485775</xdr:colOff>
      <xdr:row>2</xdr:row>
      <xdr:rowOff>111585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1" y="9525"/>
          <a:ext cx="1228724" cy="483060"/>
        </a:xfrm>
        <a:prstGeom prst="rect">
          <a:avLst/>
        </a:prstGeom>
      </xdr:spPr>
    </xdr:pic>
    <xdr:clientData/>
  </xdr:twoCellAnchor>
  <xdr:oneCellAnchor>
    <xdr:from>
      <xdr:col>9</xdr:col>
      <xdr:colOff>19051</xdr:colOff>
      <xdr:row>0</xdr:row>
      <xdr:rowOff>9525</xdr:rowOff>
    </xdr:from>
    <xdr:ext cx="1285874" cy="483060"/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1" y="9525"/>
          <a:ext cx="1285874" cy="483060"/>
        </a:xfrm>
        <a:prstGeom prst="rect">
          <a:avLst/>
        </a:prstGeom>
      </xdr:spPr>
    </xdr:pic>
    <xdr:clientData/>
  </xdr:oneCellAnchor>
  <xdr:oneCellAnchor>
    <xdr:from>
      <xdr:col>17</xdr:col>
      <xdr:colOff>19051</xdr:colOff>
      <xdr:row>0</xdr:row>
      <xdr:rowOff>9525</xdr:rowOff>
    </xdr:from>
    <xdr:ext cx="1285874" cy="483060"/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72251" y="9525"/>
          <a:ext cx="1285874" cy="483060"/>
        </a:xfrm>
        <a:prstGeom prst="rect">
          <a:avLst/>
        </a:prstGeom>
      </xdr:spPr>
    </xdr:pic>
    <xdr:clientData/>
  </xdr:oneCellAnchor>
  <xdr:oneCellAnchor>
    <xdr:from>
      <xdr:col>25</xdr:col>
      <xdr:colOff>19051</xdr:colOff>
      <xdr:row>0</xdr:row>
      <xdr:rowOff>9525</xdr:rowOff>
    </xdr:from>
    <xdr:ext cx="1285874" cy="483060"/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25451" y="9525"/>
          <a:ext cx="1285874" cy="483060"/>
        </a:xfrm>
        <a:prstGeom prst="rect">
          <a:avLst/>
        </a:prstGeom>
      </xdr:spPr>
    </xdr:pic>
    <xdr:clientData/>
  </xdr:oneCellAnchor>
  <xdr:oneCellAnchor>
    <xdr:from>
      <xdr:col>33</xdr:col>
      <xdr:colOff>209551</xdr:colOff>
      <xdr:row>0</xdr:row>
      <xdr:rowOff>0</xdr:rowOff>
    </xdr:from>
    <xdr:ext cx="1285874" cy="483060"/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08176" y="0"/>
          <a:ext cx="1285874" cy="483060"/>
        </a:xfrm>
        <a:prstGeom prst="rect">
          <a:avLst/>
        </a:prstGeom>
      </xdr:spPr>
    </xdr:pic>
    <xdr:clientData/>
  </xdr:oneCellAnchor>
  <xdr:oneCellAnchor>
    <xdr:from>
      <xdr:col>41</xdr:col>
      <xdr:colOff>19051</xdr:colOff>
      <xdr:row>0</xdr:row>
      <xdr:rowOff>9525</xdr:rowOff>
    </xdr:from>
    <xdr:ext cx="1285874" cy="483060"/>
    <xdr:pic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78651" y="9525"/>
          <a:ext cx="1285874" cy="483060"/>
        </a:xfrm>
        <a:prstGeom prst="rect">
          <a:avLst/>
        </a:prstGeom>
      </xdr:spPr>
    </xdr:pic>
    <xdr:clientData/>
  </xdr:oneCellAnchor>
  <xdr:twoCellAnchor editAs="oneCell">
    <xdr:from>
      <xdr:col>1</xdr:col>
      <xdr:colOff>19051</xdr:colOff>
      <xdr:row>0</xdr:row>
      <xdr:rowOff>9525</xdr:rowOff>
    </xdr:from>
    <xdr:to>
      <xdr:col>2</xdr:col>
      <xdr:colOff>485775</xdr:colOff>
      <xdr:row>2</xdr:row>
      <xdr:rowOff>111585</xdr:rowOff>
    </xdr:to>
    <xdr:pic>
      <xdr:nvPicPr>
        <xdr:cNvPr id="8" name="Imagen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1" y="9525"/>
          <a:ext cx="1285874" cy="483060"/>
        </a:xfrm>
        <a:prstGeom prst="rect">
          <a:avLst/>
        </a:prstGeom>
      </xdr:spPr>
    </xdr:pic>
    <xdr:clientData/>
  </xdr:twoCellAnchor>
  <xdr:oneCellAnchor>
    <xdr:from>
      <xdr:col>9</xdr:col>
      <xdr:colOff>19051</xdr:colOff>
      <xdr:row>0</xdr:row>
      <xdr:rowOff>9525</xdr:rowOff>
    </xdr:from>
    <xdr:ext cx="1285874" cy="483060"/>
    <xdr:pic>
      <xdr:nvPicPr>
        <xdr:cNvPr id="9" name="Imagen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0826" y="9525"/>
          <a:ext cx="1285874" cy="483060"/>
        </a:xfrm>
        <a:prstGeom prst="rect">
          <a:avLst/>
        </a:prstGeom>
      </xdr:spPr>
    </xdr:pic>
    <xdr:clientData/>
  </xdr:oneCellAnchor>
  <xdr:oneCellAnchor>
    <xdr:from>
      <xdr:col>17</xdr:col>
      <xdr:colOff>19051</xdr:colOff>
      <xdr:row>0</xdr:row>
      <xdr:rowOff>9525</xdr:rowOff>
    </xdr:from>
    <xdr:ext cx="1285874" cy="483060"/>
    <xdr:pic>
      <xdr:nvPicPr>
        <xdr:cNvPr id="10" name="Imagen 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82601" y="9525"/>
          <a:ext cx="1285874" cy="483060"/>
        </a:xfrm>
        <a:prstGeom prst="rect">
          <a:avLst/>
        </a:prstGeom>
      </xdr:spPr>
    </xdr:pic>
    <xdr:clientData/>
  </xdr:oneCellAnchor>
  <xdr:oneCellAnchor>
    <xdr:from>
      <xdr:col>25</xdr:col>
      <xdr:colOff>19051</xdr:colOff>
      <xdr:row>0</xdr:row>
      <xdr:rowOff>9525</xdr:rowOff>
    </xdr:from>
    <xdr:ext cx="1285874" cy="483060"/>
    <xdr:pic>
      <xdr:nvPicPr>
        <xdr:cNvPr id="11" name="Imagen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764376" y="9525"/>
          <a:ext cx="1285874" cy="483060"/>
        </a:xfrm>
        <a:prstGeom prst="rect">
          <a:avLst/>
        </a:prstGeom>
      </xdr:spPr>
    </xdr:pic>
    <xdr:clientData/>
  </xdr:oneCellAnchor>
  <xdr:oneCellAnchor>
    <xdr:from>
      <xdr:col>41</xdr:col>
      <xdr:colOff>19051</xdr:colOff>
      <xdr:row>0</xdr:row>
      <xdr:rowOff>9525</xdr:rowOff>
    </xdr:from>
    <xdr:ext cx="1285874" cy="483060"/>
    <xdr:pic>
      <xdr:nvPicPr>
        <xdr:cNvPr id="13" name="Imagen 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27926" y="9525"/>
          <a:ext cx="1285874" cy="483060"/>
        </a:xfrm>
        <a:prstGeom prst="rect">
          <a:avLst/>
        </a:prstGeom>
      </xdr:spPr>
    </xdr:pic>
    <xdr:clientData/>
  </xdr:oneCellAnchor>
  <xdr:twoCellAnchor editAs="oneCell">
    <xdr:from>
      <xdr:col>1</xdr:col>
      <xdr:colOff>19051</xdr:colOff>
      <xdr:row>0</xdr:row>
      <xdr:rowOff>9525</xdr:rowOff>
    </xdr:from>
    <xdr:to>
      <xdr:col>2</xdr:col>
      <xdr:colOff>485775</xdr:colOff>
      <xdr:row>2</xdr:row>
      <xdr:rowOff>111585</xdr:rowOff>
    </xdr:to>
    <xdr:pic>
      <xdr:nvPicPr>
        <xdr:cNvPr id="14" name="Imagen 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1" y="9525"/>
          <a:ext cx="1285874" cy="483060"/>
        </a:xfrm>
        <a:prstGeom prst="rect">
          <a:avLst/>
        </a:prstGeom>
      </xdr:spPr>
    </xdr:pic>
    <xdr:clientData/>
  </xdr:twoCellAnchor>
  <xdr:oneCellAnchor>
    <xdr:from>
      <xdr:col>9</xdr:col>
      <xdr:colOff>19051</xdr:colOff>
      <xdr:row>0</xdr:row>
      <xdr:rowOff>9525</xdr:rowOff>
    </xdr:from>
    <xdr:ext cx="1285874" cy="483060"/>
    <xdr:pic>
      <xdr:nvPicPr>
        <xdr:cNvPr id="15" name="Imagen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6576" y="9525"/>
          <a:ext cx="1285874" cy="483060"/>
        </a:xfrm>
        <a:prstGeom prst="rect">
          <a:avLst/>
        </a:prstGeom>
      </xdr:spPr>
    </xdr:pic>
    <xdr:clientData/>
  </xdr:oneCellAnchor>
  <xdr:oneCellAnchor>
    <xdr:from>
      <xdr:col>17</xdr:col>
      <xdr:colOff>19051</xdr:colOff>
      <xdr:row>0</xdr:row>
      <xdr:rowOff>9525</xdr:rowOff>
    </xdr:from>
    <xdr:ext cx="1285874" cy="483060"/>
    <xdr:pic>
      <xdr:nvPicPr>
        <xdr:cNvPr id="16" name="Imagen 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01726" y="9525"/>
          <a:ext cx="1285874" cy="483060"/>
        </a:xfrm>
        <a:prstGeom prst="rect">
          <a:avLst/>
        </a:prstGeom>
      </xdr:spPr>
    </xdr:pic>
    <xdr:clientData/>
  </xdr:oneCellAnchor>
  <xdr:oneCellAnchor>
    <xdr:from>
      <xdr:col>25</xdr:col>
      <xdr:colOff>19051</xdr:colOff>
      <xdr:row>0</xdr:row>
      <xdr:rowOff>9525</xdr:rowOff>
    </xdr:from>
    <xdr:ext cx="1285874" cy="483060"/>
    <xdr:pic>
      <xdr:nvPicPr>
        <xdr:cNvPr id="17" name="Imagen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0226" y="9525"/>
          <a:ext cx="1285874" cy="483060"/>
        </a:xfrm>
        <a:prstGeom prst="rect">
          <a:avLst/>
        </a:prstGeom>
      </xdr:spPr>
    </xdr:pic>
    <xdr:clientData/>
  </xdr:oneCellAnchor>
  <xdr:oneCellAnchor>
    <xdr:from>
      <xdr:col>33</xdr:col>
      <xdr:colOff>209551</xdr:colOff>
      <xdr:row>0</xdr:row>
      <xdr:rowOff>0</xdr:rowOff>
    </xdr:from>
    <xdr:ext cx="1285874" cy="483060"/>
    <xdr:pic>
      <xdr:nvPicPr>
        <xdr:cNvPr id="18" name="Imagen 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55801" y="0"/>
          <a:ext cx="1285874" cy="483060"/>
        </a:xfrm>
        <a:prstGeom prst="rect">
          <a:avLst/>
        </a:prstGeom>
      </xdr:spPr>
    </xdr:pic>
    <xdr:clientData/>
  </xdr:oneCellAnchor>
  <xdr:oneCellAnchor>
    <xdr:from>
      <xdr:col>41</xdr:col>
      <xdr:colOff>19051</xdr:colOff>
      <xdr:row>0</xdr:row>
      <xdr:rowOff>9525</xdr:rowOff>
    </xdr:from>
    <xdr:ext cx="1285874" cy="483060"/>
    <xdr:pic>
      <xdr:nvPicPr>
        <xdr:cNvPr id="19" name="Imagen 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061401" y="9525"/>
          <a:ext cx="1285874" cy="483060"/>
        </a:xfrm>
        <a:prstGeom prst="rect">
          <a:avLst/>
        </a:prstGeom>
      </xdr:spPr>
    </xdr:pic>
    <xdr:clientData/>
  </xdr:oneCellAnchor>
  <xdr:oneCellAnchor>
    <xdr:from>
      <xdr:col>9</xdr:col>
      <xdr:colOff>19051</xdr:colOff>
      <xdr:row>0</xdr:row>
      <xdr:rowOff>9525</xdr:rowOff>
    </xdr:from>
    <xdr:ext cx="1285874" cy="483060"/>
    <xdr:pic>
      <xdr:nvPicPr>
        <xdr:cNvPr id="21" name="Imagen 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6576" y="9525"/>
          <a:ext cx="1285874" cy="483060"/>
        </a:xfrm>
        <a:prstGeom prst="rect">
          <a:avLst/>
        </a:prstGeom>
      </xdr:spPr>
    </xdr:pic>
    <xdr:clientData/>
  </xdr:oneCellAnchor>
  <xdr:oneCellAnchor>
    <xdr:from>
      <xdr:col>17</xdr:col>
      <xdr:colOff>19051</xdr:colOff>
      <xdr:row>0</xdr:row>
      <xdr:rowOff>9525</xdr:rowOff>
    </xdr:from>
    <xdr:ext cx="1285874" cy="483060"/>
    <xdr:pic>
      <xdr:nvPicPr>
        <xdr:cNvPr id="22" name="Imagen 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01726" y="9525"/>
          <a:ext cx="1285874" cy="483060"/>
        </a:xfrm>
        <a:prstGeom prst="rect">
          <a:avLst/>
        </a:prstGeom>
      </xdr:spPr>
    </xdr:pic>
    <xdr:clientData/>
  </xdr:oneCellAnchor>
  <xdr:oneCellAnchor>
    <xdr:from>
      <xdr:col>25</xdr:col>
      <xdr:colOff>19051</xdr:colOff>
      <xdr:row>0</xdr:row>
      <xdr:rowOff>9525</xdr:rowOff>
    </xdr:from>
    <xdr:ext cx="1285874" cy="483060"/>
    <xdr:pic>
      <xdr:nvPicPr>
        <xdr:cNvPr id="23" name="Imagen 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0226" y="9525"/>
          <a:ext cx="1285874" cy="483060"/>
        </a:xfrm>
        <a:prstGeom prst="rect">
          <a:avLst/>
        </a:prstGeom>
      </xdr:spPr>
    </xdr:pic>
    <xdr:clientData/>
  </xdr:oneCellAnchor>
  <xdr:oneCellAnchor>
    <xdr:from>
      <xdr:col>41</xdr:col>
      <xdr:colOff>19051</xdr:colOff>
      <xdr:row>0</xdr:row>
      <xdr:rowOff>9525</xdr:rowOff>
    </xdr:from>
    <xdr:ext cx="1285874" cy="483060"/>
    <xdr:pic>
      <xdr:nvPicPr>
        <xdr:cNvPr id="24" name="Imagen 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061401" y="9525"/>
          <a:ext cx="1285874" cy="48306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19051</xdr:colOff>
      <xdr:row>0</xdr:row>
      <xdr:rowOff>9525</xdr:rowOff>
    </xdr:from>
    <xdr:to>
      <xdr:col>3</xdr:col>
      <xdr:colOff>0</xdr:colOff>
      <xdr:row>2</xdr:row>
      <xdr:rowOff>111585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1" y="9525"/>
          <a:ext cx="1228724" cy="483060"/>
        </a:xfrm>
        <a:prstGeom prst="rect">
          <a:avLst/>
        </a:prstGeom>
      </xdr:spPr>
    </xdr:pic>
    <xdr:clientData/>
  </xdr:twoCellAnchor>
  <xdr:oneCellAnchor>
    <xdr:from>
      <xdr:col>9</xdr:col>
      <xdr:colOff>19051</xdr:colOff>
      <xdr:row>0</xdr:row>
      <xdr:rowOff>9525</xdr:rowOff>
    </xdr:from>
    <xdr:ext cx="1285874" cy="483060"/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1" y="9525"/>
          <a:ext cx="1285874" cy="483060"/>
        </a:xfrm>
        <a:prstGeom prst="rect">
          <a:avLst/>
        </a:prstGeom>
      </xdr:spPr>
    </xdr:pic>
    <xdr:clientData/>
  </xdr:oneCellAnchor>
  <xdr:oneCellAnchor>
    <xdr:from>
      <xdr:col>17</xdr:col>
      <xdr:colOff>19051</xdr:colOff>
      <xdr:row>0</xdr:row>
      <xdr:rowOff>9525</xdr:rowOff>
    </xdr:from>
    <xdr:ext cx="1285874" cy="483060"/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1" y="9525"/>
          <a:ext cx="1285874" cy="483060"/>
        </a:xfrm>
        <a:prstGeom prst="rect">
          <a:avLst/>
        </a:prstGeom>
      </xdr:spPr>
    </xdr:pic>
    <xdr:clientData/>
  </xdr:oneCellAnchor>
  <xdr:oneCellAnchor>
    <xdr:from>
      <xdr:col>25</xdr:col>
      <xdr:colOff>19051</xdr:colOff>
      <xdr:row>0</xdr:row>
      <xdr:rowOff>9525</xdr:rowOff>
    </xdr:from>
    <xdr:ext cx="1285874" cy="483060"/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1" y="9525"/>
          <a:ext cx="1285874" cy="483060"/>
        </a:xfrm>
        <a:prstGeom prst="rect">
          <a:avLst/>
        </a:prstGeom>
      </xdr:spPr>
    </xdr:pic>
    <xdr:clientData/>
  </xdr:oneCellAnchor>
  <xdr:oneCellAnchor>
    <xdr:from>
      <xdr:col>33</xdr:col>
      <xdr:colOff>19051</xdr:colOff>
      <xdr:row>0</xdr:row>
      <xdr:rowOff>9525</xdr:rowOff>
    </xdr:from>
    <xdr:ext cx="1285874" cy="483060"/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1" y="9525"/>
          <a:ext cx="1285874" cy="483060"/>
        </a:xfrm>
        <a:prstGeom prst="rect">
          <a:avLst/>
        </a:prstGeom>
      </xdr:spPr>
    </xdr:pic>
    <xdr:clientData/>
  </xdr:oneCellAnchor>
  <xdr:oneCellAnchor>
    <xdr:from>
      <xdr:col>41</xdr:col>
      <xdr:colOff>19051</xdr:colOff>
      <xdr:row>0</xdr:row>
      <xdr:rowOff>9525</xdr:rowOff>
    </xdr:from>
    <xdr:ext cx="1285874" cy="483060"/>
    <xdr:pic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1" y="9525"/>
          <a:ext cx="1285874" cy="48306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1571625</xdr:colOff>
      <xdr:row>54</xdr:row>
      <xdr:rowOff>23812</xdr:rowOff>
    </xdr:from>
    <xdr:to>
      <xdr:col>8</xdr:col>
      <xdr:colOff>552450</xdr:colOff>
      <xdr:row>68</xdr:row>
      <xdr:rowOff>100012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4762</xdr:colOff>
      <xdr:row>54</xdr:row>
      <xdr:rowOff>33337</xdr:rowOff>
    </xdr:from>
    <xdr:to>
      <xdr:col>19</xdr:col>
      <xdr:colOff>738187</xdr:colOff>
      <xdr:row>68</xdr:row>
      <xdr:rowOff>109537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33337</xdr:colOff>
      <xdr:row>54</xdr:row>
      <xdr:rowOff>71437</xdr:rowOff>
    </xdr:from>
    <xdr:to>
      <xdr:col>32</xdr:col>
      <xdr:colOff>4762</xdr:colOff>
      <xdr:row>68</xdr:row>
      <xdr:rowOff>147637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747712</xdr:colOff>
      <xdr:row>54</xdr:row>
      <xdr:rowOff>14287</xdr:rowOff>
    </xdr:from>
    <xdr:to>
      <xdr:col>43</xdr:col>
      <xdr:colOff>719137</xdr:colOff>
      <xdr:row>68</xdr:row>
      <xdr:rowOff>90487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50</xdr:col>
      <xdr:colOff>4762</xdr:colOff>
      <xdr:row>54</xdr:row>
      <xdr:rowOff>33337</xdr:rowOff>
    </xdr:from>
    <xdr:to>
      <xdr:col>55</xdr:col>
      <xdr:colOff>738187</xdr:colOff>
      <xdr:row>68</xdr:row>
      <xdr:rowOff>109537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62</xdr:col>
      <xdr:colOff>33337</xdr:colOff>
      <xdr:row>54</xdr:row>
      <xdr:rowOff>33337</xdr:rowOff>
    </xdr:from>
    <xdr:to>
      <xdr:col>68</xdr:col>
      <xdr:colOff>4762</xdr:colOff>
      <xdr:row>68</xdr:row>
      <xdr:rowOff>109537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714375</xdr:colOff>
          <xdr:row>19</xdr:row>
          <xdr:rowOff>28575</xdr:rowOff>
        </xdr:from>
        <xdr:to>
          <xdr:col>5</xdr:col>
          <xdr:colOff>47625</xdr:colOff>
          <xdr:row>20</xdr:row>
          <xdr:rowOff>47625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TXT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400050</xdr:colOff>
          <xdr:row>5</xdr:row>
          <xdr:rowOff>38100</xdr:rowOff>
        </xdr:from>
        <xdr:to>
          <xdr:col>4</xdr:col>
          <xdr:colOff>161925</xdr:colOff>
          <xdr:row>6</xdr:row>
          <xdr:rowOff>85725</xdr:rowOff>
        </xdr:to>
        <xdr:sp macro="" textlink="">
          <xdr:nvSpPr>
            <xdr:cNvPr id="8196" name="Traslado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7</xdr:row>
          <xdr:rowOff>142875</xdr:rowOff>
        </xdr:from>
        <xdr:to>
          <xdr:col>4</xdr:col>
          <xdr:colOff>95250</xdr:colOff>
          <xdr:row>8</xdr:row>
          <xdr:rowOff>161925</xdr:rowOff>
        </xdr:to>
        <xdr:sp macro="" textlink="">
          <xdr:nvSpPr>
            <xdr:cNvPr id="8197" name="Deceso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400050</xdr:colOff>
          <xdr:row>10</xdr:row>
          <xdr:rowOff>57150</xdr:rowOff>
        </xdr:from>
        <xdr:to>
          <xdr:col>3</xdr:col>
          <xdr:colOff>19050</xdr:colOff>
          <xdr:row>11</xdr:row>
          <xdr:rowOff>0</xdr:rowOff>
        </xdr:to>
        <xdr:sp macro="" textlink="">
          <xdr:nvSpPr>
            <xdr:cNvPr id="8198" name="Lote1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400050</xdr:colOff>
          <xdr:row>11</xdr:row>
          <xdr:rowOff>19050</xdr:rowOff>
        </xdr:from>
        <xdr:to>
          <xdr:col>2</xdr:col>
          <xdr:colOff>552450</xdr:colOff>
          <xdr:row>11</xdr:row>
          <xdr:rowOff>219075</xdr:rowOff>
        </xdr:to>
        <xdr:sp macro="" textlink="">
          <xdr:nvSpPr>
            <xdr:cNvPr id="8199" name="Lote2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400050</xdr:colOff>
          <xdr:row>12</xdr:row>
          <xdr:rowOff>38100</xdr:rowOff>
        </xdr:from>
        <xdr:to>
          <xdr:col>3</xdr:col>
          <xdr:colOff>0</xdr:colOff>
          <xdr:row>12</xdr:row>
          <xdr:rowOff>228600</xdr:rowOff>
        </xdr:to>
        <xdr:sp macro="" textlink="">
          <xdr:nvSpPr>
            <xdr:cNvPr id="8200" name="Lote3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12</xdr:row>
          <xdr:rowOff>85725</xdr:rowOff>
        </xdr:from>
        <xdr:to>
          <xdr:col>4</xdr:col>
          <xdr:colOff>285750</xdr:colOff>
          <xdr:row>12</xdr:row>
          <xdr:rowOff>219075</xdr:rowOff>
        </xdr:to>
        <xdr:sp macro="" textlink="">
          <xdr:nvSpPr>
            <xdr:cNvPr id="8201" name="Lote6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10</xdr:row>
          <xdr:rowOff>76200</xdr:rowOff>
        </xdr:from>
        <xdr:to>
          <xdr:col>5</xdr:col>
          <xdr:colOff>0</xdr:colOff>
          <xdr:row>10</xdr:row>
          <xdr:rowOff>247650</xdr:rowOff>
        </xdr:to>
        <xdr:sp macro="" textlink="">
          <xdr:nvSpPr>
            <xdr:cNvPr id="8202" name="Lote4" hidden="1">
              <a:extLst>
                <a:ext uri="{63B3BB69-23CF-44E3-9099-C40C66FF867C}">
                  <a14:compatExt spid="_x0000_s8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11</xdr:row>
          <xdr:rowOff>76200</xdr:rowOff>
        </xdr:from>
        <xdr:to>
          <xdr:col>5</xdr:col>
          <xdr:colOff>28575</xdr:colOff>
          <xdr:row>12</xdr:row>
          <xdr:rowOff>0</xdr:rowOff>
        </xdr:to>
        <xdr:sp macro="" textlink="">
          <xdr:nvSpPr>
            <xdr:cNvPr id="8203" name="Lote5" hidden="1">
              <a:extLst>
                <a:ext uri="{63B3BB69-23CF-44E3-9099-C40C66FF867C}">
                  <a14:compatExt spid="_x0000_s8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6</xdr:row>
          <xdr:rowOff>95250</xdr:rowOff>
        </xdr:from>
        <xdr:to>
          <xdr:col>5</xdr:col>
          <xdr:colOff>9525</xdr:colOff>
          <xdr:row>7</xdr:row>
          <xdr:rowOff>123825</xdr:rowOff>
        </xdr:to>
        <xdr:sp macro="" textlink="">
          <xdr:nvSpPr>
            <xdr:cNvPr id="8204" name="Alimento" hidden="1">
              <a:extLst>
                <a:ext uri="{63B3BB69-23CF-44E3-9099-C40C66FF867C}">
                  <a14:compatExt spid="_x0000_s8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14</xdr:row>
          <xdr:rowOff>66675</xdr:rowOff>
        </xdr:from>
        <xdr:to>
          <xdr:col>3</xdr:col>
          <xdr:colOff>971550</xdr:colOff>
          <xdr:row>15</xdr:row>
          <xdr:rowOff>104775</xdr:rowOff>
        </xdr:to>
        <xdr:sp macro="" textlink="">
          <xdr:nvSpPr>
            <xdr:cNvPr id="8207" name="Sitio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Alfredo Hernandez" refreshedDate="43315.389796990741" createdVersion="5" refreshedVersion="5" minRefreshableVersion="3" recordCount="295">
  <cacheSource type="worksheet">
    <worksheetSource ref="BI5:BO300" sheet="ALIMENTO_NUEVO"/>
  </cacheSource>
  <cacheFields count="8">
    <cacheField name="FECHA" numFmtId="0">
      <sharedItems containsNonDate="0" containsDate="1" containsString="0" containsBlank="1" minDate="2018-06-11T00:00:00" maxDate="2018-08-02T00:00:00"/>
    </cacheField>
    <cacheField name="SEMANA" numFmtId="0">
      <sharedItems containsMixedTypes="1" containsNumber="1" containsInteger="1" minValue="4" maxValue="7"/>
    </cacheField>
    <cacheField name="DIAS" numFmtId="0">
      <sharedItems containsSemiMixedTypes="0" containsString="0" containsNumber="1" containsInteger="1" minValue="-43267" maxValue="46"/>
    </cacheField>
    <cacheField name="CODIGO" numFmtId="0">
      <sharedItems containsString="0" containsBlank="1" containsNumber="1" minValue="10130147" maxValue="21211222.010000002" count="16">
        <m/>
        <n v="10130147"/>
        <n v="10130149"/>
        <n v="21111214"/>
        <n v="21111226.030000001" u="1"/>
        <n v="21121205" u="1"/>
        <n v="21111227.030000001" u="1"/>
        <n v="21111229.030000001" u="1"/>
        <n v="21211222.010000002" u="1"/>
        <n v="21111230.030000001" u="1"/>
        <n v="21121208" u="1"/>
        <n v="21121209" u="1"/>
        <n v="21121210" u="1"/>
        <n v="21121104" u="1"/>
        <n v="10130148" u="1"/>
        <n v="21111111.030000001" u="1"/>
      </sharedItems>
    </cacheField>
    <cacheField name="FORMULA" numFmtId="0">
      <sharedItems/>
    </cacheField>
    <cacheField name="kg Recibidos" numFmtId="1">
      <sharedItems containsString="0" containsBlank="1" containsNumber="1" containsInteger="1" minValue="600" maxValue="10000"/>
    </cacheField>
    <cacheField name="Kg Consm" numFmtId="0">
      <sharedItems containsString="0" containsBlank="1" containsNumber="1" containsInteger="1" minValue="-2500" maxValue="-25"/>
    </cacheField>
    <cacheField name="Campo1" numFmtId="0" formula="'kg Recibidos'+'Kg Consm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Alfredo Hernandez" refreshedDate="43315.389799537035" createdVersion="5" refreshedVersion="5" minRefreshableVersion="3" recordCount="195">
  <cacheSource type="worksheet">
    <worksheetSource ref="AW5:BC200" sheet="ALIMENTO_NUEVO"/>
  </cacheSource>
  <cacheFields count="8">
    <cacheField name="FECHA" numFmtId="0">
      <sharedItems containsNonDate="0" containsDate="1" containsString="0" containsBlank="1" minDate="2018-06-11T00:00:00" maxDate="2018-08-01T00:00:00"/>
    </cacheField>
    <cacheField name="SEMANA" numFmtId="0">
      <sharedItems containsMixedTypes="1" containsNumber="1" containsInteger="1" minValue="1" maxValue="8"/>
    </cacheField>
    <cacheField name="DIAS" numFmtId="0">
      <sharedItems containsSemiMixedTypes="0" containsString="0" containsNumber="1" containsInteger="1" minValue="-43261" maxValue="51"/>
    </cacheField>
    <cacheField name="CODIGO" numFmtId="0">
      <sharedItems containsString="0" containsBlank="1" containsNumber="1" minValue="10130147" maxValue="21121210" count="15">
        <m/>
        <n v="10130147"/>
        <n v="10130149"/>
        <n v="21111214"/>
        <n v="21111226.030000001" u="1"/>
        <n v="21121205" u="1"/>
        <n v="21111227.030000001" u="1"/>
        <n v="21111229.030000001" u="1"/>
        <n v="21111109" u="1"/>
        <n v="21111230.030000001" u="1"/>
        <n v="21111110" u="1"/>
        <n v="21121208" u="1"/>
        <n v="21121209" u="1"/>
        <n v="21111232.079999998" u="1"/>
        <n v="21121210" u="1"/>
      </sharedItems>
    </cacheField>
    <cacheField name="FORMULA" numFmtId="0">
      <sharedItems/>
    </cacheField>
    <cacheField name="kg Recibidos" numFmtId="1">
      <sharedItems containsString="0" containsBlank="1" containsNumber="1" containsInteger="1" minValue="600" maxValue="9310"/>
    </cacheField>
    <cacheField name="Kg Consm" numFmtId="0">
      <sharedItems containsString="0" containsBlank="1" containsNumber="1" containsInteger="1" minValue="-1810" maxValue="-25"/>
    </cacheField>
    <cacheField name="Campo1" numFmtId="0" formula="'kg Recibidos'+'Kg Consm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OnLoad="1" refreshedBy="Alfredo Hernandez" refreshedDate="43315.389800810182" createdVersion="5" refreshedVersion="5" minRefreshableVersion="3" recordCount="295">
  <cacheSource type="worksheet">
    <worksheetSource ref="Y5:AE300" sheet="ALIMENTO_NUEVO"/>
  </cacheSource>
  <cacheFields count="8">
    <cacheField name="FECHA" numFmtId="0">
      <sharedItems containsNonDate="0" containsDate="1" containsString="0" containsBlank="1" minDate="2018-06-11T00:00:00" maxDate="2018-08-02T00:00:00"/>
    </cacheField>
    <cacheField name="SEMANA" numFmtId="0">
      <sharedItems containsMixedTypes="1" containsNumber="1" containsInteger="1" minValue="3" maxValue="10"/>
    </cacheField>
    <cacheField name="DIAS" numFmtId="0">
      <sharedItems containsSemiMixedTypes="0" containsString="0" containsNumber="1" containsInteger="1" minValue="-43247" maxValue="66"/>
    </cacheField>
    <cacheField name="CODIGO" numFmtId="0">
      <sharedItems containsString="0" containsBlank="1" containsNumber="1" minValue="10130147" maxValue="21121210" count="14">
        <m/>
        <n v="10130147"/>
        <n v="10130149"/>
        <n v="21111214"/>
        <n v="21121205"/>
        <n v="21111106" u="1"/>
        <n v="21111226.030000001" u="1"/>
        <n v="21111228.030000001" u="1"/>
        <n v="21111227.030000001" u="1"/>
        <n v="21121207" u="1"/>
        <n v="21111230.030000001" u="1"/>
        <n v="21121208" u="1"/>
        <n v="21121209" u="1"/>
        <n v="21121210" u="1"/>
      </sharedItems>
    </cacheField>
    <cacheField name="FORMULA" numFmtId="0">
      <sharedItems/>
    </cacheField>
    <cacheField name="kg Recibidos" numFmtId="1">
      <sharedItems containsString="0" containsBlank="1" containsNumber="1" containsInteger="1" minValue="600" maxValue="16100"/>
    </cacheField>
    <cacheField name="Kg Consm" numFmtId="0">
      <sharedItems containsString="0" containsBlank="1" containsNumber="1" containsInteger="1" minValue="-2500" maxValue="-25"/>
    </cacheField>
    <cacheField name="Campo1" numFmtId="0" formula="'kg Recibidos'+'Kg Consm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OnLoad="1" refreshedBy="Alfredo Hernandez" refreshedDate="43315.389802199075" createdVersion="5" refreshedVersion="5" minRefreshableVersion="3" recordCount="295">
  <cacheSource type="worksheet">
    <worksheetSource ref="M5:S300" sheet="ALIMENTO_NUEVO"/>
  </cacheSource>
  <cacheFields count="8">
    <cacheField name="FECHA" numFmtId="0">
      <sharedItems containsNonDate="0" containsDate="1" containsString="0" containsBlank="1" minDate="2018-06-11T00:00:00" maxDate="2018-08-02T00:00:00"/>
    </cacheField>
    <cacheField name="SEMANA" numFmtId="0">
      <sharedItems containsMixedTypes="1" containsNumber="1" containsInteger="1" minValue="3" maxValue="11"/>
    </cacheField>
    <cacheField name="DIAS" numFmtId="0">
      <sharedItems containsSemiMixedTypes="0" containsString="0" containsNumber="1" containsInteger="1" minValue="-43242" maxValue="71"/>
    </cacheField>
    <cacheField name="CODIGO" numFmtId="0">
      <sharedItems containsString="0" containsBlank="1" containsNumber="1" minValue="10130146" maxValue="21121210" count="15">
        <m/>
        <n v="10130147"/>
        <n v="10130149"/>
        <n v="21111214"/>
        <n v="21121205"/>
        <n v="21111226.030000001" u="1"/>
        <n v="21111228.030000001" u="1"/>
        <n v="21111227.030000001" u="1"/>
        <n v="21121207" u="1"/>
        <n v="21111230.030000001" u="1"/>
        <n v="21121208" u="1"/>
        <n v="21121209" u="1"/>
        <n v="21111232.079999998" u="1"/>
        <n v="21121210" u="1"/>
        <n v="10130146" u="1"/>
      </sharedItems>
    </cacheField>
    <cacheField name="FORMULA" numFmtId="0">
      <sharedItems/>
    </cacheField>
    <cacheField name="kg Recibidos" numFmtId="1">
      <sharedItems containsString="0" containsBlank="1" containsNumber="1" containsInteger="1" minValue="600" maxValue="14110"/>
    </cacheField>
    <cacheField name="Kg Consm" numFmtId="0">
      <sharedItems containsString="0" containsBlank="1" containsNumber="1" containsInteger="1" minValue="-1960" maxValue="-25"/>
    </cacheField>
    <cacheField name="Campo1" numFmtId="0" formula="'kg Recibidos'+'Kg Consm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OnLoad="1" refreshedBy="Alfredo Hernandez" refreshedDate="43315.389803587961" createdVersion="5" refreshedVersion="5" minRefreshableVersion="3" recordCount="295">
  <cacheSource type="worksheet">
    <worksheetSource ref="A5:G300" sheet="ALIMENTO_NUEVO"/>
  </cacheSource>
  <cacheFields count="8">
    <cacheField name="FECHA" numFmtId="0">
      <sharedItems containsNonDate="0" containsDate="1" containsString="0" containsBlank="1" minDate="2018-06-11T00:00:00" maxDate="2018-08-02T00:00:00"/>
    </cacheField>
    <cacheField name="SEMANA" numFmtId="0">
      <sharedItems containsMixedTypes="1" containsNumber="1" containsInteger="1" minValue="4" maxValue="11"/>
    </cacheField>
    <cacheField name="DIAS" numFmtId="0">
      <sharedItems containsSemiMixedTypes="0" containsString="0" containsNumber="1" containsInteger="1" minValue="-43238" maxValue="75"/>
    </cacheField>
    <cacheField name="CODIGO" numFmtId="0">
      <sharedItems containsString="0" containsBlank="1" containsNumber="1" minValue="10120162" maxValue="21121210" count="16">
        <m/>
        <n v="10130147"/>
        <n v="10130149"/>
        <n v="21111214"/>
        <n v="21121205"/>
        <n v="21111226.030000001" u="1"/>
        <n v="21111228.030000001" u="1"/>
        <n v="21111227.030000001" u="1"/>
        <n v="21121207" u="1"/>
        <n v="21111230.030000001" u="1"/>
        <n v="21121208" u="1"/>
        <n v="21121209" u="1"/>
        <n v="21111232.079999998" u="1"/>
        <n v="21121210" u="1"/>
        <n v="10130146" u="1"/>
        <n v="10120162" u="1"/>
      </sharedItems>
    </cacheField>
    <cacheField name="FORMULA" numFmtId="0">
      <sharedItems/>
    </cacheField>
    <cacheField name="kg Recibidos" numFmtId="1">
      <sharedItems containsString="0" containsBlank="1" containsNumber="1" containsInteger="1" minValue="600" maxValue="15520"/>
    </cacheField>
    <cacheField name="Kg Consm" numFmtId="0">
      <sharedItems containsString="0" containsBlank="1" containsNumber="1" containsInteger="1" minValue="-2500" maxValue="-25"/>
    </cacheField>
    <cacheField name="Campo1" numFmtId="0" formula="'kg Recibidos'+'Kg Consm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OnLoad="1" refreshedBy="Alfredo Hernandez" refreshedDate="43315.389804861108" createdVersion="5" refreshedVersion="5" minRefreshableVersion="3" recordCount="295">
  <cacheSource type="worksheet">
    <worksheetSource ref="AK5:AQ300" sheet="ALIMENTO_NUEVO"/>
  </cacheSource>
  <cacheFields count="8">
    <cacheField name="FECHA" numFmtId="0">
      <sharedItems containsNonDate="0" containsDate="1" containsString="0" containsBlank="1" minDate="2018-06-11T00:00:00" maxDate="2018-08-02T00:00:00"/>
    </cacheField>
    <cacheField name="SEMANA" numFmtId="0">
      <sharedItems containsMixedTypes="1" containsNumber="1" containsInteger="1" minValue="2" maxValue="9"/>
    </cacheField>
    <cacheField name="DIAS" numFmtId="0">
      <sharedItems containsSemiMixedTypes="0" containsString="0" containsNumber="1" containsInteger="1" minValue="-43254" maxValue="59"/>
    </cacheField>
    <cacheField name="CODIGO" numFmtId="0">
      <sharedItems containsString="0" containsBlank="1" containsNumber="1" minValue="10130147" maxValue="21121210" count="17">
        <m/>
        <n v="10130147"/>
        <n v="10130149"/>
        <n v="21111214"/>
        <n v="21121205"/>
        <n v="21111107" u="1"/>
        <n v="21111226.030000001" u="1"/>
        <n v="21111228.030000001" u="1"/>
        <n v="21111108" u="1"/>
        <n v="21111229.030000001" u="1"/>
        <n v="21121207" u="1"/>
        <n v="21111230.030000001" u="1"/>
        <n v="21121208" u="1"/>
        <n v="21121209" u="1"/>
        <n v="21111232.079999998" u="1"/>
        <n v="21121210" u="1"/>
        <n v="21121104" u="1"/>
      </sharedItems>
    </cacheField>
    <cacheField name="FORMULA" numFmtId="0">
      <sharedItems/>
    </cacheField>
    <cacheField name="kg Recibidos" numFmtId="1">
      <sharedItems containsString="0" containsBlank="1" containsNumber="1" containsInteger="1" minValue="600" maxValue="13860"/>
    </cacheField>
    <cacheField name="Kg Consm" numFmtId="1">
      <sharedItems containsString="0" containsBlank="1" containsNumber="1" containsInteger="1" minValue="-2000" maxValue="-25"/>
    </cacheField>
    <cacheField name="Campo1" numFmtId="0" formula="'kg Recibidos'+'Kg Consm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95">
  <r>
    <d v="2018-06-11T00:00:00"/>
    <e v="#NUM!"/>
    <n v="-5"/>
    <x v="0"/>
    <e v="#N/A"/>
    <m/>
    <m/>
  </r>
  <r>
    <d v="2018-06-11T00:00:00"/>
    <e v="#NUM!"/>
    <n v="-5"/>
    <x v="1"/>
    <s v="Nupig Sew 150 Ppm Tiamulina+400Ppm Amoxicilina"/>
    <n v="600"/>
    <m/>
  </r>
  <r>
    <d v="2018-06-11T00:00:00"/>
    <e v="#NUM!"/>
    <n v="-5"/>
    <x v="2"/>
    <s v="Nupig Uno Kappa"/>
    <n v="4500"/>
    <m/>
  </r>
  <r>
    <d v="2018-07-12T00:00:00"/>
    <n v="4"/>
    <n v="26"/>
    <x v="1"/>
    <s v="Nupig Sew 150 Ppm Tiamulina+400Ppm Amoxicilina"/>
    <m/>
    <n v="-50"/>
  </r>
  <r>
    <d v="2018-07-12T00:00:00"/>
    <n v="4"/>
    <n v="26"/>
    <x v="2"/>
    <s v="Nupig Uno Kappa"/>
    <m/>
    <n v="-300"/>
  </r>
  <r>
    <d v="2018-07-13T00:00:00"/>
    <n v="4"/>
    <n v="27"/>
    <x v="2"/>
    <s v="Nupig Uno Kappa"/>
    <m/>
    <n v="-600"/>
  </r>
  <r>
    <d v="2018-07-14T00:00:00"/>
    <n v="4"/>
    <n v="28"/>
    <x v="2"/>
    <s v="Nupig Uno Kappa"/>
    <m/>
    <n v="-250"/>
  </r>
  <r>
    <d v="2018-07-16T00:00:00"/>
    <n v="5"/>
    <n v="30"/>
    <x v="2"/>
    <s v="Nupig Uno Kappa"/>
    <m/>
    <n v="-250"/>
  </r>
  <r>
    <d v="2018-07-16T00:00:00"/>
    <n v="5"/>
    <n v="30"/>
    <x v="3"/>
    <s v="Cerdos Fase 2 Med"/>
    <n v="10000"/>
    <m/>
  </r>
  <r>
    <d v="2018-07-17T00:00:00"/>
    <n v="5"/>
    <n v="31"/>
    <x v="2"/>
    <s v="Nupig Uno Kappa"/>
    <m/>
    <n v="-75"/>
  </r>
  <r>
    <d v="2018-07-19T00:00:00"/>
    <n v="5"/>
    <n v="33"/>
    <x v="1"/>
    <s v="Nupig Sew 150 Ppm Tiamulina+400Ppm Amoxicilina"/>
    <m/>
    <n v="-50"/>
  </r>
  <r>
    <d v="2018-07-19T00:00:00"/>
    <n v="5"/>
    <n v="33"/>
    <x v="2"/>
    <s v="Nupig Uno Kappa"/>
    <m/>
    <n v="-450"/>
  </r>
  <r>
    <d v="2018-07-20T00:00:00"/>
    <n v="5"/>
    <n v="34"/>
    <x v="2"/>
    <s v="Nupig Uno Kappa"/>
    <m/>
    <n v="-175"/>
  </r>
  <r>
    <d v="2018-07-21T00:00:00"/>
    <n v="5"/>
    <n v="35"/>
    <x v="1"/>
    <s v="Nupig Sew 150 Ppm Tiamulina+400Ppm Amoxicilina"/>
    <m/>
    <n v="-50"/>
  </r>
  <r>
    <d v="2018-07-21T00:00:00"/>
    <n v="5"/>
    <n v="35"/>
    <x v="2"/>
    <s v="Nupig Uno Kappa"/>
    <m/>
    <n v="-375"/>
  </r>
  <r>
    <d v="2018-07-22T00:00:00"/>
    <n v="6"/>
    <n v="36"/>
    <x v="1"/>
    <s v="Nupig Sew 150 Ppm Tiamulina+400Ppm Amoxicilina"/>
    <m/>
    <n v="-375"/>
  </r>
  <r>
    <d v="2018-07-22T00:00:00"/>
    <n v="6"/>
    <n v="36"/>
    <x v="2"/>
    <s v="Nupig Uno Kappa"/>
    <m/>
    <n v="-25"/>
  </r>
  <r>
    <d v="2018-07-23T00:00:00"/>
    <n v="6"/>
    <n v="37"/>
    <x v="1"/>
    <s v="Nupig Sew 150 Ppm Tiamulina+400Ppm Amoxicilina"/>
    <m/>
    <n v="-25"/>
  </r>
  <r>
    <d v="2018-07-23T00:00:00"/>
    <n v="6"/>
    <n v="37"/>
    <x v="2"/>
    <s v="Nupig Uno Kappa"/>
    <m/>
    <n v="-425"/>
  </r>
  <r>
    <d v="2018-07-24T00:00:00"/>
    <n v="6"/>
    <n v="38"/>
    <x v="1"/>
    <s v="Nupig Sew 150 Ppm Tiamulina+400Ppm Amoxicilina"/>
    <m/>
    <n v="-25"/>
  </r>
  <r>
    <d v="2018-07-24T00:00:00"/>
    <n v="6"/>
    <n v="38"/>
    <x v="2"/>
    <s v="Nupig Uno Kappa"/>
    <m/>
    <n v="-400"/>
  </r>
  <r>
    <d v="2018-07-25T00:00:00"/>
    <n v="6"/>
    <n v="39"/>
    <x v="2"/>
    <s v="Nupig Uno Kappa"/>
    <m/>
    <n v="-375"/>
  </r>
  <r>
    <d v="2018-07-26T00:00:00"/>
    <n v="6"/>
    <n v="40"/>
    <x v="2"/>
    <s v="Nupig Uno Kappa"/>
    <m/>
    <n v="-800"/>
  </r>
  <r>
    <d v="2018-07-26T00:00:00"/>
    <n v="6"/>
    <n v="40"/>
    <x v="3"/>
    <s v="Cerdos Fase 2 Med"/>
    <m/>
    <n v="-2500"/>
  </r>
  <r>
    <d v="2018-07-28T00:00:00"/>
    <n v="6"/>
    <n v="42"/>
    <x v="1"/>
    <s v="Nupig Sew 150 Ppm Tiamulina+400Ppm Amoxicilina"/>
    <m/>
    <n v="-25"/>
  </r>
  <r>
    <d v="2018-07-28T00:00:00"/>
    <n v="6"/>
    <n v="42"/>
    <x v="3"/>
    <s v="Cerdos Fase 2 Med"/>
    <m/>
    <n v="-1000"/>
  </r>
  <r>
    <d v="2018-07-29T00:00:00"/>
    <n v="7"/>
    <n v="43"/>
    <x v="3"/>
    <s v="Cerdos Fase 2 Med"/>
    <m/>
    <n v="-1500"/>
  </r>
  <r>
    <d v="2018-07-30T00:00:00"/>
    <n v="7"/>
    <n v="44"/>
    <x v="3"/>
    <s v="Cerdos Fase 2 Med"/>
    <m/>
    <n v="-500"/>
  </r>
  <r>
    <d v="2018-07-31T00:00:00"/>
    <n v="7"/>
    <n v="45"/>
    <x v="3"/>
    <s v="Cerdos Fase 2 Med"/>
    <m/>
    <n v="-500"/>
  </r>
  <r>
    <d v="2018-08-01T00:00:00"/>
    <n v="7"/>
    <n v="46"/>
    <x v="3"/>
    <s v="Cerdos Fase 2 Med"/>
    <m/>
    <n v="-1000"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  <r>
    <m/>
    <e v="#NUM!"/>
    <n v="-43267"/>
    <x v="0"/>
    <e v="#N/A"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95">
  <r>
    <d v="2018-06-11T00:00:00"/>
    <n v="1"/>
    <n v="1"/>
    <x v="0"/>
    <e v="#N/A"/>
    <m/>
    <m/>
  </r>
  <r>
    <d v="2018-06-11T00:00:00"/>
    <n v="1"/>
    <n v="1"/>
    <x v="1"/>
    <s v="Nupig Sew 150 Ppm Tiamulina+400Ppm Amoxicilina"/>
    <n v="600"/>
    <m/>
  </r>
  <r>
    <d v="2018-06-11T00:00:00"/>
    <n v="1"/>
    <n v="1"/>
    <x v="2"/>
    <s v="Nupig Uno Kappa"/>
    <n v="4500"/>
    <m/>
  </r>
  <r>
    <d v="2018-07-02T00:00:00"/>
    <n v="4"/>
    <n v="22"/>
    <x v="2"/>
    <s v="Nupig Uno Kappa"/>
    <m/>
    <n v="-125"/>
  </r>
  <r>
    <d v="2018-07-04T00:00:00"/>
    <n v="4"/>
    <n v="24"/>
    <x v="2"/>
    <s v="Nupig Uno Kappa"/>
    <m/>
    <n v="-125"/>
  </r>
  <r>
    <d v="2018-07-05T00:00:00"/>
    <n v="4"/>
    <n v="25"/>
    <x v="2"/>
    <s v="Nupig Uno Kappa"/>
    <m/>
    <n v="-125"/>
  </r>
  <r>
    <d v="2018-07-06T00:00:00"/>
    <n v="4"/>
    <n v="26"/>
    <x v="1"/>
    <s v="Nupig Sew 150 Ppm Tiamulina+400Ppm Amoxicilina"/>
    <m/>
    <n v="-50"/>
  </r>
  <r>
    <d v="2018-07-06T00:00:00"/>
    <n v="4"/>
    <n v="26"/>
    <x v="2"/>
    <s v="Nupig Uno Kappa"/>
    <m/>
    <n v="-250"/>
  </r>
  <r>
    <d v="2018-07-08T00:00:00"/>
    <n v="4"/>
    <n v="28"/>
    <x v="2"/>
    <s v="Nupig Uno Kappa"/>
    <m/>
    <n v="-175"/>
  </r>
  <r>
    <d v="2018-07-09T00:00:00"/>
    <n v="5"/>
    <n v="29"/>
    <x v="2"/>
    <s v="Nupig Uno Kappa"/>
    <m/>
    <n v="-275"/>
  </r>
  <r>
    <d v="2018-07-10T00:00:00"/>
    <n v="5"/>
    <n v="30"/>
    <x v="2"/>
    <s v="Nupig Uno Kappa"/>
    <m/>
    <n v="-75"/>
  </r>
  <r>
    <d v="2018-07-11T00:00:00"/>
    <n v="5"/>
    <n v="31"/>
    <x v="1"/>
    <s v="Nupig Sew 150 Ppm Tiamulina+400Ppm Amoxicilina"/>
    <m/>
    <n v="-25"/>
  </r>
  <r>
    <d v="2018-07-11T00:00:00"/>
    <n v="5"/>
    <n v="31"/>
    <x v="2"/>
    <s v="Nupig Uno Kappa"/>
    <m/>
    <n v="-150"/>
  </r>
  <r>
    <d v="2018-07-12T00:00:00"/>
    <n v="5"/>
    <n v="32"/>
    <x v="1"/>
    <s v="Nupig Sew 150 Ppm Tiamulina+400Ppm Amoxicilina"/>
    <m/>
    <n v="-25"/>
  </r>
  <r>
    <d v="2018-07-12T00:00:00"/>
    <n v="5"/>
    <n v="32"/>
    <x v="2"/>
    <s v="Nupig Uno Kappa"/>
    <m/>
    <n v="-125"/>
  </r>
  <r>
    <d v="2018-07-13T00:00:00"/>
    <n v="5"/>
    <n v="33"/>
    <x v="2"/>
    <s v="Nupig Uno Kappa"/>
    <m/>
    <n v="-250"/>
  </r>
  <r>
    <d v="2018-07-14T00:00:00"/>
    <n v="5"/>
    <n v="34"/>
    <x v="1"/>
    <s v="Nupig Sew 150 Ppm Tiamulina+400Ppm Amoxicilina"/>
    <m/>
    <n v="-50"/>
  </r>
  <r>
    <d v="2018-07-14T00:00:00"/>
    <n v="5"/>
    <n v="34"/>
    <x v="2"/>
    <s v="Nupig Uno Kappa"/>
    <m/>
    <n v="-250"/>
  </r>
  <r>
    <d v="2018-07-15T00:00:00"/>
    <n v="5"/>
    <n v="35"/>
    <x v="2"/>
    <s v="Nupig Uno Kappa"/>
    <m/>
    <n v="-125"/>
  </r>
  <r>
    <d v="2018-07-16T00:00:00"/>
    <n v="6"/>
    <n v="36"/>
    <x v="1"/>
    <s v="Nupig Sew 150 Ppm Tiamulina+400Ppm Amoxicilina"/>
    <m/>
    <n v="-50"/>
  </r>
  <r>
    <d v="2018-07-16T00:00:00"/>
    <n v="6"/>
    <n v="36"/>
    <x v="2"/>
    <s v="Nupig Uno Kappa"/>
    <m/>
    <n v="-475"/>
  </r>
  <r>
    <d v="2018-07-16T00:00:00"/>
    <n v="6"/>
    <n v="36"/>
    <x v="3"/>
    <s v="Cerdos Fase 2 Med"/>
    <n v="9310"/>
    <m/>
  </r>
  <r>
    <d v="2018-07-17T00:00:00"/>
    <n v="6"/>
    <n v="37"/>
    <x v="1"/>
    <s v="Nupig Sew 150 Ppm Tiamulina+400Ppm Amoxicilina"/>
    <m/>
    <n v="-50"/>
  </r>
  <r>
    <d v="2018-07-17T00:00:00"/>
    <n v="6"/>
    <n v="37"/>
    <x v="2"/>
    <s v="Nupig Uno Kappa"/>
    <m/>
    <n v="-450"/>
  </r>
  <r>
    <d v="2018-07-19T00:00:00"/>
    <n v="6"/>
    <n v="39"/>
    <x v="2"/>
    <s v="Nupig Uno Kappa"/>
    <m/>
    <n v="-250"/>
  </r>
  <r>
    <d v="2018-07-19T00:00:00"/>
    <n v="6"/>
    <n v="39"/>
    <x v="1"/>
    <s v="Nupig Sew 150 Ppm Tiamulina+400Ppm Amoxicilina"/>
    <m/>
    <n v="-75"/>
  </r>
  <r>
    <d v="2018-07-20T00:00:00"/>
    <n v="6"/>
    <n v="40"/>
    <x v="2"/>
    <s v="Nupig Uno Kappa"/>
    <m/>
    <n v="-600"/>
  </r>
  <r>
    <d v="2018-07-21T00:00:00"/>
    <n v="6"/>
    <n v="41"/>
    <x v="2"/>
    <s v="Nupig Uno Kappa"/>
    <m/>
    <n v="-200"/>
  </r>
  <r>
    <d v="2018-07-21T00:00:00"/>
    <n v="6"/>
    <n v="41"/>
    <x v="3"/>
    <s v="Cerdos Fase 2 Med"/>
    <m/>
    <n v="-500"/>
  </r>
  <r>
    <d v="2018-07-21T00:00:00"/>
    <n v="6"/>
    <n v="41"/>
    <x v="1"/>
    <s v="Nupig Sew 150 Ppm Tiamulina+400Ppm Amoxicilina"/>
    <m/>
    <n v="-50"/>
  </r>
  <r>
    <d v="2018-07-22T00:00:00"/>
    <n v="6"/>
    <n v="42"/>
    <x v="3"/>
    <s v="Cerdos Fase 2 Med"/>
    <m/>
    <n v="-1000"/>
  </r>
  <r>
    <d v="2018-07-22T00:00:00"/>
    <n v="6"/>
    <n v="42"/>
    <x v="1"/>
    <s v="Nupig Sew 150 Ppm Tiamulina+400Ppm Amoxicilina"/>
    <m/>
    <n v="-50"/>
  </r>
  <r>
    <d v="2018-07-23T00:00:00"/>
    <n v="7"/>
    <n v="43"/>
    <x v="1"/>
    <s v="Nupig Sew 150 Ppm Tiamulina+400Ppm Amoxicilina"/>
    <m/>
    <n v="-75"/>
  </r>
  <r>
    <d v="2018-07-24T00:00:00"/>
    <n v="7"/>
    <n v="44"/>
    <x v="2"/>
    <s v="Nupig Uno Kappa"/>
    <m/>
    <n v="-75"/>
  </r>
  <r>
    <d v="2018-07-24T00:00:00"/>
    <n v="7"/>
    <n v="44"/>
    <x v="1"/>
    <s v="Nupig Sew 150 Ppm Tiamulina+400Ppm Amoxicilina"/>
    <m/>
    <n v="-50"/>
  </r>
  <r>
    <d v="2018-07-25T00:00:00"/>
    <n v="7"/>
    <n v="45"/>
    <x v="3"/>
    <s v="Cerdos Fase 2 Med"/>
    <m/>
    <n v="-500"/>
  </r>
  <r>
    <d v="2018-07-26T00:00:00"/>
    <n v="7"/>
    <n v="46"/>
    <x v="3"/>
    <s v="Cerdos Fase 2 Med"/>
    <m/>
    <n v="-1810"/>
  </r>
  <r>
    <d v="2018-07-26T00:00:00"/>
    <n v="7"/>
    <n v="46"/>
    <x v="2"/>
    <s v="Nupig Uno Kappa"/>
    <m/>
    <n v="-50"/>
  </r>
  <r>
    <d v="2018-07-28T00:00:00"/>
    <n v="7"/>
    <n v="48"/>
    <x v="2"/>
    <s v="Nupig Uno Kappa"/>
    <m/>
    <n v="-250"/>
  </r>
  <r>
    <d v="2018-07-28T00:00:00"/>
    <n v="7"/>
    <n v="48"/>
    <x v="1"/>
    <s v="Nupig Sew 150 Ppm Tiamulina+400Ppm Amoxicilina"/>
    <m/>
    <n v="-50"/>
  </r>
  <r>
    <d v="2018-07-30T00:00:00"/>
    <n v="8"/>
    <n v="50"/>
    <x v="2"/>
    <s v="Nupig Uno Kappa"/>
    <m/>
    <n v="-100"/>
  </r>
  <r>
    <d v="2018-07-30T00:00:00"/>
    <n v="8"/>
    <n v="50"/>
    <x v="3"/>
    <s v="Cerdos Fase 2 Med"/>
    <m/>
    <n v="-1000"/>
  </r>
  <r>
    <d v="2018-07-31T00:00:00"/>
    <n v="8"/>
    <n v="51"/>
    <x v="3"/>
    <s v="Cerdos Fase 2 Med"/>
    <m/>
    <n v="-500"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  <r>
    <m/>
    <e v="#NUM!"/>
    <n v="-43261"/>
    <x v="0"/>
    <e v="#N/A"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295">
  <r>
    <d v="2018-06-11T00:00:00"/>
    <n v="3"/>
    <n v="15"/>
    <x v="0"/>
    <e v="#N/A"/>
    <m/>
    <m/>
  </r>
  <r>
    <d v="2018-06-11T00:00:00"/>
    <n v="3"/>
    <n v="15"/>
    <x v="1"/>
    <s v="Nupig Sew 150 Ppm Tiamulina+400Ppm Amoxicilina"/>
    <n v="600"/>
    <m/>
  </r>
  <r>
    <d v="2018-06-11T00:00:00"/>
    <n v="3"/>
    <n v="15"/>
    <x v="2"/>
    <s v="Nupig Uno Kappa"/>
    <n v="4500"/>
    <m/>
  </r>
  <r>
    <d v="2018-06-22T00:00:00"/>
    <n v="4"/>
    <n v="26"/>
    <x v="1"/>
    <s v="Nupig Sew 150 Ppm Tiamulina+400Ppm Amoxicilina"/>
    <m/>
    <n v="-50"/>
  </r>
  <r>
    <d v="2018-06-22T00:00:00"/>
    <n v="4"/>
    <n v="26"/>
    <x v="2"/>
    <s v="Nupig Uno Kappa"/>
    <m/>
    <n v="-475"/>
  </r>
  <r>
    <d v="2018-06-23T00:00:00"/>
    <n v="4"/>
    <n v="27"/>
    <x v="2"/>
    <s v="Nupig Uno Kappa"/>
    <m/>
    <n v="-50"/>
  </r>
  <r>
    <d v="2018-06-24T00:00:00"/>
    <n v="4"/>
    <n v="28"/>
    <x v="2"/>
    <s v="Nupig Uno Kappa"/>
    <m/>
    <n v="-175"/>
  </r>
  <r>
    <d v="2018-06-24T00:00:00"/>
    <n v="4"/>
    <n v="28"/>
    <x v="1"/>
    <s v="Nupig Sew 150 Ppm Tiamulina+400Ppm Amoxicilina"/>
    <m/>
    <n v="-25"/>
  </r>
  <r>
    <d v="2018-06-25T00:00:00"/>
    <n v="5"/>
    <n v="29"/>
    <x v="2"/>
    <s v="Nupig Uno Kappa"/>
    <m/>
    <n v="-200"/>
  </r>
  <r>
    <d v="2018-06-25T00:00:00"/>
    <n v="5"/>
    <n v="29"/>
    <x v="1"/>
    <s v="Nupig Sew 150 Ppm Tiamulina+400Ppm Amoxicilina"/>
    <m/>
    <n v="-50"/>
  </r>
  <r>
    <d v="2018-06-26T00:00:00"/>
    <n v="5"/>
    <n v="30"/>
    <x v="2"/>
    <s v="Nupig Uno Kappa"/>
    <m/>
    <n v="-275"/>
  </r>
  <r>
    <d v="2018-06-26T00:00:00"/>
    <n v="5"/>
    <n v="30"/>
    <x v="1"/>
    <s v="Nupig Sew 150 Ppm Tiamulina+400Ppm Amoxicilina"/>
    <m/>
    <n v="-50"/>
  </r>
  <r>
    <d v="2018-06-27T00:00:00"/>
    <n v="5"/>
    <n v="31"/>
    <x v="2"/>
    <s v="Nupig Uno Kappa"/>
    <m/>
    <n v="-425"/>
  </r>
  <r>
    <d v="2018-06-27T00:00:00"/>
    <n v="5"/>
    <n v="31"/>
    <x v="1"/>
    <s v="Nupig Sew 150 Ppm Tiamulina+400Ppm Amoxicilina"/>
    <m/>
    <n v="-50"/>
  </r>
  <r>
    <d v="2018-06-28T00:00:00"/>
    <n v="5"/>
    <n v="32"/>
    <x v="2"/>
    <s v="Nupig Uno Kappa"/>
    <m/>
    <n v="-50"/>
  </r>
  <r>
    <d v="2018-06-29T00:00:00"/>
    <n v="5"/>
    <n v="33"/>
    <x v="1"/>
    <s v="Nupig Sew 150 Ppm Tiamulina+400Ppm Amoxicilina"/>
    <m/>
    <n v="-25"/>
  </r>
  <r>
    <d v="2018-06-29T00:00:00"/>
    <n v="5"/>
    <n v="33"/>
    <x v="2"/>
    <s v="Nupig Uno Kappa"/>
    <m/>
    <n v="-75"/>
  </r>
  <r>
    <d v="2018-06-30T00:00:00"/>
    <n v="5"/>
    <n v="34"/>
    <x v="2"/>
    <s v="Nupig Uno Kappa"/>
    <m/>
    <n v="-450"/>
  </r>
  <r>
    <d v="2018-07-01T00:00:00"/>
    <n v="5"/>
    <n v="35"/>
    <x v="1"/>
    <s v="Nupig Sew 150 Ppm Tiamulina+400Ppm Amoxicilina"/>
    <m/>
    <n v="-75"/>
  </r>
  <r>
    <d v="2018-07-01T00:00:00"/>
    <n v="5"/>
    <n v="35"/>
    <x v="2"/>
    <s v="Nupig Uno Kappa"/>
    <m/>
    <n v="-350"/>
  </r>
  <r>
    <d v="2018-07-02T00:00:00"/>
    <n v="6"/>
    <n v="36"/>
    <x v="2"/>
    <s v="Nupig Uno Kappa"/>
    <m/>
    <n v="-425"/>
  </r>
  <r>
    <d v="2018-07-02T00:00:00"/>
    <n v="6"/>
    <n v="36"/>
    <x v="3"/>
    <s v="Cerdos Fase 2 Med"/>
    <n v="12780"/>
    <m/>
  </r>
  <r>
    <d v="2018-07-03T00:00:00"/>
    <n v="6"/>
    <n v="37"/>
    <x v="1"/>
    <s v="Nupig Sew 150 Ppm Tiamulina+400Ppm Amoxicilina"/>
    <m/>
    <n v="-100"/>
  </r>
  <r>
    <d v="2018-07-03T00:00:00"/>
    <n v="6"/>
    <n v="37"/>
    <x v="2"/>
    <s v="Nupig Uno Kappa"/>
    <m/>
    <n v="-425"/>
  </r>
  <r>
    <d v="2018-07-04T00:00:00"/>
    <n v="6"/>
    <n v="38"/>
    <x v="3"/>
    <s v="Cerdos Fase 2 Med"/>
    <m/>
    <n v="-1780"/>
  </r>
  <r>
    <d v="2018-07-04T00:00:00"/>
    <n v="6"/>
    <n v="38"/>
    <x v="1"/>
    <s v="Nupig Sew 150 Ppm Tiamulina+400Ppm Amoxicilina"/>
    <m/>
    <n v="-50"/>
  </r>
  <r>
    <d v="2018-07-04T00:00:00"/>
    <n v="6"/>
    <n v="38"/>
    <x v="2"/>
    <s v="Nupig Uno Kappa"/>
    <m/>
    <n v="-350"/>
  </r>
  <r>
    <d v="2018-07-05T00:00:00"/>
    <n v="6"/>
    <n v="39"/>
    <x v="3"/>
    <s v="Cerdos Fase 2 Med"/>
    <m/>
    <n v="-1000"/>
  </r>
  <r>
    <d v="2018-07-05T00:00:00"/>
    <n v="6"/>
    <n v="39"/>
    <x v="1"/>
    <s v="Nupig Sew 150 Ppm Tiamulina+400Ppm Amoxicilina"/>
    <m/>
    <n v="-50"/>
  </r>
  <r>
    <d v="2018-07-06T00:00:00"/>
    <n v="6"/>
    <n v="40"/>
    <x v="3"/>
    <s v="Cerdos Fase 2 Med"/>
    <m/>
    <n v="-500"/>
  </r>
  <r>
    <d v="2018-07-06T00:00:00"/>
    <n v="6"/>
    <n v="40"/>
    <x v="1"/>
    <s v="Nupig Sew 150 Ppm Tiamulina+400Ppm Amoxicilina"/>
    <m/>
    <n v="-75"/>
  </r>
  <r>
    <d v="2018-07-07T00:00:00"/>
    <n v="6"/>
    <n v="41"/>
    <x v="2"/>
    <s v="Nupig Uno Kappa"/>
    <m/>
    <n v="-175"/>
  </r>
  <r>
    <d v="2018-07-08T00:00:00"/>
    <n v="6"/>
    <n v="42"/>
    <x v="3"/>
    <s v="Cerdos Fase 2 Med"/>
    <m/>
    <n v="-500"/>
  </r>
  <r>
    <d v="2018-07-10T00:00:00"/>
    <n v="7"/>
    <n v="44"/>
    <x v="2"/>
    <s v="Nupig Uno Kappa"/>
    <m/>
    <n v="-100"/>
  </r>
  <r>
    <d v="2018-07-10T00:00:00"/>
    <n v="7"/>
    <n v="44"/>
    <x v="3"/>
    <s v="Cerdos Fase 2 Med"/>
    <m/>
    <n v="-1000"/>
  </r>
  <r>
    <d v="2018-07-11T00:00:00"/>
    <n v="7"/>
    <n v="45"/>
    <x v="3"/>
    <s v="Cerdos Fase 2 Med"/>
    <m/>
    <n v="-500"/>
  </r>
  <r>
    <d v="2018-07-13T00:00:00"/>
    <n v="7"/>
    <n v="47"/>
    <x v="2"/>
    <s v="Nupig Uno Kappa"/>
    <m/>
    <n v="-100"/>
  </r>
  <r>
    <d v="2018-07-13T00:00:00"/>
    <n v="7"/>
    <n v="47"/>
    <x v="3"/>
    <s v="Cerdos Fase 2 Med"/>
    <m/>
    <n v="-1000"/>
  </r>
  <r>
    <d v="2018-07-14T00:00:00"/>
    <n v="7"/>
    <n v="48"/>
    <x v="2"/>
    <s v="Nupig Uno Kappa"/>
    <m/>
    <n v="-200"/>
  </r>
  <r>
    <d v="2018-07-14T00:00:00"/>
    <n v="7"/>
    <n v="48"/>
    <x v="3"/>
    <s v="Cerdos Fase 2 Med"/>
    <m/>
    <n v="-500"/>
  </r>
  <r>
    <d v="2018-07-16T00:00:00"/>
    <n v="8"/>
    <n v="50"/>
    <x v="3"/>
    <s v="Cerdos Fase 2 Med"/>
    <m/>
    <n v="-1000"/>
  </r>
  <r>
    <d v="2018-07-16T00:00:00"/>
    <n v="8"/>
    <n v="50"/>
    <x v="2"/>
    <s v="Nupig Uno Kappa"/>
    <m/>
    <n v="-75"/>
  </r>
  <r>
    <d v="2018-07-17T00:00:00"/>
    <n v="8"/>
    <n v="51"/>
    <x v="2"/>
    <s v="Nupig Uno Kappa"/>
    <m/>
    <n v="-125"/>
  </r>
  <r>
    <d v="2018-07-18T00:00:00"/>
    <n v="8"/>
    <n v="52"/>
    <x v="3"/>
    <s v="Cerdos Fase 2 Med"/>
    <m/>
    <n v="-1000"/>
  </r>
  <r>
    <d v="2018-07-18T00:00:00"/>
    <n v="8"/>
    <n v="52"/>
    <x v="4"/>
    <s v="Cerdos Fase 2.5"/>
    <n v="16100"/>
    <m/>
  </r>
  <r>
    <d v="2018-07-19T00:00:00"/>
    <n v="8"/>
    <n v="53"/>
    <x v="3"/>
    <s v="Cerdos Fase 2 Med"/>
    <m/>
    <n v="-1000"/>
  </r>
  <r>
    <d v="2018-07-20T00:00:00"/>
    <n v="8"/>
    <n v="54"/>
    <x v="3"/>
    <s v="Cerdos Fase 2 Med"/>
    <m/>
    <n v="-500"/>
  </r>
  <r>
    <d v="2018-07-21T00:00:00"/>
    <n v="8"/>
    <n v="55"/>
    <x v="3"/>
    <s v="Cerdos Fase 2 Med"/>
    <m/>
    <n v="-2500"/>
  </r>
  <r>
    <d v="2018-07-22T00:00:00"/>
    <n v="8"/>
    <n v="56"/>
    <x v="4"/>
    <s v="Cerdos Fase 2.5"/>
    <m/>
    <n v="-1000"/>
  </r>
  <r>
    <d v="2018-07-23T00:00:00"/>
    <n v="9"/>
    <n v="57"/>
    <x v="4"/>
    <s v="Cerdos Fase 2.5"/>
    <m/>
    <n v="-1000"/>
  </r>
  <r>
    <d v="2018-07-25T00:00:00"/>
    <n v="9"/>
    <n v="59"/>
    <x v="4"/>
    <s v="Cerdos Fase 2.5"/>
    <m/>
    <n v="-1600"/>
  </r>
  <r>
    <d v="2018-07-26T00:00:00"/>
    <n v="9"/>
    <n v="60"/>
    <x v="4"/>
    <s v="Cerdos Fase 2.5"/>
    <m/>
    <n v="-500"/>
  </r>
  <r>
    <d v="2018-07-28T00:00:00"/>
    <n v="9"/>
    <n v="62"/>
    <x v="4"/>
    <s v="Cerdos Fase 2.5"/>
    <m/>
    <n v="-500"/>
  </r>
  <r>
    <d v="2018-07-29T00:00:00"/>
    <n v="9"/>
    <n v="63"/>
    <x v="4"/>
    <s v="Cerdos Fase 2.5"/>
    <m/>
    <n v="-1000"/>
  </r>
  <r>
    <d v="2018-07-30T00:00:00"/>
    <n v="10"/>
    <n v="64"/>
    <x v="4"/>
    <s v="Cerdos Fase 2.5"/>
    <m/>
    <n v="-1000"/>
  </r>
  <r>
    <d v="2018-07-31T00:00:00"/>
    <n v="10"/>
    <n v="65"/>
    <x v="4"/>
    <s v="Cerdos Fase 2.5"/>
    <m/>
    <n v="-1000"/>
  </r>
  <r>
    <d v="2018-08-01T00:00:00"/>
    <n v="10"/>
    <n v="66"/>
    <x v="4"/>
    <s v="Cerdos Fase 2.5"/>
    <m/>
    <n v="-500"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  <r>
    <m/>
    <e v="#NUM!"/>
    <n v="-43247"/>
    <x v="0"/>
    <e v="#N/A"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95">
  <r>
    <d v="2018-06-11T00:00:00"/>
    <n v="3"/>
    <n v="20"/>
    <x v="0"/>
    <e v="#N/A"/>
    <m/>
    <m/>
  </r>
  <r>
    <d v="2018-06-11T00:00:00"/>
    <n v="3"/>
    <n v="20"/>
    <x v="1"/>
    <s v="Nupig Sew 150 Ppm Tiamulina+400Ppm Amoxicilina"/>
    <n v="600"/>
    <m/>
  </r>
  <r>
    <d v="2018-06-11T00:00:00"/>
    <n v="3"/>
    <n v="20"/>
    <x v="2"/>
    <s v="Nupig Uno Kappa"/>
    <n v="4500"/>
    <m/>
  </r>
  <r>
    <d v="2018-06-14T00:00:00"/>
    <n v="4"/>
    <n v="23"/>
    <x v="2"/>
    <s v="Nupig Uno Kappa"/>
    <m/>
    <n v="-125"/>
  </r>
  <r>
    <d v="2018-06-15T00:00:00"/>
    <n v="4"/>
    <n v="24"/>
    <x v="2"/>
    <s v="Nupig Uno Kappa"/>
    <m/>
    <n v="-150"/>
  </r>
  <r>
    <d v="2018-06-16T00:00:00"/>
    <n v="4"/>
    <n v="25"/>
    <x v="2"/>
    <s v="Nupig Uno Kappa"/>
    <m/>
    <n v="-50"/>
  </r>
  <r>
    <d v="2018-06-17T00:00:00"/>
    <n v="4"/>
    <n v="26"/>
    <x v="2"/>
    <s v="Nupig Uno Kappa"/>
    <m/>
    <n v="-25"/>
  </r>
  <r>
    <d v="2018-06-18T00:00:00"/>
    <n v="4"/>
    <n v="27"/>
    <x v="2"/>
    <s v="Nupig Uno Kappa"/>
    <m/>
    <n v="-150"/>
  </r>
  <r>
    <d v="2018-06-18T00:00:00"/>
    <n v="4"/>
    <n v="27"/>
    <x v="1"/>
    <s v="Nupig Sew 150 Ppm Tiamulina+400Ppm Amoxicilina"/>
    <m/>
    <n v="-50"/>
  </r>
  <r>
    <d v="2018-06-19T00:00:00"/>
    <n v="4"/>
    <n v="28"/>
    <x v="2"/>
    <s v="Nupig Uno Kappa"/>
    <m/>
    <n v="-275"/>
  </r>
  <r>
    <d v="2018-06-19T00:00:00"/>
    <n v="4"/>
    <n v="28"/>
    <x v="1"/>
    <s v="Nupig Sew 150 Ppm Tiamulina+400Ppm Amoxicilina"/>
    <m/>
    <n v="-25"/>
  </r>
  <r>
    <d v="2018-06-20T00:00:00"/>
    <n v="5"/>
    <n v="29"/>
    <x v="3"/>
    <s v="Cerdos Fase 2 Med"/>
    <n v="9650"/>
    <m/>
  </r>
  <r>
    <d v="2018-06-20T00:00:00"/>
    <n v="5"/>
    <n v="29"/>
    <x v="2"/>
    <s v="Nupig Uno Kappa"/>
    <m/>
    <n v="-225"/>
  </r>
  <r>
    <d v="2018-06-21T00:00:00"/>
    <n v="5"/>
    <n v="30"/>
    <x v="2"/>
    <s v="Nupig Uno Kappa"/>
    <m/>
    <n v="-125"/>
  </r>
  <r>
    <d v="2018-06-21T00:00:00"/>
    <n v="5"/>
    <n v="30"/>
    <x v="1"/>
    <s v="Nupig Sew 150 Ppm Tiamulina+400Ppm Amoxicilina"/>
    <m/>
    <n v="-50"/>
  </r>
  <r>
    <d v="2018-06-22T00:00:00"/>
    <n v="5"/>
    <n v="31"/>
    <x v="2"/>
    <s v="Nupig Uno Kappa"/>
    <m/>
    <n v="-225"/>
  </r>
  <r>
    <d v="2018-06-22T00:00:00"/>
    <n v="5"/>
    <n v="31"/>
    <x v="1"/>
    <s v="Nupig Sew 150 Ppm Tiamulina+400Ppm Amoxicilina"/>
    <m/>
    <n v="-25"/>
  </r>
  <r>
    <d v="2018-06-23T00:00:00"/>
    <n v="5"/>
    <n v="32"/>
    <x v="2"/>
    <s v="Nupig Uno Kappa"/>
    <m/>
    <n v="-200"/>
  </r>
  <r>
    <d v="2018-06-23T00:00:00"/>
    <n v="5"/>
    <n v="32"/>
    <x v="1"/>
    <s v="Nupig Sew 150 Ppm Tiamulina+400Ppm Amoxicilina"/>
    <m/>
    <n v="-25"/>
  </r>
  <r>
    <d v="2018-06-24T00:00:00"/>
    <n v="5"/>
    <n v="33"/>
    <x v="2"/>
    <s v="Nupig Uno Kappa"/>
    <m/>
    <n v="-375"/>
  </r>
  <r>
    <d v="2018-06-24T00:00:00"/>
    <n v="5"/>
    <n v="33"/>
    <x v="1"/>
    <s v="Nupig Sew 150 Ppm Tiamulina+400Ppm Amoxicilina"/>
    <m/>
    <n v="-50"/>
  </r>
  <r>
    <d v="2018-06-25T00:00:00"/>
    <n v="5"/>
    <n v="34"/>
    <x v="2"/>
    <s v="Nupig Uno Kappa"/>
    <m/>
    <n v="-125"/>
  </r>
  <r>
    <d v="2018-06-26T00:00:00"/>
    <n v="5"/>
    <n v="35"/>
    <x v="1"/>
    <s v="Nupig Sew 150 Ppm Tiamulina+400Ppm Amoxicilina"/>
    <m/>
    <n v="-25"/>
  </r>
  <r>
    <d v="2018-06-26T00:00:00"/>
    <n v="5"/>
    <n v="35"/>
    <x v="2"/>
    <s v="Nupig Uno Kappa"/>
    <m/>
    <n v="-425"/>
  </r>
  <r>
    <d v="2018-06-27T00:00:00"/>
    <n v="6"/>
    <n v="36"/>
    <x v="1"/>
    <s v="Nupig Sew 150 Ppm Tiamulina+400Ppm Amoxicilina"/>
    <m/>
    <n v="-25"/>
  </r>
  <r>
    <d v="2018-06-27T00:00:00"/>
    <n v="6"/>
    <n v="36"/>
    <x v="2"/>
    <s v="Nupig Uno Kappa"/>
    <m/>
    <n v="-325"/>
  </r>
  <r>
    <d v="2018-06-28T00:00:00"/>
    <n v="6"/>
    <n v="37"/>
    <x v="1"/>
    <s v="Nupig Sew 150 Ppm Tiamulina+400Ppm Amoxicilina"/>
    <m/>
    <n v="-50"/>
  </r>
  <r>
    <d v="2018-06-28T00:00:00"/>
    <n v="6"/>
    <n v="37"/>
    <x v="2"/>
    <s v="Nupig Uno Kappa"/>
    <m/>
    <n v="-200"/>
  </r>
  <r>
    <d v="2018-06-29T00:00:00"/>
    <n v="6"/>
    <n v="38"/>
    <x v="1"/>
    <s v="Nupig Sew 150 Ppm Tiamulina+400Ppm Amoxicilina"/>
    <m/>
    <n v="-75"/>
  </r>
  <r>
    <d v="2018-06-29T00:00:00"/>
    <n v="6"/>
    <n v="38"/>
    <x v="2"/>
    <s v="Nupig Uno Kappa"/>
    <m/>
    <n v="-250"/>
  </r>
  <r>
    <d v="2018-06-30T00:00:00"/>
    <n v="6"/>
    <n v="39"/>
    <x v="3"/>
    <s v="Cerdos Fase 2 Med"/>
    <m/>
    <n v="-1000"/>
  </r>
  <r>
    <d v="2018-06-30T00:00:00"/>
    <n v="6"/>
    <n v="39"/>
    <x v="1"/>
    <s v="Nupig Sew 150 Ppm Tiamulina+400Ppm Amoxicilina"/>
    <m/>
    <n v="-200"/>
  </r>
  <r>
    <d v="2018-06-30T00:00:00"/>
    <n v="6"/>
    <n v="39"/>
    <x v="2"/>
    <s v="Nupig Uno Kappa"/>
    <m/>
    <n v="-375"/>
  </r>
  <r>
    <d v="2018-07-01T00:00:00"/>
    <n v="6"/>
    <n v="40"/>
    <x v="3"/>
    <s v="Cerdos Fase 2 Med"/>
    <m/>
    <n v="-500"/>
  </r>
  <r>
    <d v="2018-07-01T00:00:00"/>
    <n v="6"/>
    <n v="40"/>
    <x v="2"/>
    <s v="Nupig Uno Kappa"/>
    <m/>
    <n v="-175"/>
  </r>
  <r>
    <d v="2018-07-02T00:00:00"/>
    <n v="6"/>
    <n v="41"/>
    <x v="3"/>
    <s v="Cerdos Fase 2 Med"/>
    <m/>
    <n v="-500"/>
  </r>
  <r>
    <d v="2018-07-02T00:00:00"/>
    <n v="6"/>
    <n v="41"/>
    <x v="2"/>
    <s v="Nupig Uno Kappa"/>
    <m/>
    <n v="-75"/>
  </r>
  <r>
    <d v="2018-07-03T00:00:00"/>
    <n v="6"/>
    <n v="42"/>
    <x v="3"/>
    <s v="Cerdos Fase 2 Med"/>
    <m/>
    <n v="-500"/>
  </r>
  <r>
    <d v="2018-07-03T00:00:00"/>
    <n v="6"/>
    <n v="42"/>
    <x v="2"/>
    <s v="Nupig Uno Kappa"/>
    <m/>
    <n v="-125"/>
  </r>
  <r>
    <d v="2018-07-04T00:00:00"/>
    <n v="7"/>
    <n v="43"/>
    <x v="3"/>
    <s v="Cerdos Fase 2 Med"/>
    <m/>
    <n v="-500"/>
  </r>
  <r>
    <d v="2018-07-04T00:00:00"/>
    <n v="7"/>
    <n v="43"/>
    <x v="2"/>
    <s v="Nupig Uno Kappa"/>
    <m/>
    <n v="-100"/>
  </r>
  <r>
    <d v="2018-07-05T00:00:00"/>
    <n v="7"/>
    <n v="44"/>
    <x v="3"/>
    <s v="Cerdos Fase 2 Med"/>
    <m/>
    <n v="-500"/>
  </r>
  <r>
    <d v="2018-07-05T00:00:00"/>
    <n v="7"/>
    <n v="44"/>
    <x v="2"/>
    <s v="Nupig Uno Kappa"/>
    <m/>
    <n v="-125"/>
  </r>
  <r>
    <d v="2018-07-06T00:00:00"/>
    <n v="7"/>
    <n v="45"/>
    <x v="3"/>
    <s v="Cerdos Fase 2 Med"/>
    <m/>
    <n v="-500"/>
  </r>
  <r>
    <d v="2018-07-06T00:00:00"/>
    <n v="7"/>
    <n v="45"/>
    <x v="2"/>
    <s v="Nupig Uno Kappa"/>
    <m/>
    <n v="-50"/>
  </r>
  <r>
    <d v="2018-07-07T00:00:00"/>
    <n v="7"/>
    <n v="46"/>
    <x v="3"/>
    <s v="Cerdos Fase 2 Med"/>
    <m/>
    <n v="-500"/>
  </r>
  <r>
    <d v="2018-07-07T00:00:00"/>
    <n v="7"/>
    <n v="46"/>
    <x v="2"/>
    <s v="Nupig Uno Kappa"/>
    <m/>
    <n v="-150"/>
  </r>
  <r>
    <d v="2018-07-08T00:00:00"/>
    <n v="7"/>
    <n v="47"/>
    <x v="3"/>
    <s v="Cerdos Fase 2 Med"/>
    <m/>
    <n v="-500"/>
  </r>
  <r>
    <d v="2018-07-09T00:00:00"/>
    <n v="7"/>
    <n v="48"/>
    <x v="2"/>
    <s v="Nupig Uno Kappa"/>
    <m/>
    <n v="-50"/>
  </r>
  <r>
    <d v="2018-07-09T00:00:00"/>
    <n v="7"/>
    <n v="48"/>
    <x v="3"/>
    <s v="Cerdos Fase 2 Med"/>
    <m/>
    <n v="-500"/>
  </r>
  <r>
    <d v="2018-07-09T00:00:00"/>
    <n v="7"/>
    <n v="48"/>
    <x v="4"/>
    <s v="Cerdos Fase 2.5"/>
    <n v="14110"/>
    <m/>
  </r>
  <r>
    <d v="2018-07-10T00:00:00"/>
    <n v="7"/>
    <n v="49"/>
    <x v="3"/>
    <s v="Cerdos Fase 2 Med"/>
    <m/>
    <n v="-500"/>
  </r>
  <r>
    <d v="2018-07-11T00:00:00"/>
    <n v="8"/>
    <n v="50"/>
    <x v="2"/>
    <s v="Nupig Uno Kappa"/>
    <m/>
    <n v="-25"/>
  </r>
  <r>
    <d v="2018-07-12T00:00:00"/>
    <n v="8"/>
    <n v="51"/>
    <x v="3"/>
    <s v="Cerdos Fase 2 Med"/>
    <m/>
    <n v="-1000"/>
  </r>
  <r>
    <d v="2018-07-13T00:00:00"/>
    <n v="8"/>
    <n v="52"/>
    <x v="3"/>
    <s v="Cerdos Fase 2 Med"/>
    <m/>
    <n v="-1000"/>
  </r>
  <r>
    <d v="2018-07-16T00:00:00"/>
    <n v="8"/>
    <n v="55"/>
    <x v="3"/>
    <s v="Cerdos Fase 2 Med"/>
    <m/>
    <n v="-1650"/>
  </r>
  <r>
    <d v="2018-07-18T00:00:00"/>
    <n v="9"/>
    <n v="57"/>
    <x v="4"/>
    <s v="Cerdos Fase 2.5"/>
    <m/>
    <n v="-1110"/>
  </r>
  <r>
    <d v="2018-07-20T00:00:00"/>
    <n v="9"/>
    <n v="59"/>
    <x v="4"/>
    <s v="Cerdos Fase 2.5"/>
    <m/>
    <n v="-1500"/>
  </r>
  <r>
    <d v="2018-07-21T00:00:00"/>
    <n v="9"/>
    <n v="60"/>
    <x v="4"/>
    <s v="Cerdos Fase 2.5"/>
    <m/>
    <n v="-500"/>
  </r>
  <r>
    <d v="2018-07-22T00:00:00"/>
    <n v="9"/>
    <n v="61"/>
    <x v="4"/>
    <s v="Cerdos Fase 2.5"/>
    <m/>
    <n v="-500"/>
  </r>
  <r>
    <d v="2018-07-24T00:00:00"/>
    <n v="9"/>
    <n v="63"/>
    <x v="4"/>
    <s v="Cerdos Fase 2.5"/>
    <m/>
    <n v="-1000"/>
  </r>
  <r>
    <d v="2018-07-25T00:00:00"/>
    <n v="10"/>
    <n v="64"/>
    <x v="4"/>
    <s v="Cerdos Fase 2.5"/>
    <m/>
    <n v="-500"/>
  </r>
  <r>
    <d v="2018-07-26T00:00:00"/>
    <n v="10"/>
    <n v="65"/>
    <x v="4"/>
    <s v="Cerdos Fase 2.5"/>
    <m/>
    <n v="-1000"/>
  </r>
  <r>
    <d v="2018-07-27T00:00:00"/>
    <n v="10"/>
    <n v="66"/>
    <x v="4"/>
    <s v="Cerdos Fase 2.5"/>
    <m/>
    <n v="-500"/>
  </r>
  <r>
    <d v="2018-07-28T00:00:00"/>
    <n v="10"/>
    <n v="67"/>
    <x v="4"/>
    <s v="Cerdos Fase 2.5"/>
    <m/>
    <n v="-500"/>
  </r>
  <r>
    <d v="2018-07-28T00:00:00"/>
    <n v="10"/>
    <n v="67"/>
    <x v="4"/>
    <s v="Cerdos Fase 2.5"/>
    <n v="8460"/>
    <m/>
  </r>
  <r>
    <d v="2018-07-29T00:00:00"/>
    <n v="10"/>
    <n v="68"/>
    <x v="4"/>
    <s v="Cerdos Fase 2.5"/>
    <m/>
    <n v="-1960"/>
  </r>
  <r>
    <d v="2018-07-31T00:00:00"/>
    <n v="10"/>
    <n v="70"/>
    <x v="4"/>
    <s v="Cerdos Fase 2.5"/>
    <m/>
    <n v="-500"/>
  </r>
  <r>
    <d v="2018-08-01T00:00:00"/>
    <n v="11"/>
    <n v="71"/>
    <x v="4"/>
    <s v="Cerdos Fase 2.5"/>
    <m/>
    <n v="-500"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  <r>
    <m/>
    <e v="#NUM!"/>
    <n v="-43242"/>
    <x v="0"/>
    <e v="#N/A"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295">
  <r>
    <d v="2018-06-11T00:00:00"/>
    <n v="4"/>
    <n v="24"/>
    <x v="0"/>
    <e v="#N/A"/>
    <m/>
    <m/>
  </r>
  <r>
    <d v="2018-06-11T00:00:00"/>
    <n v="4"/>
    <n v="24"/>
    <x v="1"/>
    <s v="Nupig Sew 150 Ppm Tiamulina+400Ppm Amoxicilina"/>
    <n v="600"/>
    <m/>
  </r>
  <r>
    <d v="2018-06-11T00:00:00"/>
    <n v="4"/>
    <n v="24"/>
    <x v="2"/>
    <s v="Nupig Uno Kappa"/>
    <n v="4500"/>
    <m/>
  </r>
  <r>
    <d v="2018-06-11T00:00:00"/>
    <n v="4"/>
    <n v="24"/>
    <x v="1"/>
    <s v="Nupig Sew 150 Ppm Tiamulina+400Ppm Amoxicilina"/>
    <m/>
    <n v="-25"/>
  </r>
  <r>
    <d v="2018-06-11T00:00:00"/>
    <n v="4"/>
    <n v="24"/>
    <x v="2"/>
    <s v="Nupig Uno Kappa"/>
    <m/>
    <n v="-125"/>
  </r>
  <r>
    <d v="2018-06-12T00:00:00"/>
    <n v="4"/>
    <n v="25"/>
    <x v="2"/>
    <s v="Nupig Uno Kappa"/>
    <m/>
    <n v="-100"/>
  </r>
  <r>
    <d v="2018-06-13T00:00:00"/>
    <n v="4"/>
    <n v="26"/>
    <x v="2"/>
    <s v="Nupig Uno Kappa"/>
    <m/>
    <n v="-200"/>
  </r>
  <r>
    <d v="2018-06-14T00:00:00"/>
    <n v="4"/>
    <n v="27"/>
    <x v="1"/>
    <s v="Nupig Sew 150 Ppm Tiamulina+400Ppm Amoxicilina"/>
    <m/>
    <n v="-50"/>
  </r>
  <r>
    <d v="2018-06-14T00:00:00"/>
    <n v="4"/>
    <n v="27"/>
    <x v="2"/>
    <s v="Nupig Uno Kappa"/>
    <m/>
    <n v="-250"/>
  </r>
  <r>
    <d v="2018-06-15T00:00:00"/>
    <n v="4"/>
    <n v="28"/>
    <x v="2"/>
    <s v="Nupig Uno Kappa"/>
    <m/>
    <n v="-475"/>
  </r>
  <r>
    <d v="2018-06-15T00:00:00"/>
    <n v="4"/>
    <n v="28"/>
    <x v="1"/>
    <s v="Nupig Sew 150 Ppm Tiamulina+400Ppm Amoxicilina"/>
    <m/>
    <n v="-50"/>
  </r>
  <r>
    <d v="2018-06-16T00:00:00"/>
    <n v="5"/>
    <n v="29"/>
    <x v="2"/>
    <s v="Nupig Uno Kappa"/>
    <m/>
    <n v="-225"/>
  </r>
  <r>
    <d v="2018-06-16T00:00:00"/>
    <n v="5"/>
    <n v="29"/>
    <x v="1"/>
    <s v="Nupig Sew 150 Ppm Tiamulina+400Ppm Amoxicilina"/>
    <m/>
    <n v="-25"/>
  </r>
  <r>
    <d v="2018-06-17T00:00:00"/>
    <n v="5"/>
    <n v="30"/>
    <x v="2"/>
    <s v="Nupig Uno Kappa"/>
    <m/>
    <n v="-150"/>
  </r>
  <r>
    <d v="2018-06-17T00:00:00"/>
    <n v="5"/>
    <n v="30"/>
    <x v="1"/>
    <s v="Nupig Sew 150 Ppm Tiamulina+400Ppm Amoxicilina"/>
    <m/>
    <n v="-50"/>
  </r>
  <r>
    <d v="2018-06-18T00:00:00"/>
    <n v="5"/>
    <n v="31"/>
    <x v="2"/>
    <s v="Nupig Uno Kappa"/>
    <m/>
    <n v="-325"/>
  </r>
  <r>
    <d v="2018-06-18T00:00:00"/>
    <n v="5"/>
    <n v="31"/>
    <x v="1"/>
    <s v="Nupig Sew 150 Ppm Tiamulina+400Ppm Amoxicilina"/>
    <m/>
    <n v="-25"/>
  </r>
  <r>
    <d v="2018-06-19T00:00:00"/>
    <n v="5"/>
    <n v="32"/>
    <x v="2"/>
    <s v="Nupig Uno Kappa"/>
    <m/>
    <n v="-250"/>
  </r>
  <r>
    <d v="2018-06-19T00:00:00"/>
    <n v="5"/>
    <n v="32"/>
    <x v="1"/>
    <s v="Nupig Sew 150 Ppm Tiamulina+400Ppm Amoxicilina"/>
    <m/>
    <n v="-25"/>
  </r>
  <r>
    <d v="2018-06-20T00:00:00"/>
    <n v="5"/>
    <n v="33"/>
    <x v="3"/>
    <s v="Cerdos Fase 2 Med"/>
    <n v="10000"/>
    <m/>
  </r>
  <r>
    <d v="2018-06-20T00:00:00"/>
    <n v="5"/>
    <n v="33"/>
    <x v="2"/>
    <s v="Nupig Uno Kappa"/>
    <m/>
    <n v="-125"/>
  </r>
  <r>
    <d v="2018-06-20T00:00:00"/>
    <n v="5"/>
    <n v="33"/>
    <x v="1"/>
    <s v="Nupig Sew 150 Ppm Tiamulina+400Ppm Amoxicilina"/>
    <m/>
    <n v="-25"/>
  </r>
  <r>
    <d v="2018-06-21T00:00:00"/>
    <n v="5"/>
    <n v="34"/>
    <x v="2"/>
    <s v="Nupig Uno Kappa"/>
    <m/>
    <n v="-325"/>
  </r>
  <r>
    <d v="2018-06-21T00:00:00"/>
    <n v="5"/>
    <n v="34"/>
    <x v="1"/>
    <s v="Nupig Sew 150 Ppm Tiamulina+400Ppm Amoxicilina"/>
    <m/>
    <n v="-50"/>
  </r>
  <r>
    <d v="2018-06-22T00:00:00"/>
    <n v="5"/>
    <n v="35"/>
    <x v="2"/>
    <s v="Nupig Uno Kappa"/>
    <m/>
    <n v="-225"/>
  </r>
  <r>
    <d v="2018-06-23T00:00:00"/>
    <n v="6"/>
    <n v="36"/>
    <x v="2"/>
    <s v="Nupig Uno Kappa"/>
    <m/>
    <n v="-375"/>
  </r>
  <r>
    <d v="2018-06-24T00:00:00"/>
    <n v="6"/>
    <n v="37"/>
    <x v="2"/>
    <s v="Nupig Uno Kappa"/>
    <m/>
    <n v="-525"/>
  </r>
  <r>
    <d v="2018-06-24T00:00:00"/>
    <n v="6"/>
    <n v="37"/>
    <x v="1"/>
    <s v="Nupig Sew 150 Ppm Tiamulina+400Ppm Amoxicilina"/>
    <m/>
    <n v="-50"/>
  </r>
  <r>
    <d v="2018-06-25T00:00:00"/>
    <n v="6"/>
    <n v="38"/>
    <x v="2"/>
    <s v="Nupig Uno Kappa"/>
    <m/>
    <n v="-125"/>
  </r>
  <r>
    <d v="2018-06-26T00:00:00"/>
    <n v="6"/>
    <n v="39"/>
    <x v="1"/>
    <s v="Nupig Sew 150 Ppm Tiamulina+400Ppm Amoxicilina"/>
    <m/>
    <n v="-25"/>
  </r>
  <r>
    <d v="2018-06-26T00:00:00"/>
    <n v="6"/>
    <n v="39"/>
    <x v="2"/>
    <s v="Nupig Uno Kappa"/>
    <m/>
    <n v="-100"/>
  </r>
  <r>
    <d v="2018-06-26T00:00:00"/>
    <n v="6"/>
    <n v="39"/>
    <x v="3"/>
    <s v="Cerdos Fase 2 Med"/>
    <m/>
    <n v="-2500"/>
  </r>
  <r>
    <d v="2018-06-27T00:00:00"/>
    <n v="6"/>
    <n v="40"/>
    <x v="1"/>
    <s v="Nupig Sew 150 Ppm Tiamulina+400Ppm Amoxicilina"/>
    <m/>
    <n v="-50"/>
  </r>
  <r>
    <d v="2018-06-27T00:00:00"/>
    <n v="6"/>
    <n v="40"/>
    <x v="2"/>
    <s v="Nupig Uno Kappa"/>
    <m/>
    <n v="-50"/>
  </r>
  <r>
    <d v="2018-06-28T00:00:00"/>
    <n v="6"/>
    <n v="41"/>
    <x v="1"/>
    <s v="Nupig Sew 150 Ppm Tiamulina+400Ppm Amoxicilina"/>
    <m/>
    <n v="-50"/>
  </r>
  <r>
    <d v="2018-06-28T00:00:00"/>
    <n v="6"/>
    <n v="41"/>
    <x v="2"/>
    <s v="Nupig Uno Kappa"/>
    <m/>
    <n v="-50"/>
  </r>
  <r>
    <d v="2018-06-28T00:00:00"/>
    <n v="6"/>
    <n v="41"/>
    <x v="3"/>
    <s v="Cerdos Fase 2 Med"/>
    <m/>
    <n v="-1000"/>
  </r>
  <r>
    <d v="2018-06-29T00:00:00"/>
    <n v="6"/>
    <n v="42"/>
    <x v="1"/>
    <s v="Nupig Sew 150 Ppm Tiamulina+400Ppm Amoxicilina"/>
    <m/>
    <n v="-25"/>
  </r>
  <r>
    <d v="2018-06-29T00:00:00"/>
    <n v="6"/>
    <n v="42"/>
    <x v="2"/>
    <s v="Nupig Uno Kappa"/>
    <m/>
    <n v="-75"/>
  </r>
  <r>
    <d v="2018-06-30T00:00:00"/>
    <n v="7"/>
    <n v="43"/>
    <x v="3"/>
    <s v="Cerdos Fase 2 Med"/>
    <m/>
    <n v="-1000"/>
  </r>
  <r>
    <d v="2018-06-30T00:00:00"/>
    <n v="7"/>
    <n v="43"/>
    <x v="1"/>
    <s v="Nupig Sew 150 Ppm Tiamulina+400Ppm Amoxicilina"/>
    <m/>
    <n v="-75"/>
  </r>
  <r>
    <d v="2018-06-30T00:00:00"/>
    <n v="7"/>
    <n v="43"/>
    <x v="2"/>
    <s v="Nupig Uno Kappa"/>
    <m/>
    <n v="-50"/>
  </r>
  <r>
    <d v="2018-07-01T00:00:00"/>
    <n v="7"/>
    <n v="44"/>
    <x v="2"/>
    <s v="Nupig Uno Kappa"/>
    <m/>
    <n v="-75"/>
  </r>
  <r>
    <d v="2018-07-01T00:00:00"/>
    <n v="7"/>
    <n v="44"/>
    <x v="3"/>
    <s v="Cerdos Fase 2 Med"/>
    <m/>
    <n v="-500"/>
  </r>
  <r>
    <d v="2018-07-02T00:00:00"/>
    <n v="7"/>
    <n v="45"/>
    <x v="2"/>
    <s v="Nupig Uno Kappa"/>
    <m/>
    <n v="-50"/>
  </r>
  <r>
    <d v="2018-07-02T00:00:00"/>
    <n v="7"/>
    <n v="45"/>
    <x v="3"/>
    <s v="Cerdos Fase 2 Med"/>
    <m/>
    <n v="-500"/>
  </r>
  <r>
    <d v="2018-07-03T00:00:00"/>
    <n v="7"/>
    <n v="46"/>
    <x v="2"/>
    <s v="Nupig Uno Kappa"/>
    <m/>
    <n v="-125"/>
  </r>
  <r>
    <d v="2018-07-03T00:00:00"/>
    <n v="7"/>
    <n v="46"/>
    <x v="3"/>
    <s v="Cerdos Fase 2 Med"/>
    <m/>
    <n v="-500"/>
  </r>
  <r>
    <d v="2018-07-04T00:00:00"/>
    <n v="7"/>
    <n v="47"/>
    <x v="3"/>
    <s v="Cerdos Fase 2 Med"/>
    <m/>
    <n v="-500"/>
  </r>
  <r>
    <d v="2018-07-05T00:00:00"/>
    <n v="7"/>
    <n v="48"/>
    <x v="3"/>
    <s v="Cerdos Fase 2 Med"/>
    <m/>
    <n v="-1000"/>
  </r>
  <r>
    <d v="2018-07-06T00:00:00"/>
    <n v="7"/>
    <n v="49"/>
    <x v="3"/>
    <s v="Cerdos Fase 2 Med"/>
    <m/>
    <n v="-500"/>
  </r>
  <r>
    <d v="2018-07-07T00:00:00"/>
    <n v="8"/>
    <n v="50"/>
    <x v="3"/>
    <s v="Cerdos Fase 2 Med"/>
    <m/>
    <n v="-500"/>
  </r>
  <r>
    <d v="2018-07-07T00:00:00"/>
    <n v="8"/>
    <n v="50"/>
    <x v="2"/>
    <s v="Nupig Uno Kappa"/>
    <m/>
    <n v="-100"/>
  </r>
  <r>
    <d v="2018-07-08T00:00:00"/>
    <n v="8"/>
    <n v="51"/>
    <x v="3"/>
    <s v="Cerdos Fase 2 Med"/>
    <m/>
    <n v="-1000"/>
  </r>
  <r>
    <d v="2018-07-09T00:00:00"/>
    <n v="8"/>
    <n v="52"/>
    <x v="2"/>
    <s v="Nupig Uno Kappa"/>
    <m/>
    <n v="-25"/>
  </r>
  <r>
    <d v="2018-07-09T00:00:00"/>
    <n v="8"/>
    <n v="52"/>
    <x v="3"/>
    <s v="Cerdos Fase 2 Med"/>
    <m/>
    <n v="-500"/>
  </r>
  <r>
    <d v="2018-07-09T00:00:00"/>
    <n v="8"/>
    <n v="52"/>
    <x v="4"/>
    <s v="Cerdos Fase 2.5"/>
    <n v="15520"/>
    <m/>
  </r>
  <r>
    <d v="2018-07-10T00:00:00"/>
    <n v="8"/>
    <n v="53"/>
    <x v="4"/>
    <s v="Cerdos Fase 2.5"/>
    <m/>
    <n v="-500"/>
  </r>
  <r>
    <d v="2018-07-12T00:00:00"/>
    <n v="8"/>
    <n v="55"/>
    <x v="4"/>
    <s v="Cerdos Fase 2.5"/>
    <m/>
    <n v="-1520"/>
  </r>
  <r>
    <d v="2018-07-13T00:00:00"/>
    <n v="8"/>
    <n v="56"/>
    <x v="4"/>
    <s v="Cerdos Fase 2.5"/>
    <m/>
    <n v="-1000"/>
  </r>
  <r>
    <d v="2018-07-16T00:00:00"/>
    <n v="9"/>
    <n v="59"/>
    <x v="4"/>
    <s v="Cerdos Fase 2.5"/>
    <m/>
    <n v="-500"/>
  </r>
  <r>
    <d v="2018-07-17T00:00:00"/>
    <n v="9"/>
    <n v="60"/>
    <x v="4"/>
    <s v="Cerdos Fase 2.5"/>
    <m/>
    <n v="-500"/>
  </r>
  <r>
    <d v="2018-07-18T00:00:00"/>
    <n v="9"/>
    <n v="61"/>
    <x v="4"/>
    <s v="Cerdos Fase 2.5"/>
    <m/>
    <n v="-500"/>
  </r>
  <r>
    <d v="2018-07-19T00:00:00"/>
    <n v="9"/>
    <n v="62"/>
    <x v="4"/>
    <s v="Cerdos Fase 2.5"/>
    <m/>
    <n v="-2000"/>
  </r>
  <r>
    <d v="2018-07-20T00:00:00"/>
    <n v="9"/>
    <n v="63"/>
    <x v="4"/>
    <s v="Cerdos Fase 2.5"/>
    <m/>
    <n v="-500"/>
  </r>
  <r>
    <d v="2018-07-22T00:00:00"/>
    <n v="10"/>
    <n v="65"/>
    <x v="4"/>
    <s v="Cerdos Fase 2.5"/>
    <m/>
    <n v="-500"/>
  </r>
  <r>
    <d v="2018-07-24T00:00:00"/>
    <n v="10"/>
    <n v="67"/>
    <x v="4"/>
    <s v="Cerdos Fase 2.5"/>
    <m/>
    <n v="-2000"/>
  </r>
  <r>
    <d v="2018-07-25T00:00:00"/>
    <n v="10"/>
    <n v="68"/>
    <x v="4"/>
    <s v="Cerdos Fase 2.5"/>
    <m/>
    <n v="-500"/>
  </r>
  <r>
    <d v="2018-07-26T00:00:00"/>
    <n v="10"/>
    <n v="69"/>
    <x v="4"/>
    <s v="Cerdos Fase 2.5"/>
    <m/>
    <n v="-1000"/>
  </r>
  <r>
    <d v="2018-07-27T00:00:00"/>
    <n v="10"/>
    <n v="70"/>
    <x v="4"/>
    <s v="Cerdos Fase 2.5"/>
    <m/>
    <n v="-500"/>
  </r>
  <r>
    <d v="2018-07-28T00:00:00"/>
    <n v="11"/>
    <n v="71"/>
    <x v="4"/>
    <s v="Cerdos Fase 2.5"/>
    <m/>
    <n v="-500"/>
  </r>
  <r>
    <d v="2018-07-28T00:00:00"/>
    <n v="11"/>
    <n v="71"/>
    <x v="4"/>
    <s v="Cerdos Fase 2.5"/>
    <n v="10000"/>
    <m/>
  </r>
  <r>
    <d v="2018-07-29T00:00:00"/>
    <n v="11"/>
    <n v="72"/>
    <x v="4"/>
    <s v="Cerdos Fase 2.5"/>
    <m/>
    <n v="-2500"/>
  </r>
  <r>
    <d v="2018-07-30T00:00:00"/>
    <n v="11"/>
    <n v="73"/>
    <x v="4"/>
    <s v="Cerdos Fase 2.5"/>
    <m/>
    <n v="-1500"/>
  </r>
  <r>
    <d v="2018-07-31T00:00:00"/>
    <n v="11"/>
    <n v="74"/>
    <x v="4"/>
    <s v="Cerdos Fase 2.5"/>
    <m/>
    <n v="-1000"/>
  </r>
  <r>
    <d v="2018-08-01T00:00:00"/>
    <n v="11"/>
    <n v="75"/>
    <x v="4"/>
    <s v="Cerdos Fase 2.5"/>
    <m/>
    <n v="-1000"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  <r>
    <m/>
    <e v="#NUM!"/>
    <n v="-43238"/>
    <x v="0"/>
    <e v="#N/A"/>
    <m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295">
  <r>
    <d v="2018-06-11T00:00:00"/>
    <n v="2"/>
    <n v="8"/>
    <x v="0"/>
    <e v="#N/A"/>
    <m/>
    <m/>
  </r>
  <r>
    <d v="2018-06-11T00:00:00"/>
    <n v="2"/>
    <n v="8"/>
    <x v="1"/>
    <s v="Nupig Sew 150 Ppm Tiamulina+400Ppm Amoxicilina"/>
    <n v="600"/>
    <m/>
  </r>
  <r>
    <d v="2018-06-11T00:00:00"/>
    <n v="2"/>
    <n v="8"/>
    <x v="2"/>
    <s v="Nupig Uno Kappa"/>
    <n v="4500"/>
    <m/>
  </r>
  <r>
    <d v="2018-06-25T00:00:00"/>
    <n v="4"/>
    <n v="22"/>
    <x v="2"/>
    <s v="Nupig Uno Kappa"/>
    <m/>
    <n v="-100"/>
  </r>
  <r>
    <d v="2018-06-26T00:00:00"/>
    <n v="4"/>
    <n v="23"/>
    <x v="2"/>
    <s v="Nupig Uno Kappa"/>
    <m/>
    <n v="-150"/>
  </r>
  <r>
    <d v="2018-06-28T00:00:00"/>
    <n v="4"/>
    <n v="25"/>
    <x v="2"/>
    <s v="Nupig Uno Kappa"/>
    <m/>
    <n v="-200"/>
  </r>
  <r>
    <d v="2018-06-29T00:00:00"/>
    <n v="4"/>
    <n v="26"/>
    <x v="1"/>
    <s v="Nupig Sew 150 Ppm Tiamulina+400Ppm Amoxicilina"/>
    <m/>
    <n v="-50"/>
  </r>
  <r>
    <d v="2018-06-29T00:00:00"/>
    <n v="4"/>
    <n v="26"/>
    <x v="2"/>
    <s v="Nupig Uno Kappa"/>
    <m/>
    <n v="-175"/>
  </r>
  <r>
    <d v="2018-06-30T00:00:00"/>
    <n v="4"/>
    <n v="27"/>
    <x v="1"/>
    <s v="Nupig Sew 150 Ppm Tiamulina+400Ppm Amoxicilina"/>
    <m/>
    <n v="-25"/>
  </r>
  <r>
    <d v="2018-06-30T00:00:00"/>
    <n v="4"/>
    <n v="27"/>
    <x v="2"/>
    <s v="Nupig Uno Kappa"/>
    <m/>
    <n v="-175"/>
  </r>
  <r>
    <d v="2018-07-01T00:00:00"/>
    <n v="4"/>
    <n v="28"/>
    <x v="1"/>
    <s v="Nupig Sew 150 Ppm Tiamulina+400Ppm Amoxicilina"/>
    <m/>
    <n v="-25"/>
  </r>
  <r>
    <d v="2018-07-01T00:00:00"/>
    <n v="4"/>
    <n v="28"/>
    <x v="2"/>
    <s v="Nupig Uno Kappa"/>
    <m/>
    <n v="-250"/>
  </r>
  <r>
    <d v="2018-07-02T00:00:00"/>
    <n v="5"/>
    <n v="29"/>
    <x v="3"/>
    <s v="Cerdos Fase 2 Med"/>
    <n v="6740"/>
    <m/>
  </r>
  <r>
    <d v="2018-07-03T00:00:00"/>
    <n v="5"/>
    <n v="30"/>
    <x v="2"/>
    <s v="Nupig Uno Kappa"/>
    <m/>
    <n v="-300"/>
  </r>
  <r>
    <d v="2018-07-04T00:00:00"/>
    <n v="5"/>
    <n v="31"/>
    <x v="1"/>
    <s v="Nupig Sew 150 Ppm Tiamulina+400Ppm Amoxicilina"/>
    <m/>
    <n v="-50"/>
  </r>
  <r>
    <d v="2018-07-04T00:00:00"/>
    <n v="5"/>
    <n v="31"/>
    <x v="2"/>
    <s v="Nupig Uno Kappa"/>
    <m/>
    <n v="-350"/>
  </r>
  <r>
    <d v="2018-07-05T00:00:00"/>
    <n v="5"/>
    <n v="32"/>
    <x v="2"/>
    <s v="Nupig Uno Kappa"/>
    <m/>
    <n v="-425"/>
  </r>
  <r>
    <d v="2018-07-06T00:00:00"/>
    <n v="5"/>
    <n v="33"/>
    <x v="2"/>
    <s v="Nupig Uno Kappa"/>
    <m/>
    <n v="-175"/>
  </r>
  <r>
    <d v="2018-07-07T00:00:00"/>
    <n v="5"/>
    <n v="34"/>
    <x v="2"/>
    <s v="Nupig Uno Kappa"/>
    <m/>
    <n v="-250"/>
  </r>
  <r>
    <d v="2018-07-08T00:00:00"/>
    <n v="5"/>
    <n v="35"/>
    <x v="1"/>
    <s v="Nupig Sew 150 Ppm Tiamulina+400Ppm Amoxicilina"/>
    <m/>
    <n v="-75"/>
  </r>
  <r>
    <d v="2018-07-08T00:00:00"/>
    <n v="5"/>
    <n v="35"/>
    <x v="2"/>
    <s v="Nupig Uno Kappa"/>
    <m/>
    <n v="-150"/>
  </r>
  <r>
    <d v="2018-07-08T00:00:00"/>
    <n v="5"/>
    <n v="35"/>
    <x v="3"/>
    <s v="Cerdos Fase 2 Med"/>
    <m/>
    <n v="-740"/>
  </r>
  <r>
    <d v="2018-07-09T00:00:00"/>
    <n v="6"/>
    <n v="36"/>
    <x v="2"/>
    <s v="Nupig Uno Kappa"/>
    <m/>
    <n v="-275"/>
  </r>
  <r>
    <d v="2018-07-10T00:00:00"/>
    <n v="6"/>
    <n v="37"/>
    <x v="2"/>
    <s v="Nupig Uno Kappa"/>
    <m/>
    <n v="-125"/>
  </r>
  <r>
    <d v="2018-07-10T00:00:00"/>
    <n v="6"/>
    <n v="37"/>
    <x v="1"/>
    <s v="Nupig Sew 150 Ppm Tiamulina+400Ppm Amoxicilina"/>
    <m/>
    <n v="-50"/>
  </r>
  <r>
    <d v="2018-07-11T00:00:00"/>
    <n v="6"/>
    <n v="38"/>
    <x v="2"/>
    <s v="Nupig Uno Kappa"/>
    <m/>
    <n v="-200"/>
  </r>
  <r>
    <d v="2018-07-12T00:00:00"/>
    <n v="6"/>
    <n v="39"/>
    <x v="2"/>
    <s v="Nupig Uno Kappa"/>
    <m/>
    <n v="-175"/>
  </r>
  <r>
    <d v="2018-07-12T00:00:00"/>
    <n v="6"/>
    <n v="39"/>
    <x v="3"/>
    <s v="Cerdos Fase 2 Med"/>
    <m/>
    <n v="-500"/>
  </r>
  <r>
    <d v="2018-07-13T00:00:00"/>
    <n v="6"/>
    <n v="40"/>
    <x v="1"/>
    <s v="Nupig Sew 150 Ppm Tiamulina+400Ppm Amoxicilina"/>
    <m/>
    <n v="-50"/>
  </r>
  <r>
    <d v="2018-07-13T00:00:00"/>
    <n v="6"/>
    <n v="40"/>
    <x v="2"/>
    <s v="Nupig Uno Kappa"/>
    <m/>
    <n v="-200"/>
  </r>
  <r>
    <d v="2018-07-14T00:00:00"/>
    <n v="6"/>
    <n v="41"/>
    <x v="1"/>
    <s v="Nupig Sew 150 Ppm Tiamulina+400Ppm Amoxicilina"/>
    <m/>
    <n v="-50"/>
  </r>
  <r>
    <d v="2018-07-14T00:00:00"/>
    <n v="6"/>
    <n v="41"/>
    <x v="2"/>
    <s v="Nupig Uno Kappa"/>
    <m/>
    <n v="-100"/>
  </r>
  <r>
    <d v="2018-07-15T00:00:00"/>
    <n v="6"/>
    <n v="42"/>
    <x v="3"/>
    <s v="Cerdos Fase 2 Med"/>
    <m/>
    <n v="-1000"/>
  </r>
  <r>
    <d v="2018-07-15T00:00:00"/>
    <n v="6"/>
    <n v="42"/>
    <x v="1"/>
    <s v="Nupig Sew 150 Ppm Tiamulina+400Ppm Amoxicilina"/>
    <m/>
    <n v="-75"/>
  </r>
  <r>
    <d v="2018-07-15T00:00:00"/>
    <n v="6"/>
    <n v="42"/>
    <x v="2"/>
    <s v="Nupig Uno Kappa"/>
    <m/>
    <n v="-200"/>
  </r>
  <r>
    <d v="2018-07-16T00:00:00"/>
    <n v="7"/>
    <n v="43"/>
    <x v="1"/>
    <s v="Nupig Sew 150 Ppm Tiamulina+400Ppm Amoxicilina"/>
    <m/>
    <n v="-50"/>
  </r>
  <r>
    <d v="2018-07-16T00:00:00"/>
    <n v="7"/>
    <n v="43"/>
    <x v="2"/>
    <s v="Nupig Uno Kappa"/>
    <m/>
    <n v="-50"/>
  </r>
  <r>
    <d v="2018-07-16T00:00:00"/>
    <n v="7"/>
    <n v="43"/>
    <x v="3"/>
    <s v="Cerdos Fase 2 Med"/>
    <m/>
    <n v="-500"/>
  </r>
  <r>
    <d v="2018-07-17T00:00:00"/>
    <n v="7"/>
    <n v="44"/>
    <x v="1"/>
    <s v="Nupig Sew 150 Ppm Tiamulina+400Ppm Amoxicilina"/>
    <m/>
    <n v="-25"/>
  </r>
  <r>
    <d v="2018-07-17T00:00:00"/>
    <n v="7"/>
    <n v="44"/>
    <x v="2"/>
    <s v="Nupig Uno Kappa"/>
    <m/>
    <n v="-100"/>
  </r>
  <r>
    <d v="2018-07-18T00:00:00"/>
    <n v="7"/>
    <n v="45"/>
    <x v="1"/>
    <s v="Nupig Sew 150 Ppm Tiamulina+400Ppm Amoxicilina"/>
    <m/>
    <n v="-25"/>
  </r>
  <r>
    <d v="2018-07-18T00:00:00"/>
    <n v="7"/>
    <n v="45"/>
    <x v="2"/>
    <s v="Nupig Uno Kappa"/>
    <m/>
    <n v="-50"/>
  </r>
  <r>
    <d v="2018-07-18T00:00:00"/>
    <n v="7"/>
    <n v="45"/>
    <x v="3"/>
    <s v="Cerdos Fase 2 Med"/>
    <m/>
    <n v="-2000"/>
  </r>
  <r>
    <d v="2018-07-18T00:00:00"/>
    <n v="7"/>
    <n v="45"/>
    <x v="4"/>
    <s v="Cerdos Fase 2.5"/>
    <n v="13860"/>
    <m/>
  </r>
  <r>
    <d v="2018-07-19T00:00:00"/>
    <n v="7"/>
    <n v="46"/>
    <x v="1"/>
    <s v="Nupig Sew 150 Ppm Tiamulina+400Ppm Amoxicilina"/>
    <m/>
    <n v="-50"/>
  </r>
  <r>
    <d v="2018-07-19T00:00:00"/>
    <n v="7"/>
    <n v="46"/>
    <x v="2"/>
    <s v="Nupig Uno Kappa"/>
    <m/>
    <n v="-25"/>
  </r>
  <r>
    <d v="2018-07-20T00:00:00"/>
    <n v="7"/>
    <n v="47"/>
    <x v="2"/>
    <s v="Nupig Uno Kappa"/>
    <m/>
    <n v="-100"/>
  </r>
  <r>
    <d v="2018-07-21T00:00:00"/>
    <n v="7"/>
    <n v="48"/>
    <x v="2"/>
    <s v="Nupig Uno Kappa"/>
    <m/>
    <n v="-50"/>
  </r>
  <r>
    <d v="2018-07-21T00:00:00"/>
    <n v="7"/>
    <n v="48"/>
    <x v="3"/>
    <s v="Cerdos Fase 2 Med"/>
    <m/>
    <n v="-500"/>
  </r>
  <r>
    <d v="2018-07-22T00:00:00"/>
    <n v="7"/>
    <n v="49"/>
    <x v="3"/>
    <s v="Cerdos Fase 2 Med"/>
    <m/>
    <n v="-1500"/>
  </r>
  <r>
    <d v="2018-07-22T00:00:00"/>
    <n v="7"/>
    <n v="49"/>
    <x v="2"/>
    <s v="Nupig Uno Kappa"/>
    <m/>
    <n v="-100"/>
  </r>
  <r>
    <d v="2018-07-23T00:00:00"/>
    <n v="8"/>
    <n v="50"/>
    <x v="4"/>
    <s v="Cerdos Fase 2.5"/>
    <m/>
    <n v="-360"/>
  </r>
  <r>
    <d v="2018-07-23T00:00:00"/>
    <n v="8"/>
    <n v="50"/>
    <x v="2"/>
    <s v="Nupig Uno Kappa"/>
    <m/>
    <n v="-50"/>
  </r>
  <r>
    <d v="2018-07-24T00:00:00"/>
    <n v="8"/>
    <n v="51"/>
    <x v="4"/>
    <s v="Cerdos Fase 2.5"/>
    <m/>
    <n v="-500"/>
  </r>
  <r>
    <d v="2018-07-25T00:00:00"/>
    <n v="8"/>
    <n v="52"/>
    <x v="4"/>
    <s v="Cerdos Fase 2.5"/>
    <m/>
    <n v="-500"/>
  </r>
  <r>
    <d v="2018-07-26T00:00:00"/>
    <n v="8"/>
    <n v="53"/>
    <x v="4"/>
    <s v="Cerdos Fase 2.5"/>
    <m/>
    <n v="-1000"/>
  </r>
  <r>
    <d v="2018-07-27T00:00:00"/>
    <n v="8"/>
    <n v="54"/>
    <x v="4"/>
    <s v="Cerdos Fase 2.5"/>
    <m/>
    <n v="-500"/>
  </r>
  <r>
    <d v="2018-07-28T00:00:00"/>
    <n v="8"/>
    <n v="55"/>
    <x v="4"/>
    <s v="Cerdos Fase 2.5"/>
    <m/>
    <n v="-500"/>
  </r>
  <r>
    <d v="2018-07-29T00:00:00"/>
    <n v="8"/>
    <n v="56"/>
    <x v="4"/>
    <s v="Cerdos Fase 2.5"/>
    <m/>
    <n v="-1000"/>
  </r>
  <r>
    <d v="2018-07-30T00:00:00"/>
    <n v="9"/>
    <n v="57"/>
    <x v="4"/>
    <s v="Cerdos Fase 2.5"/>
    <m/>
    <n v="-500"/>
  </r>
  <r>
    <d v="2018-07-31T00:00:00"/>
    <n v="9"/>
    <n v="58"/>
    <x v="4"/>
    <s v="Cerdos Fase 2.5"/>
    <m/>
    <n v="-500"/>
  </r>
  <r>
    <d v="2018-08-01T00:00:00"/>
    <n v="9"/>
    <n v="59"/>
    <x v="4"/>
    <s v="Cerdos Fase 2.5"/>
    <m/>
    <n v="-1000"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  <r>
    <m/>
    <e v="#NUM!"/>
    <n v="-43254"/>
    <x v="0"/>
    <e v="#N/A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name="Tabla dinámica7" cacheId="8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rowHeaderCaption="ALIMENTO">
  <location ref="BQ5:BT10" firstHeaderRow="0" firstDataRow="1" firstDataCol="1"/>
  <pivotFields count="8">
    <pivotField showAll="0"/>
    <pivotField showAll="0"/>
    <pivotField showAll="0"/>
    <pivotField axis="axisRow" showAll="0">
      <items count="17">
        <item x="0"/>
        <item m="1" x="15"/>
        <item m="1" x="8"/>
        <item m="1" x="14"/>
        <item x="1"/>
        <item x="2"/>
        <item x="3"/>
        <item m="1" x="5"/>
        <item m="1" x="4"/>
        <item m="1" x="6"/>
        <item m="1" x="10"/>
        <item m="1" x="7"/>
        <item m="1" x="11"/>
        <item m="1" x="9"/>
        <item m="1" x="12"/>
        <item m="1" x="13"/>
        <item t="default"/>
      </items>
    </pivotField>
    <pivotField showAll="0"/>
    <pivotField dataField="1" showAll="0"/>
    <pivotField dataField="1" showAll="0"/>
    <pivotField dataField="1" dragToRow="0" dragToCol="0" dragToPage="0" showAll="0" defaultSubtotal="0"/>
  </pivotFields>
  <rowFields count="1">
    <field x="3"/>
  </rowFields>
  <rowItems count="5">
    <i>
      <x/>
    </i>
    <i>
      <x v="4"/>
    </i>
    <i>
      <x v="5"/>
    </i>
    <i>
      <x v="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kg Recibido" fld="5" baseField="3" baseItem="0"/>
    <dataField name="Kg Cnsm" fld="6" baseField="3" baseItem="0"/>
    <dataField name="Total" fld="7" baseField="0" baseItem="0"/>
  </dataFields>
  <formats count="18">
    <format dxfId="17">
      <pivotArea type="all" dataOnly="0" outline="0" fieldPosition="0"/>
    </format>
    <format dxfId="16">
      <pivotArea outline="0" collapsedLevelsAreSubtotals="1" fieldPosition="0"/>
    </format>
    <format dxfId="15">
      <pivotArea field="3" type="button" dataOnly="0" labelOnly="1" outline="0" axis="axisRow" fieldPosition="0"/>
    </format>
    <format dxfId="14">
      <pivotArea dataOnly="0" labelOnly="1" fieldPosition="0">
        <references count="1">
          <reference field="3" count="0"/>
        </references>
      </pivotArea>
    </format>
    <format dxfId="13">
      <pivotArea dataOnly="0" labelOnly="1" grandRow="1" outline="0" fieldPosition="0"/>
    </format>
    <format dxfId="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">
      <pivotArea type="all" dataOnly="0" outline="0" fieldPosition="0"/>
    </format>
    <format dxfId="10">
      <pivotArea outline="0" collapsedLevelsAreSubtotals="1" fieldPosition="0"/>
    </format>
    <format dxfId="9">
      <pivotArea field="3" type="button" dataOnly="0" labelOnly="1" outline="0" axis="axisRow" fieldPosition="0"/>
    </format>
    <format dxfId="8">
      <pivotArea dataOnly="0" labelOnly="1" fieldPosition="0">
        <references count="1">
          <reference field="3" count="0"/>
        </references>
      </pivotArea>
    </format>
    <format dxfId="7">
      <pivotArea dataOnly="0" labelOnly="1" grandRow="1" outline="0" fieldPosition="0"/>
    </format>
    <format dxfId="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">
      <pivotArea type="all" dataOnly="0" outline="0" fieldPosition="0"/>
    </format>
    <format dxfId="4">
      <pivotArea outline="0" collapsedLevelsAreSubtotals="1" fieldPosition="0"/>
    </format>
    <format dxfId="3">
      <pivotArea field="3" type="button" dataOnly="0" labelOnly="1" outline="0" axis="axisRow" fieldPosition="0"/>
    </format>
    <format dxfId="2">
      <pivotArea dataOnly="0" labelOnly="1" fieldPosition="0">
        <references count="1">
          <reference field="3" count="0"/>
        </references>
      </pivotArea>
    </format>
    <format dxfId="1">
      <pivotArea dataOnly="0" labelOnly="1" grandRow="1" outline="0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a dinámica6" cacheId="11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rowHeaderCaption="ALIMENTO">
  <location ref="BE5:BH10" firstHeaderRow="0" firstDataRow="1" firstDataCol="1"/>
  <pivotFields count="8">
    <pivotField showAll="0"/>
    <pivotField showAll="0"/>
    <pivotField showAll="0"/>
    <pivotField axis="axisRow" showAll="0">
      <items count="16">
        <item x="0"/>
        <item m="1" x="8"/>
        <item m="1" x="10"/>
        <item x="1"/>
        <item x="2"/>
        <item m="1" x="13"/>
        <item m="1" x="5"/>
        <item m="1" x="4"/>
        <item m="1" x="6"/>
        <item m="1" x="11"/>
        <item m="1" x="7"/>
        <item m="1" x="12"/>
        <item m="1" x="9"/>
        <item m="1" x="14"/>
        <item x="3"/>
        <item t="default"/>
      </items>
    </pivotField>
    <pivotField showAll="0"/>
    <pivotField dataField="1" showAll="0"/>
    <pivotField dataField="1" showAll="0"/>
    <pivotField dataField="1" dragToRow="0" dragToCol="0" dragToPage="0" showAll="0" defaultSubtotal="0"/>
  </pivotFields>
  <rowFields count="1">
    <field x="3"/>
  </rowFields>
  <rowItems count="5">
    <i>
      <x/>
    </i>
    <i>
      <x v="3"/>
    </i>
    <i>
      <x v="4"/>
    </i>
    <i>
      <x v="1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kg Recibido" fld="5" baseField="3" baseItem="0"/>
    <dataField name="Kg Cnsm" fld="6" baseField="3" baseItem="0"/>
    <dataField name="Total" fld="7" baseField="0" baseItem="0"/>
  </dataFields>
  <formats count="18">
    <format dxfId="35">
      <pivotArea type="all" dataOnly="0" outline="0" fieldPosition="0"/>
    </format>
    <format dxfId="34">
      <pivotArea outline="0" collapsedLevelsAreSubtotals="1" fieldPosition="0"/>
    </format>
    <format dxfId="33">
      <pivotArea field="3" type="button" dataOnly="0" labelOnly="1" outline="0" axis="axisRow" fieldPosition="0"/>
    </format>
    <format dxfId="32">
      <pivotArea dataOnly="0" labelOnly="1" fieldPosition="0">
        <references count="1">
          <reference field="3" count="0"/>
        </references>
      </pivotArea>
    </format>
    <format dxfId="31">
      <pivotArea dataOnly="0" labelOnly="1" grandRow="1" outline="0" fieldPosition="0"/>
    </format>
    <format dxfId="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">
      <pivotArea type="all" dataOnly="0" outline="0" fieldPosition="0"/>
    </format>
    <format dxfId="28">
      <pivotArea outline="0" collapsedLevelsAreSubtotals="1" fieldPosition="0"/>
    </format>
    <format dxfId="27">
      <pivotArea field="3" type="button" dataOnly="0" labelOnly="1" outline="0" axis="axisRow" fieldPosition="0"/>
    </format>
    <format dxfId="26">
      <pivotArea dataOnly="0" labelOnly="1" fieldPosition="0">
        <references count="1">
          <reference field="3" count="0"/>
        </references>
      </pivotArea>
    </format>
    <format dxfId="25">
      <pivotArea dataOnly="0" labelOnly="1" grandRow="1" outline="0" fieldPosition="0"/>
    </format>
    <format dxfId="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">
      <pivotArea type="all" dataOnly="0" outline="0" fieldPosition="0"/>
    </format>
    <format dxfId="22">
      <pivotArea outline="0" collapsedLevelsAreSubtotals="1" fieldPosition="0"/>
    </format>
    <format dxfId="21">
      <pivotArea field="3" type="button" dataOnly="0" labelOnly="1" outline="0" axis="axisRow" fieldPosition="0"/>
    </format>
    <format dxfId="20">
      <pivotArea dataOnly="0" labelOnly="1" fieldPosition="0">
        <references count="1">
          <reference field="3" count="0"/>
        </references>
      </pivotArea>
    </format>
    <format dxfId="19">
      <pivotArea dataOnly="0" labelOnly="1" grandRow="1" outline="0" fieldPosition="0"/>
    </format>
    <format dxfId="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a dinámica5" cacheId="23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rowHeaderCaption="ALIMENTO">
  <location ref="AS5:AV11" firstHeaderRow="0" firstDataRow="1" firstDataCol="1"/>
  <pivotFields count="8">
    <pivotField showAll="0"/>
    <pivotField showAll="0"/>
    <pivotField showAll="0"/>
    <pivotField axis="axisRow" showAll="0">
      <items count="18">
        <item x="0"/>
        <item m="1" x="5"/>
        <item m="1" x="8"/>
        <item x="1"/>
        <item x="2"/>
        <item m="1" x="14"/>
        <item x="4"/>
        <item m="1" x="6"/>
        <item m="1" x="10"/>
        <item m="1" x="7"/>
        <item m="1" x="12"/>
        <item m="1" x="9"/>
        <item m="1" x="13"/>
        <item m="1" x="11"/>
        <item m="1" x="15"/>
        <item m="1" x="16"/>
        <item x="3"/>
        <item t="default"/>
      </items>
    </pivotField>
    <pivotField showAll="0"/>
    <pivotField dataField="1" showAll="0"/>
    <pivotField dataField="1" showAll="0"/>
    <pivotField dataField="1" dragToRow="0" dragToCol="0" dragToPage="0" showAll="0" defaultSubtotal="0"/>
  </pivotFields>
  <rowFields count="1">
    <field x="3"/>
  </rowFields>
  <rowItems count="6">
    <i>
      <x/>
    </i>
    <i>
      <x v="3"/>
    </i>
    <i>
      <x v="4"/>
    </i>
    <i>
      <x v="6"/>
    </i>
    <i>
      <x v="1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kg Recibido" fld="5" baseField="3" baseItem="0"/>
    <dataField name="Kg Cnsm" fld="6" baseField="3" baseItem="0"/>
    <dataField name="Total" fld="7" baseField="0" baseItem="0"/>
  </dataFields>
  <formats count="18">
    <format dxfId="53">
      <pivotArea type="all" dataOnly="0" outline="0" fieldPosition="0"/>
    </format>
    <format dxfId="52">
      <pivotArea outline="0" collapsedLevelsAreSubtotals="1" fieldPosition="0"/>
    </format>
    <format dxfId="51">
      <pivotArea field="3" type="button" dataOnly="0" labelOnly="1" outline="0" axis="axisRow" fieldPosition="0"/>
    </format>
    <format dxfId="50">
      <pivotArea dataOnly="0" labelOnly="1" fieldPosition="0">
        <references count="1">
          <reference field="3" count="0"/>
        </references>
      </pivotArea>
    </format>
    <format dxfId="49">
      <pivotArea dataOnly="0" labelOnly="1" grandRow="1" outline="0" fieldPosition="0"/>
    </format>
    <format dxfId="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">
      <pivotArea type="all" dataOnly="0" outline="0" fieldPosition="0"/>
    </format>
    <format dxfId="46">
      <pivotArea outline="0" collapsedLevelsAreSubtotals="1" fieldPosition="0"/>
    </format>
    <format dxfId="45">
      <pivotArea field="3" type="button" dataOnly="0" labelOnly="1" outline="0" axis="axisRow" fieldPosition="0"/>
    </format>
    <format dxfId="44">
      <pivotArea dataOnly="0" labelOnly="1" fieldPosition="0">
        <references count="1">
          <reference field="3" count="0"/>
        </references>
      </pivotArea>
    </format>
    <format dxfId="43">
      <pivotArea dataOnly="0" labelOnly="1" grandRow="1" outline="0" fieldPosition="0"/>
    </format>
    <format dxfId="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">
      <pivotArea type="all" dataOnly="0" outline="0" fieldPosition="0"/>
    </format>
    <format dxfId="40">
      <pivotArea outline="0" collapsedLevelsAreSubtotals="1" fieldPosition="0"/>
    </format>
    <format dxfId="39">
      <pivotArea field="3" type="button" dataOnly="0" labelOnly="1" outline="0" axis="axisRow" fieldPosition="0"/>
    </format>
    <format dxfId="38">
      <pivotArea dataOnly="0" labelOnly="1" fieldPosition="0">
        <references count="1">
          <reference field="3" count="0"/>
        </references>
      </pivotArea>
    </format>
    <format dxfId="37">
      <pivotArea dataOnly="0" labelOnly="1" grandRow="1" outline="0" fieldPosition="0"/>
    </format>
    <format dxfId="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la dinámica4" cacheId="14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rowHeaderCaption="ALIMENTO">
  <location ref="AG5:AJ11" firstHeaderRow="0" firstDataRow="1" firstDataCol="1"/>
  <pivotFields count="8">
    <pivotField showAll="0"/>
    <pivotField showAll="0"/>
    <pivotField showAll="0"/>
    <pivotField axis="axisRow" showAll="0">
      <items count="15">
        <item x="0"/>
        <item x="2"/>
        <item m="1" x="5"/>
        <item x="1"/>
        <item x="3"/>
        <item x="4"/>
        <item m="1" x="6"/>
        <item m="1" x="9"/>
        <item m="1" x="8"/>
        <item m="1" x="11"/>
        <item m="1" x="7"/>
        <item m="1" x="12"/>
        <item m="1" x="10"/>
        <item m="1" x="13"/>
        <item t="default"/>
      </items>
    </pivotField>
    <pivotField showAll="0"/>
    <pivotField dataField="1" showAll="0"/>
    <pivotField dataField="1" showAll="0"/>
    <pivotField dataField="1" dragToRow="0" dragToCol="0" dragToPage="0" showAll="0" defaultSubtotal="0"/>
  </pivotFields>
  <rowFields count="1">
    <field x="3"/>
  </rowFields>
  <rowItems count="6">
    <i>
      <x/>
    </i>
    <i>
      <x v="1"/>
    </i>
    <i>
      <x v="3"/>
    </i>
    <i>
      <x v="4"/>
    </i>
    <i>
      <x v="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kg Recibido" fld="5" baseField="3" baseItem="0"/>
    <dataField name="Kg Cnsm" fld="6" baseField="3" baseItem="0"/>
    <dataField name="Total" fld="7" baseField="0" baseItem="0"/>
  </dataFields>
  <formats count="18">
    <format dxfId="71">
      <pivotArea type="all" dataOnly="0" outline="0" fieldPosition="0"/>
    </format>
    <format dxfId="70">
      <pivotArea outline="0" collapsedLevelsAreSubtotals="1" fieldPosition="0"/>
    </format>
    <format dxfId="69">
      <pivotArea field="3" type="button" dataOnly="0" labelOnly="1" outline="0" axis="axisRow" fieldPosition="0"/>
    </format>
    <format dxfId="68">
      <pivotArea dataOnly="0" labelOnly="1" fieldPosition="0">
        <references count="1">
          <reference field="3" count="0"/>
        </references>
      </pivotArea>
    </format>
    <format dxfId="67">
      <pivotArea dataOnly="0" labelOnly="1" grandRow="1" outline="0" fieldPosition="0"/>
    </format>
    <format dxfId="6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5">
      <pivotArea type="all" dataOnly="0" outline="0" fieldPosition="0"/>
    </format>
    <format dxfId="64">
      <pivotArea outline="0" collapsedLevelsAreSubtotals="1" fieldPosition="0"/>
    </format>
    <format dxfId="63">
      <pivotArea field="3" type="button" dataOnly="0" labelOnly="1" outline="0" axis="axisRow" fieldPosition="0"/>
    </format>
    <format dxfId="62">
      <pivotArea dataOnly="0" labelOnly="1" fieldPosition="0">
        <references count="1">
          <reference field="3" count="0"/>
        </references>
      </pivotArea>
    </format>
    <format dxfId="61">
      <pivotArea dataOnly="0" labelOnly="1" grandRow="1" outline="0" fieldPosition="0"/>
    </format>
    <format dxfId="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9">
      <pivotArea type="all" dataOnly="0" outline="0" fieldPosition="0"/>
    </format>
    <format dxfId="58">
      <pivotArea outline="0" collapsedLevelsAreSubtotals="1" fieldPosition="0"/>
    </format>
    <format dxfId="57">
      <pivotArea field="3" type="button" dataOnly="0" labelOnly="1" outline="0" axis="axisRow" fieldPosition="0"/>
    </format>
    <format dxfId="56">
      <pivotArea dataOnly="0" labelOnly="1" fieldPosition="0">
        <references count="1">
          <reference field="3" count="0"/>
        </references>
      </pivotArea>
    </format>
    <format dxfId="55">
      <pivotArea dataOnly="0" labelOnly="1" grandRow="1" outline="0" fieldPosition="0"/>
    </format>
    <format dxfId="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la dinámica2" cacheId="17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rowHeaderCaption="ALIMENTO">
  <location ref="U5:X11" firstHeaderRow="0" firstDataRow="1" firstDataCol="1"/>
  <pivotFields count="8">
    <pivotField showAll="0"/>
    <pivotField showAll="0"/>
    <pivotField showAll="0"/>
    <pivotField axis="axisRow" showAll="0">
      <items count="16">
        <item x="0"/>
        <item x="1"/>
        <item m="1" x="14"/>
        <item x="2"/>
        <item m="1" x="12"/>
        <item x="4"/>
        <item m="1" x="5"/>
        <item m="1" x="8"/>
        <item m="1" x="7"/>
        <item m="1" x="10"/>
        <item m="1" x="6"/>
        <item m="1" x="11"/>
        <item m="1" x="9"/>
        <item m="1" x="13"/>
        <item x="3"/>
        <item t="default"/>
      </items>
    </pivotField>
    <pivotField showAll="0"/>
    <pivotField dataField="1" showAll="0"/>
    <pivotField dataField="1" showAll="0"/>
    <pivotField dataField="1" dragToRow="0" dragToCol="0" dragToPage="0" showAll="0" defaultSubtotal="0"/>
  </pivotFields>
  <rowFields count="1">
    <field x="3"/>
  </rowFields>
  <rowItems count="6">
    <i>
      <x/>
    </i>
    <i>
      <x v="1"/>
    </i>
    <i>
      <x v="3"/>
    </i>
    <i>
      <x v="5"/>
    </i>
    <i>
      <x v="1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kg Recibido" fld="5" baseField="3" baseItem="0"/>
    <dataField name="Kg Cnsm" fld="6" baseField="3" baseItem="0"/>
    <dataField name="Total" fld="7" baseField="0" baseItem="0"/>
  </dataFields>
  <formats count="18">
    <format dxfId="89">
      <pivotArea type="all" dataOnly="0" outline="0" fieldPosition="0"/>
    </format>
    <format dxfId="88">
      <pivotArea outline="0" collapsedLevelsAreSubtotals="1" fieldPosition="0"/>
    </format>
    <format dxfId="87">
      <pivotArea field="3" type="button" dataOnly="0" labelOnly="1" outline="0" axis="axisRow" fieldPosition="0"/>
    </format>
    <format dxfId="86">
      <pivotArea dataOnly="0" labelOnly="1" fieldPosition="0">
        <references count="1">
          <reference field="3" count="0"/>
        </references>
      </pivotArea>
    </format>
    <format dxfId="85">
      <pivotArea dataOnly="0" labelOnly="1" grandRow="1" outline="0" fieldPosition="0"/>
    </format>
    <format dxfId="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3">
      <pivotArea type="all" dataOnly="0" outline="0" fieldPosition="0"/>
    </format>
    <format dxfId="82">
      <pivotArea outline="0" collapsedLevelsAreSubtotals="1" fieldPosition="0"/>
    </format>
    <format dxfId="81">
      <pivotArea field="3" type="button" dataOnly="0" labelOnly="1" outline="0" axis="axisRow" fieldPosition="0"/>
    </format>
    <format dxfId="80">
      <pivotArea dataOnly="0" labelOnly="1" fieldPosition="0">
        <references count="1">
          <reference field="3" count="0"/>
        </references>
      </pivotArea>
    </format>
    <format dxfId="79">
      <pivotArea dataOnly="0" labelOnly="1" grandRow="1" outline="0" fieldPosition="0"/>
    </format>
    <format dxfId="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7">
      <pivotArea type="all" dataOnly="0" outline="0" fieldPosition="0"/>
    </format>
    <format dxfId="76">
      <pivotArea outline="0" collapsedLevelsAreSubtotals="1" fieldPosition="0"/>
    </format>
    <format dxfId="75">
      <pivotArea field="3" type="button" dataOnly="0" labelOnly="1" outline="0" axis="axisRow" fieldPosition="0"/>
    </format>
    <format dxfId="74">
      <pivotArea dataOnly="0" labelOnly="1" fieldPosition="0">
        <references count="1">
          <reference field="3" count="0"/>
        </references>
      </pivotArea>
    </format>
    <format dxfId="73">
      <pivotArea dataOnly="0" labelOnly="1" grandRow="1" outline="0" fieldPosition="0"/>
    </format>
    <format dxfId="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abla dinámica3" cacheId="2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rowHeaderCaption="ALIMENTO">
  <location ref="I5:L11" firstHeaderRow="0" firstDataRow="1" firstDataCol="1"/>
  <pivotFields count="8">
    <pivotField showAll="0"/>
    <pivotField showAll="0"/>
    <pivotField showAll="0"/>
    <pivotField axis="axisRow" showAll="0">
      <items count="17">
        <item x="0"/>
        <item m="1" x="15"/>
        <item m="1" x="14"/>
        <item x="1"/>
        <item x="2"/>
        <item m="1" x="12"/>
        <item x="4"/>
        <item m="1" x="5"/>
        <item m="1" x="8"/>
        <item m="1" x="7"/>
        <item m="1" x="10"/>
        <item m="1" x="6"/>
        <item m="1" x="11"/>
        <item m="1" x="9"/>
        <item m="1" x="13"/>
        <item x="3"/>
        <item t="default"/>
      </items>
    </pivotField>
    <pivotField showAll="0"/>
    <pivotField dataField="1" showAll="0"/>
    <pivotField dataField="1" showAll="0"/>
    <pivotField dataField="1" dragToRow="0" dragToCol="0" dragToPage="0" showAll="0" defaultSubtotal="0"/>
  </pivotFields>
  <rowFields count="1">
    <field x="3"/>
  </rowFields>
  <rowItems count="6">
    <i>
      <x/>
    </i>
    <i>
      <x v="3"/>
    </i>
    <i>
      <x v="4"/>
    </i>
    <i>
      <x v="6"/>
    </i>
    <i>
      <x v="1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kg Recibido" fld="5" baseField="3" baseItem="0"/>
    <dataField name="Kg Cnsm" fld="6" baseField="3" baseItem="0"/>
    <dataField name="Total" fld="7" baseField="0" baseItem="0"/>
  </dataFields>
  <formats count="15">
    <format dxfId="104">
      <pivotArea type="all" dataOnly="0" outline="0" fieldPosition="0"/>
    </format>
    <format dxfId="103">
      <pivotArea outline="0" collapsedLevelsAreSubtotals="1" fieldPosition="0"/>
    </format>
    <format dxfId="102">
      <pivotArea field="3" type="button" dataOnly="0" labelOnly="1" outline="0" axis="axisRow" fieldPosition="0"/>
    </format>
    <format dxfId="101">
      <pivotArea dataOnly="0" labelOnly="1" fieldPosition="0">
        <references count="1">
          <reference field="3" count="0"/>
        </references>
      </pivotArea>
    </format>
    <format dxfId="100">
      <pivotArea dataOnly="0" labelOnly="1" grandRow="1" outline="0" fieldPosition="0"/>
    </format>
    <format dxfId="9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8">
      <pivotArea type="all" dataOnly="0" outline="0" fieldPosition="0"/>
    </format>
    <format dxfId="97">
      <pivotArea outline="0" collapsedLevelsAreSubtotals="1" fieldPosition="0"/>
    </format>
    <format dxfId="96">
      <pivotArea field="3" type="button" dataOnly="0" labelOnly="1" outline="0" axis="axisRow" fieldPosition="0"/>
    </format>
    <format dxfId="95">
      <pivotArea dataOnly="0" labelOnly="1" fieldPosition="0">
        <references count="1">
          <reference field="3" count="0"/>
        </references>
      </pivotArea>
    </format>
    <format dxfId="94">
      <pivotArea dataOnly="0" labelOnly="1" grandRow="1" outline="0" fieldPosition="0"/>
    </format>
    <format dxfId="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2">
      <pivotArea outline="0" collapsedLevelsAreSubtotals="1" fieldPosition="0"/>
    </format>
    <format dxfId="91">
      <pivotArea dataOnly="0" labelOnly="1" fieldPosition="0">
        <references count="1">
          <reference field="3" count="0"/>
        </references>
      </pivotArea>
    </format>
    <format dxfId="9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4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printerSettings" Target="../printerSettings/printerSettings13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13" Type="http://schemas.openxmlformats.org/officeDocument/2006/relationships/control" Target="../activeX/activeX5.xml"/><Relationship Id="rId18" Type="http://schemas.openxmlformats.org/officeDocument/2006/relationships/image" Target="../media/image10.emf"/><Relationship Id="rId3" Type="http://schemas.openxmlformats.org/officeDocument/2006/relationships/drawing" Target="../drawings/drawing5.xml"/><Relationship Id="rId21" Type="http://schemas.openxmlformats.org/officeDocument/2006/relationships/control" Target="../activeX/activeX9.xml"/><Relationship Id="rId7" Type="http://schemas.openxmlformats.org/officeDocument/2006/relationships/control" Target="../activeX/activeX2.xml"/><Relationship Id="rId12" Type="http://schemas.openxmlformats.org/officeDocument/2006/relationships/image" Target="../media/image7.emf"/><Relationship Id="rId17" Type="http://schemas.openxmlformats.org/officeDocument/2006/relationships/control" Target="../activeX/activeX7.xml"/><Relationship Id="rId25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14.bin"/><Relationship Id="rId16" Type="http://schemas.openxmlformats.org/officeDocument/2006/relationships/image" Target="../media/image9.emf"/><Relationship Id="rId20" Type="http://schemas.openxmlformats.org/officeDocument/2006/relationships/image" Target="../media/image11.emf"/><Relationship Id="rId1" Type="http://schemas.openxmlformats.org/officeDocument/2006/relationships/hyperlink" Target="../../captura/eventos/in/" TargetMode="External"/><Relationship Id="rId6" Type="http://schemas.openxmlformats.org/officeDocument/2006/relationships/image" Target="../media/image4.emf"/><Relationship Id="rId11" Type="http://schemas.openxmlformats.org/officeDocument/2006/relationships/control" Target="../activeX/activeX4.xml"/><Relationship Id="rId24" Type="http://schemas.openxmlformats.org/officeDocument/2006/relationships/image" Target="../media/image13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10" Type="http://schemas.openxmlformats.org/officeDocument/2006/relationships/image" Target="../media/image6.emf"/><Relationship Id="rId19" Type="http://schemas.openxmlformats.org/officeDocument/2006/relationships/control" Target="../activeX/activeX8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8.emf"/><Relationship Id="rId22" Type="http://schemas.openxmlformats.org/officeDocument/2006/relationships/image" Target="../media/image1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T1001"/>
  <sheetViews>
    <sheetView showGridLines="0" showRuler="0" view="pageLayout" topLeftCell="Z35" zoomScaleNormal="100" workbookViewId="0">
      <selection activeCell="AQ58" sqref="AQ58"/>
    </sheetView>
  </sheetViews>
  <sheetFormatPr baseColWidth="10" defaultColWidth="0" defaultRowHeight="12.75" zeroHeight="1" x14ac:dyDescent="0.2"/>
  <cols>
    <col min="1" max="1" width="2.85546875" style="2" customWidth="1"/>
    <col min="2" max="2" width="7.7109375" style="2" customWidth="1"/>
    <col min="3" max="3" width="10.7109375" style="2" bestFit="1" customWidth="1"/>
    <col min="4" max="4" width="12" style="2" bestFit="1" customWidth="1"/>
    <col min="5" max="10" width="7.7109375" style="2" customWidth="1"/>
    <col min="11" max="11" width="7.7109375" style="16" customWidth="1"/>
    <col min="12" max="12" width="9.7109375" style="2" bestFit="1" customWidth="1"/>
    <col min="13" max="13" width="3.42578125" style="98" customWidth="1"/>
    <col min="14" max="14" width="7.7109375" style="2" customWidth="1"/>
    <col min="15" max="15" width="10.42578125" style="2" customWidth="1"/>
    <col min="16" max="16" width="12" style="2" bestFit="1" customWidth="1"/>
    <col min="17" max="17" width="6" style="2" customWidth="1"/>
    <col min="18" max="18" width="7.42578125" style="2" customWidth="1"/>
    <col min="19" max="20" width="7.7109375" style="2" customWidth="1"/>
    <col min="21" max="21" width="10.42578125" style="2" bestFit="1" customWidth="1"/>
    <col min="22" max="22" width="7.7109375" style="2" customWidth="1"/>
    <col min="23" max="23" width="7.7109375" style="18" customWidth="1"/>
    <col min="24" max="24" width="9.7109375" style="2" bestFit="1" customWidth="1"/>
    <col min="25" max="25" width="3.5703125" style="98" customWidth="1"/>
    <col min="26" max="26" width="7.7109375" style="2" customWidth="1"/>
    <col min="27" max="27" width="10.42578125" style="2" customWidth="1"/>
    <col min="28" max="28" width="12" style="2" bestFit="1" customWidth="1"/>
    <col min="29" max="34" width="7.7109375" style="2" customWidth="1"/>
    <col min="35" max="35" width="7.7109375" style="18" customWidth="1"/>
    <col min="36" max="36" width="9.7109375" style="2" bestFit="1" customWidth="1"/>
    <col min="37" max="37" width="3.140625" style="98" customWidth="1"/>
    <col min="38" max="38" width="7.7109375" style="2" customWidth="1"/>
    <col min="39" max="39" width="10.42578125" style="2" customWidth="1"/>
    <col min="40" max="40" width="12" style="2" bestFit="1" customWidth="1"/>
    <col min="41" max="46" width="7.7109375" style="2" customWidth="1"/>
    <col min="47" max="47" width="7.7109375" style="18" customWidth="1"/>
    <col min="48" max="48" width="9.7109375" style="2" bestFit="1" customWidth="1"/>
    <col min="49" max="49" width="3.42578125" style="98" customWidth="1"/>
    <col min="50" max="50" width="7.7109375" style="2" customWidth="1"/>
    <col min="51" max="51" width="10.42578125" style="2" customWidth="1"/>
    <col min="52" max="52" width="11.42578125" style="2" customWidth="1"/>
    <col min="53" max="58" width="7.7109375" style="2" customWidth="1"/>
    <col min="59" max="59" width="7.7109375" style="18" customWidth="1"/>
    <col min="60" max="60" width="8.7109375" style="2" customWidth="1"/>
    <col min="61" max="61" width="2.85546875" style="98" customWidth="1"/>
    <col min="62" max="62" width="7.7109375" style="2" customWidth="1"/>
    <col min="63" max="63" width="10.42578125" style="2" customWidth="1"/>
    <col min="64" max="64" width="12" style="2" bestFit="1" customWidth="1"/>
    <col min="65" max="70" width="7.7109375" style="2" customWidth="1"/>
    <col min="71" max="71" width="7.7109375" style="18" customWidth="1"/>
    <col min="72" max="72" width="9.7109375" style="2" bestFit="1" customWidth="1"/>
    <col min="73" max="75" width="11.42578125" style="2" hidden="1" customWidth="1"/>
    <col min="76" max="16384" width="11.42578125" style="2" hidden="1"/>
  </cols>
  <sheetData>
    <row r="1" spans="2:72" ht="13.5" thickBot="1" x14ac:dyDescent="0.25">
      <c r="B1" s="191">
        <f ca="1">TODAY()</f>
        <v>43315</v>
      </c>
      <c r="C1" s="192"/>
      <c r="H1" s="2" t="s">
        <v>80</v>
      </c>
      <c r="L1" s="2" t="s">
        <v>32</v>
      </c>
      <c r="N1" s="2" t="s">
        <v>32</v>
      </c>
      <c r="T1" s="2" t="s">
        <v>80</v>
      </c>
      <c r="X1" s="2" t="s">
        <v>32</v>
      </c>
      <c r="Z1" s="2" t="s">
        <v>32</v>
      </c>
      <c r="AF1" s="2" t="s">
        <v>80</v>
      </c>
      <c r="AJ1" s="2" t="s">
        <v>32</v>
      </c>
      <c r="AL1" s="2" t="s">
        <v>32</v>
      </c>
      <c r="AR1" s="2" t="s">
        <v>80</v>
      </c>
      <c r="AV1" s="2" t="s">
        <v>32</v>
      </c>
      <c r="AX1" s="2" t="s">
        <v>32</v>
      </c>
      <c r="BD1" s="2" t="s">
        <v>80</v>
      </c>
      <c r="BH1" s="2" t="s">
        <v>32</v>
      </c>
      <c r="BJ1" s="2" t="s">
        <v>32</v>
      </c>
      <c r="BP1" s="2" t="s">
        <v>80</v>
      </c>
      <c r="BT1" s="2" t="s">
        <v>32</v>
      </c>
    </row>
    <row r="2" spans="2:72" ht="15.75" thickBot="1" x14ac:dyDescent="0.3">
      <c r="D2" s="2" t="s">
        <v>0</v>
      </c>
      <c r="F2" s="202" t="s">
        <v>266</v>
      </c>
      <c r="G2" s="203"/>
      <c r="H2" s="2" t="s">
        <v>10</v>
      </c>
      <c r="I2" s="11"/>
      <c r="J2" s="2" t="s">
        <v>15</v>
      </c>
      <c r="K2" s="20">
        <f>L249</f>
        <v>1460</v>
      </c>
      <c r="L2" s="16"/>
      <c r="M2" s="96"/>
      <c r="P2" s="2" t="s">
        <v>0</v>
      </c>
      <c r="R2" s="196" t="str">
        <f>F2</f>
        <v>ESPERANZA</v>
      </c>
      <c r="S2" s="197"/>
      <c r="T2" s="2" t="s">
        <v>10</v>
      </c>
      <c r="U2" s="11"/>
      <c r="V2" s="2" t="s">
        <v>15</v>
      </c>
      <c r="W2" s="21">
        <f>X249</f>
        <v>1520</v>
      </c>
      <c r="X2" s="18"/>
      <c r="Y2" s="96"/>
      <c r="AB2" s="2" t="s">
        <v>0</v>
      </c>
      <c r="AD2" s="196" t="str">
        <f>F2</f>
        <v>ESPERANZA</v>
      </c>
      <c r="AE2" s="197"/>
      <c r="AF2" s="2" t="s">
        <v>10</v>
      </c>
      <c r="AG2" s="11"/>
      <c r="AH2" s="2" t="s">
        <v>15</v>
      </c>
      <c r="AI2" s="21">
        <f>AJ249</f>
        <v>1724</v>
      </c>
      <c r="AJ2" s="18"/>
      <c r="AK2" s="96"/>
      <c r="AN2" s="2" t="s">
        <v>0</v>
      </c>
      <c r="AP2" s="196" t="str">
        <f>F2</f>
        <v>ESPERANZA</v>
      </c>
      <c r="AQ2" s="197"/>
      <c r="AR2" s="2" t="s">
        <v>10</v>
      </c>
      <c r="AS2" s="11"/>
      <c r="AT2" s="2" t="s">
        <v>15</v>
      </c>
      <c r="AU2" s="21">
        <f>AV249</f>
        <v>2076</v>
      </c>
      <c r="AV2" s="18"/>
      <c r="AW2" s="96"/>
      <c r="AZ2" s="2" t="s">
        <v>0</v>
      </c>
      <c r="BB2" s="196" t="str">
        <f>F2</f>
        <v>ESPERANZA</v>
      </c>
      <c r="BC2" s="197"/>
      <c r="BD2" s="2" t="s">
        <v>10</v>
      </c>
      <c r="BE2" s="11"/>
      <c r="BF2" s="2" t="s">
        <v>15</v>
      </c>
      <c r="BG2" s="21">
        <f>BH249</f>
        <v>2081</v>
      </c>
      <c r="BH2" s="18"/>
      <c r="BI2" s="96"/>
      <c r="BL2" s="2" t="s">
        <v>0</v>
      </c>
      <c r="BN2" s="196" t="str">
        <f>F2</f>
        <v>ESPERANZA</v>
      </c>
      <c r="BO2" s="197"/>
      <c r="BP2" s="2" t="s">
        <v>10</v>
      </c>
      <c r="BQ2" s="184"/>
      <c r="BR2" s="2" t="s">
        <v>15</v>
      </c>
      <c r="BS2" s="21">
        <f>BT249</f>
        <v>2241</v>
      </c>
      <c r="BT2" s="18"/>
    </row>
    <row r="3" spans="2:72" ht="15" x14ac:dyDescent="0.25">
      <c r="D3" s="2" t="s">
        <v>113</v>
      </c>
      <c r="F3" s="209" t="s">
        <v>214</v>
      </c>
      <c r="G3" s="210"/>
      <c r="H3" s="2" t="s">
        <v>0</v>
      </c>
      <c r="I3" s="148"/>
      <c r="K3" s="15"/>
      <c r="L3" s="69"/>
      <c r="M3" s="96"/>
      <c r="P3" s="2" t="s">
        <v>113</v>
      </c>
      <c r="R3" s="211" t="s">
        <v>214</v>
      </c>
      <c r="S3" s="212"/>
      <c r="T3" s="2" t="s">
        <v>0</v>
      </c>
      <c r="U3" s="148">
        <f>I3</f>
        <v>0</v>
      </c>
      <c r="W3" s="96"/>
      <c r="X3" s="69"/>
      <c r="Y3" s="96"/>
      <c r="AB3" s="2" t="s">
        <v>113</v>
      </c>
      <c r="AD3" s="211" t="s">
        <v>214</v>
      </c>
      <c r="AE3" s="212"/>
      <c r="AF3" s="2" t="s">
        <v>0</v>
      </c>
      <c r="AG3" s="148">
        <f>U3</f>
        <v>0</v>
      </c>
      <c r="AI3" s="96"/>
      <c r="AJ3" s="69"/>
      <c r="AK3" s="96"/>
      <c r="AN3" s="2" t="s">
        <v>113</v>
      </c>
      <c r="AP3" s="211" t="s">
        <v>210</v>
      </c>
      <c r="AQ3" s="212"/>
      <c r="AR3" s="2" t="s">
        <v>0</v>
      </c>
      <c r="AS3" s="148">
        <f>I3</f>
        <v>0</v>
      </c>
      <c r="AU3" s="96"/>
      <c r="AV3" s="69"/>
      <c r="AW3" s="96"/>
      <c r="AZ3" s="2" t="s">
        <v>113</v>
      </c>
      <c r="BB3" s="211" t="s">
        <v>210</v>
      </c>
      <c r="BC3" s="212"/>
      <c r="BD3" s="2" t="s">
        <v>0</v>
      </c>
      <c r="BE3" s="148">
        <f>I3</f>
        <v>0</v>
      </c>
      <c r="BG3" s="96"/>
      <c r="BH3" s="69"/>
      <c r="BI3" s="96"/>
      <c r="BL3" s="2" t="s">
        <v>113</v>
      </c>
      <c r="BN3" s="211" t="s">
        <v>210</v>
      </c>
      <c r="BO3" s="212"/>
      <c r="BP3" s="2" t="s">
        <v>0</v>
      </c>
      <c r="BQ3" s="148">
        <f>I3</f>
        <v>0</v>
      </c>
      <c r="BS3" s="96"/>
      <c r="BT3" s="69"/>
    </row>
    <row r="4" spans="2:72" ht="15.75" thickBot="1" x14ac:dyDescent="0.3">
      <c r="D4" s="2" t="s">
        <v>1</v>
      </c>
      <c r="F4" s="198" t="s">
        <v>247</v>
      </c>
      <c r="G4" s="199"/>
      <c r="H4" s="2" t="s">
        <v>113</v>
      </c>
      <c r="I4" s="150"/>
      <c r="L4" s="16"/>
      <c r="M4" s="96"/>
      <c r="P4" s="2" t="s">
        <v>1</v>
      </c>
      <c r="R4" s="198" t="s">
        <v>247</v>
      </c>
      <c r="S4" s="199"/>
      <c r="T4" s="2" t="s">
        <v>113</v>
      </c>
      <c r="U4" s="151"/>
      <c r="X4" s="18"/>
      <c r="Y4" s="96"/>
      <c r="AB4" s="2" t="s">
        <v>1</v>
      </c>
      <c r="AD4" s="198" t="s">
        <v>247</v>
      </c>
      <c r="AE4" s="199"/>
      <c r="AF4" s="2" t="s">
        <v>113</v>
      </c>
      <c r="AG4" s="150"/>
      <c r="AJ4" s="18"/>
      <c r="AK4" s="96"/>
      <c r="AN4" s="2" t="s">
        <v>1</v>
      </c>
      <c r="AP4" s="198" t="s">
        <v>245</v>
      </c>
      <c r="AQ4" s="199"/>
      <c r="AR4" s="2" t="s">
        <v>113</v>
      </c>
      <c r="AS4" s="150"/>
      <c r="AV4" s="18"/>
      <c r="AW4" s="96"/>
      <c r="AZ4" s="2" t="s">
        <v>1</v>
      </c>
      <c r="BB4" s="198" t="s">
        <v>245</v>
      </c>
      <c r="BC4" s="199"/>
      <c r="BD4" s="2" t="s">
        <v>113</v>
      </c>
      <c r="BE4" s="151"/>
      <c r="BH4" s="18"/>
      <c r="BI4" s="96"/>
      <c r="BL4" s="2" t="s">
        <v>1</v>
      </c>
      <c r="BN4" s="198" t="s">
        <v>245</v>
      </c>
      <c r="BO4" s="199"/>
      <c r="BP4" s="2" t="s">
        <v>113</v>
      </c>
      <c r="BQ4" s="150"/>
      <c r="BT4" s="18"/>
    </row>
    <row r="5" spans="2:72" ht="15.75" thickBot="1" x14ac:dyDescent="0.3">
      <c r="D5" s="2" t="s">
        <v>2</v>
      </c>
      <c r="F5" s="200">
        <v>18044</v>
      </c>
      <c r="G5" s="201"/>
      <c r="H5" s="2" t="s">
        <v>1</v>
      </c>
      <c r="I5" s="151"/>
      <c r="J5" s="2" t="s">
        <v>103</v>
      </c>
      <c r="K5" s="21"/>
      <c r="L5" s="16"/>
      <c r="M5" s="96"/>
      <c r="P5" s="2" t="s">
        <v>2</v>
      </c>
      <c r="R5" s="200">
        <v>18045</v>
      </c>
      <c r="S5" s="201"/>
      <c r="T5" s="2" t="s">
        <v>1</v>
      </c>
      <c r="U5" s="151"/>
      <c r="V5" s="2" t="s">
        <v>103</v>
      </c>
      <c r="W5" s="21"/>
      <c r="X5" s="18"/>
      <c r="Y5" s="96"/>
      <c r="AB5" s="2" t="s">
        <v>2</v>
      </c>
      <c r="AD5" s="200">
        <v>18046</v>
      </c>
      <c r="AE5" s="201"/>
      <c r="AF5" s="2" t="s">
        <v>1</v>
      </c>
      <c r="AG5" s="151"/>
      <c r="AH5" s="2" t="s">
        <v>103</v>
      </c>
      <c r="AI5" s="21"/>
      <c r="AJ5" s="18"/>
      <c r="AK5" s="96"/>
      <c r="AN5" s="2" t="s">
        <v>2</v>
      </c>
      <c r="AP5" s="200">
        <v>18047</v>
      </c>
      <c r="AQ5" s="201"/>
      <c r="AR5" s="2" t="s">
        <v>1</v>
      </c>
      <c r="AS5" s="151"/>
      <c r="AT5" s="2" t="s">
        <v>103</v>
      </c>
      <c r="AU5" s="21"/>
      <c r="AV5" s="18"/>
      <c r="AW5" s="96"/>
      <c r="AZ5" s="2" t="s">
        <v>2</v>
      </c>
      <c r="BB5" s="200">
        <v>18048</v>
      </c>
      <c r="BC5" s="201"/>
      <c r="BD5" s="2" t="s">
        <v>1</v>
      </c>
      <c r="BE5" s="151"/>
      <c r="BF5" s="2" t="s">
        <v>103</v>
      </c>
      <c r="BG5" s="21"/>
      <c r="BH5" s="18"/>
      <c r="BI5" s="96"/>
      <c r="BL5" s="2" t="s">
        <v>2</v>
      </c>
      <c r="BN5" s="200">
        <v>18049</v>
      </c>
      <c r="BO5" s="201"/>
      <c r="BP5" s="2" t="s">
        <v>1</v>
      </c>
      <c r="BQ5" s="151"/>
      <c r="BR5" s="2" t="s">
        <v>103</v>
      </c>
      <c r="BS5" s="21"/>
      <c r="BT5" s="18"/>
    </row>
    <row r="6" spans="2:72" ht="15" x14ac:dyDescent="0.25">
      <c r="D6" s="2" t="s">
        <v>3</v>
      </c>
      <c r="F6" s="202">
        <v>24</v>
      </c>
      <c r="G6" s="203"/>
      <c r="H6" s="2" t="s">
        <v>114</v>
      </c>
      <c r="I6" s="3" t="e">
        <f>LOOKUP(I2,C15:C248,L15:L249)</f>
        <v>#N/A</v>
      </c>
      <c r="L6" s="16"/>
      <c r="M6" s="96"/>
      <c r="P6" s="2" t="s">
        <v>3</v>
      </c>
      <c r="R6" s="202">
        <v>23</v>
      </c>
      <c r="S6" s="203"/>
      <c r="T6" s="2" t="s">
        <v>114</v>
      </c>
      <c r="U6" s="3" t="e">
        <f>LOOKUP(U2,O15:O248,X15:X249)</f>
        <v>#N/A</v>
      </c>
      <c r="X6" s="18"/>
      <c r="Y6" s="96"/>
      <c r="AB6" s="2" t="s">
        <v>3</v>
      </c>
      <c r="AD6" s="202">
        <v>22</v>
      </c>
      <c r="AE6" s="203"/>
      <c r="AF6" s="2" t="s">
        <v>114</v>
      </c>
      <c r="AG6" s="3" t="e">
        <f>LOOKUP(AG2,AA15:AA249,AJ15:AJ249)</f>
        <v>#N/A</v>
      </c>
      <c r="AJ6" s="18"/>
      <c r="AK6" s="96"/>
      <c r="AN6" s="2" t="s">
        <v>3</v>
      </c>
      <c r="AP6" s="207">
        <v>22</v>
      </c>
      <c r="AQ6" s="208"/>
      <c r="AR6" s="2" t="s">
        <v>114</v>
      </c>
      <c r="AS6" s="3" t="e">
        <f>LOOKUP(AS2,AM15:AM248,AV15:AV249)</f>
        <v>#N/A</v>
      </c>
      <c r="AV6" s="18"/>
      <c r="AW6" s="96"/>
      <c r="AZ6" s="2" t="s">
        <v>3</v>
      </c>
      <c r="BB6" s="202">
        <v>22</v>
      </c>
      <c r="BC6" s="203"/>
      <c r="BD6" s="2" t="s">
        <v>114</v>
      </c>
      <c r="BE6" s="3" t="e">
        <f>LOOKUP(BE2,AY15:AY248,BH15:BH248)</f>
        <v>#N/A</v>
      </c>
      <c r="BH6" s="18"/>
      <c r="BI6" s="96"/>
      <c r="BL6" s="2" t="s">
        <v>3</v>
      </c>
      <c r="BN6" s="202">
        <v>25</v>
      </c>
      <c r="BO6" s="203"/>
      <c r="BP6" s="2" t="s">
        <v>114</v>
      </c>
      <c r="BQ6" s="2" t="e">
        <f>LOOKUP(BQ2,BK15:BK248,BT15:BT249)</f>
        <v>#N/A</v>
      </c>
      <c r="BT6" s="18"/>
    </row>
    <row r="7" spans="2:72" ht="15" x14ac:dyDescent="0.25">
      <c r="B7" s="2" t="s">
        <v>4</v>
      </c>
      <c r="D7" s="37">
        <v>43238</v>
      </c>
      <c r="G7" s="2">
        <v>1</v>
      </c>
      <c r="H7" s="2">
        <v>2</v>
      </c>
      <c r="I7" s="2">
        <v>3</v>
      </c>
      <c r="J7" s="2">
        <v>4</v>
      </c>
      <c r="K7" s="16">
        <v>5</v>
      </c>
      <c r="L7" s="16"/>
      <c r="M7" s="96"/>
      <c r="N7" s="2" t="s">
        <v>4</v>
      </c>
      <c r="P7" s="37">
        <v>43242</v>
      </c>
      <c r="S7" s="2">
        <v>1</v>
      </c>
      <c r="T7" s="2">
        <v>2</v>
      </c>
      <c r="U7" s="2">
        <v>3</v>
      </c>
      <c r="V7" s="2">
        <v>4</v>
      </c>
      <c r="W7" s="18">
        <v>5</v>
      </c>
      <c r="X7" s="18"/>
      <c r="Y7" s="96"/>
      <c r="Z7" s="2" t="s">
        <v>4</v>
      </c>
      <c r="AB7" s="37">
        <v>43247</v>
      </c>
      <c r="AE7" s="2">
        <v>1</v>
      </c>
      <c r="AF7" s="2">
        <v>2</v>
      </c>
      <c r="AG7" s="2">
        <v>3</v>
      </c>
      <c r="AH7" s="2">
        <v>4</v>
      </c>
      <c r="AI7" s="18">
        <v>5</v>
      </c>
      <c r="AJ7" s="18"/>
      <c r="AK7" s="96"/>
      <c r="AL7" s="2" t="s">
        <v>4</v>
      </c>
      <c r="AN7" s="37">
        <v>43254</v>
      </c>
      <c r="AQ7" s="2">
        <v>1</v>
      </c>
      <c r="AR7" s="2">
        <v>2</v>
      </c>
      <c r="AS7" s="2">
        <v>3</v>
      </c>
      <c r="AT7" s="2">
        <v>4</v>
      </c>
      <c r="AU7" s="18">
        <v>5</v>
      </c>
      <c r="AV7" s="18"/>
      <c r="AW7" s="96"/>
      <c r="AX7" s="2" t="s">
        <v>4</v>
      </c>
      <c r="AZ7" s="37">
        <v>43261</v>
      </c>
      <c r="BC7" s="2">
        <v>1</v>
      </c>
      <c r="BD7" s="2">
        <v>2</v>
      </c>
      <c r="BE7" s="2">
        <v>3</v>
      </c>
      <c r="BF7" s="2">
        <v>4</v>
      </c>
      <c r="BG7" s="18">
        <v>5</v>
      </c>
      <c r="BH7" s="18"/>
      <c r="BI7" s="96"/>
      <c r="BJ7" s="2" t="s">
        <v>4</v>
      </c>
      <c r="BL7" s="37">
        <v>43267</v>
      </c>
      <c r="BO7" s="2">
        <v>1</v>
      </c>
      <c r="BP7" s="2">
        <v>2</v>
      </c>
      <c r="BQ7" s="2">
        <v>3</v>
      </c>
      <c r="BR7" s="2">
        <v>4</v>
      </c>
      <c r="BS7" s="18">
        <v>5</v>
      </c>
      <c r="BT7" s="18"/>
    </row>
    <row r="8" spans="2:72" ht="15" x14ac:dyDescent="0.25">
      <c r="B8" s="2" t="s">
        <v>5</v>
      </c>
      <c r="D8" s="38">
        <f>G8</f>
        <v>43262</v>
      </c>
      <c r="E8" s="204" t="s">
        <v>76</v>
      </c>
      <c r="F8" s="205"/>
      <c r="G8" s="37">
        <v>43262</v>
      </c>
      <c r="H8" s="6">
        <v>43265</v>
      </c>
      <c r="I8" s="6"/>
      <c r="J8" s="6"/>
      <c r="K8" s="7"/>
      <c r="L8" s="14"/>
      <c r="M8" s="14"/>
      <c r="N8" s="2" t="s">
        <v>5</v>
      </c>
      <c r="P8" s="38">
        <f>S8</f>
        <v>43265</v>
      </c>
      <c r="Q8" s="204" t="s">
        <v>76</v>
      </c>
      <c r="R8" s="205"/>
      <c r="S8" s="37">
        <v>43265</v>
      </c>
      <c r="T8" s="37">
        <v>43269</v>
      </c>
      <c r="U8" s="37"/>
      <c r="V8" s="6"/>
      <c r="W8" s="100"/>
      <c r="X8" s="14"/>
      <c r="Y8" s="14"/>
      <c r="Z8" s="2" t="s">
        <v>5</v>
      </c>
      <c r="AB8" s="38">
        <f>AE8</f>
        <v>43269</v>
      </c>
      <c r="AC8" s="204" t="s">
        <v>76</v>
      </c>
      <c r="AD8" s="205"/>
      <c r="AE8" s="37">
        <v>43269</v>
      </c>
      <c r="AF8" s="37">
        <v>43273</v>
      </c>
      <c r="AG8" s="6">
        <v>43276</v>
      </c>
      <c r="AH8" s="6"/>
      <c r="AI8" s="100"/>
      <c r="AJ8" s="14"/>
      <c r="AK8" s="14"/>
      <c r="AL8" s="2" t="s">
        <v>5</v>
      </c>
      <c r="AN8" s="38">
        <f>AQ8</f>
        <v>43276</v>
      </c>
      <c r="AO8" s="204" t="s">
        <v>76</v>
      </c>
      <c r="AP8" s="205"/>
      <c r="AQ8" s="37">
        <v>43276</v>
      </c>
      <c r="AR8" s="37">
        <v>43280</v>
      </c>
      <c r="AS8" s="6">
        <v>43283</v>
      </c>
      <c r="AT8" s="6"/>
      <c r="AU8" s="100"/>
      <c r="AV8" s="14"/>
      <c r="AW8" s="14"/>
      <c r="AX8" s="2" t="s">
        <v>5</v>
      </c>
      <c r="AZ8" s="38">
        <f>BC8</f>
        <v>43283</v>
      </c>
      <c r="BA8" s="204" t="s">
        <v>76</v>
      </c>
      <c r="BB8" s="205"/>
      <c r="BC8" s="37">
        <v>43283</v>
      </c>
      <c r="BD8" s="37">
        <v>43287</v>
      </c>
      <c r="BE8" s="6">
        <v>43292</v>
      </c>
      <c r="BF8" s="6"/>
      <c r="BG8" s="100"/>
      <c r="BH8" s="14"/>
      <c r="BI8" s="14"/>
      <c r="BJ8" s="2" t="s">
        <v>5</v>
      </c>
      <c r="BL8" s="5">
        <f>BO8</f>
        <v>43292</v>
      </c>
      <c r="BM8" s="204" t="s">
        <v>76</v>
      </c>
      <c r="BN8" s="205"/>
      <c r="BO8" s="37">
        <v>43292</v>
      </c>
      <c r="BP8" s="6">
        <v>43294</v>
      </c>
      <c r="BQ8" s="6"/>
      <c r="BR8" s="6"/>
      <c r="BS8" s="100"/>
      <c r="BT8" s="14"/>
    </row>
    <row r="9" spans="2:72" ht="15" x14ac:dyDescent="0.25">
      <c r="B9" s="2" t="s">
        <v>6</v>
      </c>
      <c r="D9" s="39">
        <f>G9+H9+I9+J9+K9</f>
        <v>2200</v>
      </c>
      <c r="E9" s="206" t="s">
        <v>17</v>
      </c>
      <c r="F9" s="192"/>
      <c r="G9" s="40">
        <v>944</v>
      </c>
      <c r="H9" s="165">
        <v>1256</v>
      </c>
      <c r="I9" s="9"/>
      <c r="J9" s="9"/>
      <c r="K9" s="10"/>
      <c r="L9" s="15"/>
      <c r="M9" s="15"/>
      <c r="N9" s="2" t="s">
        <v>6</v>
      </c>
      <c r="P9" s="39">
        <f>S9+T9+U9+V9+W9</f>
        <v>2200</v>
      </c>
      <c r="Q9" s="206" t="s">
        <v>17</v>
      </c>
      <c r="R9" s="192"/>
      <c r="S9" s="40">
        <v>427</v>
      </c>
      <c r="T9" s="40">
        <v>1773</v>
      </c>
      <c r="U9" s="40"/>
      <c r="V9" s="9"/>
      <c r="W9" s="101"/>
      <c r="X9" s="15"/>
      <c r="Y9" s="15"/>
      <c r="Z9" s="2" t="s">
        <v>6</v>
      </c>
      <c r="AB9" s="39">
        <f>AE9+AF9+AG9+AH9+AI9</f>
        <v>2200</v>
      </c>
      <c r="AC9" s="206" t="s">
        <v>17</v>
      </c>
      <c r="AD9" s="192"/>
      <c r="AE9" s="40">
        <v>23</v>
      </c>
      <c r="AF9" s="40">
        <v>1519</v>
      </c>
      <c r="AG9" s="9">
        <v>658</v>
      </c>
      <c r="AH9" s="9"/>
      <c r="AI9" s="101"/>
      <c r="AJ9" s="15"/>
      <c r="AK9" s="15"/>
      <c r="AL9" s="2" t="s">
        <v>6</v>
      </c>
      <c r="AN9" s="39">
        <f>AQ9+AR9+AS9+AT9+AU9</f>
        <v>2200</v>
      </c>
      <c r="AO9" s="206" t="s">
        <v>17</v>
      </c>
      <c r="AP9" s="192"/>
      <c r="AQ9" s="40">
        <v>672</v>
      </c>
      <c r="AR9" s="40">
        <v>1051</v>
      </c>
      <c r="AS9" s="9">
        <v>477</v>
      </c>
      <c r="AT9" s="9"/>
      <c r="AU9" s="101"/>
      <c r="AV9" s="15"/>
      <c r="AW9" s="15"/>
      <c r="AX9" s="2" t="s">
        <v>6</v>
      </c>
      <c r="AZ9" s="8">
        <f>BC9+BD9+BE9+BF9+BG9</f>
        <v>2200</v>
      </c>
      <c r="BA9" s="206" t="s">
        <v>17</v>
      </c>
      <c r="BB9" s="192"/>
      <c r="BC9" s="40">
        <v>668</v>
      </c>
      <c r="BD9" s="40">
        <v>1383</v>
      </c>
      <c r="BE9" s="9">
        <v>149</v>
      </c>
      <c r="BF9" s="9"/>
      <c r="BG9" s="101"/>
      <c r="BH9" s="15"/>
      <c r="BI9" s="15"/>
      <c r="BJ9" s="2" t="s">
        <v>6</v>
      </c>
      <c r="BL9" s="8">
        <f>BO9+BP9+BQ9+BR9+BS9</f>
        <v>2314</v>
      </c>
      <c r="BM9" s="206" t="s">
        <v>17</v>
      </c>
      <c r="BN9" s="192"/>
      <c r="BO9" s="183">
        <v>1000</v>
      </c>
      <c r="BP9" s="165">
        <v>1314</v>
      </c>
      <c r="BQ9" s="9"/>
      <c r="BR9" s="9"/>
      <c r="BS9" s="101"/>
      <c r="BT9" s="15"/>
    </row>
    <row r="10" spans="2:72" ht="15" x14ac:dyDescent="0.25">
      <c r="B10" s="2" t="s">
        <v>7</v>
      </c>
      <c r="D10" s="39">
        <f>G10+H10+I10+J10+K10</f>
        <v>11925</v>
      </c>
      <c r="E10" s="206" t="s">
        <v>13</v>
      </c>
      <c r="F10" s="192"/>
      <c r="G10" s="40">
        <v>11925</v>
      </c>
      <c r="H10" s="9"/>
      <c r="I10" s="9"/>
      <c r="J10" s="9"/>
      <c r="K10" s="10"/>
      <c r="L10" s="15"/>
      <c r="M10" s="15"/>
      <c r="N10" s="2" t="s">
        <v>7</v>
      </c>
      <c r="P10" s="39">
        <f>S10+T10+U10+V10+W10</f>
        <v>13684</v>
      </c>
      <c r="Q10" s="206" t="s">
        <v>13</v>
      </c>
      <c r="R10" s="192"/>
      <c r="S10" s="40">
        <v>13684</v>
      </c>
      <c r="T10" s="40"/>
      <c r="U10" s="40"/>
      <c r="V10" s="9"/>
      <c r="W10" s="101"/>
      <c r="X10" s="15"/>
      <c r="Y10" s="15"/>
      <c r="Z10" s="2" t="s">
        <v>7</v>
      </c>
      <c r="AB10" s="39">
        <f>AE10+AF10+AG10+AH10+AI10</f>
        <v>13976</v>
      </c>
      <c r="AC10" s="206" t="s">
        <v>13</v>
      </c>
      <c r="AD10" s="192"/>
      <c r="AE10" s="40">
        <v>13976</v>
      </c>
      <c r="AF10" s="40"/>
      <c r="AG10" s="9"/>
      <c r="AH10" s="9"/>
      <c r="AI10" s="101"/>
      <c r="AJ10" s="15"/>
      <c r="AK10" s="15"/>
      <c r="AL10" s="2" t="s">
        <v>7</v>
      </c>
      <c r="AN10" s="39">
        <f>AQ10+AR10+AS10+AT10+AU10</f>
        <v>12759</v>
      </c>
      <c r="AO10" s="206" t="s">
        <v>13</v>
      </c>
      <c r="AP10" s="192"/>
      <c r="AQ10" s="40">
        <v>12759</v>
      </c>
      <c r="AR10" s="40"/>
      <c r="AS10" s="9"/>
      <c r="AT10" s="9"/>
      <c r="AU10" s="101"/>
      <c r="AV10" s="15"/>
      <c r="AW10" s="15"/>
      <c r="AX10" s="2" t="s">
        <v>7</v>
      </c>
      <c r="AZ10" s="8">
        <f>BC10+BD10+BE10+BF10+BG10</f>
        <v>13502</v>
      </c>
      <c r="BA10" s="206" t="s">
        <v>13</v>
      </c>
      <c r="BB10" s="192"/>
      <c r="BC10" s="40">
        <v>13502</v>
      </c>
      <c r="BD10" s="40"/>
      <c r="BE10" s="9"/>
      <c r="BF10" s="9"/>
      <c r="BG10" s="101"/>
      <c r="BH10" s="15"/>
      <c r="BI10" s="15"/>
      <c r="BJ10" s="2" t="s">
        <v>7</v>
      </c>
      <c r="BL10" s="8">
        <f>BO10+BP10+BQ10+BR10+BS10</f>
        <v>14259</v>
      </c>
      <c r="BM10" s="206" t="s">
        <v>13</v>
      </c>
      <c r="BN10" s="192"/>
      <c r="BO10" s="183">
        <v>14259</v>
      </c>
      <c r="BP10" s="9"/>
      <c r="BQ10" s="9"/>
      <c r="BR10" s="9"/>
      <c r="BS10" s="101"/>
      <c r="BT10" s="15"/>
    </row>
    <row r="11" spans="2:72" x14ac:dyDescent="0.2">
      <c r="B11" s="2" t="s">
        <v>8</v>
      </c>
      <c r="D11" s="8">
        <f>D10/D9</f>
        <v>5.4204545454545459</v>
      </c>
      <c r="L11" s="15"/>
      <c r="M11" s="15"/>
      <c r="N11" s="2" t="s">
        <v>8</v>
      </c>
      <c r="P11" s="8">
        <f>P10/P9</f>
        <v>6.22</v>
      </c>
      <c r="X11" s="15"/>
      <c r="Y11" s="15"/>
      <c r="Z11" s="2" t="s">
        <v>8</v>
      </c>
      <c r="AB11" s="8">
        <f>AB10/AB9</f>
        <v>6.3527272727272726</v>
      </c>
      <c r="AJ11" s="15"/>
      <c r="AK11" s="15"/>
      <c r="AL11" s="2" t="s">
        <v>8</v>
      </c>
      <c r="AN11" s="8">
        <f>AN10/AN9</f>
        <v>5.7995454545454548</v>
      </c>
      <c r="AV11" s="15"/>
      <c r="AW11" s="15"/>
      <c r="AX11" s="2" t="s">
        <v>8</v>
      </c>
      <c r="AZ11" s="8">
        <f>AZ10/AZ9</f>
        <v>6.1372727272727277</v>
      </c>
      <c r="BH11" s="15"/>
      <c r="BI11" s="15"/>
      <c r="BJ11" s="2" t="s">
        <v>8</v>
      </c>
      <c r="BL11" s="8">
        <f>BL10/BL9</f>
        <v>6.1620570440795159</v>
      </c>
      <c r="BT11" s="15"/>
    </row>
    <row r="12" spans="2:72" x14ac:dyDescent="0.2"/>
    <row r="13" spans="2:72" x14ac:dyDescent="0.2">
      <c r="H13" s="193" t="s">
        <v>79</v>
      </c>
      <c r="I13" s="194"/>
      <c r="J13" s="193" t="s">
        <v>16</v>
      </c>
      <c r="K13" s="194"/>
      <c r="L13" s="16"/>
      <c r="M13" s="96"/>
      <c r="T13" s="193" t="s">
        <v>79</v>
      </c>
      <c r="U13" s="194"/>
      <c r="V13" s="193" t="s">
        <v>16</v>
      </c>
      <c r="W13" s="194"/>
      <c r="X13" s="18"/>
      <c r="Y13" s="96"/>
      <c r="AF13" s="193" t="s">
        <v>79</v>
      </c>
      <c r="AG13" s="194"/>
      <c r="AH13" s="193" t="s">
        <v>16</v>
      </c>
      <c r="AI13" s="194"/>
      <c r="AJ13" s="18"/>
      <c r="AK13" s="96"/>
      <c r="AR13" s="193" t="s">
        <v>79</v>
      </c>
      <c r="AS13" s="194"/>
      <c r="AT13" s="193" t="s">
        <v>16</v>
      </c>
      <c r="AU13" s="194"/>
      <c r="AV13" s="18"/>
      <c r="AW13" s="96"/>
      <c r="BD13" s="193" t="s">
        <v>79</v>
      </c>
      <c r="BE13" s="194"/>
      <c r="BF13" s="193" t="s">
        <v>16</v>
      </c>
      <c r="BG13" s="194"/>
      <c r="BH13" s="18"/>
      <c r="BI13" s="96"/>
      <c r="BP13" s="193" t="s">
        <v>79</v>
      </c>
      <c r="BQ13" s="194"/>
      <c r="BR13" s="193" t="s">
        <v>16</v>
      </c>
      <c r="BS13" s="194"/>
      <c r="BT13" s="18"/>
    </row>
    <row r="14" spans="2:72" x14ac:dyDescent="0.2">
      <c r="B14" s="17" t="s">
        <v>9</v>
      </c>
      <c r="C14" s="17" t="s">
        <v>10</v>
      </c>
      <c r="D14" s="17" t="s">
        <v>11</v>
      </c>
      <c r="E14" s="195" t="s">
        <v>12</v>
      </c>
      <c r="F14" s="195"/>
      <c r="G14" s="17" t="s">
        <v>13</v>
      </c>
      <c r="H14" s="17" t="s">
        <v>77</v>
      </c>
      <c r="I14" s="17" t="s">
        <v>78</v>
      </c>
      <c r="J14" s="17" t="s">
        <v>14</v>
      </c>
      <c r="K14" s="17" t="s">
        <v>13</v>
      </c>
      <c r="L14" s="97" t="s">
        <v>15</v>
      </c>
      <c r="M14" s="96"/>
      <c r="N14" s="97" t="s">
        <v>9</v>
      </c>
      <c r="O14" s="19" t="s">
        <v>10</v>
      </c>
      <c r="P14" s="19" t="s">
        <v>11</v>
      </c>
      <c r="Q14" s="195" t="s">
        <v>12</v>
      </c>
      <c r="R14" s="195"/>
      <c r="S14" s="19" t="s">
        <v>13</v>
      </c>
      <c r="T14" s="19" t="s">
        <v>77</v>
      </c>
      <c r="U14" s="19" t="s">
        <v>78</v>
      </c>
      <c r="V14" s="19" t="s">
        <v>14</v>
      </c>
      <c r="W14" s="19" t="s">
        <v>13</v>
      </c>
      <c r="X14" s="97" t="s">
        <v>15</v>
      </c>
      <c r="Y14" s="96"/>
      <c r="Z14" s="97" t="s">
        <v>9</v>
      </c>
      <c r="AA14" s="19" t="s">
        <v>10</v>
      </c>
      <c r="AB14" s="19" t="s">
        <v>11</v>
      </c>
      <c r="AC14" s="195" t="s">
        <v>12</v>
      </c>
      <c r="AD14" s="195"/>
      <c r="AE14" s="19" t="s">
        <v>13</v>
      </c>
      <c r="AF14" s="19" t="s">
        <v>77</v>
      </c>
      <c r="AG14" s="19" t="s">
        <v>78</v>
      </c>
      <c r="AH14" s="19" t="s">
        <v>14</v>
      </c>
      <c r="AI14" s="19" t="s">
        <v>13</v>
      </c>
      <c r="AJ14" s="97" t="s">
        <v>15</v>
      </c>
      <c r="AK14" s="96"/>
      <c r="AL14" s="97" t="s">
        <v>9</v>
      </c>
      <c r="AM14" s="19" t="s">
        <v>10</v>
      </c>
      <c r="AN14" s="19" t="s">
        <v>11</v>
      </c>
      <c r="AO14" s="195" t="s">
        <v>12</v>
      </c>
      <c r="AP14" s="195"/>
      <c r="AQ14" s="19" t="s">
        <v>13</v>
      </c>
      <c r="AR14" s="19" t="s">
        <v>77</v>
      </c>
      <c r="AS14" s="19" t="s">
        <v>78</v>
      </c>
      <c r="AT14" s="19" t="s">
        <v>14</v>
      </c>
      <c r="AU14" s="19" t="s">
        <v>13</v>
      </c>
      <c r="AV14" s="97" t="s">
        <v>15</v>
      </c>
      <c r="AW14" s="96"/>
      <c r="AX14" s="97" t="s">
        <v>9</v>
      </c>
      <c r="AY14" s="19" t="s">
        <v>10</v>
      </c>
      <c r="AZ14" s="19" t="s">
        <v>11</v>
      </c>
      <c r="BA14" s="195" t="s">
        <v>12</v>
      </c>
      <c r="BB14" s="195"/>
      <c r="BC14" s="19" t="s">
        <v>13</v>
      </c>
      <c r="BD14" s="19" t="s">
        <v>77</v>
      </c>
      <c r="BE14" s="19" t="s">
        <v>78</v>
      </c>
      <c r="BF14" s="19" t="s">
        <v>14</v>
      </c>
      <c r="BG14" s="19" t="s">
        <v>13</v>
      </c>
      <c r="BH14" s="97" t="s">
        <v>15</v>
      </c>
      <c r="BI14" s="96"/>
      <c r="BJ14" s="97" t="s">
        <v>9</v>
      </c>
      <c r="BK14" s="19" t="s">
        <v>10</v>
      </c>
      <c r="BL14" s="19" t="s">
        <v>11</v>
      </c>
      <c r="BM14" s="195" t="s">
        <v>12</v>
      </c>
      <c r="BN14" s="195"/>
      <c r="BO14" s="19" t="s">
        <v>13</v>
      </c>
      <c r="BP14" s="19" t="s">
        <v>77</v>
      </c>
      <c r="BQ14" s="19" t="s">
        <v>78</v>
      </c>
      <c r="BR14" s="19" t="s">
        <v>14</v>
      </c>
      <c r="BS14" s="19" t="s">
        <v>13</v>
      </c>
      <c r="BT14" s="97" t="s">
        <v>15</v>
      </c>
    </row>
    <row r="15" spans="2:72" x14ac:dyDescent="0.2">
      <c r="B15" s="3">
        <f>WEEKNUM(C15-$D$7)</f>
        <v>4</v>
      </c>
      <c r="C15" s="11">
        <f>D8</f>
        <v>43262</v>
      </c>
      <c r="D15" s="3">
        <f>F6</f>
        <v>24</v>
      </c>
      <c r="E15" s="3">
        <f>SUMIF(MORTALIDAD!$B$6:$B$200,RESUMEN!C15,MORTALIDAD!$F$6:$F$200)</f>
        <v>0</v>
      </c>
      <c r="F15" s="17">
        <f>E15</f>
        <v>0</v>
      </c>
      <c r="G15" s="3">
        <f>SUMIF(MORTALIDAD!$B$6:$B$200,RESUMEN!C15,MORTALIDAD!$G$6:$G$200)</f>
        <v>0</v>
      </c>
      <c r="H15" s="3">
        <f>SUMIF(TRASLADOS!$B$6:$B$200,C15,TRASLADOS!$E$6:$E$200)</f>
        <v>0</v>
      </c>
      <c r="I15" s="3">
        <f>SUMIF(TRASLADOS!$B$6:$B$200,C15,TRASLADOS!$F$6:$F$200)</f>
        <v>0</v>
      </c>
      <c r="J15" s="3">
        <f>SUMIF(VENTAS!$B$6:$B$200,RESUMEN!C15,VENTAS!$F$6:$F$200)</f>
        <v>0</v>
      </c>
      <c r="K15" s="3">
        <f>SUMIF(VENTAS!$B$6:$B$200,RESUMEN!C15,VENTAS!$G$6:$G$200)</f>
        <v>0</v>
      </c>
      <c r="L15" s="97">
        <f>D9-E15+H15-J15</f>
        <v>2200</v>
      </c>
      <c r="M15" s="96"/>
      <c r="N15" s="99">
        <f>WEEKNUM(O15-$P$7)</f>
        <v>4</v>
      </c>
      <c r="O15" s="11">
        <f>P8</f>
        <v>43265</v>
      </c>
      <c r="P15" s="3">
        <f>R6</f>
        <v>23</v>
      </c>
      <c r="Q15" s="3">
        <f>SUMIF(MORTALIDAD!$J:$J,RESUMEN!O15,MORTALIDAD!$N:$N)</f>
        <v>0</v>
      </c>
      <c r="R15" s="19">
        <f>Q15</f>
        <v>0</v>
      </c>
      <c r="S15" s="3">
        <f>SUMIF(MORTALIDAD!$J:$J,RESUMEN!O15,MORTALIDAD!$O:$O)</f>
        <v>0</v>
      </c>
      <c r="T15" s="3">
        <f>SUMIF(TRASLADOS!$K:$K,RESUMEN!O15,TRASLADOS!$N:$N)</f>
        <v>0</v>
      </c>
      <c r="U15" s="3">
        <f>SUMIF(TRASLADOS!$K:$K,RESUMEN!O15,TRASLADOS!$O:$O)</f>
        <v>0</v>
      </c>
      <c r="V15" s="3">
        <f>SUMIF(VENTAS!$J:$J,RESUMEN!O15,VENTAS!$N:$N)</f>
        <v>0</v>
      </c>
      <c r="W15" s="3">
        <f>SUMIF(VENTAS!$J:$J,RESUMEN!O15,VENTAS!$O:$O)</f>
        <v>0</v>
      </c>
      <c r="X15" s="97">
        <f>P9+Q15+T15+U15+V15</f>
        <v>2200</v>
      </c>
      <c r="Y15" s="96"/>
      <c r="Z15" s="99">
        <f>WEEKNUM(AA15-$AB$7)</f>
        <v>4</v>
      </c>
      <c r="AA15" s="11">
        <f>AB8</f>
        <v>43269</v>
      </c>
      <c r="AB15" s="3">
        <f>AD6</f>
        <v>22</v>
      </c>
      <c r="AC15" s="3">
        <f>SUMIF(MORTALIDAD!$R:$R,RESUMEN!AA15,MORTALIDAD!$V:$V)</f>
        <v>0</v>
      </c>
      <c r="AD15" s="19">
        <f>AC15</f>
        <v>0</v>
      </c>
      <c r="AE15" s="3">
        <f>SUMIF(MORTALIDAD!$R:$R,RESUMEN!AA15,MORTALIDAD!$W:$W)</f>
        <v>0</v>
      </c>
      <c r="AF15" s="3">
        <f>SUMIF(TRASLADOS!$T:$T,RESUMEN!AA15,TRASLADOS!$W:$W)</f>
        <v>0</v>
      </c>
      <c r="AG15" s="3">
        <f>SUMIF(TRASLADOS!$T:$T,RESUMEN!AA15,TRASLADOS!$X:$X)</f>
        <v>0</v>
      </c>
      <c r="AH15" s="3">
        <f>SUMIF(VENTAS!$R:$R,RESUMEN!AA15,VENTAS!$V:$V)</f>
        <v>0</v>
      </c>
      <c r="AI15" s="3">
        <f>SUMIF(VENTAS!$R:$R,RESUMEN!AA15,VENTAS!$W:$W)</f>
        <v>0</v>
      </c>
      <c r="AJ15" s="97">
        <f>AB9+AC15+AF15+AG15+AH15</f>
        <v>2200</v>
      </c>
      <c r="AK15" s="96"/>
      <c r="AL15" s="99">
        <f>WEEKNUM(AM15-$AN$7)</f>
        <v>4</v>
      </c>
      <c r="AM15" s="11">
        <f>AN8</f>
        <v>43276</v>
      </c>
      <c r="AN15" s="3">
        <f>AP6</f>
        <v>22</v>
      </c>
      <c r="AO15" s="3">
        <f>SUMIF(MORTALIDAD!$Z:$Z,RESUMEN!AM15,MORTALIDAD!$AD:$AD)</f>
        <v>0</v>
      </c>
      <c r="AP15" s="19">
        <f>AO15</f>
        <v>0</v>
      </c>
      <c r="AQ15" s="3">
        <f>SUMIF(MORTALIDAD!$Z:$Z,RESUMEN!AM15,MORTALIDAD!$AE:$AE)</f>
        <v>0</v>
      </c>
      <c r="AR15" s="3">
        <f>SUMIF(TRASLADOS!$AC:$AC,RESUMEN!AM15,TRASLADOS!$AF:$AF)</f>
        <v>0</v>
      </c>
      <c r="AS15" s="3">
        <f>SUMIF(TRASLADOS!$AC:$AC,RESUMEN!AM15,TRASLADOS!$AG:$AG)</f>
        <v>0</v>
      </c>
      <c r="AT15" s="3">
        <f>SUMIF(VENTAS!$Z:$Z,RESUMEN!AM15,VENTAS!$AD:$AD)</f>
        <v>0</v>
      </c>
      <c r="AU15" s="3">
        <f>SUMIF(VENTAS!$Z:$Z,RESUMEN!AM15,VENTAS!$AE:$AE)</f>
        <v>0</v>
      </c>
      <c r="AV15" s="97">
        <f>AN9+AO15+AR15+AS15+AT15</f>
        <v>2200</v>
      </c>
      <c r="AW15" s="96"/>
      <c r="AX15" s="99">
        <f>WEEKNUM(AY15-$AZ$7)</f>
        <v>4</v>
      </c>
      <c r="AY15" s="11">
        <f>AZ8</f>
        <v>43283</v>
      </c>
      <c r="AZ15" s="3">
        <f>BB6</f>
        <v>22</v>
      </c>
      <c r="BA15" s="3">
        <f>SUMIF(MORTALIDAD!$AH:$AH,RESUMEN!AY15,MORTALIDAD!$AL:$AL)</f>
        <v>0</v>
      </c>
      <c r="BB15" s="19">
        <f>BA15</f>
        <v>0</v>
      </c>
      <c r="BC15" s="3">
        <f>SUMIF(MORTALIDAD!$AH:$AH,RESUMEN!AY15,MORTALIDAD!$AM:$AM)</f>
        <v>0</v>
      </c>
      <c r="BD15" s="3">
        <f>SUMIF(TRASLADOS!$AL:$AL,RESUMEN!AY15,TRASLADOS!$AO:$AO)</f>
        <v>0</v>
      </c>
      <c r="BE15" s="3">
        <f>SUMIF(TRASLADOS!$AL:$AL,RESUMEN!AY15,TRASLADOS!$AP:$AP)</f>
        <v>0</v>
      </c>
      <c r="BF15" s="3">
        <f>SUMIF(VENTAS!$AH:$AH,RESUMEN!AY15,VENTAS!$AL:$AL)</f>
        <v>0</v>
      </c>
      <c r="BG15" s="3">
        <f>SUMIF(VENTAS!$AH:$AH,RESUMEN!AY15,VENTAS!$AM:$AM)</f>
        <v>0</v>
      </c>
      <c r="BH15" s="97">
        <f>AZ9+BA15+BD15+BE15+BF15</f>
        <v>2200</v>
      </c>
      <c r="BI15" s="96"/>
      <c r="BJ15" s="99">
        <f>WEEKNUM(BK15-$BL$7)</f>
        <v>4</v>
      </c>
      <c r="BK15" s="11">
        <f>BL8</f>
        <v>43292</v>
      </c>
      <c r="BL15" s="3">
        <f>BN6</f>
        <v>25</v>
      </c>
      <c r="BM15" s="3">
        <f>SUMIF(MORTALIDAD!$AP:$AP,RESUMEN!BK15,MORTALIDAD!$AT:$AT)</f>
        <v>0</v>
      </c>
      <c r="BN15" s="19">
        <f>BM15</f>
        <v>0</v>
      </c>
      <c r="BO15" s="3">
        <f>SUMIF(MORTALIDAD!$AP:$AP,RESUMEN!BK15,MORTALIDAD!$AU:$AU)</f>
        <v>0</v>
      </c>
      <c r="BP15" s="3">
        <f>SUMIF(TRASLADOS!$AU:$AU,RESUMEN!BK15,TRASLADOS!$AX:$AX)</f>
        <v>0</v>
      </c>
      <c r="BQ15" s="3">
        <f>SUMIF(TRASLADOS!$AU:$AU,RESUMEN!BK15,TRASLADOS!$AY:$AY)</f>
        <v>0</v>
      </c>
      <c r="BR15" s="3">
        <f>SUMIF(VENTAS!$AP:$AP,RESUMEN!BK15,VENTAS!$AT:$AT)</f>
        <v>0</v>
      </c>
      <c r="BS15" s="3">
        <f>SUMIF(VENTAS!$AP:$AP,RESUMEN!BK15,VENTAS!$AU:$AU)</f>
        <v>0</v>
      </c>
      <c r="BT15" s="19">
        <f>BL9+BM15+BP15+BQ15+BR15</f>
        <v>2314</v>
      </c>
    </row>
    <row r="16" spans="2:72" x14ac:dyDescent="0.2">
      <c r="B16" s="3">
        <f t="shared" ref="B16:B79" si="0">WEEKNUM(C16-$D$7)</f>
        <v>4</v>
      </c>
      <c r="C16" s="11">
        <f>C15+1</f>
        <v>43263</v>
      </c>
      <c r="D16" s="3">
        <f>D15+1</f>
        <v>25</v>
      </c>
      <c r="E16" s="3">
        <f>SUMIF(MORTALIDAD!$B$6:$B$200,RESUMEN!C16,MORTALIDAD!$F$6:$F$200)</f>
        <v>-4</v>
      </c>
      <c r="F16" s="17">
        <f>F15+E16</f>
        <v>-4</v>
      </c>
      <c r="G16" s="3">
        <f>SUMIF(MORTALIDAD!$B$6:$B$200,RESUMEN!C16,MORTALIDAD!$G$6:$G$200)</f>
        <v>16</v>
      </c>
      <c r="H16" s="3">
        <f>SUMIF(TRASLADOS!$B$6:$B$200,C16,TRASLADOS!$E$6:$E$200)</f>
        <v>0</v>
      </c>
      <c r="I16" s="3">
        <f>SUMIF(TRASLADOS!$B$6:$B$200,C16,TRASLADOS!$F$6:$F$200)</f>
        <v>0</v>
      </c>
      <c r="J16" s="3">
        <f>SUMIF(VENTAS!$B$6:$B$200,RESUMEN!C16,VENTAS!$F$6:$F$200)</f>
        <v>0</v>
      </c>
      <c r="K16" s="3">
        <f>SUMIF(VENTAS!$B$6:$B$200,RESUMEN!C16,VENTAS!$G$6:$G$200)</f>
        <v>0</v>
      </c>
      <c r="L16" s="97">
        <f>L15+E16+H16+I16+J16</f>
        <v>2196</v>
      </c>
      <c r="M16" s="96"/>
      <c r="N16" s="99">
        <f t="shared" ref="N16:N79" si="1">WEEKNUM(O16-$P$7)</f>
        <v>4</v>
      </c>
      <c r="O16" s="11">
        <f>O15+1</f>
        <v>43266</v>
      </c>
      <c r="P16" s="3">
        <f>P15+1</f>
        <v>24</v>
      </c>
      <c r="Q16" s="3">
        <f>SUMIF(MORTALIDAD!$J:$J,RESUMEN!O16,MORTALIDAD!$N:$N)</f>
        <v>0</v>
      </c>
      <c r="R16" s="19">
        <f>R15+Q16</f>
        <v>0</v>
      </c>
      <c r="S16" s="3">
        <f>SUMIF(MORTALIDAD!$J:$J,RESUMEN!O16,MORTALIDAD!$O:$O)</f>
        <v>0</v>
      </c>
      <c r="T16" s="3">
        <f>SUMIF(TRASLADOS!$K:$K,RESUMEN!O16,TRASLADOS!$N:$N)</f>
        <v>0</v>
      </c>
      <c r="U16" s="3">
        <f>SUMIF(TRASLADOS!$K:$K,RESUMEN!O16,TRASLADOS!$O:$O)</f>
        <v>0</v>
      </c>
      <c r="V16" s="3">
        <f>SUMIF(VENTAS!$J:$J,RESUMEN!O16,VENTAS!$N:$N)</f>
        <v>0</v>
      </c>
      <c r="W16" s="3">
        <f>SUMIF(VENTAS!$J:$J,RESUMEN!O16,VENTAS!$O:$O)</f>
        <v>0</v>
      </c>
      <c r="X16" s="97">
        <f>X15+Q16+T16+U16+V16</f>
        <v>2200</v>
      </c>
      <c r="Y16" s="96"/>
      <c r="Z16" s="99">
        <f t="shared" ref="Z16:Z79" si="2">WEEKNUM(AA16-$AB$7)</f>
        <v>4</v>
      </c>
      <c r="AA16" s="11">
        <f>AA15+1</f>
        <v>43270</v>
      </c>
      <c r="AB16" s="3">
        <f>AB15+1</f>
        <v>23</v>
      </c>
      <c r="AC16" s="3">
        <f>SUMIF(MORTALIDAD!$R:$R,RESUMEN!AA16,MORTALIDAD!$V:$V)</f>
        <v>0</v>
      </c>
      <c r="AD16" s="19">
        <f>AD15+AC16</f>
        <v>0</v>
      </c>
      <c r="AE16" s="3">
        <f>SUMIF(MORTALIDAD!$R:$R,RESUMEN!AA16,MORTALIDAD!$W:$W)</f>
        <v>0</v>
      </c>
      <c r="AF16" s="3">
        <f>SUMIF(TRASLADOS!$T:$T,RESUMEN!AA16,TRASLADOS!$W:$W)</f>
        <v>0</v>
      </c>
      <c r="AG16" s="3">
        <f>SUMIF(TRASLADOS!$T:$T,RESUMEN!AA16,TRASLADOS!$X:$X)</f>
        <v>0</v>
      </c>
      <c r="AH16" s="3">
        <f>SUMIF(VENTAS!$R:$R,RESUMEN!AA16,VENTAS!$V:$V)</f>
        <v>0</v>
      </c>
      <c r="AI16" s="3">
        <f>SUMIF(VENTAS!$R:$R,RESUMEN!AA16,VENTAS!$W:$W)</f>
        <v>0</v>
      </c>
      <c r="AJ16" s="97">
        <f>AJ15+AC16+AF16+AG16+AH16</f>
        <v>2200</v>
      </c>
      <c r="AK16" s="96"/>
      <c r="AL16" s="99">
        <f t="shared" ref="AL16:AL79" si="3">WEEKNUM(AM16-$AN$7)</f>
        <v>4</v>
      </c>
      <c r="AM16" s="11">
        <f>AM15+1</f>
        <v>43277</v>
      </c>
      <c r="AN16" s="3">
        <f>AN15+1</f>
        <v>23</v>
      </c>
      <c r="AO16" s="3">
        <f>SUMIF(MORTALIDAD!$Z:$Z,RESUMEN!AM16,MORTALIDAD!$AD:$AD)</f>
        <v>-1</v>
      </c>
      <c r="AP16" s="19">
        <f>AP15+AO16</f>
        <v>-1</v>
      </c>
      <c r="AQ16" s="3">
        <f>SUMIF(MORTALIDAD!$Z:$Z,RESUMEN!AM16,MORTALIDAD!$AE:$AE)</f>
        <v>8</v>
      </c>
      <c r="AR16" s="3">
        <f>SUMIF(TRASLADOS!$AC:$AC,RESUMEN!AM16,TRASLADOS!$AF:$AF)</f>
        <v>0</v>
      </c>
      <c r="AS16" s="3">
        <f>SUMIF(TRASLADOS!$AC:$AC,RESUMEN!AM16,TRASLADOS!$AG:$AG)</f>
        <v>0</v>
      </c>
      <c r="AT16" s="3">
        <f>SUMIF(VENTAS!$Z:$Z,RESUMEN!AM16,VENTAS!$AD:$AD)</f>
        <v>0</v>
      </c>
      <c r="AU16" s="3">
        <f>SUMIF(VENTAS!$Z:$Z,RESUMEN!AM16,VENTAS!$AE:$AE)</f>
        <v>0</v>
      </c>
      <c r="AV16" s="97">
        <f>AV15+AO16+AR16+AS16+AT16</f>
        <v>2199</v>
      </c>
      <c r="AW16" s="96"/>
      <c r="AX16" s="99">
        <f t="shared" ref="AX16:AX79" si="4">WEEKNUM(AY16-$AZ$7)</f>
        <v>4</v>
      </c>
      <c r="AY16" s="11">
        <f>AY15+1</f>
        <v>43284</v>
      </c>
      <c r="AZ16" s="3">
        <f>AZ15+1</f>
        <v>23</v>
      </c>
      <c r="BA16" s="3">
        <f>SUMIF(MORTALIDAD!$AH:$AH,RESUMEN!AY16,MORTALIDAD!$AL:$AL)</f>
        <v>0</v>
      </c>
      <c r="BB16" s="19">
        <f>BB15+BA16</f>
        <v>0</v>
      </c>
      <c r="BC16" s="3">
        <f>SUMIF(MORTALIDAD!$AH:$AH,RESUMEN!AY16,MORTALIDAD!$AM:$AM)</f>
        <v>0</v>
      </c>
      <c r="BD16" s="3">
        <f>SUMIF(TRASLADOS!$AL:$AL,RESUMEN!AY16,TRASLADOS!$AO:$AO)</f>
        <v>0</v>
      </c>
      <c r="BE16" s="3">
        <f>SUMIF(TRASLADOS!$AL:$AL,RESUMEN!AY16,TRASLADOS!$AP:$AP)</f>
        <v>0</v>
      </c>
      <c r="BF16" s="3">
        <f>SUMIF(VENTAS!$AH:$AH,RESUMEN!AY16,VENTAS!$AL:$AL)</f>
        <v>0</v>
      </c>
      <c r="BG16" s="3">
        <f>SUMIF(VENTAS!$AH:$AH,RESUMEN!AY16,VENTAS!$AM:$AM)</f>
        <v>0</v>
      </c>
      <c r="BH16" s="97">
        <f>BH15+BA16+BD16+BE16+BF16</f>
        <v>2200</v>
      </c>
      <c r="BI16" s="96"/>
      <c r="BJ16" s="99">
        <f t="shared" ref="BJ16:BJ79" si="5">WEEKNUM(BK16-$BL$7)</f>
        <v>4</v>
      </c>
      <c r="BK16" s="11">
        <f>BK15+1</f>
        <v>43293</v>
      </c>
      <c r="BL16" s="3">
        <f>BL15+1</f>
        <v>26</v>
      </c>
      <c r="BM16" s="3">
        <f>SUMIF(MORTALIDAD!$AP:$AP,RESUMEN!BK16,MORTALIDAD!$AT:$AT)</f>
        <v>-2</v>
      </c>
      <c r="BN16" s="19">
        <f>BN15+BM16</f>
        <v>-2</v>
      </c>
      <c r="BO16" s="3">
        <f>SUMIF(MORTALIDAD!$AP$6:$AP$200,RESUMEN!BK16,MORTALIDAD!$AU$6:$AU$200)</f>
        <v>14</v>
      </c>
      <c r="BP16" s="3">
        <f>SUMIF(TRASLADOS!$AU:$AU,RESUMEN!BK16,TRASLADOS!$AX:$AX)</f>
        <v>0</v>
      </c>
      <c r="BQ16" s="3">
        <f>SUMIF(TRASLADOS!$AU:$AU,RESUMEN!BK16,TRASLADOS!$AY:$AY)</f>
        <v>0</v>
      </c>
      <c r="BR16" s="3">
        <f>SUMIF(VENTAS!$AP:$AP,RESUMEN!BK16,VENTAS!$AT:$AT)</f>
        <v>0</v>
      </c>
      <c r="BS16" s="3">
        <f>SUMIF(VENTAS!$AP:$AP,RESUMEN!BK16,VENTAS!$AU:$AU)</f>
        <v>0</v>
      </c>
      <c r="BT16" s="19">
        <f>BT15+BM16+BP16+BQ16+BR16</f>
        <v>2312</v>
      </c>
    </row>
    <row r="17" spans="2:72" x14ac:dyDescent="0.2">
      <c r="B17" s="3">
        <f t="shared" si="0"/>
        <v>4</v>
      </c>
      <c r="C17" s="11">
        <f t="shared" ref="C17:C51" si="6">C16+1</f>
        <v>43264</v>
      </c>
      <c r="D17" s="3">
        <f t="shared" ref="D17:D51" si="7">D16+1</f>
        <v>26</v>
      </c>
      <c r="E17" s="3">
        <f>SUMIF(MORTALIDAD!$B$6:$B$200,RESUMEN!C17,MORTALIDAD!$F$6:$F$200)</f>
        <v>-1</v>
      </c>
      <c r="F17" s="17">
        <f t="shared" ref="F17:F51" si="8">F16+E17</f>
        <v>-5</v>
      </c>
      <c r="G17" s="3">
        <f>SUMIF(MORTALIDAD!$B$6:$B$200,RESUMEN!C17,MORTALIDAD!$G$6:$G$200)</f>
        <v>5</v>
      </c>
      <c r="H17" s="3">
        <f>SUMIF(TRASLADOS!$B$6:$B$200,C17,TRASLADOS!$E$6:$E$200)</f>
        <v>0</v>
      </c>
      <c r="I17" s="3">
        <f>SUMIF(TRASLADOS!$B$6:$B$200,C17,TRASLADOS!$F$6:$F$200)</f>
        <v>0</v>
      </c>
      <c r="J17" s="3">
        <f>SUMIF(VENTAS!$B$6:$B$200,RESUMEN!C17,VENTAS!$F$6:$F$200)</f>
        <v>0</v>
      </c>
      <c r="K17" s="3">
        <f>SUMIF(VENTAS!$B$6:$B$200,RESUMEN!C17,VENTAS!$G$6:$G$200)</f>
        <v>0</v>
      </c>
      <c r="L17" s="97">
        <f t="shared" ref="L17:L80" si="9">L16+E17+H17+I17+J17</f>
        <v>2195</v>
      </c>
      <c r="M17" s="96"/>
      <c r="N17" s="99">
        <f t="shared" si="1"/>
        <v>4</v>
      </c>
      <c r="O17" s="11">
        <f t="shared" ref="O17:P32" si="10">O16+1</f>
        <v>43267</v>
      </c>
      <c r="P17" s="3">
        <f t="shared" si="10"/>
        <v>25</v>
      </c>
      <c r="Q17" s="3">
        <f>SUMIF(MORTALIDAD!$J:$J,RESUMEN!O17,MORTALIDAD!$N:$N)</f>
        <v>-1</v>
      </c>
      <c r="R17" s="19">
        <f t="shared" ref="R17:R80" si="11">R16+Q17</f>
        <v>-1</v>
      </c>
      <c r="S17" s="3">
        <f>SUMIF(MORTALIDAD!$J:$J,RESUMEN!O17,MORTALIDAD!$O:$O)</f>
        <v>3</v>
      </c>
      <c r="T17" s="3">
        <f>SUMIF(TRASLADOS!$K:$K,RESUMEN!O17,TRASLADOS!$N:$N)</f>
        <v>0</v>
      </c>
      <c r="U17" s="3">
        <f>SUMIF(TRASLADOS!$K:$K,RESUMEN!O17,TRASLADOS!$O:$O)</f>
        <v>0</v>
      </c>
      <c r="V17" s="3">
        <f>SUMIF(VENTAS!$J:$J,RESUMEN!O17,VENTAS!$N:$N)</f>
        <v>0</v>
      </c>
      <c r="W17" s="3">
        <f>SUMIF(VENTAS!$J:$J,RESUMEN!O17,VENTAS!$O:$O)</f>
        <v>0</v>
      </c>
      <c r="X17" s="97">
        <f t="shared" ref="X17:X80" si="12">X16+Q17+T17+U17+V17</f>
        <v>2199</v>
      </c>
      <c r="Y17" s="96"/>
      <c r="Z17" s="99">
        <f t="shared" si="2"/>
        <v>4</v>
      </c>
      <c r="AA17" s="11">
        <f t="shared" ref="AA17:AB32" si="13">AA16+1</f>
        <v>43271</v>
      </c>
      <c r="AB17" s="3">
        <f t="shared" si="13"/>
        <v>24</v>
      </c>
      <c r="AC17" s="3">
        <f>SUMIF(MORTALIDAD!$R:$R,RESUMEN!AA17,MORTALIDAD!$V:$V)</f>
        <v>0</v>
      </c>
      <c r="AD17" s="19">
        <f t="shared" ref="AD17:AD80" si="14">AD16+AC17</f>
        <v>0</v>
      </c>
      <c r="AE17" s="3">
        <f>SUMIF(MORTALIDAD!$R:$R,RESUMEN!AA17,MORTALIDAD!$W:$W)</f>
        <v>0</v>
      </c>
      <c r="AF17" s="3">
        <f>SUMIF(TRASLADOS!$T:$T,RESUMEN!AA17,TRASLADOS!$W:$W)</f>
        <v>0</v>
      </c>
      <c r="AG17" s="3">
        <f>SUMIF(TRASLADOS!$T:$T,RESUMEN!AA17,TRASLADOS!$X:$X)</f>
        <v>0</v>
      </c>
      <c r="AH17" s="3">
        <f>SUMIF(VENTAS!$R:$R,RESUMEN!AA17,VENTAS!$V:$V)</f>
        <v>0</v>
      </c>
      <c r="AI17" s="3">
        <f>SUMIF(VENTAS!$R:$R,RESUMEN!AA17,VENTAS!$W:$W)</f>
        <v>0</v>
      </c>
      <c r="AJ17" s="97">
        <f t="shared" ref="AJ17:AJ80" si="15">AJ16+AC17+AF17+AG17+AH17</f>
        <v>2200</v>
      </c>
      <c r="AK17" s="96"/>
      <c r="AL17" s="99">
        <f t="shared" si="3"/>
        <v>4</v>
      </c>
      <c r="AM17" s="11">
        <f t="shared" ref="AM17:AN32" si="16">AM16+1</f>
        <v>43278</v>
      </c>
      <c r="AN17" s="3">
        <f t="shared" si="16"/>
        <v>24</v>
      </c>
      <c r="AO17" s="3">
        <f>SUMIF(MORTALIDAD!$Z:$Z,RESUMEN!AM17,MORTALIDAD!$AD:$AD)</f>
        <v>0</v>
      </c>
      <c r="AP17" s="19">
        <f t="shared" ref="AP17:AP80" si="17">AP16+AO17</f>
        <v>-1</v>
      </c>
      <c r="AQ17" s="3">
        <f>SUMIF(MORTALIDAD!$Z:$Z,RESUMEN!AM17,MORTALIDAD!$AE:$AE)</f>
        <v>0</v>
      </c>
      <c r="AR17" s="3">
        <f>SUMIF(TRASLADOS!$AC:$AC,RESUMEN!AM17,TRASLADOS!$AF:$AF)</f>
        <v>0</v>
      </c>
      <c r="AS17" s="3">
        <f>SUMIF(TRASLADOS!$AC:$AC,RESUMEN!AM17,TRASLADOS!$AG:$AG)</f>
        <v>0</v>
      </c>
      <c r="AT17" s="3">
        <f>SUMIF(VENTAS!$Z:$Z,RESUMEN!AM17,VENTAS!$AD:$AD)</f>
        <v>0</v>
      </c>
      <c r="AU17" s="3">
        <f>SUMIF(VENTAS!$Z:$Z,RESUMEN!AM17,VENTAS!$AE:$AE)</f>
        <v>0</v>
      </c>
      <c r="AV17" s="97">
        <f t="shared" ref="AV17:AV80" si="18">AV16+AO17+AR17+AS17+AT17</f>
        <v>2199</v>
      </c>
      <c r="AW17" s="96"/>
      <c r="AX17" s="99">
        <f t="shared" si="4"/>
        <v>4</v>
      </c>
      <c r="AY17" s="11">
        <f t="shared" ref="AY17:AZ32" si="19">AY16+1</f>
        <v>43285</v>
      </c>
      <c r="AZ17" s="3">
        <f t="shared" si="19"/>
        <v>24</v>
      </c>
      <c r="BA17" s="3">
        <f>SUMIF(MORTALIDAD!$AH:$AH,RESUMEN!AY17,MORTALIDAD!$AL:$AL)</f>
        <v>-2</v>
      </c>
      <c r="BB17" s="19">
        <f t="shared" ref="BB17:BB80" si="20">BB16+BA17</f>
        <v>-2</v>
      </c>
      <c r="BC17" s="3">
        <f>SUMIF(MORTALIDAD!$AH:$AH,RESUMEN!AY17,MORTALIDAD!$AM:$AM)</f>
        <v>10</v>
      </c>
      <c r="BD17" s="3">
        <f>SUMIF(TRASLADOS!$AL:$AL,RESUMEN!AY17,TRASLADOS!$AO:$AO)</f>
        <v>0</v>
      </c>
      <c r="BE17" s="3">
        <f>SUMIF(TRASLADOS!$AL:$AL,RESUMEN!AY17,TRASLADOS!$AP:$AP)</f>
        <v>0</v>
      </c>
      <c r="BF17" s="3">
        <f>SUMIF(VENTAS!$AH:$AH,RESUMEN!AY17,VENTAS!$AL:$AL)</f>
        <v>0</v>
      </c>
      <c r="BG17" s="3">
        <f>SUMIF(VENTAS!$AH:$AH,RESUMEN!AY17,VENTAS!$AM:$AM)</f>
        <v>0</v>
      </c>
      <c r="BH17" s="97">
        <f t="shared" ref="BH17:BH80" si="21">BH16+BA17+BD17+BE17+BF17</f>
        <v>2198</v>
      </c>
      <c r="BI17" s="96"/>
      <c r="BJ17" s="99">
        <f t="shared" si="5"/>
        <v>4</v>
      </c>
      <c r="BK17" s="11">
        <f t="shared" ref="BK17:BL32" si="22">BK16+1</f>
        <v>43294</v>
      </c>
      <c r="BL17" s="3">
        <f t="shared" si="22"/>
        <v>27</v>
      </c>
      <c r="BM17" s="3">
        <f>SUMIF(MORTALIDAD!$AP:$AP,RESUMEN!BK17,MORTALIDAD!$AT:$AT)</f>
        <v>0</v>
      </c>
      <c r="BN17" s="19">
        <f t="shared" ref="BN17:BN80" si="23">BN16+BM17</f>
        <v>-2</v>
      </c>
      <c r="BO17" s="3">
        <f>SUMIF(MORTALIDAD!$AP$6:$AP$200,RESUMEN!BK17,MORTALIDAD!$AU$6:$AU$200)</f>
        <v>0</v>
      </c>
      <c r="BP17" s="3">
        <f>SUMIF(TRASLADOS!$AU:$AU,RESUMEN!BK17,TRASLADOS!$AX:$AX)</f>
        <v>0</v>
      </c>
      <c r="BQ17" s="3">
        <f>SUMIF(TRASLADOS!$AU:$AU,RESUMEN!BK17,TRASLADOS!$AY:$AY)</f>
        <v>0</v>
      </c>
      <c r="BR17" s="3">
        <f>SUMIF(VENTAS!$AP:$AP,RESUMEN!BK17,VENTAS!$AT:$AT)</f>
        <v>0</v>
      </c>
      <c r="BS17" s="3">
        <f>SUMIF(VENTAS!$AP:$AP,RESUMEN!BK17,VENTAS!$AU:$AU)</f>
        <v>0</v>
      </c>
      <c r="BT17" s="36">
        <f t="shared" ref="BT17:BT80" si="24">BT16+BM17+BP17+BQ17+BR17</f>
        <v>2312</v>
      </c>
    </row>
    <row r="18" spans="2:72" x14ac:dyDescent="0.2">
      <c r="B18" s="3">
        <f t="shared" si="0"/>
        <v>4</v>
      </c>
      <c r="C18" s="11">
        <f t="shared" si="6"/>
        <v>43265</v>
      </c>
      <c r="D18" s="3">
        <f t="shared" si="7"/>
        <v>27</v>
      </c>
      <c r="E18" s="3">
        <f>SUMIF(MORTALIDAD!$B$6:$B$200,RESUMEN!C18,MORTALIDAD!$F$6:$F$200)</f>
        <v>-3</v>
      </c>
      <c r="F18" s="17">
        <f t="shared" si="8"/>
        <v>-8</v>
      </c>
      <c r="G18" s="3">
        <f>SUMIF(MORTALIDAD!$B$6:$B$200,RESUMEN!C18,MORTALIDAD!$G$6:$G$200)</f>
        <v>15</v>
      </c>
      <c r="H18" s="3">
        <f>SUMIF(TRASLADOS!$B$6:$B$200,C18,TRASLADOS!$E$6:$E$200)</f>
        <v>0</v>
      </c>
      <c r="I18" s="3">
        <f>SUMIF(TRASLADOS!$B$6:$B$200,C18,TRASLADOS!$F$6:$F$200)</f>
        <v>0</v>
      </c>
      <c r="J18" s="3">
        <f>SUMIF(VENTAS!$B$6:$B$200,RESUMEN!C18,VENTAS!$F$6:$F$200)</f>
        <v>0</v>
      </c>
      <c r="K18" s="3">
        <f>SUMIF(VENTAS!$B$6:$B$200,RESUMEN!C18,VENTAS!$G$6:$G$200)</f>
        <v>0</v>
      </c>
      <c r="L18" s="97">
        <f t="shared" si="9"/>
        <v>2192</v>
      </c>
      <c r="M18" s="96"/>
      <c r="N18" s="99">
        <f t="shared" si="1"/>
        <v>4</v>
      </c>
      <c r="O18" s="11">
        <f t="shared" si="10"/>
        <v>43268</v>
      </c>
      <c r="P18" s="3">
        <f t="shared" si="10"/>
        <v>26</v>
      </c>
      <c r="Q18" s="3">
        <f>SUMIF(MORTALIDAD!$J:$J,RESUMEN!O18,MORTALIDAD!$N:$N)</f>
        <v>0</v>
      </c>
      <c r="R18" s="19">
        <f t="shared" si="11"/>
        <v>-1</v>
      </c>
      <c r="S18" s="3">
        <f>SUMIF(MORTALIDAD!$J:$J,RESUMEN!O18,MORTALIDAD!$O:$O)</f>
        <v>0</v>
      </c>
      <c r="T18" s="3">
        <f>SUMIF(TRASLADOS!$K:$K,RESUMEN!O18,TRASLADOS!$N:$N)</f>
        <v>0</v>
      </c>
      <c r="U18" s="3">
        <f>SUMIF(TRASLADOS!$K:$K,RESUMEN!O18,TRASLADOS!$O:$O)</f>
        <v>0</v>
      </c>
      <c r="V18" s="3">
        <f>SUMIF(VENTAS!$J:$J,RESUMEN!O18,VENTAS!$N:$N)</f>
        <v>0</v>
      </c>
      <c r="W18" s="3">
        <f>SUMIF(VENTAS!$J:$J,RESUMEN!O18,VENTAS!$O:$O)</f>
        <v>0</v>
      </c>
      <c r="X18" s="97">
        <f t="shared" si="12"/>
        <v>2199</v>
      </c>
      <c r="Y18" s="96"/>
      <c r="Z18" s="99">
        <f t="shared" si="2"/>
        <v>4</v>
      </c>
      <c r="AA18" s="11">
        <f t="shared" si="13"/>
        <v>43272</v>
      </c>
      <c r="AB18" s="3">
        <f t="shared" si="13"/>
        <v>25</v>
      </c>
      <c r="AC18" s="3">
        <f>SUMIF(MORTALIDAD!$R:$R,RESUMEN!AA18,MORTALIDAD!$V:$V)</f>
        <v>0</v>
      </c>
      <c r="AD18" s="19">
        <f t="shared" si="14"/>
        <v>0</v>
      </c>
      <c r="AE18" s="3">
        <f>SUMIF(MORTALIDAD!$R:$R,RESUMEN!AA18,MORTALIDAD!$W:$W)</f>
        <v>0</v>
      </c>
      <c r="AF18" s="3">
        <f>SUMIF(TRASLADOS!$T:$T,RESUMEN!AA18,TRASLADOS!$W:$W)</f>
        <v>0</v>
      </c>
      <c r="AG18" s="3">
        <f>SUMIF(TRASLADOS!$T:$T,RESUMEN!AA18,TRASLADOS!$X:$X)</f>
        <v>0</v>
      </c>
      <c r="AH18" s="3">
        <f>SUMIF(VENTAS!$R:$R,RESUMEN!AA18,VENTAS!$V:$V)</f>
        <v>0</v>
      </c>
      <c r="AI18" s="3">
        <f>SUMIF(VENTAS!$R:$R,RESUMEN!AA18,VENTAS!$W:$W)</f>
        <v>0</v>
      </c>
      <c r="AJ18" s="97">
        <f t="shared" si="15"/>
        <v>2200</v>
      </c>
      <c r="AK18" s="96"/>
      <c r="AL18" s="99">
        <f t="shared" si="3"/>
        <v>4</v>
      </c>
      <c r="AM18" s="11">
        <f t="shared" si="16"/>
        <v>43279</v>
      </c>
      <c r="AN18" s="3">
        <f t="shared" si="16"/>
        <v>25</v>
      </c>
      <c r="AO18" s="3">
        <f>SUMIF(MORTALIDAD!$Z:$Z,RESUMEN!AM18,MORTALIDAD!$AD:$AD)</f>
        <v>-1</v>
      </c>
      <c r="AP18" s="19">
        <f t="shared" si="17"/>
        <v>-2</v>
      </c>
      <c r="AQ18" s="3">
        <f>SUMIF(MORTALIDAD!$Z:$Z,RESUMEN!AM18,MORTALIDAD!$AE:$AE)</f>
        <v>5</v>
      </c>
      <c r="AR18" s="3">
        <f>SUMIF(TRASLADOS!$AC:$AC,RESUMEN!AM18,TRASLADOS!$AF:$AF)</f>
        <v>0</v>
      </c>
      <c r="AS18" s="3">
        <f>SUMIF(TRASLADOS!$AC:$AC,RESUMEN!AM18,TRASLADOS!$AG:$AG)</f>
        <v>0</v>
      </c>
      <c r="AT18" s="3">
        <f>SUMIF(VENTAS!$Z:$Z,RESUMEN!AM18,VENTAS!$AD:$AD)</f>
        <v>0</v>
      </c>
      <c r="AU18" s="3">
        <f>SUMIF(VENTAS!$Z:$Z,RESUMEN!AM18,VENTAS!$AE:$AE)</f>
        <v>0</v>
      </c>
      <c r="AV18" s="97">
        <f t="shared" si="18"/>
        <v>2198</v>
      </c>
      <c r="AW18" s="96"/>
      <c r="AX18" s="99">
        <f t="shared" si="4"/>
        <v>4</v>
      </c>
      <c r="AY18" s="11">
        <f t="shared" si="19"/>
        <v>43286</v>
      </c>
      <c r="AZ18" s="3">
        <f t="shared" si="19"/>
        <v>25</v>
      </c>
      <c r="BA18" s="3">
        <f>SUMIF(MORTALIDAD!$AH:$AH,RESUMEN!AY18,MORTALIDAD!$AL:$AL)</f>
        <v>0</v>
      </c>
      <c r="BB18" s="19">
        <f t="shared" si="20"/>
        <v>-2</v>
      </c>
      <c r="BC18" s="3">
        <f>SUMIF(MORTALIDAD!$AH:$AH,RESUMEN!AY18,MORTALIDAD!$AM:$AM)</f>
        <v>0</v>
      </c>
      <c r="BD18" s="3">
        <f>SUMIF(TRASLADOS!$AL:$AL,RESUMEN!AY18,TRASLADOS!$AO:$AO)</f>
        <v>0</v>
      </c>
      <c r="BE18" s="3">
        <f>SUMIF(TRASLADOS!$AL:$AL,RESUMEN!AY18,TRASLADOS!$AP:$AP)</f>
        <v>0</v>
      </c>
      <c r="BF18" s="3">
        <f>SUMIF(VENTAS!$AH:$AH,RESUMEN!AY18,VENTAS!$AL:$AL)</f>
        <v>0</v>
      </c>
      <c r="BG18" s="3">
        <f>SUMIF(VENTAS!$AH:$AH,RESUMEN!AY18,VENTAS!$AM:$AM)</f>
        <v>0</v>
      </c>
      <c r="BH18" s="97">
        <f t="shared" si="21"/>
        <v>2198</v>
      </c>
      <c r="BI18" s="96"/>
      <c r="BJ18" s="99">
        <f t="shared" si="5"/>
        <v>4</v>
      </c>
      <c r="BK18" s="11">
        <f t="shared" si="22"/>
        <v>43295</v>
      </c>
      <c r="BL18" s="3">
        <f t="shared" si="22"/>
        <v>28</v>
      </c>
      <c r="BM18" s="3">
        <f>SUMIF(MORTALIDAD!$AP:$AP,RESUMEN!BK18,MORTALIDAD!$AT:$AT)</f>
        <v>0</v>
      </c>
      <c r="BN18" s="19">
        <f t="shared" si="23"/>
        <v>-2</v>
      </c>
      <c r="BO18" s="3">
        <f>SUMIF(MORTALIDAD!$AP$6:$AP$200,RESUMEN!BK18,MORTALIDAD!$AU$6:$AU$200)</f>
        <v>0</v>
      </c>
      <c r="BP18" s="3">
        <f>SUMIF(TRASLADOS!$AU:$AU,RESUMEN!BK18,TRASLADOS!$AX:$AX)</f>
        <v>0</v>
      </c>
      <c r="BQ18" s="3">
        <f>SUMIF(TRASLADOS!$AU:$AU,RESUMEN!BK18,TRASLADOS!$AY:$AY)</f>
        <v>0</v>
      </c>
      <c r="BR18" s="3">
        <f>SUMIF(VENTAS!$AP:$AP,RESUMEN!BK18,VENTAS!$AT:$AT)</f>
        <v>0</v>
      </c>
      <c r="BS18" s="3">
        <f>SUMIF(VENTAS!$AP:$AP,RESUMEN!BK18,VENTAS!$AU:$AU)</f>
        <v>0</v>
      </c>
      <c r="BT18" s="36">
        <f t="shared" si="24"/>
        <v>2312</v>
      </c>
    </row>
    <row r="19" spans="2:72" x14ac:dyDescent="0.2">
      <c r="B19" s="3">
        <f t="shared" si="0"/>
        <v>4</v>
      </c>
      <c r="C19" s="11">
        <f t="shared" si="6"/>
        <v>43266</v>
      </c>
      <c r="D19" s="3">
        <f t="shared" si="7"/>
        <v>28</v>
      </c>
      <c r="E19" s="3">
        <f>SUMIF(MORTALIDAD!$B$6:$B$200,RESUMEN!C19,MORTALIDAD!$F$6:$F$200)</f>
        <v>-4</v>
      </c>
      <c r="F19" s="17">
        <f t="shared" si="8"/>
        <v>-12</v>
      </c>
      <c r="G19" s="3">
        <f>SUMIF(MORTALIDAD!$B$6:$B$200,RESUMEN!C19,MORTALIDAD!$G$6:$G$200)</f>
        <v>13</v>
      </c>
      <c r="H19" s="3">
        <f>SUMIF(TRASLADOS!$B$6:$B$200,C19,TRASLADOS!$E$6:$E$200)</f>
        <v>0</v>
      </c>
      <c r="I19" s="3">
        <f>SUMIF(TRASLADOS!$B$6:$B$200,C19,TRASLADOS!$F$6:$F$200)</f>
        <v>0</v>
      </c>
      <c r="J19" s="3">
        <f>SUMIF(VENTAS!$B$6:$B$200,RESUMEN!C19,VENTAS!$F$6:$F$200)</f>
        <v>0</v>
      </c>
      <c r="K19" s="3">
        <f>SUMIF(VENTAS!$B$6:$B$200,RESUMEN!C19,VENTAS!$G$6:$G$200)</f>
        <v>0</v>
      </c>
      <c r="L19" s="97">
        <f t="shared" si="9"/>
        <v>2188</v>
      </c>
      <c r="M19" s="96"/>
      <c r="N19" s="99">
        <f t="shared" si="1"/>
        <v>4</v>
      </c>
      <c r="O19" s="11">
        <f t="shared" si="10"/>
        <v>43269</v>
      </c>
      <c r="P19" s="3">
        <f t="shared" si="10"/>
        <v>27</v>
      </c>
      <c r="Q19" s="3">
        <f>SUMIF(MORTALIDAD!$J:$J,RESUMEN!O19,MORTALIDAD!$N:$N)</f>
        <v>0</v>
      </c>
      <c r="R19" s="19">
        <f t="shared" si="11"/>
        <v>-1</v>
      </c>
      <c r="S19" s="3">
        <f>SUMIF(MORTALIDAD!$J:$J,RESUMEN!O19,MORTALIDAD!$O:$O)</f>
        <v>0</v>
      </c>
      <c r="T19" s="3">
        <f>SUMIF(TRASLADOS!$K:$K,RESUMEN!O19,TRASLADOS!$N:$N)</f>
        <v>0</v>
      </c>
      <c r="U19" s="3">
        <f>SUMIF(TRASLADOS!$K:$K,RESUMEN!O19,TRASLADOS!$O:$O)</f>
        <v>0</v>
      </c>
      <c r="V19" s="3">
        <f>SUMIF(VENTAS!$J:$J,RESUMEN!O19,VENTAS!$N:$N)</f>
        <v>0</v>
      </c>
      <c r="W19" s="3">
        <f>SUMIF(VENTAS!$J:$J,RESUMEN!O19,VENTAS!$O:$O)</f>
        <v>0</v>
      </c>
      <c r="X19" s="97">
        <f t="shared" si="12"/>
        <v>2199</v>
      </c>
      <c r="Y19" s="96"/>
      <c r="Z19" s="99">
        <f t="shared" si="2"/>
        <v>4</v>
      </c>
      <c r="AA19" s="11">
        <f t="shared" si="13"/>
        <v>43273</v>
      </c>
      <c r="AB19" s="3">
        <f t="shared" si="13"/>
        <v>26</v>
      </c>
      <c r="AC19" s="3">
        <f>SUMIF(MORTALIDAD!$R:$R,RESUMEN!AA19,MORTALIDAD!$V:$V)</f>
        <v>0</v>
      </c>
      <c r="AD19" s="19">
        <f t="shared" si="14"/>
        <v>0</v>
      </c>
      <c r="AE19" s="3">
        <f>SUMIF(MORTALIDAD!$R:$R,RESUMEN!AA19,MORTALIDAD!$W:$W)</f>
        <v>0</v>
      </c>
      <c r="AF19" s="3">
        <f>SUMIF(TRASLADOS!$T:$T,RESUMEN!AA19,TRASLADOS!$W:$W)</f>
        <v>0</v>
      </c>
      <c r="AG19" s="3">
        <f>SUMIF(TRASLADOS!$T:$T,RESUMEN!AA19,TRASLADOS!$X:$X)</f>
        <v>0</v>
      </c>
      <c r="AH19" s="3">
        <f>SUMIF(VENTAS!$R:$R,RESUMEN!AA19,VENTAS!$V:$V)</f>
        <v>0</v>
      </c>
      <c r="AI19" s="3">
        <f>SUMIF(VENTAS!$R:$R,RESUMEN!AA19,VENTAS!$W:$W)</f>
        <v>0</v>
      </c>
      <c r="AJ19" s="97">
        <f t="shared" si="15"/>
        <v>2200</v>
      </c>
      <c r="AK19" s="96"/>
      <c r="AL19" s="99">
        <f t="shared" si="3"/>
        <v>4</v>
      </c>
      <c r="AM19" s="11">
        <f t="shared" si="16"/>
        <v>43280</v>
      </c>
      <c r="AN19" s="3">
        <f t="shared" si="16"/>
        <v>26</v>
      </c>
      <c r="AO19" s="3">
        <f>SUMIF(MORTALIDAD!$Z:$Z,RESUMEN!AM19,MORTALIDAD!$AD:$AD)</f>
        <v>0</v>
      </c>
      <c r="AP19" s="19">
        <f t="shared" si="17"/>
        <v>-2</v>
      </c>
      <c r="AQ19" s="3">
        <f>SUMIF(MORTALIDAD!$Z:$Z,RESUMEN!AM19,MORTALIDAD!$AE:$AE)</f>
        <v>0</v>
      </c>
      <c r="AR19" s="3">
        <f>SUMIF(TRASLADOS!$AC:$AC,RESUMEN!AM19,TRASLADOS!$AF:$AF)</f>
        <v>0</v>
      </c>
      <c r="AS19" s="3">
        <f>SUMIF(TRASLADOS!$AC:$AC,RESUMEN!AM19,TRASLADOS!$AG:$AG)</f>
        <v>0</v>
      </c>
      <c r="AT19" s="3">
        <f>SUMIF(VENTAS!$Z:$Z,RESUMEN!AM19,VENTAS!$AD:$AD)</f>
        <v>0</v>
      </c>
      <c r="AU19" s="3">
        <f>SUMIF(VENTAS!$Z:$Z,RESUMEN!AM19,VENTAS!$AE:$AE)</f>
        <v>0</v>
      </c>
      <c r="AV19" s="97">
        <f t="shared" si="18"/>
        <v>2198</v>
      </c>
      <c r="AW19" s="96"/>
      <c r="AX19" s="99">
        <f t="shared" si="4"/>
        <v>4</v>
      </c>
      <c r="AY19" s="11">
        <f t="shared" si="19"/>
        <v>43287</v>
      </c>
      <c r="AZ19" s="3">
        <f t="shared" si="19"/>
        <v>26</v>
      </c>
      <c r="BA19" s="3">
        <f>SUMIF(MORTALIDAD!$AH:$AH,RESUMEN!AY19,MORTALIDAD!$AL:$AL)</f>
        <v>0</v>
      </c>
      <c r="BB19" s="19">
        <f t="shared" si="20"/>
        <v>-2</v>
      </c>
      <c r="BC19" s="3">
        <f>SUMIF(MORTALIDAD!$AH:$AH,RESUMEN!AY19,MORTALIDAD!$AM:$AM)</f>
        <v>0</v>
      </c>
      <c r="BD19" s="3">
        <f>SUMIF(TRASLADOS!$AL:$AL,RESUMEN!AY19,TRASLADOS!$AO:$AO)</f>
        <v>0</v>
      </c>
      <c r="BE19" s="3">
        <f>SUMIF(TRASLADOS!$AL:$AL,RESUMEN!AY19,TRASLADOS!$AP:$AP)</f>
        <v>0</v>
      </c>
      <c r="BF19" s="3">
        <f>SUMIF(VENTAS!$AH:$AH,RESUMEN!AY19,VENTAS!$AL:$AL)</f>
        <v>0</v>
      </c>
      <c r="BG19" s="3">
        <f>SUMIF(VENTAS!$AH:$AH,RESUMEN!AY19,VENTAS!$AM:$AM)</f>
        <v>0</v>
      </c>
      <c r="BH19" s="97">
        <f t="shared" si="21"/>
        <v>2198</v>
      </c>
      <c r="BI19" s="96"/>
      <c r="BJ19" s="99">
        <f t="shared" si="5"/>
        <v>5</v>
      </c>
      <c r="BK19" s="11">
        <f t="shared" si="22"/>
        <v>43296</v>
      </c>
      <c r="BL19" s="3">
        <f t="shared" si="22"/>
        <v>29</v>
      </c>
      <c r="BM19" s="3">
        <f>SUMIF(MORTALIDAD!$AP:$AP,RESUMEN!BK19,MORTALIDAD!$AT:$AT)</f>
        <v>0</v>
      </c>
      <c r="BN19" s="19">
        <f t="shared" si="23"/>
        <v>-2</v>
      </c>
      <c r="BO19" s="3">
        <f>SUMIF(MORTALIDAD!$AP$6:$AP$200,RESUMEN!BK19,MORTALIDAD!$AU$6:$AU$200)</f>
        <v>0</v>
      </c>
      <c r="BP19" s="3">
        <f>SUMIF(TRASLADOS!$AU:$AU,RESUMEN!BK19,TRASLADOS!$AX:$AX)</f>
        <v>0</v>
      </c>
      <c r="BQ19" s="3">
        <f>SUMIF(TRASLADOS!$AU:$AU,RESUMEN!BK19,TRASLADOS!$AY:$AY)</f>
        <v>0</v>
      </c>
      <c r="BR19" s="3">
        <f>SUMIF(VENTAS!$AP:$AP,RESUMEN!BK19,VENTAS!$AT:$AT)</f>
        <v>0</v>
      </c>
      <c r="BS19" s="3">
        <f>SUMIF(VENTAS!$AP:$AP,RESUMEN!BK19,VENTAS!$AU:$AU)</f>
        <v>0</v>
      </c>
      <c r="BT19" s="36">
        <f t="shared" si="24"/>
        <v>2312</v>
      </c>
    </row>
    <row r="20" spans="2:72" x14ac:dyDescent="0.2">
      <c r="B20" s="3">
        <f t="shared" si="0"/>
        <v>5</v>
      </c>
      <c r="C20" s="11">
        <f t="shared" si="6"/>
        <v>43267</v>
      </c>
      <c r="D20" s="3">
        <f t="shared" si="7"/>
        <v>29</v>
      </c>
      <c r="E20" s="3">
        <f>SUMIF(MORTALIDAD!$B$6:$B$200,RESUMEN!C20,MORTALIDAD!$F$6:$F$200)</f>
        <v>-6</v>
      </c>
      <c r="F20" s="17">
        <f t="shared" si="8"/>
        <v>-18</v>
      </c>
      <c r="G20" s="3">
        <f>SUMIF(MORTALIDAD!$B$6:$B$200,RESUMEN!C20,MORTALIDAD!$G$6:$G$200)</f>
        <v>26</v>
      </c>
      <c r="H20" s="3">
        <f>SUMIF(TRASLADOS!$B$6:$B$200,C20,TRASLADOS!$E$6:$E$200)</f>
        <v>0</v>
      </c>
      <c r="I20" s="3">
        <f>SUMIF(TRASLADOS!$B$6:$B$200,C20,TRASLADOS!$F$6:$F$200)</f>
        <v>0</v>
      </c>
      <c r="J20" s="3">
        <f>SUMIF(VENTAS!$B$6:$B$200,RESUMEN!C20,VENTAS!$F$6:$F$200)</f>
        <v>0</v>
      </c>
      <c r="K20" s="3">
        <f>SUMIF(VENTAS!$B$6:$B$200,RESUMEN!C20,VENTAS!$G$6:$G$200)</f>
        <v>0</v>
      </c>
      <c r="L20" s="97">
        <f t="shared" si="9"/>
        <v>2182</v>
      </c>
      <c r="M20" s="96"/>
      <c r="N20" s="99">
        <f t="shared" si="1"/>
        <v>4</v>
      </c>
      <c r="O20" s="11">
        <f t="shared" si="10"/>
        <v>43270</v>
      </c>
      <c r="P20" s="3">
        <f t="shared" si="10"/>
        <v>28</v>
      </c>
      <c r="Q20" s="3">
        <f>SUMIF(MORTALIDAD!$J:$J,RESUMEN!O20,MORTALIDAD!$N:$N)</f>
        <v>-2</v>
      </c>
      <c r="R20" s="19">
        <f t="shared" si="11"/>
        <v>-3</v>
      </c>
      <c r="S20" s="3">
        <f>SUMIF(MORTALIDAD!$J:$J,RESUMEN!O20,MORTALIDAD!$O:$O)</f>
        <v>8</v>
      </c>
      <c r="T20" s="3">
        <f>SUMIF(TRASLADOS!$K:$K,RESUMEN!O20,TRASLADOS!$N:$N)</f>
        <v>0</v>
      </c>
      <c r="U20" s="3">
        <f>SUMIF(TRASLADOS!$K:$K,RESUMEN!O20,TRASLADOS!$O:$O)</f>
        <v>0</v>
      </c>
      <c r="V20" s="3">
        <f>SUMIF(VENTAS!$J:$J,RESUMEN!O20,VENTAS!$N:$N)</f>
        <v>0</v>
      </c>
      <c r="W20" s="3">
        <f>SUMIF(VENTAS!$J:$J,RESUMEN!O20,VENTAS!$O:$O)</f>
        <v>0</v>
      </c>
      <c r="X20" s="97">
        <f t="shared" si="12"/>
        <v>2197</v>
      </c>
      <c r="Y20" s="96"/>
      <c r="Z20" s="99">
        <f t="shared" si="2"/>
        <v>4</v>
      </c>
      <c r="AA20" s="11">
        <f t="shared" si="13"/>
        <v>43274</v>
      </c>
      <c r="AB20" s="3">
        <f t="shared" si="13"/>
        <v>27</v>
      </c>
      <c r="AC20" s="3">
        <f>SUMIF(MORTALIDAD!$R:$R,RESUMEN!AA20,MORTALIDAD!$V:$V)</f>
        <v>-2</v>
      </c>
      <c r="AD20" s="19">
        <f t="shared" si="14"/>
        <v>-2</v>
      </c>
      <c r="AE20" s="3">
        <f>SUMIF(MORTALIDAD!$R:$R,RESUMEN!AA20,MORTALIDAD!$W:$W)</f>
        <v>13</v>
      </c>
      <c r="AF20" s="3">
        <f>SUMIF(TRASLADOS!$T:$T,RESUMEN!AA20,TRASLADOS!$W:$W)</f>
        <v>0</v>
      </c>
      <c r="AG20" s="3">
        <f>SUMIF(TRASLADOS!$T:$T,RESUMEN!AA20,TRASLADOS!$X:$X)</f>
        <v>0</v>
      </c>
      <c r="AH20" s="3">
        <f>SUMIF(VENTAS!$R:$R,RESUMEN!AA20,VENTAS!$V:$V)</f>
        <v>0</v>
      </c>
      <c r="AI20" s="3">
        <f>SUMIF(VENTAS!$R:$R,RESUMEN!AA20,VENTAS!$W:$W)</f>
        <v>0</v>
      </c>
      <c r="AJ20" s="97">
        <f t="shared" si="15"/>
        <v>2198</v>
      </c>
      <c r="AK20" s="96"/>
      <c r="AL20" s="99">
        <f t="shared" si="3"/>
        <v>4</v>
      </c>
      <c r="AM20" s="11">
        <f t="shared" si="16"/>
        <v>43281</v>
      </c>
      <c r="AN20" s="3">
        <f t="shared" si="16"/>
        <v>27</v>
      </c>
      <c r="AO20" s="3">
        <f>SUMIF(MORTALIDAD!$Z:$Z,RESUMEN!AM20,MORTALIDAD!$AD:$AD)</f>
        <v>0</v>
      </c>
      <c r="AP20" s="19">
        <f t="shared" si="17"/>
        <v>-2</v>
      </c>
      <c r="AQ20" s="3">
        <f>SUMIF(MORTALIDAD!$Z:$Z,RESUMEN!AM20,MORTALIDAD!$AE:$AE)</f>
        <v>0</v>
      </c>
      <c r="AR20" s="3">
        <f>SUMIF(TRASLADOS!$AC:$AC,RESUMEN!AM20,TRASLADOS!$AF:$AF)</f>
        <v>0</v>
      </c>
      <c r="AS20" s="3">
        <f>SUMIF(TRASLADOS!$AC:$AC,RESUMEN!AM20,TRASLADOS!$AG:$AG)</f>
        <v>0</v>
      </c>
      <c r="AT20" s="3">
        <f>SUMIF(VENTAS!$Z:$Z,RESUMEN!AM20,VENTAS!$AD:$AD)</f>
        <v>0</v>
      </c>
      <c r="AU20" s="3">
        <f>SUMIF(VENTAS!$Z:$Z,RESUMEN!AM20,VENTAS!$AE:$AE)</f>
        <v>0</v>
      </c>
      <c r="AV20" s="97">
        <f t="shared" si="18"/>
        <v>2198</v>
      </c>
      <c r="AW20" s="96"/>
      <c r="AX20" s="99">
        <f t="shared" si="4"/>
        <v>4</v>
      </c>
      <c r="AY20" s="11">
        <f t="shared" si="19"/>
        <v>43288</v>
      </c>
      <c r="AZ20" s="3">
        <f t="shared" si="19"/>
        <v>27</v>
      </c>
      <c r="BA20" s="3">
        <f>SUMIF(MORTALIDAD!$AH:$AH,RESUMEN!AY20,MORTALIDAD!$AL:$AL)</f>
        <v>-2</v>
      </c>
      <c r="BB20" s="19">
        <f t="shared" si="20"/>
        <v>-4</v>
      </c>
      <c r="BC20" s="3">
        <f>SUMIF(MORTALIDAD!$AH:$AH,RESUMEN!AY20,MORTALIDAD!$AM:$AM)</f>
        <v>10</v>
      </c>
      <c r="BD20" s="3">
        <f>SUMIF(TRASLADOS!$AL:$AL,RESUMEN!AY20,TRASLADOS!$AO:$AO)</f>
        <v>0</v>
      </c>
      <c r="BE20" s="3">
        <f>SUMIF(TRASLADOS!$AL:$AL,RESUMEN!AY20,TRASLADOS!$AP:$AP)</f>
        <v>0</v>
      </c>
      <c r="BF20" s="3">
        <f>SUMIF(VENTAS!$AH:$AH,RESUMEN!AY20,VENTAS!$AL:$AL)</f>
        <v>0</v>
      </c>
      <c r="BG20" s="3">
        <f>SUMIF(VENTAS!$AH:$AH,RESUMEN!AY20,VENTAS!$AM:$AM)</f>
        <v>0</v>
      </c>
      <c r="BH20" s="97">
        <f t="shared" si="21"/>
        <v>2196</v>
      </c>
      <c r="BI20" s="96"/>
      <c r="BJ20" s="99">
        <f t="shared" si="5"/>
        <v>5</v>
      </c>
      <c r="BK20" s="11">
        <f t="shared" si="22"/>
        <v>43297</v>
      </c>
      <c r="BL20" s="3">
        <f t="shared" si="22"/>
        <v>30</v>
      </c>
      <c r="BM20" s="3">
        <f>SUMIF(MORTALIDAD!$AP:$AP,RESUMEN!BK20,MORTALIDAD!$AT:$AT)</f>
        <v>0</v>
      </c>
      <c r="BN20" s="19">
        <f t="shared" si="23"/>
        <v>-2</v>
      </c>
      <c r="BO20" s="3">
        <f>SUMIF(MORTALIDAD!$AP$6:$AP$200,RESUMEN!BK20,MORTALIDAD!$AU$6:$AU$200)</f>
        <v>0</v>
      </c>
      <c r="BP20" s="3">
        <f>SUMIF(TRASLADOS!$AU:$AU,RESUMEN!BK20,TRASLADOS!$AX:$AX)</f>
        <v>0</v>
      </c>
      <c r="BQ20" s="3">
        <f>SUMIF(TRASLADOS!$AU:$AU,RESUMEN!BK20,TRASLADOS!$AY:$AY)</f>
        <v>0</v>
      </c>
      <c r="BR20" s="3">
        <f>SUMIF(VENTAS!$AP:$AP,RESUMEN!BK20,VENTAS!$AT:$AT)</f>
        <v>0</v>
      </c>
      <c r="BS20" s="3">
        <f>SUMIF(VENTAS!$AP:$AP,RESUMEN!BK20,VENTAS!$AU:$AU)</f>
        <v>0</v>
      </c>
      <c r="BT20" s="36">
        <f t="shared" si="24"/>
        <v>2312</v>
      </c>
    </row>
    <row r="21" spans="2:72" x14ac:dyDescent="0.2">
      <c r="B21" s="3">
        <f t="shared" si="0"/>
        <v>5</v>
      </c>
      <c r="C21" s="11">
        <f t="shared" si="6"/>
        <v>43268</v>
      </c>
      <c r="D21" s="3">
        <f t="shared" si="7"/>
        <v>30</v>
      </c>
      <c r="E21" s="3">
        <f>SUMIF(MORTALIDAD!$B$6:$B$200,RESUMEN!C21,MORTALIDAD!$F$6:$F$200)</f>
        <v>-4</v>
      </c>
      <c r="F21" s="17">
        <f t="shared" si="8"/>
        <v>-22</v>
      </c>
      <c r="G21" s="3">
        <f>SUMIF(MORTALIDAD!$B$6:$B$200,RESUMEN!C21,MORTALIDAD!$G$6:$G$200)</f>
        <v>14</v>
      </c>
      <c r="H21" s="3">
        <f>SUMIF(TRASLADOS!$B$6:$B$200,C21,TRASLADOS!$E$6:$E$200)</f>
        <v>0</v>
      </c>
      <c r="I21" s="3">
        <f>SUMIF(TRASLADOS!$B$6:$B$200,C21,TRASLADOS!$F$6:$F$200)</f>
        <v>0</v>
      </c>
      <c r="J21" s="3">
        <f>SUMIF(VENTAS!$B$6:$B$200,RESUMEN!C21,VENTAS!$F$6:$F$200)</f>
        <v>0</v>
      </c>
      <c r="K21" s="3">
        <f>SUMIF(VENTAS!$B$6:$B$200,RESUMEN!C21,VENTAS!$G$6:$G$200)</f>
        <v>0</v>
      </c>
      <c r="L21" s="97">
        <f t="shared" si="9"/>
        <v>2178</v>
      </c>
      <c r="M21" s="96"/>
      <c r="N21" s="99">
        <f t="shared" si="1"/>
        <v>5</v>
      </c>
      <c r="O21" s="11">
        <f t="shared" si="10"/>
        <v>43271</v>
      </c>
      <c r="P21" s="3">
        <f t="shared" si="10"/>
        <v>29</v>
      </c>
      <c r="Q21" s="3">
        <f>SUMIF(MORTALIDAD!$J:$J,RESUMEN!O21,MORTALIDAD!$N:$N)</f>
        <v>-4</v>
      </c>
      <c r="R21" s="19">
        <f t="shared" si="11"/>
        <v>-7</v>
      </c>
      <c r="S21" s="3">
        <f>SUMIF(MORTALIDAD!$J:$J,RESUMEN!O21,MORTALIDAD!$O:$O)</f>
        <v>25</v>
      </c>
      <c r="T21" s="3">
        <f>SUMIF(TRASLADOS!$K:$K,RESUMEN!O21,TRASLADOS!$N:$N)</f>
        <v>0</v>
      </c>
      <c r="U21" s="3">
        <f>SUMIF(TRASLADOS!$K:$K,RESUMEN!O21,TRASLADOS!$O:$O)</f>
        <v>0</v>
      </c>
      <c r="V21" s="3">
        <f>SUMIF(VENTAS!$J:$J,RESUMEN!O21,VENTAS!$N:$N)</f>
        <v>0</v>
      </c>
      <c r="W21" s="3">
        <f>SUMIF(VENTAS!$J:$J,RESUMEN!O21,VENTAS!$O:$O)</f>
        <v>0</v>
      </c>
      <c r="X21" s="97">
        <f t="shared" si="12"/>
        <v>2193</v>
      </c>
      <c r="Y21" s="96"/>
      <c r="Z21" s="99">
        <f t="shared" si="2"/>
        <v>4</v>
      </c>
      <c r="AA21" s="11">
        <f t="shared" si="13"/>
        <v>43275</v>
      </c>
      <c r="AB21" s="3">
        <f t="shared" si="13"/>
        <v>28</v>
      </c>
      <c r="AC21" s="3">
        <f>SUMIF(MORTALIDAD!$R:$R,RESUMEN!AA21,MORTALIDAD!$V:$V)</f>
        <v>-3</v>
      </c>
      <c r="AD21" s="19">
        <f t="shared" si="14"/>
        <v>-5</v>
      </c>
      <c r="AE21" s="3">
        <f>SUMIF(MORTALIDAD!$R:$R,RESUMEN!AA21,MORTALIDAD!$W:$W)</f>
        <v>13</v>
      </c>
      <c r="AF21" s="3">
        <f>SUMIF(TRASLADOS!$T:$T,RESUMEN!AA21,TRASLADOS!$W:$W)</f>
        <v>0</v>
      </c>
      <c r="AG21" s="3">
        <f>SUMIF(TRASLADOS!$T:$T,RESUMEN!AA21,TRASLADOS!$X:$X)</f>
        <v>0</v>
      </c>
      <c r="AH21" s="3">
        <f>SUMIF(VENTAS!$R:$R,RESUMEN!AA21,VENTAS!$V:$V)</f>
        <v>0</v>
      </c>
      <c r="AI21" s="3">
        <f>SUMIF(VENTAS!$R:$R,RESUMEN!AA21,VENTAS!$W:$W)</f>
        <v>0</v>
      </c>
      <c r="AJ21" s="97">
        <f t="shared" si="15"/>
        <v>2195</v>
      </c>
      <c r="AK21" s="96"/>
      <c r="AL21" s="99">
        <f t="shared" si="3"/>
        <v>4</v>
      </c>
      <c r="AM21" s="11">
        <f t="shared" si="16"/>
        <v>43282</v>
      </c>
      <c r="AN21" s="3">
        <f t="shared" si="16"/>
        <v>28</v>
      </c>
      <c r="AO21" s="3">
        <f>SUMIF(MORTALIDAD!$Z:$Z,RESUMEN!AM21,MORTALIDAD!$AD:$AD)</f>
        <v>-1</v>
      </c>
      <c r="AP21" s="19">
        <f t="shared" si="17"/>
        <v>-3</v>
      </c>
      <c r="AQ21" s="3">
        <f>SUMIF(MORTALIDAD!$Z:$Z,RESUMEN!AM21,MORTALIDAD!$AE:$AE)</f>
        <v>7</v>
      </c>
      <c r="AR21" s="3">
        <f>SUMIF(TRASLADOS!$AC:$AC,RESUMEN!AM21,TRASLADOS!$AF:$AF)</f>
        <v>0</v>
      </c>
      <c r="AS21" s="3">
        <f>SUMIF(TRASLADOS!$AC:$AC,RESUMEN!AM21,TRASLADOS!$AG:$AG)</f>
        <v>0</v>
      </c>
      <c r="AT21" s="3">
        <f>SUMIF(VENTAS!$Z:$Z,RESUMEN!AM21,VENTAS!$AD:$AD)</f>
        <v>0</v>
      </c>
      <c r="AU21" s="3">
        <f>SUMIF(VENTAS!$Z:$Z,RESUMEN!AM21,VENTAS!$AE:$AE)</f>
        <v>0</v>
      </c>
      <c r="AV21" s="97">
        <f t="shared" si="18"/>
        <v>2197</v>
      </c>
      <c r="AW21" s="96"/>
      <c r="AX21" s="99">
        <f t="shared" si="4"/>
        <v>4</v>
      </c>
      <c r="AY21" s="11">
        <f t="shared" si="19"/>
        <v>43289</v>
      </c>
      <c r="AZ21" s="3">
        <f t="shared" si="19"/>
        <v>28</v>
      </c>
      <c r="BA21" s="3">
        <f>SUMIF(MORTALIDAD!$AH:$AH,RESUMEN!AY21,MORTALIDAD!$AL:$AL)</f>
        <v>0</v>
      </c>
      <c r="BB21" s="19">
        <f t="shared" si="20"/>
        <v>-4</v>
      </c>
      <c r="BC21" s="3">
        <f>SUMIF(MORTALIDAD!$AH:$AH,RESUMEN!AY21,MORTALIDAD!$AM:$AM)</f>
        <v>0</v>
      </c>
      <c r="BD21" s="3">
        <f>SUMIF(TRASLADOS!$AL:$AL,RESUMEN!AY21,TRASLADOS!$AO:$AO)</f>
        <v>0</v>
      </c>
      <c r="BE21" s="3">
        <f>SUMIF(TRASLADOS!$AL:$AL,RESUMEN!AY21,TRASLADOS!$AP:$AP)</f>
        <v>0</v>
      </c>
      <c r="BF21" s="3">
        <f>SUMIF(VENTAS!$AH:$AH,RESUMEN!AY21,VENTAS!$AL:$AL)</f>
        <v>0</v>
      </c>
      <c r="BG21" s="3">
        <f>SUMIF(VENTAS!$AH:$AH,RESUMEN!AY21,VENTAS!$AM:$AM)</f>
        <v>0</v>
      </c>
      <c r="BH21" s="97">
        <f t="shared" si="21"/>
        <v>2196</v>
      </c>
      <c r="BI21" s="96"/>
      <c r="BJ21" s="99">
        <f t="shared" si="5"/>
        <v>5</v>
      </c>
      <c r="BK21" s="11">
        <f t="shared" si="22"/>
        <v>43298</v>
      </c>
      <c r="BL21" s="3">
        <f t="shared" si="22"/>
        <v>31</v>
      </c>
      <c r="BM21" s="3">
        <f>SUMIF(MORTALIDAD!$AP:$AP,RESUMEN!BK21,MORTALIDAD!$AT:$AT)</f>
        <v>-5</v>
      </c>
      <c r="BN21" s="19">
        <f t="shared" si="23"/>
        <v>-7</v>
      </c>
      <c r="BO21" s="3">
        <f>SUMIF(MORTALIDAD!$AP$6:$AP$200,RESUMEN!BK21,MORTALIDAD!$AU$6:$AU$200)</f>
        <v>22</v>
      </c>
      <c r="BP21" s="3">
        <f>SUMIF(TRASLADOS!$AU:$AU,RESUMEN!BK21,TRASLADOS!$AX:$AX)</f>
        <v>0</v>
      </c>
      <c r="BQ21" s="3">
        <f>SUMIF(TRASLADOS!$AU:$AU,RESUMEN!BK21,TRASLADOS!$AY:$AY)</f>
        <v>0</v>
      </c>
      <c r="BR21" s="3">
        <f>SUMIF(VENTAS!$AP:$AP,RESUMEN!BK21,VENTAS!$AT:$AT)</f>
        <v>0</v>
      </c>
      <c r="BS21" s="3">
        <f>SUMIF(VENTAS!$AP:$AP,RESUMEN!BK21,VENTAS!$AU:$AU)</f>
        <v>0</v>
      </c>
      <c r="BT21" s="36">
        <f t="shared" si="24"/>
        <v>2307</v>
      </c>
    </row>
    <row r="22" spans="2:72" x14ac:dyDescent="0.2">
      <c r="B22" s="3">
        <f t="shared" si="0"/>
        <v>5</v>
      </c>
      <c r="C22" s="11">
        <f t="shared" si="6"/>
        <v>43269</v>
      </c>
      <c r="D22" s="3">
        <f t="shared" si="7"/>
        <v>31</v>
      </c>
      <c r="E22" s="3">
        <f>SUMIF(MORTALIDAD!$B$6:$B$200,RESUMEN!C22,MORTALIDAD!$F$6:$F$200)</f>
        <v>-6</v>
      </c>
      <c r="F22" s="17">
        <f t="shared" si="8"/>
        <v>-28</v>
      </c>
      <c r="G22" s="3">
        <f>SUMIF(MORTALIDAD!$B$6:$B$200,RESUMEN!C22,MORTALIDAD!$G$6:$G$200)</f>
        <v>33</v>
      </c>
      <c r="H22" s="3">
        <f>SUMIF(TRASLADOS!$B$6:$B$200,C22,TRASLADOS!$E$6:$E$200)</f>
        <v>0</v>
      </c>
      <c r="I22" s="3">
        <f>SUMIF(TRASLADOS!$B$6:$B$200,C22,TRASLADOS!$F$6:$F$200)</f>
        <v>0</v>
      </c>
      <c r="J22" s="3">
        <f>SUMIF(VENTAS!$B$6:$B$200,RESUMEN!C22,VENTAS!$F$6:$F$200)</f>
        <v>0</v>
      </c>
      <c r="K22" s="3">
        <f>SUMIF(VENTAS!$B$6:$B$200,RESUMEN!C22,VENTAS!$G$6:$G$200)</f>
        <v>0</v>
      </c>
      <c r="L22" s="97">
        <f t="shared" si="9"/>
        <v>2172</v>
      </c>
      <c r="M22" s="96"/>
      <c r="N22" s="99">
        <f t="shared" si="1"/>
        <v>5</v>
      </c>
      <c r="O22" s="11">
        <f t="shared" si="10"/>
        <v>43272</v>
      </c>
      <c r="P22" s="3">
        <f t="shared" si="10"/>
        <v>30</v>
      </c>
      <c r="Q22" s="3">
        <f>SUMIF(MORTALIDAD!$J:$J,RESUMEN!O22,MORTALIDAD!$N:$N)</f>
        <v>-6</v>
      </c>
      <c r="R22" s="19">
        <f t="shared" si="11"/>
        <v>-13</v>
      </c>
      <c r="S22" s="3">
        <f>SUMIF(MORTALIDAD!$J:$J,RESUMEN!O22,MORTALIDAD!$O:$O)</f>
        <v>23</v>
      </c>
      <c r="T22" s="3">
        <f>SUMIF(TRASLADOS!$K:$K,RESUMEN!O22,TRASLADOS!$N:$N)</f>
        <v>0</v>
      </c>
      <c r="U22" s="3">
        <f>SUMIF(TRASLADOS!$K:$K,RESUMEN!O22,TRASLADOS!$O:$O)</f>
        <v>0</v>
      </c>
      <c r="V22" s="3">
        <f>SUMIF(VENTAS!$J:$J,RESUMEN!O22,VENTAS!$N:$N)</f>
        <v>0</v>
      </c>
      <c r="W22" s="3">
        <f>SUMIF(VENTAS!$J:$J,RESUMEN!O22,VENTAS!$O:$O)</f>
        <v>0</v>
      </c>
      <c r="X22" s="97">
        <f t="shared" si="12"/>
        <v>2187</v>
      </c>
      <c r="Y22" s="96"/>
      <c r="Z22" s="99">
        <f t="shared" si="2"/>
        <v>5</v>
      </c>
      <c r="AA22" s="11">
        <f t="shared" si="13"/>
        <v>43276</v>
      </c>
      <c r="AB22" s="3">
        <f t="shared" si="13"/>
        <v>29</v>
      </c>
      <c r="AC22" s="3">
        <f>SUMIF(MORTALIDAD!$R:$R,RESUMEN!AA22,MORTALIDAD!$V:$V)</f>
        <v>-3</v>
      </c>
      <c r="AD22" s="19">
        <f t="shared" si="14"/>
        <v>-8</v>
      </c>
      <c r="AE22" s="3">
        <f>SUMIF(MORTALIDAD!$R:$R,RESUMEN!AA22,MORTALIDAD!$W:$W)</f>
        <v>21</v>
      </c>
      <c r="AF22" s="3">
        <f>SUMIF(TRASLADOS!$T:$T,RESUMEN!AA22,TRASLADOS!$W:$W)</f>
        <v>0</v>
      </c>
      <c r="AG22" s="3">
        <f>SUMIF(TRASLADOS!$T:$T,RESUMEN!AA22,TRASLADOS!$X:$X)</f>
        <v>0</v>
      </c>
      <c r="AH22" s="3">
        <f>SUMIF(VENTAS!$R:$R,RESUMEN!AA22,VENTAS!$V:$V)</f>
        <v>0</v>
      </c>
      <c r="AI22" s="3">
        <f>SUMIF(VENTAS!$R:$R,RESUMEN!AA22,VENTAS!$W:$W)</f>
        <v>0</v>
      </c>
      <c r="AJ22" s="97">
        <f t="shared" si="15"/>
        <v>2192</v>
      </c>
      <c r="AK22" s="96"/>
      <c r="AL22" s="99">
        <f t="shared" si="3"/>
        <v>5</v>
      </c>
      <c r="AM22" s="11">
        <f t="shared" si="16"/>
        <v>43283</v>
      </c>
      <c r="AN22" s="3">
        <f t="shared" si="16"/>
        <v>29</v>
      </c>
      <c r="AO22" s="3">
        <f>SUMIF(MORTALIDAD!$Z:$Z,RESUMEN!AM22,MORTALIDAD!$AD:$AD)</f>
        <v>0</v>
      </c>
      <c r="AP22" s="19">
        <f t="shared" si="17"/>
        <v>-3</v>
      </c>
      <c r="AQ22" s="3">
        <f>SUMIF(MORTALIDAD!$Z:$Z,RESUMEN!AM22,MORTALIDAD!$AE:$AE)</f>
        <v>0</v>
      </c>
      <c r="AR22" s="3">
        <f>SUMIF(TRASLADOS!$AC:$AC,RESUMEN!AM22,TRASLADOS!$AF:$AF)</f>
        <v>0</v>
      </c>
      <c r="AS22" s="3">
        <f>SUMIF(TRASLADOS!$AC:$AC,RESUMEN!AM22,TRASLADOS!$AG:$AG)</f>
        <v>0</v>
      </c>
      <c r="AT22" s="3">
        <f>SUMIF(VENTAS!$Z:$Z,RESUMEN!AM22,VENTAS!$AD:$AD)</f>
        <v>0</v>
      </c>
      <c r="AU22" s="3">
        <f>SUMIF(VENTAS!$Z:$Z,RESUMEN!AM22,VENTAS!$AE:$AE)</f>
        <v>0</v>
      </c>
      <c r="AV22" s="97">
        <f t="shared" si="18"/>
        <v>2197</v>
      </c>
      <c r="AW22" s="96"/>
      <c r="AX22" s="99">
        <f t="shared" si="4"/>
        <v>5</v>
      </c>
      <c r="AY22" s="11">
        <f t="shared" si="19"/>
        <v>43290</v>
      </c>
      <c r="AZ22" s="3">
        <f t="shared" si="19"/>
        <v>29</v>
      </c>
      <c r="BA22" s="3">
        <f>SUMIF(MORTALIDAD!$AH:$AH,RESUMEN!AY22,MORTALIDAD!$AL:$AL)</f>
        <v>-1</v>
      </c>
      <c r="BB22" s="19">
        <f t="shared" si="20"/>
        <v>-5</v>
      </c>
      <c r="BC22" s="3">
        <f>SUMIF(MORTALIDAD!$AH:$AH,RESUMEN!AY22,MORTALIDAD!$AM:$AM)</f>
        <v>7</v>
      </c>
      <c r="BD22" s="3">
        <f>SUMIF(TRASLADOS!$AL:$AL,RESUMEN!AY22,TRASLADOS!$AO:$AO)</f>
        <v>0</v>
      </c>
      <c r="BE22" s="3">
        <f>SUMIF(TRASLADOS!$AL:$AL,RESUMEN!AY22,TRASLADOS!$AP:$AP)</f>
        <v>0</v>
      </c>
      <c r="BF22" s="3">
        <f>SUMIF(VENTAS!$AH:$AH,RESUMEN!AY22,VENTAS!$AL:$AL)</f>
        <v>0</v>
      </c>
      <c r="BG22" s="3">
        <f>SUMIF(VENTAS!$AH:$AH,RESUMEN!AY22,VENTAS!$AM:$AM)</f>
        <v>0</v>
      </c>
      <c r="BH22" s="97">
        <f t="shared" si="21"/>
        <v>2195</v>
      </c>
      <c r="BI22" s="96"/>
      <c r="BJ22" s="99">
        <f t="shared" si="5"/>
        <v>5</v>
      </c>
      <c r="BK22" s="11">
        <f t="shared" si="22"/>
        <v>43299</v>
      </c>
      <c r="BL22" s="3">
        <f t="shared" si="22"/>
        <v>32</v>
      </c>
      <c r="BM22" s="3">
        <f>SUMIF(MORTALIDAD!$AP:$AP,RESUMEN!BK22,MORTALIDAD!$AT:$AT)</f>
        <v>-1</v>
      </c>
      <c r="BN22" s="19">
        <f t="shared" si="23"/>
        <v>-8</v>
      </c>
      <c r="BO22" s="3">
        <f>SUMIF(MORTALIDAD!$AP$6:$AP$200,RESUMEN!BK22,MORTALIDAD!$AU$6:$AU$200)</f>
        <v>2</v>
      </c>
      <c r="BP22" s="3">
        <f>SUMIF(TRASLADOS!$AU:$AU,RESUMEN!BK22,TRASLADOS!$AX:$AX)</f>
        <v>0</v>
      </c>
      <c r="BQ22" s="3">
        <f>SUMIF(TRASLADOS!$AU:$AU,RESUMEN!BK22,TRASLADOS!$AY:$AY)</f>
        <v>0</v>
      </c>
      <c r="BR22" s="3">
        <f>SUMIF(VENTAS!$AP:$AP,RESUMEN!BK22,VENTAS!$AT:$AT)</f>
        <v>0</v>
      </c>
      <c r="BS22" s="3">
        <f>SUMIF(VENTAS!$AP:$AP,RESUMEN!BK22,VENTAS!$AU:$AU)</f>
        <v>0</v>
      </c>
      <c r="BT22" s="36">
        <f t="shared" si="24"/>
        <v>2306</v>
      </c>
    </row>
    <row r="23" spans="2:72" x14ac:dyDescent="0.2">
      <c r="B23" s="3">
        <f t="shared" si="0"/>
        <v>5</v>
      </c>
      <c r="C23" s="11">
        <f t="shared" si="6"/>
        <v>43270</v>
      </c>
      <c r="D23" s="3">
        <f t="shared" si="7"/>
        <v>32</v>
      </c>
      <c r="E23" s="3">
        <f>SUMIF(MORTALIDAD!$B$6:$B$200,RESUMEN!C23,MORTALIDAD!$F$6:$F$200)</f>
        <v>-6</v>
      </c>
      <c r="F23" s="17">
        <f t="shared" si="8"/>
        <v>-34</v>
      </c>
      <c r="G23" s="3">
        <f>SUMIF(MORTALIDAD!$B$6:$B$200,RESUMEN!C23,MORTALIDAD!$G$6:$G$200)</f>
        <v>19</v>
      </c>
      <c r="H23" s="3">
        <f>SUMIF(TRASLADOS!$B$6:$B$200,C23,TRASLADOS!$E$6:$E$200)</f>
        <v>0</v>
      </c>
      <c r="I23" s="3">
        <f>SUMIF(TRASLADOS!$B$6:$B$200,C23,TRASLADOS!$F$6:$F$200)</f>
        <v>0</v>
      </c>
      <c r="J23" s="3">
        <f>SUMIF(VENTAS!$B$6:$B$200,RESUMEN!C23,VENTAS!$F$6:$F$200)</f>
        <v>0</v>
      </c>
      <c r="K23" s="3">
        <f>SUMIF(VENTAS!$B$6:$B$200,RESUMEN!C23,VENTAS!$G$6:$G$200)</f>
        <v>0</v>
      </c>
      <c r="L23" s="97">
        <f t="shared" si="9"/>
        <v>2166</v>
      </c>
      <c r="M23" s="96"/>
      <c r="N23" s="99">
        <f t="shared" si="1"/>
        <v>5</v>
      </c>
      <c r="O23" s="11">
        <f t="shared" si="10"/>
        <v>43273</v>
      </c>
      <c r="P23" s="3">
        <f t="shared" si="10"/>
        <v>31</v>
      </c>
      <c r="Q23" s="3">
        <f>SUMIF(MORTALIDAD!$J:$J,RESUMEN!O23,MORTALIDAD!$N:$N)</f>
        <v>-5</v>
      </c>
      <c r="R23" s="19">
        <f t="shared" si="11"/>
        <v>-18</v>
      </c>
      <c r="S23" s="3">
        <f>SUMIF(MORTALIDAD!$J:$J,RESUMEN!O23,MORTALIDAD!$O:$O)</f>
        <v>23</v>
      </c>
      <c r="T23" s="3">
        <f>SUMIF(TRASLADOS!$K:$K,RESUMEN!O23,TRASLADOS!$N:$N)</f>
        <v>0</v>
      </c>
      <c r="U23" s="3">
        <f>SUMIF(TRASLADOS!$K:$K,RESUMEN!O23,TRASLADOS!$O:$O)</f>
        <v>0</v>
      </c>
      <c r="V23" s="3">
        <f>SUMIF(VENTAS!$J:$J,RESUMEN!O23,VENTAS!$N:$N)</f>
        <v>0</v>
      </c>
      <c r="W23" s="3">
        <f>SUMIF(VENTAS!$J:$J,RESUMEN!O23,VENTAS!$O:$O)</f>
        <v>0</v>
      </c>
      <c r="X23" s="97">
        <f t="shared" si="12"/>
        <v>2182</v>
      </c>
      <c r="Y23" s="96"/>
      <c r="Z23" s="99">
        <f t="shared" si="2"/>
        <v>5</v>
      </c>
      <c r="AA23" s="11">
        <f t="shared" si="13"/>
        <v>43277</v>
      </c>
      <c r="AB23" s="3">
        <f t="shared" si="13"/>
        <v>30</v>
      </c>
      <c r="AC23" s="3">
        <f>SUMIF(MORTALIDAD!$R:$R,RESUMEN!AA23,MORTALIDAD!$V:$V)</f>
        <v>-5</v>
      </c>
      <c r="AD23" s="19">
        <f t="shared" si="14"/>
        <v>-13</v>
      </c>
      <c r="AE23" s="3">
        <f>SUMIF(MORTALIDAD!$R:$R,RESUMEN!AA23,MORTALIDAD!$W:$W)</f>
        <v>26</v>
      </c>
      <c r="AF23" s="3">
        <f>SUMIF(TRASLADOS!$T:$T,RESUMEN!AA23,TRASLADOS!$W:$W)</f>
        <v>0</v>
      </c>
      <c r="AG23" s="3">
        <f>SUMIF(TRASLADOS!$T:$T,RESUMEN!AA23,TRASLADOS!$X:$X)</f>
        <v>0</v>
      </c>
      <c r="AH23" s="3">
        <f>SUMIF(VENTAS!$R:$R,RESUMEN!AA23,VENTAS!$V:$V)</f>
        <v>0</v>
      </c>
      <c r="AI23" s="3">
        <f>SUMIF(VENTAS!$R:$R,RESUMEN!AA23,VENTAS!$W:$W)</f>
        <v>0</v>
      </c>
      <c r="AJ23" s="97">
        <f t="shared" si="15"/>
        <v>2187</v>
      </c>
      <c r="AK23" s="96"/>
      <c r="AL23" s="99">
        <f t="shared" si="3"/>
        <v>5</v>
      </c>
      <c r="AM23" s="11">
        <f t="shared" si="16"/>
        <v>43284</v>
      </c>
      <c r="AN23" s="3">
        <f t="shared" si="16"/>
        <v>30</v>
      </c>
      <c r="AO23" s="3">
        <f>SUMIF(MORTALIDAD!$Z:$Z,RESUMEN!AM23,MORTALIDAD!$AD:$AD)</f>
        <v>-1</v>
      </c>
      <c r="AP23" s="19">
        <f t="shared" si="17"/>
        <v>-4</v>
      </c>
      <c r="AQ23" s="3">
        <f>SUMIF(MORTALIDAD!$Z:$Z,RESUMEN!AM23,MORTALIDAD!$AE:$AE)</f>
        <v>8</v>
      </c>
      <c r="AR23" s="3">
        <f>SUMIF(TRASLADOS!$AC:$AC,RESUMEN!AM23,TRASLADOS!$AF:$AF)</f>
        <v>0</v>
      </c>
      <c r="AS23" s="3">
        <f>SUMIF(TRASLADOS!$AC:$AC,RESUMEN!AM23,TRASLADOS!$AG:$AG)</f>
        <v>0</v>
      </c>
      <c r="AT23" s="3">
        <f>SUMIF(VENTAS!$Z:$Z,RESUMEN!AM23,VENTAS!$AD:$AD)</f>
        <v>0</v>
      </c>
      <c r="AU23" s="3">
        <f>SUMIF(VENTAS!$Z:$Z,RESUMEN!AM23,VENTAS!$AE:$AE)</f>
        <v>0</v>
      </c>
      <c r="AV23" s="97">
        <f t="shared" si="18"/>
        <v>2196</v>
      </c>
      <c r="AW23" s="96"/>
      <c r="AX23" s="99">
        <f t="shared" si="4"/>
        <v>5</v>
      </c>
      <c r="AY23" s="11">
        <f t="shared" si="19"/>
        <v>43291</v>
      </c>
      <c r="AZ23" s="3">
        <f t="shared" si="19"/>
        <v>30</v>
      </c>
      <c r="BA23" s="3">
        <f>SUMIF(MORTALIDAD!$AH:$AH,RESUMEN!AY23,MORTALIDAD!$AL:$AL)</f>
        <v>-4</v>
      </c>
      <c r="BB23" s="19">
        <f t="shared" si="20"/>
        <v>-9</v>
      </c>
      <c r="BC23" s="3">
        <f>SUMIF(MORTALIDAD!$AH:$AH,RESUMEN!AY23,MORTALIDAD!$AM:$AM)</f>
        <v>20</v>
      </c>
      <c r="BD23" s="3">
        <f>SUMIF(TRASLADOS!$AL:$AL,RESUMEN!AY23,TRASLADOS!$AO:$AO)</f>
        <v>0</v>
      </c>
      <c r="BE23" s="3">
        <f>SUMIF(TRASLADOS!$AL:$AL,RESUMEN!AY23,TRASLADOS!$AP:$AP)</f>
        <v>0</v>
      </c>
      <c r="BF23" s="3">
        <f>SUMIF(VENTAS!$AH:$AH,RESUMEN!AY23,VENTAS!$AL:$AL)</f>
        <v>0</v>
      </c>
      <c r="BG23" s="3">
        <f>SUMIF(VENTAS!$AH:$AH,RESUMEN!AY23,VENTAS!$AM:$AM)</f>
        <v>0</v>
      </c>
      <c r="BH23" s="97">
        <f t="shared" si="21"/>
        <v>2191</v>
      </c>
      <c r="BI23" s="96"/>
      <c r="BJ23" s="99">
        <f t="shared" si="5"/>
        <v>5</v>
      </c>
      <c r="BK23" s="11">
        <f t="shared" si="22"/>
        <v>43300</v>
      </c>
      <c r="BL23" s="3">
        <f t="shared" si="22"/>
        <v>33</v>
      </c>
      <c r="BM23" s="3">
        <f>SUMIF(MORTALIDAD!$AP:$AP,RESUMEN!BK23,MORTALIDAD!$AT:$AT)</f>
        <v>-5</v>
      </c>
      <c r="BN23" s="19">
        <f t="shared" si="23"/>
        <v>-13</v>
      </c>
      <c r="BO23" s="3">
        <f>SUMIF(MORTALIDAD!$AP$6:$AP$200,RESUMEN!BK23,MORTALIDAD!$AU$6:$AU$200)</f>
        <v>29</v>
      </c>
      <c r="BP23" s="3">
        <f>SUMIF(TRASLADOS!$AU:$AU,RESUMEN!BK23,TRASLADOS!$AX:$AX)</f>
        <v>0</v>
      </c>
      <c r="BQ23" s="3">
        <f>SUMIF(TRASLADOS!$AU:$AU,RESUMEN!BK23,TRASLADOS!$AY:$AY)</f>
        <v>0</v>
      </c>
      <c r="BR23" s="3">
        <f>SUMIF(VENTAS!$AP:$AP,RESUMEN!BK23,VENTAS!$AT:$AT)</f>
        <v>0</v>
      </c>
      <c r="BS23" s="3">
        <f>SUMIF(VENTAS!$AP:$AP,RESUMEN!BK23,VENTAS!$AU:$AU)</f>
        <v>0</v>
      </c>
      <c r="BT23" s="36">
        <f t="shared" si="24"/>
        <v>2301</v>
      </c>
    </row>
    <row r="24" spans="2:72" x14ac:dyDescent="0.2">
      <c r="B24" s="3">
        <f t="shared" si="0"/>
        <v>5</v>
      </c>
      <c r="C24" s="11">
        <f t="shared" si="6"/>
        <v>43271</v>
      </c>
      <c r="D24" s="3">
        <f t="shared" si="7"/>
        <v>33</v>
      </c>
      <c r="E24" s="3">
        <f>SUMIF(MORTALIDAD!$B$6:$B$200,RESUMEN!C24,MORTALIDAD!$F$6:$F$200)</f>
        <v>-15</v>
      </c>
      <c r="F24" s="17">
        <f t="shared" si="8"/>
        <v>-49</v>
      </c>
      <c r="G24" s="3">
        <f>SUMIF(MORTALIDAD!$B$6:$B$200,RESUMEN!C24,MORTALIDAD!$G$6:$G$200)</f>
        <v>66</v>
      </c>
      <c r="H24" s="3">
        <f>SUMIF(TRASLADOS!$B$6:$B$200,C24,TRASLADOS!$E$6:$E$200)</f>
        <v>0</v>
      </c>
      <c r="I24" s="3">
        <f>SUMIF(TRASLADOS!$B$6:$B$200,C24,TRASLADOS!$F$6:$F$200)</f>
        <v>0</v>
      </c>
      <c r="J24" s="3">
        <f>SUMIF(VENTAS!$B$6:$B$200,RESUMEN!C24,VENTAS!$F$6:$F$200)</f>
        <v>0</v>
      </c>
      <c r="K24" s="3">
        <f>SUMIF(VENTAS!$B$6:$B$200,RESUMEN!C24,VENTAS!$G$6:$G$200)</f>
        <v>0</v>
      </c>
      <c r="L24" s="97">
        <f t="shared" si="9"/>
        <v>2151</v>
      </c>
      <c r="M24" s="96"/>
      <c r="N24" s="99">
        <f t="shared" si="1"/>
        <v>5</v>
      </c>
      <c r="O24" s="11">
        <f t="shared" si="10"/>
        <v>43274</v>
      </c>
      <c r="P24" s="3">
        <f t="shared" si="10"/>
        <v>32</v>
      </c>
      <c r="Q24" s="3">
        <f>SUMIF(MORTALIDAD!$J:$J,RESUMEN!O24,MORTALIDAD!$N:$N)</f>
        <v>-6</v>
      </c>
      <c r="R24" s="19">
        <f t="shared" si="11"/>
        <v>-24</v>
      </c>
      <c r="S24" s="3">
        <f>SUMIF(MORTALIDAD!$J:$J,RESUMEN!O24,MORTALIDAD!$O:$O)</f>
        <v>20</v>
      </c>
      <c r="T24" s="3">
        <f>SUMIF(TRASLADOS!$K:$K,RESUMEN!O24,TRASLADOS!$N:$N)</f>
        <v>0</v>
      </c>
      <c r="U24" s="3">
        <f>SUMIF(TRASLADOS!$K:$K,RESUMEN!O24,TRASLADOS!$O:$O)</f>
        <v>0</v>
      </c>
      <c r="V24" s="3">
        <f>SUMIF(VENTAS!$J:$J,RESUMEN!O24,VENTAS!$N:$N)</f>
        <v>0</v>
      </c>
      <c r="W24" s="3">
        <f>SUMIF(VENTAS!$J:$J,RESUMEN!O24,VENTAS!$O:$O)</f>
        <v>0</v>
      </c>
      <c r="X24" s="97">
        <f t="shared" si="12"/>
        <v>2176</v>
      </c>
      <c r="Y24" s="96"/>
      <c r="Z24" s="99">
        <f t="shared" si="2"/>
        <v>5</v>
      </c>
      <c r="AA24" s="11">
        <f t="shared" si="13"/>
        <v>43278</v>
      </c>
      <c r="AB24" s="3">
        <f t="shared" si="13"/>
        <v>31</v>
      </c>
      <c r="AC24" s="3">
        <f>SUMIF(MORTALIDAD!$R:$R,RESUMEN!AA24,MORTALIDAD!$V:$V)</f>
        <v>-2</v>
      </c>
      <c r="AD24" s="19">
        <f t="shared" si="14"/>
        <v>-15</v>
      </c>
      <c r="AE24" s="3">
        <f>SUMIF(MORTALIDAD!$R:$R,RESUMEN!AA24,MORTALIDAD!$W:$W)</f>
        <v>14</v>
      </c>
      <c r="AF24" s="3">
        <f>SUMIF(TRASLADOS!$T:$T,RESUMEN!AA24,TRASLADOS!$W:$W)</f>
        <v>0</v>
      </c>
      <c r="AG24" s="3">
        <f>SUMIF(TRASLADOS!$T:$T,RESUMEN!AA24,TRASLADOS!$X:$X)</f>
        <v>0</v>
      </c>
      <c r="AH24" s="3">
        <f>SUMIF(VENTAS!$R:$R,RESUMEN!AA24,VENTAS!$V:$V)</f>
        <v>0</v>
      </c>
      <c r="AI24" s="3">
        <f>SUMIF(VENTAS!$R:$R,RESUMEN!AA24,VENTAS!$W:$W)</f>
        <v>0</v>
      </c>
      <c r="AJ24" s="97">
        <f t="shared" si="15"/>
        <v>2185</v>
      </c>
      <c r="AK24" s="96"/>
      <c r="AL24" s="99">
        <f t="shared" si="3"/>
        <v>5</v>
      </c>
      <c r="AM24" s="11">
        <f t="shared" si="16"/>
        <v>43285</v>
      </c>
      <c r="AN24" s="3">
        <f t="shared" si="16"/>
        <v>31</v>
      </c>
      <c r="AO24" s="3">
        <f>SUMIF(MORTALIDAD!$Z:$Z,RESUMEN!AM24,MORTALIDAD!$AD:$AD)</f>
        <v>0</v>
      </c>
      <c r="AP24" s="19">
        <f t="shared" si="17"/>
        <v>-4</v>
      </c>
      <c r="AQ24" s="3">
        <f>SUMIF(MORTALIDAD!$Z:$Z,RESUMEN!AM24,MORTALIDAD!$AE:$AE)</f>
        <v>0</v>
      </c>
      <c r="AR24" s="3">
        <f>SUMIF(TRASLADOS!$AC:$AC,RESUMEN!AM24,TRASLADOS!$AF:$AF)</f>
        <v>0</v>
      </c>
      <c r="AS24" s="3">
        <f>SUMIF(TRASLADOS!$AC:$AC,RESUMEN!AM24,TRASLADOS!$AG:$AG)</f>
        <v>0</v>
      </c>
      <c r="AT24" s="3">
        <f>SUMIF(VENTAS!$Z:$Z,RESUMEN!AM24,VENTAS!$AD:$AD)</f>
        <v>0</v>
      </c>
      <c r="AU24" s="3">
        <f>SUMIF(VENTAS!$Z:$Z,RESUMEN!AM24,VENTAS!$AE:$AE)</f>
        <v>0</v>
      </c>
      <c r="AV24" s="97">
        <f t="shared" si="18"/>
        <v>2196</v>
      </c>
      <c r="AW24" s="96"/>
      <c r="AX24" s="99">
        <f t="shared" si="4"/>
        <v>5</v>
      </c>
      <c r="AY24" s="11">
        <f t="shared" si="19"/>
        <v>43292</v>
      </c>
      <c r="AZ24" s="3">
        <f t="shared" si="19"/>
        <v>31</v>
      </c>
      <c r="BA24" s="3">
        <f>SUMIF(MORTALIDAD!$AH:$AH,RESUMEN!AY24,MORTALIDAD!$AL:$AL)</f>
        <v>-3</v>
      </c>
      <c r="BB24" s="19">
        <f t="shared" si="20"/>
        <v>-12</v>
      </c>
      <c r="BC24" s="3">
        <f>SUMIF(MORTALIDAD!$AH:$AH,RESUMEN!AY24,MORTALIDAD!$AM:$AM)</f>
        <v>19</v>
      </c>
      <c r="BD24" s="3">
        <f>SUMIF(TRASLADOS!$AL:$AL,RESUMEN!AY24,TRASLADOS!$AO:$AO)</f>
        <v>0</v>
      </c>
      <c r="BE24" s="3">
        <f>SUMIF(TRASLADOS!$AL:$AL,RESUMEN!AY24,TRASLADOS!$AP:$AP)</f>
        <v>0</v>
      </c>
      <c r="BF24" s="3">
        <f>SUMIF(VENTAS!$AH:$AH,RESUMEN!AY24,VENTAS!$AL:$AL)</f>
        <v>0</v>
      </c>
      <c r="BG24" s="3">
        <f>SUMIF(VENTAS!$AH:$AH,RESUMEN!AY24,VENTAS!$AM:$AM)</f>
        <v>0</v>
      </c>
      <c r="BH24" s="97">
        <f t="shared" si="21"/>
        <v>2188</v>
      </c>
      <c r="BI24" s="96"/>
      <c r="BJ24" s="99">
        <f t="shared" si="5"/>
        <v>5</v>
      </c>
      <c r="BK24" s="11">
        <f t="shared" si="22"/>
        <v>43301</v>
      </c>
      <c r="BL24" s="3">
        <f t="shared" si="22"/>
        <v>34</v>
      </c>
      <c r="BM24" s="3">
        <f>SUMIF(MORTALIDAD!$AP:$AP,RESUMEN!BK24,MORTALIDAD!$AT:$AT)</f>
        <v>-3</v>
      </c>
      <c r="BN24" s="19">
        <f t="shared" si="23"/>
        <v>-16</v>
      </c>
      <c r="BO24" s="3">
        <f>SUMIF(MORTALIDAD!$AP$6:$AP$200,RESUMEN!BK24,MORTALIDAD!$AU$6:$AU$200)</f>
        <v>13</v>
      </c>
      <c r="BP24" s="3">
        <f>SUMIF(TRASLADOS!$AU:$AU,RESUMEN!BK24,TRASLADOS!$AX:$AX)</f>
        <v>0</v>
      </c>
      <c r="BQ24" s="3">
        <f>SUMIF(TRASLADOS!$AU:$AU,RESUMEN!BK24,TRASLADOS!$AY:$AY)</f>
        <v>0</v>
      </c>
      <c r="BR24" s="3">
        <f>SUMIF(VENTAS!$AP:$AP,RESUMEN!BK24,VENTAS!$AT:$AT)</f>
        <v>0</v>
      </c>
      <c r="BS24" s="3">
        <f>SUMIF(VENTAS!$AP:$AP,RESUMEN!BK24,VENTAS!$AU:$AU)</f>
        <v>0</v>
      </c>
      <c r="BT24" s="36">
        <f t="shared" si="24"/>
        <v>2298</v>
      </c>
    </row>
    <row r="25" spans="2:72" x14ac:dyDescent="0.2">
      <c r="B25" s="3">
        <f t="shared" si="0"/>
        <v>5</v>
      </c>
      <c r="C25" s="11">
        <f t="shared" si="6"/>
        <v>43272</v>
      </c>
      <c r="D25" s="3">
        <f t="shared" si="7"/>
        <v>34</v>
      </c>
      <c r="E25" s="3">
        <f>SUMIF(MORTALIDAD!$B$6:$B$200,RESUMEN!C25,MORTALIDAD!$F$6:$F$200)</f>
        <v>-12</v>
      </c>
      <c r="F25" s="17">
        <f t="shared" si="8"/>
        <v>-61</v>
      </c>
      <c r="G25" s="3">
        <f>SUMIF(MORTALIDAD!$B$6:$B$200,RESUMEN!C25,MORTALIDAD!$G$6:$G$200)</f>
        <v>56</v>
      </c>
      <c r="H25" s="3">
        <f>SUMIF(TRASLADOS!$B$6:$B$200,C25,TRASLADOS!$E$6:$E$200)</f>
        <v>0</v>
      </c>
      <c r="I25" s="3">
        <f>SUMIF(TRASLADOS!$B$6:$B$200,C25,TRASLADOS!$F$6:$F$200)</f>
        <v>0</v>
      </c>
      <c r="J25" s="3">
        <f>SUMIF(VENTAS!$B$6:$B$200,RESUMEN!C25,VENTAS!$F$6:$F$200)</f>
        <v>0</v>
      </c>
      <c r="K25" s="3">
        <f>SUMIF(VENTAS!$B$6:$B$200,RESUMEN!C25,VENTAS!$G$6:$G$200)</f>
        <v>0</v>
      </c>
      <c r="L25" s="97">
        <f t="shared" si="9"/>
        <v>2139</v>
      </c>
      <c r="M25" s="96"/>
      <c r="N25" s="99">
        <f t="shared" si="1"/>
        <v>5</v>
      </c>
      <c r="O25" s="11">
        <f t="shared" si="10"/>
        <v>43275</v>
      </c>
      <c r="P25" s="3">
        <f t="shared" si="10"/>
        <v>33</v>
      </c>
      <c r="Q25" s="3">
        <f>SUMIF(MORTALIDAD!$J:$J,RESUMEN!O25,MORTALIDAD!$N:$N)</f>
        <v>-10</v>
      </c>
      <c r="R25" s="19">
        <f t="shared" si="11"/>
        <v>-34</v>
      </c>
      <c r="S25" s="3">
        <f>SUMIF(MORTALIDAD!$J:$J,RESUMEN!O25,MORTALIDAD!$O:$O)</f>
        <v>48</v>
      </c>
      <c r="T25" s="3">
        <f>SUMIF(TRASLADOS!$K:$K,RESUMEN!O25,TRASLADOS!$N:$N)</f>
        <v>0</v>
      </c>
      <c r="U25" s="3">
        <f>SUMIF(TRASLADOS!$K:$K,RESUMEN!O25,TRASLADOS!$O:$O)</f>
        <v>0</v>
      </c>
      <c r="V25" s="3">
        <f>SUMIF(VENTAS!$J:$J,RESUMEN!O25,VENTAS!$N:$N)</f>
        <v>0</v>
      </c>
      <c r="W25" s="3">
        <f>SUMIF(VENTAS!$J:$J,RESUMEN!O25,VENTAS!$O:$O)</f>
        <v>0</v>
      </c>
      <c r="X25" s="97">
        <f t="shared" si="12"/>
        <v>2166</v>
      </c>
      <c r="Y25" s="96"/>
      <c r="Z25" s="99">
        <f t="shared" si="2"/>
        <v>5</v>
      </c>
      <c r="AA25" s="11">
        <f t="shared" si="13"/>
        <v>43279</v>
      </c>
      <c r="AB25" s="3">
        <f t="shared" si="13"/>
        <v>32</v>
      </c>
      <c r="AC25" s="3">
        <f>SUMIF(MORTALIDAD!$R:$R,RESUMEN!AA25,MORTALIDAD!$V:$V)</f>
        <v>-6</v>
      </c>
      <c r="AD25" s="19">
        <f t="shared" si="14"/>
        <v>-21</v>
      </c>
      <c r="AE25" s="3">
        <f>SUMIF(MORTALIDAD!$R:$R,RESUMEN!AA25,MORTALIDAD!$W:$W)</f>
        <v>34</v>
      </c>
      <c r="AF25" s="3">
        <f>SUMIF(TRASLADOS!$T:$T,RESUMEN!AA25,TRASLADOS!$W:$W)</f>
        <v>0</v>
      </c>
      <c r="AG25" s="3">
        <f>SUMIF(TRASLADOS!$T:$T,RESUMEN!AA25,TRASLADOS!$X:$X)</f>
        <v>0</v>
      </c>
      <c r="AH25" s="3">
        <f>SUMIF(VENTAS!$R:$R,RESUMEN!AA25,VENTAS!$V:$V)</f>
        <v>0</v>
      </c>
      <c r="AI25" s="3">
        <f>SUMIF(VENTAS!$R:$R,RESUMEN!AA25,VENTAS!$W:$W)</f>
        <v>0</v>
      </c>
      <c r="AJ25" s="97">
        <f t="shared" si="15"/>
        <v>2179</v>
      </c>
      <c r="AK25" s="96"/>
      <c r="AL25" s="99">
        <f t="shared" si="3"/>
        <v>5</v>
      </c>
      <c r="AM25" s="11">
        <f t="shared" si="16"/>
        <v>43286</v>
      </c>
      <c r="AN25" s="3">
        <f t="shared" si="16"/>
        <v>32</v>
      </c>
      <c r="AO25" s="3">
        <f>SUMIF(MORTALIDAD!$Z:$Z,RESUMEN!AM25,MORTALIDAD!$AD:$AD)</f>
        <v>-1</v>
      </c>
      <c r="AP25" s="19">
        <f t="shared" si="17"/>
        <v>-5</v>
      </c>
      <c r="AQ25" s="3">
        <f>SUMIF(MORTALIDAD!$Z:$Z,RESUMEN!AM25,MORTALIDAD!$AE:$AE)</f>
        <v>5</v>
      </c>
      <c r="AR25" s="3">
        <f>SUMIF(TRASLADOS!$AC:$AC,RESUMEN!AM25,TRASLADOS!$AF:$AF)</f>
        <v>0</v>
      </c>
      <c r="AS25" s="3">
        <f>SUMIF(TRASLADOS!$AC:$AC,RESUMEN!AM25,TRASLADOS!$AG:$AG)</f>
        <v>0</v>
      </c>
      <c r="AT25" s="3">
        <f>SUMIF(VENTAS!$Z:$Z,RESUMEN!AM25,VENTAS!$AD:$AD)</f>
        <v>0</v>
      </c>
      <c r="AU25" s="3">
        <f>SUMIF(VENTAS!$Z:$Z,RESUMEN!AM25,VENTAS!$AE:$AE)</f>
        <v>0</v>
      </c>
      <c r="AV25" s="97">
        <f t="shared" si="18"/>
        <v>2195</v>
      </c>
      <c r="AW25" s="96"/>
      <c r="AX25" s="99">
        <f t="shared" si="4"/>
        <v>5</v>
      </c>
      <c r="AY25" s="11">
        <f t="shared" si="19"/>
        <v>43293</v>
      </c>
      <c r="AZ25" s="3">
        <f t="shared" si="19"/>
        <v>32</v>
      </c>
      <c r="BA25" s="3">
        <f>SUMIF(MORTALIDAD!$AH:$AH,RESUMEN!AY25,MORTALIDAD!$AL:$AL)</f>
        <v>-3</v>
      </c>
      <c r="BB25" s="19">
        <f t="shared" si="20"/>
        <v>-15</v>
      </c>
      <c r="BC25" s="3">
        <f>SUMIF(MORTALIDAD!$AH:$AH,RESUMEN!AY25,MORTALIDAD!$AM:$AM)</f>
        <v>12</v>
      </c>
      <c r="BD25" s="3">
        <f>SUMIF(TRASLADOS!$AL:$AL,RESUMEN!AY25,TRASLADOS!$AO:$AO)</f>
        <v>0</v>
      </c>
      <c r="BE25" s="3">
        <f>SUMIF(TRASLADOS!$AL:$AL,RESUMEN!AY25,TRASLADOS!$AP:$AP)</f>
        <v>0</v>
      </c>
      <c r="BF25" s="3">
        <f>SUMIF(VENTAS!$AH:$AH,RESUMEN!AY25,VENTAS!$AL:$AL)</f>
        <v>0</v>
      </c>
      <c r="BG25" s="3">
        <f>SUMIF(VENTAS!$AH:$AH,RESUMEN!AY25,VENTAS!$AM:$AM)</f>
        <v>0</v>
      </c>
      <c r="BH25" s="97">
        <f t="shared" si="21"/>
        <v>2185</v>
      </c>
      <c r="BI25" s="96"/>
      <c r="BJ25" s="99">
        <f t="shared" si="5"/>
        <v>5</v>
      </c>
      <c r="BK25" s="11">
        <f t="shared" si="22"/>
        <v>43302</v>
      </c>
      <c r="BL25" s="3">
        <f t="shared" si="22"/>
        <v>35</v>
      </c>
      <c r="BM25" s="3">
        <f>SUMIF(MORTALIDAD!$AP:$AP,RESUMEN!BK25,MORTALIDAD!$AT:$AT)</f>
        <v>-2</v>
      </c>
      <c r="BN25" s="19">
        <f t="shared" si="23"/>
        <v>-18</v>
      </c>
      <c r="BO25" s="3">
        <f>SUMIF(MORTALIDAD!$AP$6:$AP$200,RESUMEN!BK25,MORTALIDAD!$AU$6:$AU$200)</f>
        <v>6</v>
      </c>
      <c r="BP25" s="3">
        <f>SUMIF(TRASLADOS!$AU:$AU,RESUMEN!BK25,TRASLADOS!$AX:$AX)</f>
        <v>0</v>
      </c>
      <c r="BQ25" s="3">
        <f>SUMIF(TRASLADOS!$AU:$AU,RESUMEN!BK25,TRASLADOS!$AY:$AY)</f>
        <v>0</v>
      </c>
      <c r="BR25" s="3">
        <f>SUMIF(VENTAS!$AP:$AP,RESUMEN!BK25,VENTAS!$AT:$AT)</f>
        <v>0</v>
      </c>
      <c r="BS25" s="3">
        <f>SUMIF(VENTAS!$AP:$AP,RESUMEN!BK25,VENTAS!$AU:$AU)</f>
        <v>0</v>
      </c>
      <c r="BT25" s="36">
        <f t="shared" si="24"/>
        <v>2296</v>
      </c>
    </row>
    <row r="26" spans="2:72" x14ac:dyDescent="0.2">
      <c r="B26" s="3">
        <f t="shared" si="0"/>
        <v>5</v>
      </c>
      <c r="C26" s="11">
        <f t="shared" si="6"/>
        <v>43273</v>
      </c>
      <c r="D26" s="3">
        <f t="shared" si="7"/>
        <v>35</v>
      </c>
      <c r="E26" s="3">
        <f>SUMIF(MORTALIDAD!$B$6:$B$200,RESUMEN!C26,MORTALIDAD!$F$6:$F$200)</f>
        <v>-15</v>
      </c>
      <c r="F26" s="17">
        <f t="shared" si="8"/>
        <v>-76</v>
      </c>
      <c r="G26" s="3">
        <f>SUMIF(MORTALIDAD!$B$6:$B$200,RESUMEN!C26,MORTALIDAD!$G$6:$G$200)</f>
        <v>85</v>
      </c>
      <c r="H26" s="3">
        <f>SUMIF(TRASLADOS!$B$6:$B$200,C26,TRASLADOS!$E$6:$E$200)</f>
        <v>0</v>
      </c>
      <c r="I26" s="3">
        <f>SUMIF(TRASLADOS!$B$6:$B$200,C26,TRASLADOS!$F$6:$F$200)</f>
        <v>0</v>
      </c>
      <c r="J26" s="3">
        <f>SUMIF(VENTAS!$B$6:$B$200,RESUMEN!C26,VENTAS!$F$6:$F$200)</f>
        <v>0</v>
      </c>
      <c r="K26" s="3">
        <f>SUMIF(VENTAS!$B$6:$B$200,RESUMEN!C26,VENTAS!$G$6:$G$200)</f>
        <v>0</v>
      </c>
      <c r="L26" s="97">
        <f t="shared" si="9"/>
        <v>2124</v>
      </c>
      <c r="M26" s="96"/>
      <c r="N26" s="99">
        <f t="shared" si="1"/>
        <v>5</v>
      </c>
      <c r="O26" s="11">
        <f t="shared" si="10"/>
        <v>43276</v>
      </c>
      <c r="P26" s="3">
        <f t="shared" si="10"/>
        <v>34</v>
      </c>
      <c r="Q26" s="3">
        <f>SUMIF(MORTALIDAD!$J:$J,RESUMEN!O26,MORTALIDAD!$N:$N)</f>
        <v>-12</v>
      </c>
      <c r="R26" s="19">
        <f t="shared" si="11"/>
        <v>-46</v>
      </c>
      <c r="S26" s="3">
        <f>SUMIF(MORTALIDAD!$J:$J,RESUMEN!O26,MORTALIDAD!$O:$O)</f>
        <v>54</v>
      </c>
      <c r="T26" s="3">
        <f>SUMIF(TRASLADOS!$K:$K,RESUMEN!O26,TRASLADOS!$N:$N)</f>
        <v>0</v>
      </c>
      <c r="U26" s="3">
        <f>SUMIF(TRASLADOS!$K:$K,RESUMEN!O26,TRASLADOS!$O:$O)</f>
        <v>0</v>
      </c>
      <c r="V26" s="3">
        <f>SUMIF(VENTAS!$J:$J,RESUMEN!O26,VENTAS!$N:$N)</f>
        <v>0</v>
      </c>
      <c r="W26" s="3">
        <f>SUMIF(VENTAS!$J:$J,RESUMEN!O26,VENTAS!$O:$O)</f>
        <v>0</v>
      </c>
      <c r="X26" s="97">
        <f t="shared" si="12"/>
        <v>2154</v>
      </c>
      <c r="Y26" s="96"/>
      <c r="Z26" s="99">
        <f t="shared" si="2"/>
        <v>5</v>
      </c>
      <c r="AA26" s="11">
        <f t="shared" si="13"/>
        <v>43280</v>
      </c>
      <c r="AB26" s="3">
        <f t="shared" si="13"/>
        <v>33</v>
      </c>
      <c r="AC26" s="3">
        <f>SUMIF(MORTALIDAD!$R:$R,RESUMEN!AA26,MORTALIDAD!$V:$V)</f>
        <v>-2</v>
      </c>
      <c r="AD26" s="19">
        <f t="shared" si="14"/>
        <v>-23</v>
      </c>
      <c r="AE26" s="3">
        <f>SUMIF(MORTALIDAD!$R:$R,RESUMEN!AA26,MORTALIDAD!$W:$W)</f>
        <v>5</v>
      </c>
      <c r="AF26" s="3">
        <f>SUMIF(TRASLADOS!$T:$T,RESUMEN!AA26,TRASLADOS!$W:$W)</f>
        <v>0</v>
      </c>
      <c r="AG26" s="3">
        <f>SUMIF(TRASLADOS!$T:$T,RESUMEN!AA26,TRASLADOS!$X:$X)</f>
        <v>0</v>
      </c>
      <c r="AH26" s="3">
        <f>SUMIF(VENTAS!$R:$R,RESUMEN!AA26,VENTAS!$V:$V)</f>
        <v>0</v>
      </c>
      <c r="AI26" s="3">
        <f>SUMIF(VENTAS!$R:$R,RESUMEN!AA26,VENTAS!$W:$W)</f>
        <v>0</v>
      </c>
      <c r="AJ26" s="97">
        <f t="shared" si="15"/>
        <v>2177</v>
      </c>
      <c r="AK26" s="96"/>
      <c r="AL26" s="99">
        <f t="shared" si="3"/>
        <v>5</v>
      </c>
      <c r="AM26" s="11">
        <f t="shared" si="16"/>
        <v>43287</v>
      </c>
      <c r="AN26" s="3">
        <f t="shared" si="16"/>
        <v>33</v>
      </c>
      <c r="AO26" s="3">
        <f>SUMIF(MORTALIDAD!$Z:$Z,RESUMEN!AM26,MORTALIDAD!$AD:$AD)</f>
        <v>-2</v>
      </c>
      <c r="AP26" s="19">
        <f t="shared" si="17"/>
        <v>-7</v>
      </c>
      <c r="AQ26" s="3">
        <f>SUMIF(MORTALIDAD!$Z:$Z,RESUMEN!AM26,MORTALIDAD!$AE:$AE)</f>
        <v>6</v>
      </c>
      <c r="AR26" s="3">
        <f>SUMIF(TRASLADOS!$AC:$AC,RESUMEN!AM26,TRASLADOS!$AF:$AF)</f>
        <v>0</v>
      </c>
      <c r="AS26" s="3">
        <f>SUMIF(TRASLADOS!$AC:$AC,RESUMEN!AM26,TRASLADOS!$AG:$AG)</f>
        <v>0</v>
      </c>
      <c r="AT26" s="3">
        <f>SUMIF(VENTAS!$Z:$Z,RESUMEN!AM26,VENTAS!$AD:$AD)</f>
        <v>0</v>
      </c>
      <c r="AU26" s="3">
        <f>SUMIF(VENTAS!$Z:$Z,RESUMEN!AM26,VENTAS!$AE:$AE)</f>
        <v>0</v>
      </c>
      <c r="AV26" s="97">
        <f t="shared" si="18"/>
        <v>2193</v>
      </c>
      <c r="AW26" s="96"/>
      <c r="AX26" s="99">
        <f t="shared" si="4"/>
        <v>5</v>
      </c>
      <c r="AY26" s="11">
        <f t="shared" si="19"/>
        <v>43294</v>
      </c>
      <c r="AZ26" s="3">
        <f t="shared" si="19"/>
        <v>33</v>
      </c>
      <c r="BA26" s="3">
        <f>SUMIF(MORTALIDAD!$AH:$AH,RESUMEN!AY26,MORTALIDAD!$AL:$AL)</f>
        <v>-1</v>
      </c>
      <c r="BB26" s="19">
        <f t="shared" si="20"/>
        <v>-16</v>
      </c>
      <c r="BC26" s="3">
        <f>SUMIF(MORTALIDAD!$AH:$AH,RESUMEN!AY26,MORTALIDAD!$AM:$AM)</f>
        <v>5</v>
      </c>
      <c r="BD26" s="3">
        <f>SUMIF(TRASLADOS!$AL:$AL,RESUMEN!AY26,TRASLADOS!$AO:$AO)</f>
        <v>0</v>
      </c>
      <c r="BE26" s="3">
        <f>SUMIF(TRASLADOS!$AL:$AL,RESUMEN!AY26,TRASLADOS!$AP:$AP)</f>
        <v>0</v>
      </c>
      <c r="BF26" s="3">
        <f>SUMIF(VENTAS!$AH:$AH,RESUMEN!AY26,VENTAS!$AL:$AL)</f>
        <v>0</v>
      </c>
      <c r="BG26" s="3">
        <f>SUMIF(VENTAS!$AH:$AH,RESUMEN!AY26,VENTAS!$AM:$AM)</f>
        <v>0</v>
      </c>
      <c r="BH26" s="97">
        <f t="shared" si="21"/>
        <v>2184</v>
      </c>
      <c r="BI26" s="96"/>
      <c r="BJ26" s="99">
        <f t="shared" si="5"/>
        <v>6</v>
      </c>
      <c r="BK26" s="11">
        <f t="shared" si="22"/>
        <v>43303</v>
      </c>
      <c r="BL26" s="3">
        <f t="shared" si="22"/>
        <v>36</v>
      </c>
      <c r="BM26" s="3">
        <f>SUMIF(MORTALIDAD!$AP:$AP,RESUMEN!BK26,MORTALIDAD!$AT:$AT)</f>
        <v>-5</v>
      </c>
      <c r="BN26" s="19">
        <f t="shared" si="23"/>
        <v>-23</v>
      </c>
      <c r="BO26" s="3">
        <f>SUMIF(MORTALIDAD!$AP$6:$AP$200,RESUMEN!BK26,MORTALIDAD!$AU$6:$AU$200)</f>
        <v>15</v>
      </c>
      <c r="BP26" s="3">
        <f>SUMIF(TRASLADOS!$AU:$AU,RESUMEN!BK26,TRASLADOS!$AX:$AX)</f>
        <v>0</v>
      </c>
      <c r="BQ26" s="3">
        <f>SUMIF(TRASLADOS!$AU:$AU,RESUMEN!BK26,TRASLADOS!$AY:$AY)</f>
        <v>0</v>
      </c>
      <c r="BR26" s="3">
        <f>SUMIF(VENTAS!$AP:$AP,RESUMEN!BK26,VENTAS!$AT:$AT)</f>
        <v>0</v>
      </c>
      <c r="BS26" s="3">
        <f>SUMIF(VENTAS!$AP:$AP,RESUMEN!BK26,VENTAS!$AU:$AU)</f>
        <v>0</v>
      </c>
      <c r="BT26" s="36">
        <f t="shared" si="24"/>
        <v>2291</v>
      </c>
    </row>
    <row r="27" spans="2:72" x14ac:dyDescent="0.2">
      <c r="B27" s="3">
        <f t="shared" si="0"/>
        <v>6</v>
      </c>
      <c r="C27" s="11">
        <f t="shared" si="6"/>
        <v>43274</v>
      </c>
      <c r="D27" s="3">
        <f t="shared" si="7"/>
        <v>36</v>
      </c>
      <c r="E27" s="3">
        <f>SUMIF(MORTALIDAD!$B$6:$B$200,RESUMEN!C27,MORTALIDAD!$F$6:$F$200)</f>
        <v>-14</v>
      </c>
      <c r="F27" s="17">
        <f t="shared" si="8"/>
        <v>-90</v>
      </c>
      <c r="G27" s="3">
        <f>SUMIF(MORTALIDAD!$B$6:$B$200,RESUMEN!C27,MORTALIDAD!$G$6:$G$200)</f>
        <v>51</v>
      </c>
      <c r="H27" s="3">
        <f>SUMIF(TRASLADOS!$B$6:$B$200,C27,TRASLADOS!$E$6:$E$200)</f>
        <v>0</v>
      </c>
      <c r="I27" s="3">
        <f>SUMIF(TRASLADOS!$B$6:$B$200,C27,TRASLADOS!$F$6:$F$200)</f>
        <v>0</v>
      </c>
      <c r="J27" s="3">
        <f>SUMIF(VENTAS!$B$6:$B$200,RESUMEN!C27,VENTAS!$F$6:$F$200)</f>
        <v>0</v>
      </c>
      <c r="K27" s="3">
        <f>SUMIF(VENTAS!$B$6:$B$200,RESUMEN!C27,VENTAS!$G$6:$G$200)</f>
        <v>0</v>
      </c>
      <c r="L27" s="97">
        <f t="shared" si="9"/>
        <v>2110</v>
      </c>
      <c r="M27" s="96"/>
      <c r="N27" s="99">
        <f t="shared" si="1"/>
        <v>5</v>
      </c>
      <c r="O27" s="11">
        <f t="shared" si="10"/>
        <v>43277</v>
      </c>
      <c r="P27" s="3">
        <f t="shared" si="10"/>
        <v>35</v>
      </c>
      <c r="Q27" s="3">
        <f>SUMIF(MORTALIDAD!$J:$J,RESUMEN!O27,MORTALIDAD!$N:$N)</f>
        <v>-4</v>
      </c>
      <c r="R27" s="19">
        <f t="shared" si="11"/>
        <v>-50</v>
      </c>
      <c r="S27" s="3">
        <f>SUMIF(MORTALIDAD!$J:$J,RESUMEN!O27,MORTALIDAD!$O:$O)</f>
        <v>18</v>
      </c>
      <c r="T27" s="3">
        <f>SUMIF(TRASLADOS!$K:$K,RESUMEN!O27,TRASLADOS!$N:$N)</f>
        <v>0</v>
      </c>
      <c r="U27" s="3">
        <f>SUMIF(TRASLADOS!$K:$K,RESUMEN!O27,TRASLADOS!$O:$O)</f>
        <v>0</v>
      </c>
      <c r="V27" s="3">
        <f>SUMIF(VENTAS!$J:$J,RESUMEN!O27,VENTAS!$N:$N)</f>
        <v>0</v>
      </c>
      <c r="W27" s="3">
        <f>SUMIF(VENTAS!$J:$J,RESUMEN!O27,VENTAS!$O:$O)</f>
        <v>0</v>
      </c>
      <c r="X27" s="97">
        <f t="shared" si="12"/>
        <v>2150</v>
      </c>
      <c r="Y27" s="96"/>
      <c r="Z27" s="99">
        <f t="shared" si="2"/>
        <v>5</v>
      </c>
      <c r="AA27" s="11">
        <f t="shared" si="13"/>
        <v>43281</v>
      </c>
      <c r="AB27" s="3">
        <f t="shared" si="13"/>
        <v>34</v>
      </c>
      <c r="AC27" s="3">
        <f>SUMIF(MORTALIDAD!$R:$R,RESUMEN!AA27,MORTALIDAD!$V:$V)</f>
        <v>-6</v>
      </c>
      <c r="AD27" s="19">
        <f t="shared" si="14"/>
        <v>-29</v>
      </c>
      <c r="AE27" s="3">
        <f>SUMIF(MORTALIDAD!$R:$R,RESUMEN!AA27,MORTALIDAD!$W:$W)</f>
        <v>18</v>
      </c>
      <c r="AF27" s="3">
        <f>SUMIF(TRASLADOS!$T:$T,RESUMEN!AA27,TRASLADOS!$W:$W)</f>
        <v>0</v>
      </c>
      <c r="AG27" s="3">
        <f>SUMIF(TRASLADOS!$T:$T,RESUMEN!AA27,TRASLADOS!$X:$X)</f>
        <v>0</v>
      </c>
      <c r="AH27" s="3">
        <f>SUMIF(VENTAS!$R:$R,RESUMEN!AA27,VENTAS!$V:$V)</f>
        <v>0</v>
      </c>
      <c r="AI27" s="3">
        <f>SUMIF(VENTAS!$R:$R,RESUMEN!AA27,VENTAS!$W:$W)</f>
        <v>0</v>
      </c>
      <c r="AJ27" s="97">
        <f t="shared" si="15"/>
        <v>2171</v>
      </c>
      <c r="AK27" s="96"/>
      <c r="AL27" s="99">
        <f t="shared" si="3"/>
        <v>5</v>
      </c>
      <c r="AM27" s="11">
        <f t="shared" si="16"/>
        <v>43288</v>
      </c>
      <c r="AN27" s="3">
        <f t="shared" si="16"/>
        <v>34</v>
      </c>
      <c r="AO27" s="3">
        <f>SUMIF(MORTALIDAD!$Z:$Z,RESUMEN!AM27,MORTALIDAD!$AD:$AD)</f>
        <v>-2</v>
      </c>
      <c r="AP27" s="19">
        <f t="shared" si="17"/>
        <v>-9</v>
      </c>
      <c r="AQ27" s="3">
        <f>SUMIF(MORTALIDAD!$Z:$Z,RESUMEN!AM27,MORTALIDAD!$AE:$AE)</f>
        <v>8</v>
      </c>
      <c r="AR27" s="3">
        <f>SUMIF(TRASLADOS!$AC:$AC,RESUMEN!AM27,TRASLADOS!$AF:$AF)</f>
        <v>0</v>
      </c>
      <c r="AS27" s="3">
        <f>SUMIF(TRASLADOS!$AC:$AC,RESUMEN!AM27,TRASLADOS!$AG:$AG)</f>
        <v>0</v>
      </c>
      <c r="AT27" s="3">
        <f>SUMIF(VENTAS!$Z:$Z,RESUMEN!AM27,VENTAS!$AD:$AD)</f>
        <v>0</v>
      </c>
      <c r="AU27" s="3">
        <f>SUMIF(VENTAS!$Z:$Z,RESUMEN!AM27,VENTAS!$AE:$AE)</f>
        <v>0</v>
      </c>
      <c r="AV27" s="97">
        <f t="shared" si="18"/>
        <v>2191</v>
      </c>
      <c r="AW27" s="96"/>
      <c r="AX27" s="99">
        <f t="shared" si="4"/>
        <v>5</v>
      </c>
      <c r="AY27" s="11">
        <f t="shared" si="19"/>
        <v>43295</v>
      </c>
      <c r="AZ27" s="3">
        <f t="shared" si="19"/>
        <v>34</v>
      </c>
      <c r="BA27" s="3">
        <f>SUMIF(MORTALIDAD!$AH:$AH,RESUMEN!AY27,MORTALIDAD!$AL:$AL)</f>
        <v>-2</v>
      </c>
      <c r="BB27" s="19">
        <f t="shared" si="20"/>
        <v>-18</v>
      </c>
      <c r="BC27" s="3">
        <f>SUMIF(MORTALIDAD!$AH:$AH,RESUMEN!AY27,MORTALIDAD!$AM:$AM)</f>
        <v>7</v>
      </c>
      <c r="BD27" s="3">
        <f>SUMIF(TRASLADOS!$AL:$AL,RESUMEN!AY27,TRASLADOS!$AO:$AO)</f>
        <v>0</v>
      </c>
      <c r="BE27" s="3">
        <f>SUMIF(TRASLADOS!$AL:$AL,RESUMEN!AY27,TRASLADOS!$AP:$AP)</f>
        <v>0</v>
      </c>
      <c r="BF27" s="3">
        <f>SUMIF(VENTAS!$AH:$AH,RESUMEN!AY27,VENTAS!$AL:$AL)</f>
        <v>0</v>
      </c>
      <c r="BG27" s="3">
        <f>SUMIF(VENTAS!$AH:$AH,RESUMEN!AY27,VENTAS!$AM:$AM)</f>
        <v>0</v>
      </c>
      <c r="BH27" s="97">
        <f t="shared" si="21"/>
        <v>2182</v>
      </c>
      <c r="BI27" s="96"/>
      <c r="BJ27" s="99">
        <f t="shared" si="5"/>
        <v>6</v>
      </c>
      <c r="BK27" s="11">
        <f t="shared" si="22"/>
        <v>43304</v>
      </c>
      <c r="BL27" s="3">
        <f t="shared" si="22"/>
        <v>37</v>
      </c>
      <c r="BM27" s="3">
        <f>SUMIF(MORTALIDAD!$AP:$AP,RESUMEN!BK27,MORTALIDAD!$AT:$AT)</f>
        <v>-5</v>
      </c>
      <c r="BN27" s="19">
        <f t="shared" si="23"/>
        <v>-28</v>
      </c>
      <c r="BO27" s="3">
        <f>SUMIF(MORTALIDAD!$AP$6:$AP$200,RESUMEN!BK27,MORTALIDAD!$AU$6:$AU$200)</f>
        <v>25</v>
      </c>
      <c r="BP27" s="3">
        <f>SUMIF(TRASLADOS!$AU:$AU,RESUMEN!BK27,TRASLADOS!$AX:$AX)</f>
        <v>0</v>
      </c>
      <c r="BQ27" s="3">
        <f>SUMIF(TRASLADOS!$AU:$AU,RESUMEN!BK27,TRASLADOS!$AY:$AY)</f>
        <v>0</v>
      </c>
      <c r="BR27" s="3">
        <f>SUMIF(VENTAS!$AP:$AP,RESUMEN!BK27,VENTAS!$AT:$AT)</f>
        <v>0</v>
      </c>
      <c r="BS27" s="3">
        <f>SUMIF(VENTAS!$AP:$AP,RESUMEN!BK27,VENTAS!$AU:$AU)</f>
        <v>0</v>
      </c>
      <c r="BT27" s="36">
        <f t="shared" si="24"/>
        <v>2286</v>
      </c>
    </row>
    <row r="28" spans="2:72" x14ac:dyDescent="0.2">
      <c r="B28" s="3">
        <f t="shared" si="0"/>
        <v>6</v>
      </c>
      <c r="C28" s="11">
        <f t="shared" si="6"/>
        <v>43275</v>
      </c>
      <c r="D28" s="3">
        <f t="shared" si="7"/>
        <v>37</v>
      </c>
      <c r="E28" s="3">
        <f>SUMIF(MORTALIDAD!$B$6:$B$200,RESUMEN!C28,MORTALIDAD!$F$6:$F$200)</f>
        <v>-10</v>
      </c>
      <c r="F28" s="17">
        <f t="shared" si="8"/>
        <v>-100</v>
      </c>
      <c r="G28" s="3">
        <f>SUMIF(MORTALIDAD!$B$6:$B$200,RESUMEN!C28,MORTALIDAD!$G$6:$G$200)</f>
        <v>49</v>
      </c>
      <c r="H28" s="3">
        <f>SUMIF(TRASLADOS!$B$6:$B$200,C28,TRASLADOS!$E$6:$E$200)</f>
        <v>0</v>
      </c>
      <c r="I28" s="3">
        <f>SUMIF(TRASLADOS!$B$6:$B$200,C28,TRASLADOS!$F$6:$F$200)</f>
        <v>0</v>
      </c>
      <c r="J28" s="3">
        <f>SUMIF(VENTAS!$B$6:$B$200,RESUMEN!C28,VENTAS!$F$6:$F$200)</f>
        <v>0</v>
      </c>
      <c r="K28" s="3">
        <f>SUMIF(VENTAS!$B$6:$B$200,RESUMEN!C28,VENTAS!$G$6:$G$200)</f>
        <v>0</v>
      </c>
      <c r="L28" s="97">
        <f t="shared" si="9"/>
        <v>2100</v>
      </c>
      <c r="M28" s="96"/>
      <c r="N28" s="99">
        <f t="shared" si="1"/>
        <v>6</v>
      </c>
      <c r="O28" s="11">
        <f t="shared" si="10"/>
        <v>43278</v>
      </c>
      <c r="P28" s="3">
        <f t="shared" si="10"/>
        <v>36</v>
      </c>
      <c r="Q28" s="3">
        <f>SUMIF(MORTALIDAD!$J:$J,RESUMEN!O28,MORTALIDAD!$N:$N)</f>
        <v>-6</v>
      </c>
      <c r="R28" s="19">
        <f t="shared" si="11"/>
        <v>-56</v>
      </c>
      <c r="S28" s="3">
        <f>SUMIF(MORTALIDAD!$J:$J,RESUMEN!O28,MORTALIDAD!$O:$O)</f>
        <v>23</v>
      </c>
      <c r="T28" s="3">
        <f>SUMIF(TRASLADOS!$K:$K,RESUMEN!O28,TRASLADOS!$N:$N)</f>
        <v>0</v>
      </c>
      <c r="U28" s="3">
        <f>SUMIF(TRASLADOS!$K:$K,RESUMEN!O28,TRASLADOS!$O:$O)</f>
        <v>0</v>
      </c>
      <c r="V28" s="3">
        <f>SUMIF(VENTAS!$J:$J,RESUMEN!O28,VENTAS!$N:$N)</f>
        <v>0</v>
      </c>
      <c r="W28" s="3">
        <f>SUMIF(VENTAS!$J:$J,RESUMEN!O28,VENTAS!$O:$O)</f>
        <v>0</v>
      </c>
      <c r="X28" s="97">
        <f t="shared" si="12"/>
        <v>2144</v>
      </c>
      <c r="Y28" s="96"/>
      <c r="Z28" s="99">
        <f t="shared" si="2"/>
        <v>5</v>
      </c>
      <c r="AA28" s="11">
        <f t="shared" si="13"/>
        <v>43282</v>
      </c>
      <c r="AB28" s="3">
        <f t="shared" si="13"/>
        <v>35</v>
      </c>
      <c r="AC28" s="3">
        <f>SUMIF(MORTALIDAD!$R:$R,RESUMEN!AA28,MORTALIDAD!$V:$V)</f>
        <v>-5</v>
      </c>
      <c r="AD28" s="19">
        <f t="shared" si="14"/>
        <v>-34</v>
      </c>
      <c r="AE28" s="3">
        <f>SUMIF(MORTALIDAD!$R:$R,RESUMEN!AA28,MORTALIDAD!$W:$W)</f>
        <v>25</v>
      </c>
      <c r="AF28" s="3">
        <f>SUMIF(TRASLADOS!$T:$T,RESUMEN!AA28,TRASLADOS!$W:$W)</f>
        <v>0</v>
      </c>
      <c r="AG28" s="3">
        <f>SUMIF(TRASLADOS!$T:$T,RESUMEN!AA28,TRASLADOS!$X:$X)</f>
        <v>0</v>
      </c>
      <c r="AH28" s="3">
        <f>SUMIF(VENTAS!$R:$R,RESUMEN!AA28,VENTAS!$V:$V)</f>
        <v>0</v>
      </c>
      <c r="AI28" s="3">
        <f>SUMIF(VENTAS!$R:$R,RESUMEN!AA28,VENTAS!$W:$W)</f>
        <v>0</v>
      </c>
      <c r="AJ28" s="97">
        <f t="shared" si="15"/>
        <v>2166</v>
      </c>
      <c r="AK28" s="96"/>
      <c r="AL28" s="99">
        <f t="shared" si="3"/>
        <v>5</v>
      </c>
      <c r="AM28" s="11">
        <f t="shared" si="16"/>
        <v>43289</v>
      </c>
      <c r="AN28" s="3">
        <f t="shared" si="16"/>
        <v>35</v>
      </c>
      <c r="AO28" s="3">
        <f>SUMIF(MORTALIDAD!$Z:$Z,RESUMEN!AM28,MORTALIDAD!$AD:$AD)</f>
        <v>-2</v>
      </c>
      <c r="AP28" s="19">
        <f t="shared" si="17"/>
        <v>-11</v>
      </c>
      <c r="AQ28" s="3">
        <f>SUMIF(MORTALIDAD!$Z:$Z,RESUMEN!AM28,MORTALIDAD!$AE:$AE)</f>
        <v>4</v>
      </c>
      <c r="AR28" s="3">
        <f>SUMIF(TRASLADOS!$AC:$AC,RESUMEN!AM28,TRASLADOS!$AF:$AF)</f>
        <v>0</v>
      </c>
      <c r="AS28" s="3">
        <f>SUMIF(TRASLADOS!$AC:$AC,RESUMEN!AM28,TRASLADOS!$AG:$AG)</f>
        <v>0</v>
      </c>
      <c r="AT28" s="3">
        <f>SUMIF(VENTAS!$Z:$Z,RESUMEN!AM28,VENTAS!$AD:$AD)</f>
        <v>0</v>
      </c>
      <c r="AU28" s="3">
        <f>SUMIF(VENTAS!$Z:$Z,RESUMEN!AM28,VENTAS!$AE:$AE)</f>
        <v>0</v>
      </c>
      <c r="AV28" s="97">
        <f t="shared" si="18"/>
        <v>2189</v>
      </c>
      <c r="AW28" s="96"/>
      <c r="AX28" s="99">
        <f t="shared" si="4"/>
        <v>5</v>
      </c>
      <c r="AY28" s="11">
        <f t="shared" si="19"/>
        <v>43296</v>
      </c>
      <c r="AZ28" s="3">
        <f t="shared" si="19"/>
        <v>35</v>
      </c>
      <c r="BA28" s="3">
        <f>SUMIF(MORTALIDAD!$AH:$AH,RESUMEN!AY28,MORTALIDAD!$AL:$AL)</f>
        <v>-8</v>
      </c>
      <c r="BB28" s="19">
        <f t="shared" si="20"/>
        <v>-26</v>
      </c>
      <c r="BC28" s="3">
        <f>SUMIF(MORTALIDAD!$AH:$AH,RESUMEN!AY28,MORTALIDAD!$AM:$AM)</f>
        <v>38</v>
      </c>
      <c r="BD28" s="3">
        <f>SUMIF(TRASLADOS!$AL:$AL,RESUMEN!AY28,TRASLADOS!$AO:$AO)</f>
        <v>0</v>
      </c>
      <c r="BE28" s="3">
        <f>SUMIF(TRASLADOS!$AL:$AL,RESUMEN!AY28,TRASLADOS!$AP:$AP)</f>
        <v>0</v>
      </c>
      <c r="BF28" s="3">
        <f>SUMIF(VENTAS!$AH:$AH,RESUMEN!AY28,VENTAS!$AL:$AL)</f>
        <v>0</v>
      </c>
      <c r="BG28" s="3">
        <f>SUMIF(VENTAS!$AH:$AH,RESUMEN!AY28,VENTAS!$AM:$AM)</f>
        <v>0</v>
      </c>
      <c r="BH28" s="97">
        <f t="shared" si="21"/>
        <v>2174</v>
      </c>
      <c r="BI28" s="96"/>
      <c r="BJ28" s="99">
        <f t="shared" si="5"/>
        <v>6</v>
      </c>
      <c r="BK28" s="11">
        <f t="shared" si="22"/>
        <v>43305</v>
      </c>
      <c r="BL28" s="3">
        <f t="shared" si="22"/>
        <v>38</v>
      </c>
      <c r="BM28" s="3">
        <f>SUMIF(MORTALIDAD!$AP:$AP,RESUMEN!BK28,MORTALIDAD!$AT:$AT)</f>
        <v>-6</v>
      </c>
      <c r="BN28" s="19">
        <f t="shared" si="23"/>
        <v>-34</v>
      </c>
      <c r="BO28" s="3">
        <f>SUMIF(MORTALIDAD!$AP$6:$AP$200,RESUMEN!BK28,MORTALIDAD!$AU$6:$AU$200)</f>
        <v>25</v>
      </c>
      <c r="BP28" s="3">
        <f>SUMIF(TRASLADOS!$AU:$AU,RESUMEN!BK28,TRASLADOS!$AX:$AX)</f>
        <v>0</v>
      </c>
      <c r="BQ28" s="3">
        <f>SUMIF(TRASLADOS!$AU:$AU,RESUMEN!BK28,TRASLADOS!$AY:$AY)</f>
        <v>0</v>
      </c>
      <c r="BR28" s="3">
        <f>SUMIF(VENTAS!$AP:$AP,RESUMEN!BK28,VENTAS!$AT:$AT)</f>
        <v>0</v>
      </c>
      <c r="BS28" s="3">
        <f>SUMIF(VENTAS!$AP:$AP,RESUMEN!BK28,VENTAS!$AU:$AU)</f>
        <v>0</v>
      </c>
      <c r="BT28" s="36">
        <f t="shared" si="24"/>
        <v>2280</v>
      </c>
    </row>
    <row r="29" spans="2:72" x14ac:dyDescent="0.2">
      <c r="B29" s="3">
        <f t="shared" si="0"/>
        <v>6</v>
      </c>
      <c r="C29" s="11">
        <f t="shared" si="6"/>
        <v>43276</v>
      </c>
      <c r="D29" s="3">
        <f t="shared" si="7"/>
        <v>38</v>
      </c>
      <c r="E29" s="3">
        <f>SUMIF(MORTALIDAD!$B$6:$B$200,RESUMEN!C29,MORTALIDAD!$F$6:$F$200)</f>
        <v>-15</v>
      </c>
      <c r="F29" s="17">
        <f t="shared" si="8"/>
        <v>-115</v>
      </c>
      <c r="G29" s="3">
        <f>SUMIF(MORTALIDAD!$B$6:$B$200,RESUMEN!C29,MORTALIDAD!$G$6:$G$200)</f>
        <v>64</v>
      </c>
      <c r="H29" s="3">
        <f>SUMIF(TRASLADOS!$B$6:$B$200,C29,TRASLADOS!$E$6:$E$200)</f>
        <v>0</v>
      </c>
      <c r="I29" s="3">
        <f>SUMIF(TRASLADOS!$B$6:$B$200,C29,TRASLADOS!$F$6:$F$200)</f>
        <v>0</v>
      </c>
      <c r="J29" s="3">
        <f>SUMIF(VENTAS!$B$6:$B$200,RESUMEN!C29,VENTAS!$F$6:$F$200)</f>
        <v>0</v>
      </c>
      <c r="K29" s="3">
        <f>SUMIF(VENTAS!$B$6:$B$200,RESUMEN!C29,VENTAS!$G$6:$G$200)</f>
        <v>0</v>
      </c>
      <c r="L29" s="97">
        <f t="shared" si="9"/>
        <v>2085</v>
      </c>
      <c r="M29" s="96"/>
      <c r="N29" s="99">
        <f t="shared" si="1"/>
        <v>6</v>
      </c>
      <c r="O29" s="11">
        <f t="shared" si="10"/>
        <v>43279</v>
      </c>
      <c r="P29" s="3">
        <f t="shared" si="10"/>
        <v>37</v>
      </c>
      <c r="Q29" s="3">
        <f>SUMIF(MORTALIDAD!$J:$J,RESUMEN!O29,MORTALIDAD!$N:$N)</f>
        <v>-6</v>
      </c>
      <c r="R29" s="19">
        <f t="shared" si="11"/>
        <v>-62</v>
      </c>
      <c r="S29" s="3">
        <f>SUMIF(MORTALIDAD!$J:$J,RESUMEN!O29,MORTALIDAD!$O:$O)</f>
        <v>25</v>
      </c>
      <c r="T29" s="3">
        <f>SUMIF(TRASLADOS!$K:$K,RESUMEN!O29,TRASLADOS!$N:$N)</f>
        <v>0</v>
      </c>
      <c r="U29" s="3">
        <f>SUMIF(TRASLADOS!$K:$K,RESUMEN!O29,TRASLADOS!$O:$O)</f>
        <v>0</v>
      </c>
      <c r="V29" s="3">
        <f>SUMIF(VENTAS!$J:$J,RESUMEN!O29,VENTAS!$N:$N)</f>
        <v>0</v>
      </c>
      <c r="W29" s="3">
        <f>SUMIF(VENTAS!$J:$J,RESUMEN!O29,VENTAS!$O:$O)</f>
        <v>0</v>
      </c>
      <c r="X29" s="97">
        <f t="shared" si="12"/>
        <v>2138</v>
      </c>
      <c r="Y29" s="96"/>
      <c r="Z29" s="99">
        <f t="shared" si="2"/>
        <v>6</v>
      </c>
      <c r="AA29" s="11">
        <f t="shared" si="13"/>
        <v>43283</v>
      </c>
      <c r="AB29" s="3">
        <f t="shared" si="13"/>
        <v>36</v>
      </c>
      <c r="AC29" s="3">
        <f>SUMIF(MORTALIDAD!$R:$R,RESUMEN!AA29,MORTALIDAD!$V:$V)</f>
        <v>-5</v>
      </c>
      <c r="AD29" s="19">
        <f t="shared" si="14"/>
        <v>-39</v>
      </c>
      <c r="AE29" s="3">
        <f>SUMIF(MORTALIDAD!$R:$R,RESUMEN!AA29,MORTALIDAD!$W:$W)</f>
        <v>21</v>
      </c>
      <c r="AF29" s="3">
        <f>SUMIF(TRASLADOS!$T:$T,RESUMEN!AA29,TRASLADOS!$W:$W)</f>
        <v>0</v>
      </c>
      <c r="AG29" s="3">
        <f>SUMIF(TRASLADOS!$T:$T,RESUMEN!AA29,TRASLADOS!$X:$X)</f>
        <v>0</v>
      </c>
      <c r="AH29" s="3">
        <f>SUMIF(VENTAS!$R:$R,RESUMEN!AA29,VENTAS!$V:$V)</f>
        <v>0</v>
      </c>
      <c r="AI29" s="3">
        <f>SUMIF(VENTAS!$R:$R,RESUMEN!AA29,VENTAS!$W:$W)</f>
        <v>0</v>
      </c>
      <c r="AJ29" s="97">
        <f t="shared" si="15"/>
        <v>2161</v>
      </c>
      <c r="AK29" s="96"/>
      <c r="AL29" s="99">
        <f t="shared" si="3"/>
        <v>6</v>
      </c>
      <c r="AM29" s="11">
        <f t="shared" si="16"/>
        <v>43290</v>
      </c>
      <c r="AN29" s="3">
        <f t="shared" si="16"/>
        <v>36</v>
      </c>
      <c r="AO29" s="3">
        <f>SUMIF(MORTALIDAD!$Z:$Z,RESUMEN!AM29,MORTALIDAD!$AD:$AD)</f>
        <v>-1</v>
      </c>
      <c r="AP29" s="19">
        <f t="shared" si="17"/>
        <v>-12</v>
      </c>
      <c r="AQ29" s="3">
        <f>SUMIF(MORTALIDAD!$Z:$Z,RESUMEN!AM29,MORTALIDAD!$AE:$AE)</f>
        <v>2</v>
      </c>
      <c r="AR29" s="3">
        <f>SUMIF(TRASLADOS!$AC:$AC,RESUMEN!AM29,TRASLADOS!$AF:$AF)</f>
        <v>0</v>
      </c>
      <c r="AS29" s="3">
        <f>SUMIF(TRASLADOS!$AC:$AC,RESUMEN!AM29,TRASLADOS!$AG:$AG)</f>
        <v>0</v>
      </c>
      <c r="AT29" s="3">
        <f>SUMIF(VENTAS!$Z:$Z,RESUMEN!AM29,VENTAS!$AD:$AD)</f>
        <v>0</v>
      </c>
      <c r="AU29" s="3">
        <f>SUMIF(VENTAS!$Z:$Z,RESUMEN!AM29,VENTAS!$AE:$AE)</f>
        <v>0</v>
      </c>
      <c r="AV29" s="97">
        <f t="shared" si="18"/>
        <v>2188</v>
      </c>
      <c r="AW29" s="96"/>
      <c r="AX29" s="99">
        <f t="shared" si="4"/>
        <v>6</v>
      </c>
      <c r="AY29" s="11">
        <f t="shared" si="19"/>
        <v>43297</v>
      </c>
      <c r="AZ29" s="3">
        <f t="shared" si="19"/>
        <v>36</v>
      </c>
      <c r="BA29" s="3">
        <f>SUMIF(MORTALIDAD!$AH:$AH,RESUMEN!AY29,MORTALIDAD!$AL:$AL)</f>
        <v>-2</v>
      </c>
      <c r="BB29" s="19">
        <f t="shared" si="20"/>
        <v>-28</v>
      </c>
      <c r="BC29" s="3">
        <f>SUMIF(MORTALIDAD!$AH:$AH,RESUMEN!AY29,MORTALIDAD!$AM:$AM)</f>
        <v>17</v>
      </c>
      <c r="BD29" s="3">
        <f>SUMIF(TRASLADOS!$AL:$AL,RESUMEN!AY29,TRASLADOS!$AO:$AO)</f>
        <v>0</v>
      </c>
      <c r="BE29" s="3">
        <f>SUMIF(TRASLADOS!$AL:$AL,RESUMEN!AY29,TRASLADOS!$AP:$AP)</f>
        <v>0</v>
      </c>
      <c r="BF29" s="3">
        <f>SUMIF(VENTAS!$AH:$AH,RESUMEN!AY29,VENTAS!$AL:$AL)</f>
        <v>0</v>
      </c>
      <c r="BG29" s="3">
        <f>SUMIF(VENTAS!$AH:$AH,RESUMEN!AY29,VENTAS!$AM:$AM)</f>
        <v>0</v>
      </c>
      <c r="BH29" s="97">
        <f t="shared" si="21"/>
        <v>2172</v>
      </c>
      <c r="BI29" s="96"/>
      <c r="BJ29" s="99">
        <f t="shared" si="5"/>
        <v>6</v>
      </c>
      <c r="BK29" s="11">
        <f t="shared" si="22"/>
        <v>43306</v>
      </c>
      <c r="BL29" s="3">
        <f t="shared" si="22"/>
        <v>39</v>
      </c>
      <c r="BM29" s="3">
        <f>SUMIF(MORTALIDAD!$AP:$AP,RESUMEN!BK29,MORTALIDAD!$AT:$AT)</f>
        <v>-5</v>
      </c>
      <c r="BN29" s="19">
        <f t="shared" si="23"/>
        <v>-39</v>
      </c>
      <c r="BO29" s="3">
        <f>SUMIF(MORTALIDAD!$AP$6:$AP$200,RESUMEN!BK29,MORTALIDAD!$AU$6:$AU$200)</f>
        <v>15</v>
      </c>
      <c r="BP29" s="3">
        <f>SUMIF(TRASLADOS!$AU:$AU,RESUMEN!BK29,TRASLADOS!$AX:$AX)</f>
        <v>0</v>
      </c>
      <c r="BQ29" s="3">
        <f>SUMIF(TRASLADOS!$AU:$AU,RESUMEN!BK29,TRASLADOS!$AY:$AY)</f>
        <v>0</v>
      </c>
      <c r="BR29" s="3">
        <f>SUMIF(VENTAS!$AP:$AP,RESUMEN!BK29,VENTAS!$AT:$AT)</f>
        <v>0</v>
      </c>
      <c r="BS29" s="3">
        <f>SUMIF(VENTAS!$AP:$AP,RESUMEN!BK29,VENTAS!$AU:$AU)</f>
        <v>0</v>
      </c>
      <c r="BT29" s="36">
        <f t="shared" si="24"/>
        <v>2275</v>
      </c>
    </row>
    <row r="30" spans="2:72" x14ac:dyDescent="0.2">
      <c r="B30" s="3">
        <f t="shared" si="0"/>
        <v>6</v>
      </c>
      <c r="C30" s="11">
        <f t="shared" si="6"/>
        <v>43277</v>
      </c>
      <c r="D30" s="3">
        <f t="shared" si="7"/>
        <v>39</v>
      </c>
      <c r="E30" s="3">
        <f>SUMIF(MORTALIDAD!$B$6:$B$200,RESUMEN!C30,MORTALIDAD!$F$6:$F$200)</f>
        <v>-14</v>
      </c>
      <c r="F30" s="17">
        <f t="shared" si="8"/>
        <v>-129</v>
      </c>
      <c r="G30" s="3">
        <f>SUMIF(MORTALIDAD!$B$6:$B$200,RESUMEN!C30,MORTALIDAD!$G$6:$G$200)</f>
        <v>55</v>
      </c>
      <c r="H30" s="3">
        <f>SUMIF(TRASLADOS!$B$6:$B$200,C30,TRASLADOS!$E$6:$E$200)</f>
        <v>0</v>
      </c>
      <c r="I30" s="3">
        <f>SUMIF(TRASLADOS!$B$6:$B$200,C30,TRASLADOS!$F$6:$F$200)</f>
        <v>0</v>
      </c>
      <c r="J30" s="3">
        <f>SUMIF(VENTAS!$B$6:$B$200,RESUMEN!C30,VENTAS!$F$6:$F$200)</f>
        <v>0</v>
      </c>
      <c r="K30" s="3">
        <f>SUMIF(VENTAS!$B$6:$B$200,RESUMEN!C30,VENTAS!$G$6:$G$200)</f>
        <v>0</v>
      </c>
      <c r="L30" s="97">
        <f t="shared" si="9"/>
        <v>2071</v>
      </c>
      <c r="M30" s="96"/>
      <c r="N30" s="99">
        <f t="shared" si="1"/>
        <v>6</v>
      </c>
      <c r="O30" s="11">
        <f t="shared" si="10"/>
        <v>43280</v>
      </c>
      <c r="P30" s="3">
        <f t="shared" si="10"/>
        <v>38</v>
      </c>
      <c r="Q30" s="3">
        <f>SUMIF(MORTALIDAD!$J:$J,RESUMEN!O30,MORTALIDAD!$N:$N)</f>
        <v>-9</v>
      </c>
      <c r="R30" s="19">
        <f t="shared" si="11"/>
        <v>-71</v>
      </c>
      <c r="S30" s="3">
        <f>SUMIF(MORTALIDAD!$J:$J,RESUMEN!O30,MORTALIDAD!$O:$O)</f>
        <v>37</v>
      </c>
      <c r="T30" s="3">
        <f>SUMIF(TRASLADOS!$K:$K,RESUMEN!O30,TRASLADOS!$N:$N)</f>
        <v>0</v>
      </c>
      <c r="U30" s="3">
        <f>SUMIF(TRASLADOS!$K:$K,RESUMEN!O30,TRASLADOS!$O:$O)</f>
        <v>0</v>
      </c>
      <c r="V30" s="3">
        <f>SUMIF(VENTAS!$J:$J,RESUMEN!O30,VENTAS!$N:$N)</f>
        <v>0</v>
      </c>
      <c r="W30" s="3">
        <f>SUMIF(VENTAS!$J:$J,RESUMEN!O30,VENTAS!$O:$O)</f>
        <v>0</v>
      </c>
      <c r="X30" s="97">
        <f t="shared" si="12"/>
        <v>2129</v>
      </c>
      <c r="Y30" s="96"/>
      <c r="Z30" s="99">
        <f t="shared" si="2"/>
        <v>6</v>
      </c>
      <c r="AA30" s="11">
        <f t="shared" si="13"/>
        <v>43284</v>
      </c>
      <c r="AB30" s="3">
        <f t="shared" si="13"/>
        <v>37</v>
      </c>
      <c r="AC30" s="3">
        <f>SUMIF(MORTALIDAD!$R:$R,RESUMEN!AA30,MORTALIDAD!$V:$V)</f>
        <v>-7</v>
      </c>
      <c r="AD30" s="19">
        <f t="shared" si="14"/>
        <v>-46</v>
      </c>
      <c r="AE30" s="3">
        <f>SUMIF(MORTALIDAD!$R:$R,RESUMEN!AA30,MORTALIDAD!$W:$W)</f>
        <v>41</v>
      </c>
      <c r="AF30" s="3">
        <f>SUMIF(TRASLADOS!$T:$T,RESUMEN!AA30,TRASLADOS!$W:$W)</f>
        <v>0</v>
      </c>
      <c r="AG30" s="3">
        <f>SUMIF(TRASLADOS!$T:$T,RESUMEN!AA30,TRASLADOS!$X:$X)</f>
        <v>0</v>
      </c>
      <c r="AH30" s="3">
        <f>SUMIF(VENTAS!$R:$R,RESUMEN!AA30,VENTAS!$V:$V)</f>
        <v>0</v>
      </c>
      <c r="AI30" s="3">
        <f>SUMIF(VENTAS!$R:$R,RESUMEN!AA30,VENTAS!$W:$W)</f>
        <v>0</v>
      </c>
      <c r="AJ30" s="97">
        <f t="shared" si="15"/>
        <v>2154</v>
      </c>
      <c r="AK30" s="96"/>
      <c r="AL30" s="99">
        <f t="shared" si="3"/>
        <v>6</v>
      </c>
      <c r="AM30" s="11">
        <f t="shared" si="16"/>
        <v>43291</v>
      </c>
      <c r="AN30" s="3">
        <f t="shared" si="16"/>
        <v>37</v>
      </c>
      <c r="AO30" s="3">
        <f>SUMIF(MORTALIDAD!$Z:$Z,RESUMEN!AM30,MORTALIDAD!$AD:$AD)</f>
        <v>0</v>
      </c>
      <c r="AP30" s="19">
        <f t="shared" si="17"/>
        <v>-12</v>
      </c>
      <c r="AQ30" s="3">
        <f>SUMIF(MORTALIDAD!$Z:$Z,RESUMEN!AM30,MORTALIDAD!$AE:$AE)</f>
        <v>0</v>
      </c>
      <c r="AR30" s="3">
        <f>SUMIF(TRASLADOS!$AC:$AC,RESUMEN!AM30,TRASLADOS!$AF:$AF)</f>
        <v>0</v>
      </c>
      <c r="AS30" s="3">
        <f>SUMIF(TRASLADOS!$AC:$AC,RESUMEN!AM30,TRASLADOS!$AG:$AG)</f>
        <v>0</v>
      </c>
      <c r="AT30" s="3">
        <f>SUMIF(VENTAS!$Z:$Z,RESUMEN!AM30,VENTAS!$AD:$AD)</f>
        <v>0</v>
      </c>
      <c r="AU30" s="3">
        <f>SUMIF(VENTAS!$Z:$Z,RESUMEN!AM30,VENTAS!$AE:$AE)</f>
        <v>0</v>
      </c>
      <c r="AV30" s="97">
        <f t="shared" si="18"/>
        <v>2188</v>
      </c>
      <c r="AW30" s="96"/>
      <c r="AX30" s="99">
        <f t="shared" si="4"/>
        <v>6</v>
      </c>
      <c r="AY30" s="11">
        <f t="shared" si="19"/>
        <v>43298</v>
      </c>
      <c r="AZ30" s="3">
        <f t="shared" si="19"/>
        <v>37</v>
      </c>
      <c r="BA30" s="3">
        <f>SUMIF(MORTALIDAD!$AH:$AH,RESUMEN!AY30,MORTALIDAD!$AL:$AL)</f>
        <v>-5</v>
      </c>
      <c r="BB30" s="19">
        <f t="shared" si="20"/>
        <v>-33</v>
      </c>
      <c r="BC30" s="3">
        <f>SUMIF(MORTALIDAD!$AH:$AH,RESUMEN!AY30,MORTALIDAD!$AM:$AM)</f>
        <v>23</v>
      </c>
      <c r="BD30" s="3">
        <f>SUMIF(TRASLADOS!$AL:$AL,RESUMEN!AY30,TRASLADOS!$AO:$AO)</f>
        <v>0</v>
      </c>
      <c r="BE30" s="3">
        <f>SUMIF(TRASLADOS!$AL:$AL,RESUMEN!AY30,TRASLADOS!$AP:$AP)</f>
        <v>0</v>
      </c>
      <c r="BF30" s="3">
        <f>SUMIF(VENTAS!$AH:$AH,RESUMEN!AY30,VENTAS!$AL:$AL)</f>
        <v>0</v>
      </c>
      <c r="BG30" s="3">
        <f>SUMIF(VENTAS!$AH:$AH,RESUMEN!AY30,VENTAS!$AM:$AM)</f>
        <v>0</v>
      </c>
      <c r="BH30" s="97">
        <f t="shared" si="21"/>
        <v>2167</v>
      </c>
      <c r="BI30" s="96"/>
      <c r="BJ30" s="99">
        <f t="shared" si="5"/>
        <v>6</v>
      </c>
      <c r="BK30" s="11">
        <f t="shared" si="22"/>
        <v>43307</v>
      </c>
      <c r="BL30" s="3">
        <f t="shared" si="22"/>
        <v>40</v>
      </c>
      <c r="BM30" s="3">
        <f>SUMIF(MORTALIDAD!$AP:$AP,RESUMEN!BK30,MORTALIDAD!$AT:$AT)</f>
        <v>-3</v>
      </c>
      <c r="BN30" s="19">
        <f t="shared" si="23"/>
        <v>-42</v>
      </c>
      <c r="BO30" s="3">
        <f>SUMIF(MORTALIDAD!$AP$6:$AP$200,RESUMEN!BK30,MORTALIDAD!$AU$6:$AU$200)</f>
        <v>15</v>
      </c>
      <c r="BP30" s="3">
        <f>SUMIF(TRASLADOS!$AU:$AU,RESUMEN!BK30,TRASLADOS!$AX:$AX)</f>
        <v>0</v>
      </c>
      <c r="BQ30" s="3">
        <f>SUMIF(TRASLADOS!$AU:$AU,RESUMEN!BK30,TRASLADOS!$AY:$AY)</f>
        <v>0</v>
      </c>
      <c r="BR30" s="3">
        <f>SUMIF(VENTAS!$AP:$AP,RESUMEN!BK30,VENTAS!$AT:$AT)</f>
        <v>0</v>
      </c>
      <c r="BS30" s="3">
        <f>SUMIF(VENTAS!$AP:$AP,RESUMEN!BK30,VENTAS!$AU:$AU)</f>
        <v>0</v>
      </c>
      <c r="BT30" s="36">
        <f t="shared" si="24"/>
        <v>2272</v>
      </c>
    </row>
    <row r="31" spans="2:72" x14ac:dyDescent="0.2">
      <c r="B31" s="3">
        <f t="shared" si="0"/>
        <v>6</v>
      </c>
      <c r="C31" s="11">
        <f t="shared" si="6"/>
        <v>43278</v>
      </c>
      <c r="D31" s="3">
        <f t="shared" si="7"/>
        <v>40</v>
      </c>
      <c r="E31" s="3">
        <f>SUMIF(MORTALIDAD!$B$6:$B$200,RESUMEN!C31,MORTALIDAD!$F$6:$F$200)</f>
        <v>-11</v>
      </c>
      <c r="F31" s="17">
        <f t="shared" si="8"/>
        <v>-140</v>
      </c>
      <c r="G31" s="3">
        <f>SUMIF(MORTALIDAD!$B$6:$B$200,RESUMEN!C31,MORTALIDAD!$G$6:$G$200)</f>
        <v>47</v>
      </c>
      <c r="H31" s="3">
        <f>SUMIF(TRASLADOS!$B$6:$B$200,C31,TRASLADOS!$E$6:$E$200)</f>
        <v>0</v>
      </c>
      <c r="I31" s="3">
        <f>SUMIF(TRASLADOS!$B$6:$B$200,C31,TRASLADOS!$F$6:$F$200)</f>
        <v>0</v>
      </c>
      <c r="J31" s="3">
        <f>SUMIF(VENTAS!$B$6:$B$200,RESUMEN!C31,VENTAS!$F$6:$F$200)</f>
        <v>0</v>
      </c>
      <c r="K31" s="3">
        <f>SUMIF(VENTAS!$B$6:$B$200,RESUMEN!C31,VENTAS!$G$6:$G$200)</f>
        <v>0</v>
      </c>
      <c r="L31" s="97">
        <f t="shared" si="9"/>
        <v>2060</v>
      </c>
      <c r="M31" s="96"/>
      <c r="N31" s="99">
        <f t="shared" si="1"/>
        <v>6</v>
      </c>
      <c r="O31" s="11">
        <f t="shared" si="10"/>
        <v>43281</v>
      </c>
      <c r="P31" s="3">
        <f t="shared" si="10"/>
        <v>39</v>
      </c>
      <c r="Q31" s="3">
        <f>SUMIF(MORTALIDAD!$J:$J,RESUMEN!O31,MORTALIDAD!$N:$N)</f>
        <v>-9</v>
      </c>
      <c r="R31" s="19">
        <f t="shared" si="11"/>
        <v>-80</v>
      </c>
      <c r="S31" s="3">
        <f>SUMIF(MORTALIDAD!$J:$J,RESUMEN!O31,MORTALIDAD!$O:$O)</f>
        <v>48</v>
      </c>
      <c r="T31" s="3">
        <f>SUMIF(TRASLADOS!$K:$K,RESUMEN!O31,TRASLADOS!$N:$N)</f>
        <v>0</v>
      </c>
      <c r="U31" s="3">
        <f>SUMIF(TRASLADOS!$K:$K,RESUMEN!O31,TRASLADOS!$O:$O)</f>
        <v>0</v>
      </c>
      <c r="V31" s="3">
        <f>SUMIF(VENTAS!$J:$J,RESUMEN!O31,VENTAS!$N:$N)</f>
        <v>0</v>
      </c>
      <c r="W31" s="3">
        <f>SUMIF(VENTAS!$J:$J,RESUMEN!O31,VENTAS!$O:$O)</f>
        <v>0</v>
      </c>
      <c r="X31" s="97">
        <f t="shared" si="12"/>
        <v>2120</v>
      </c>
      <c r="Y31" s="96"/>
      <c r="Z31" s="99">
        <f t="shared" si="2"/>
        <v>6</v>
      </c>
      <c r="AA31" s="11">
        <f t="shared" si="13"/>
        <v>43285</v>
      </c>
      <c r="AB31" s="3">
        <f t="shared" si="13"/>
        <v>38</v>
      </c>
      <c r="AC31" s="3">
        <f>SUMIF(MORTALIDAD!$R:$R,RESUMEN!AA31,MORTALIDAD!$V:$V)</f>
        <v>-5</v>
      </c>
      <c r="AD31" s="19">
        <f t="shared" si="14"/>
        <v>-51</v>
      </c>
      <c r="AE31" s="3">
        <f>SUMIF(MORTALIDAD!$R:$R,RESUMEN!AA31,MORTALIDAD!$W:$W)</f>
        <v>21</v>
      </c>
      <c r="AF31" s="3">
        <f>SUMIF(TRASLADOS!$T:$T,RESUMEN!AA31,TRASLADOS!$W:$W)</f>
        <v>0</v>
      </c>
      <c r="AG31" s="3">
        <f>SUMIF(TRASLADOS!$T:$T,RESUMEN!AA31,TRASLADOS!$X:$X)</f>
        <v>0</v>
      </c>
      <c r="AH31" s="3">
        <f>SUMIF(VENTAS!$R:$R,RESUMEN!AA31,VENTAS!$V:$V)</f>
        <v>0</v>
      </c>
      <c r="AI31" s="3">
        <f>SUMIF(VENTAS!$R:$R,RESUMEN!AA31,VENTAS!$W:$W)</f>
        <v>0</v>
      </c>
      <c r="AJ31" s="97">
        <f t="shared" si="15"/>
        <v>2149</v>
      </c>
      <c r="AK31" s="96"/>
      <c r="AL31" s="99">
        <f t="shared" si="3"/>
        <v>6</v>
      </c>
      <c r="AM31" s="11">
        <f t="shared" si="16"/>
        <v>43292</v>
      </c>
      <c r="AN31" s="3">
        <f t="shared" si="16"/>
        <v>38</v>
      </c>
      <c r="AO31" s="3">
        <f>SUMIF(MORTALIDAD!$Z:$Z,RESUMEN!AM31,MORTALIDAD!$AD:$AD)</f>
        <v>-1</v>
      </c>
      <c r="AP31" s="19">
        <f t="shared" si="17"/>
        <v>-13</v>
      </c>
      <c r="AQ31" s="3">
        <f>SUMIF(MORTALIDAD!$Z:$Z,RESUMEN!AM31,MORTALIDAD!$AE:$AE)</f>
        <v>7</v>
      </c>
      <c r="AR31" s="3">
        <f>SUMIF(TRASLADOS!$AC:$AC,RESUMEN!AM31,TRASLADOS!$AF:$AF)</f>
        <v>0</v>
      </c>
      <c r="AS31" s="3">
        <f>SUMIF(TRASLADOS!$AC:$AC,RESUMEN!AM31,TRASLADOS!$AG:$AG)</f>
        <v>0</v>
      </c>
      <c r="AT31" s="3">
        <f>SUMIF(VENTAS!$Z:$Z,RESUMEN!AM31,VENTAS!$AD:$AD)</f>
        <v>0</v>
      </c>
      <c r="AU31" s="3">
        <f>SUMIF(VENTAS!$Z:$Z,RESUMEN!AM31,VENTAS!$AE:$AE)</f>
        <v>0</v>
      </c>
      <c r="AV31" s="97">
        <f t="shared" si="18"/>
        <v>2187</v>
      </c>
      <c r="AW31" s="96"/>
      <c r="AX31" s="99">
        <f t="shared" si="4"/>
        <v>6</v>
      </c>
      <c r="AY31" s="11">
        <f t="shared" si="19"/>
        <v>43299</v>
      </c>
      <c r="AZ31" s="3">
        <f t="shared" si="19"/>
        <v>38</v>
      </c>
      <c r="BA31" s="3">
        <f>SUMIF(MORTALIDAD!$AH:$AH,RESUMEN!AY31,MORTALIDAD!$AL:$AL)</f>
        <v>-5</v>
      </c>
      <c r="BB31" s="19">
        <f t="shared" si="20"/>
        <v>-38</v>
      </c>
      <c r="BC31" s="3">
        <f>SUMIF(MORTALIDAD!$AH:$AH,RESUMEN!AY31,MORTALIDAD!$AM:$AM)</f>
        <v>34</v>
      </c>
      <c r="BD31" s="3">
        <f>SUMIF(TRASLADOS!$AL:$AL,RESUMEN!AY31,TRASLADOS!$AO:$AO)</f>
        <v>0</v>
      </c>
      <c r="BE31" s="3">
        <f>SUMIF(TRASLADOS!$AL:$AL,RESUMEN!AY31,TRASLADOS!$AP:$AP)</f>
        <v>0</v>
      </c>
      <c r="BF31" s="3">
        <f>SUMIF(VENTAS!$AH:$AH,RESUMEN!AY31,VENTAS!$AL:$AL)</f>
        <v>0</v>
      </c>
      <c r="BG31" s="3">
        <f>SUMIF(VENTAS!$AH:$AH,RESUMEN!AY31,VENTAS!$AM:$AM)</f>
        <v>0</v>
      </c>
      <c r="BH31" s="97">
        <f t="shared" si="21"/>
        <v>2162</v>
      </c>
      <c r="BI31" s="96"/>
      <c r="BJ31" s="99">
        <f t="shared" si="5"/>
        <v>6</v>
      </c>
      <c r="BK31" s="11">
        <f t="shared" si="22"/>
        <v>43308</v>
      </c>
      <c r="BL31" s="3">
        <f t="shared" si="22"/>
        <v>41</v>
      </c>
      <c r="BM31" s="3">
        <f>SUMIF(MORTALIDAD!$AP:$AP,RESUMEN!BK31,MORTALIDAD!$AT:$AT)</f>
        <v>-3</v>
      </c>
      <c r="BN31" s="19">
        <f t="shared" si="23"/>
        <v>-45</v>
      </c>
      <c r="BO31" s="3">
        <f>SUMIF(MORTALIDAD!$AP$6:$AP$200,RESUMEN!BK31,MORTALIDAD!$AU$6:$AU$200)</f>
        <v>8</v>
      </c>
      <c r="BP31" s="3">
        <f>SUMIF(TRASLADOS!$AU:$AU,RESUMEN!BK31,TRASLADOS!$AX:$AX)</f>
        <v>0</v>
      </c>
      <c r="BQ31" s="3">
        <f>SUMIF(TRASLADOS!$AU:$AU,RESUMEN!BK31,TRASLADOS!$AY:$AY)</f>
        <v>0</v>
      </c>
      <c r="BR31" s="3">
        <f>SUMIF(VENTAS!$AP:$AP,RESUMEN!BK31,VENTAS!$AT:$AT)</f>
        <v>0</v>
      </c>
      <c r="BS31" s="3">
        <f>SUMIF(VENTAS!$AP:$AP,RESUMEN!BK31,VENTAS!$AU:$AU)</f>
        <v>0</v>
      </c>
      <c r="BT31" s="36">
        <f t="shared" si="24"/>
        <v>2269</v>
      </c>
    </row>
    <row r="32" spans="2:72" x14ac:dyDescent="0.2">
      <c r="B32" s="3">
        <f t="shared" si="0"/>
        <v>6</v>
      </c>
      <c r="C32" s="11">
        <f t="shared" si="6"/>
        <v>43279</v>
      </c>
      <c r="D32" s="3">
        <f t="shared" si="7"/>
        <v>41</v>
      </c>
      <c r="E32" s="3">
        <f>SUMIF(MORTALIDAD!$B$6:$B$200,RESUMEN!C32,MORTALIDAD!$F$6:$F$200)</f>
        <v>-7</v>
      </c>
      <c r="F32" s="17">
        <f t="shared" si="8"/>
        <v>-147</v>
      </c>
      <c r="G32" s="3">
        <f>SUMIF(MORTALIDAD!$B$6:$B$200,RESUMEN!C32,MORTALIDAD!$G$6:$G$200)</f>
        <v>34</v>
      </c>
      <c r="H32" s="3">
        <f>SUMIF(TRASLADOS!$B$6:$B$200,C32,TRASLADOS!$E$6:$E$200)</f>
        <v>0</v>
      </c>
      <c r="I32" s="3">
        <f>SUMIF(TRASLADOS!$B$6:$B$200,C32,TRASLADOS!$F$6:$F$200)</f>
        <v>0</v>
      </c>
      <c r="J32" s="3">
        <f>SUMIF(VENTAS!$B$6:$B$200,RESUMEN!C32,VENTAS!$F$6:$F$200)</f>
        <v>0</v>
      </c>
      <c r="K32" s="3">
        <f>SUMIF(VENTAS!$B$6:$B$200,RESUMEN!C32,VENTAS!$G$6:$G$200)</f>
        <v>0</v>
      </c>
      <c r="L32" s="97">
        <f t="shared" si="9"/>
        <v>2053</v>
      </c>
      <c r="M32" s="96"/>
      <c r="N32" s="99">
        <f t="shared" si="1"/>
        <v>6</v>
      </c>
      <c r="O32" s="11">
        <f t="shared" si="10"/>
        <v>43282</v>
      </c>
      <c r="P32" s="3">
        <f t="shared" si="10"/>
        <v>40</v>
      </c>
      <c r="Q32" s="3">
        <f>SUMIF(MORTALIDAD!$J:$J,RESUMEN!O32,MORTALIDAD!$N:$N)</f>
        <v>-5</v>
      </c>
      <c r="R32" s="19">
        <f t="shared" si="11"/>
        <v>-85</v>
      </c>
      <c r="S32" s="3">
        <f>SUMIF(MORTALIDAD!$J:$J,RESUMEN!O32,MORTALIDAD!$O:$O)</f>
        <v>23</v>
      </c>
      <c r="T32" s="3">
        <f>SUMIF(TRASLADOS!$K:$K,RESUMEN!O32,TRASLADOS!$N:$N)</f>
        <v>0</v>
      </c>
      <c r="U32" s="3">
        <f>SUMIF(TRASLADOS!$K:$K,RESUMEN!O32,TRASLADOS!$O:$O)</f>
        <v>0</v>
      </c>
      <c r="V32" s="3">
        <f>SUMIF(VENTAS!$J:$J,RESUMEN!O32,VENTAS!$N:$N)</f>
        <v>0</v>
      </c>
      <c r="W32" s="3">
        <f>SUMIF(VENTAS!$J:$J,RESUMEN!O32,VENTAS!$O:$O)</f>
        <v>0</v>
      </c>
      <c r="X32" s="97">
        <f t="shared" si="12"/>
        <v>2115</v>
      </c>
      <c r="Y32" s="96"/>
      <c r="Z32" s="99">
        <f t="shared" si="2"/>
        <v>6</v>
      </c>
      <c r="AA32" s="11">
        <f t="shared" si="13"/>
        <v>43286</v>
      </c>
      <c r="AB32" s="3">
        <f t="shared" si="13"/>
        <v>39</v>
      </c>
      <c r="AC32" s="3">
        <f>SUMIF(MORTALIDAD!$R:$R,RESUMEN!AA32,MORTALIDAD!$V:$V)</f>
        <v>-1</v>
      </c>
      <c r="AD32" s="19">
        <f t="shared" si="14"/>
        <v>-52</v>
      </c>
      <c r="AE32" s="3">
        <f>SUMIF(MORTALIDAD!$R:$R,RESUMEN!AA32,MORTALIDAD!$W:$W)</f>
        <v>6</v>
      </c>
      <c r="AF32" s="3">
        <f>SUMIF(TRASLADOS!$T:$T,RESUMEN!AA32,TRASLADOS!$W:$W)</f>
        <v>0</v>
      </c>
      <c r="AG32" s="3">
        <f>SUMIF(TRASLADOS!$T:$T,RESUMEN!AA32,TRASLADOS!$X:$X)</f>
        <v>0</v>
      </c>
      <c r="AH32" s="3">
        <f>SUMIF(VENTAS!$R:$R,RESUMEN!AA32,VENTAS!$V:$V)</f>
        <v>0</v>
      </c>
      <c r="AI32" s="3">
        <f>SUMIF(VENTAS!$R:$R,RESUMEN!AA32,VENTAS!$W:$W)</f>
        <v>0</v>
      </c>
      <c r="AJ32" s="97">
        <f t="shared" si="15"/>
        <v>2148</v>
      </c>
      <c r="AK32" s="96"/>
      <c r="AL32" s="99">
        <f t="shared" si="3"/>
        <v>6</v>
      </c>
      <c r="AM32" s="11">
        <f t="shared" si="16"/>
        <v>43293</v>
      </c>
      <c r="AN32" s="3">
        <f t="shared" si="16"/>
        <v>39</v>
      </c>
      <c r="AO32" s="3">
        <f>SUMIF(MORTALIDAD!$Z:$Z,RESUMEN!AM32,MORTALIDAD!$AD:$AD)</f>
        <v>-4</v>
      </c>
      <c r="AP32" s="19">
        <f t="shared" si="17"/>
        <v>-17</v>
      </c>
      <c r="AQ32" s="3">
        <f>SUMIF(MORTALIDAD!$Z:$Z,RESUMEN!AM32,MORTALIDAD!$AE:$AE)</f>
        <v>16</v>
      </c>
      <c r="AR32" s="3">
        <f>SUMIF(TRASLADOS!$AC:$AC,RESUMEN!AM32,TRASLADOS!$AF:$AF)</f>
        <v>0</v>
      </c>
      <c r="AS32" s="3">
        <f>SUMIF(TRASLADOS!$AC:$AC,RESUMEN!AM32,TRASLADOS!$AG:$AG)</f>
        <v>0</v>
      </c>
      <c r="AT32" s="3">
        <f>SUMIF(VENTAS!$Z:$Z,RESUMEN!AM32,VENTAS!$AD:$AD)</f>
        <v>0</v>
      </c>
      <c r="AU32" s="3">
        <f>SUMIF(VENTAS!$Z:$Z,RESUMEN!AM32,VENTAS!$AE:$AE)</f>
        <v>0</v>
      </c>
      <c r="AV32" s="97">
        <f t="shared" si="18"/>
        <v>2183</v>
      </c>
      <c r="AW32" s="96"/>
      <c r="AX32" s="99">
        <f t="shared" si="4"/>
        <v>6</v>
      </c>
      <c r="AY32" s="11">
        <f t="shared" si="19"/>
        <v>43300</v>
      </c>
      <c r="AZ32" s="3">
        <f t="shared" si="19"/>
        <v>39</v>
      </c>
      <c r="BA32" s="3">
        <f>SUMIF(MORTALIDAD!$AH:$AH,RESUMEN!AY32,MORTALIDAD!$AL:$AL)</f>
        <v>-1</v>
      </c>
      <c r="BB32" s="19">
        <f t="shared" si="20"/>
        <v>-39</v>
      </c>
      <c r="BC32" s="3">
        <f>SUMIF(MORTALIDAD!$AH:$AH,RESUMEN!AY32,MORTALIDAD!$AM:$AM)</f>
        <v>8</v>
      </c>
      <c r="BD32" s="3">
        <f>SUMIF(TRASLADOS!$AL:$AL,RESUMEN!AY32,TRASLADOS!$AO:$AO)</f>
        <v>0</v>
      </c>
      <c r="BE32" s="3">
        <f>SUMIF(TRASLADOS!$AL:$AL,RESUMEN!AY32,TRASLADOS!$AP:$AP)</f>
        <v>0</v>
      </c>
      <c r="BF32" s="3">
        <f>SUMIF(VENTAS!$AH:$AH,RESUMEN!AY32,VENTAS!$AL:$AL)</f>
        <v>0</v>
      </c>
      <c r="BG32" s="3">
        <f>SUMIF(VENTAS!$AH:$AH,RESUMEN!AY32,VENTAS!$AM:$AM)</f>
        <v>0</v>
      </c>
      <c r="BH32" s="97">
        <f t="shared" si="21"/>
        <v>2161</v>
      </c>
      <c r="BI32" s="96"/>
      <c r="BJ32" s="99">
        <f t="shared" si="5"/>
        <v>6</v>
      </c>
      <c r="BK32" s="11">
        <f t="shared" si="22"/>
        <v>43309</v>
      </c>
      <c r="BL32" s="3">
        <f t="shared" si="22"/>
        <v>42</v>
      </c>
      <c r="BM32" s="3">
        <f>SUMIF(MORTALIDAD!$AP:$AP,RESUMEN!BK32,MORTALIDAD!$AT:$AT)</f>
        <v>-4</v>
      </c>
      <c r="BN32" s="19">
        <f t="shared" si="23"/>
        <v>-49</v>
      </c>
      <c r="BO32" s="3">
        <f>SUMIF(MORTALIDAD!$AP$6:$AP$200,RESUMEN!BK32,MORTALIDAD!$AU$6:$AU$200)</f>
        <v>19</v>
      </c>
      <c r="BP32" s="3">
        <f>SUMIF(TRASLADOS!$AU:$AU,RESUMEN!BK32,TRASLADOS!$AX:$AX)</f>
        <v>0</v>
      </c>
      <c r="BQ32" s="3">
        <f>SUMIF(TRASLADOS!$AU:$AU,RESUMEN!BK32,TRASLADOS!$AY:$AY)</f>
        <v>0</v>
      </c>
      <c r="BR32" s="3">
        <f>SUMIF(VENTAS!$AP:$AP,RESUMEN!BK32,VENTAS!$AT:$AT)</f>
        <v>0</v>
      </c>
      <c r="BS32" s="3">
        <f>SUMIF(VENTAS!$AP:$AP,RESUMEN!BK32,VENTAS!$AU:$AU)</f>
        <v>0</v>
      </c>
      <c r="BT32" s="36">
        <f t="shared" si="24"/>
        <v>2265</v>
      </c>
    </row>
    <row r="33" spans="2:72" x14ac:dyDescent="0.2">
      <c r="B33" s="3">
        <f t="shared" si="0"/>
        <v>6</v>
      </c>
      <c r="C33" s="11">
        <f t="shared" si="6"/>
        <v>43280</v>
      </c>
      <c r="D33" s="3">
        <f t="shared" si="7"/>
        <v>42</v>
      </c>
      <c r="E33" s="3">
        <f>SUMIF(MORTALIDAD!$B$6:$B$200,RESUMEN!C33,MORTALIDAD!$F$6:$F$200)</f>
        <v>-9</v>
      </c>
      <c r="F33" s="17">
        <f t="shared" si="8"/>
        <v>-156</v>
      </c>
      <c r="G33" s="3">
        <f>SUMIF(MORTALIDAD!$B$6:$B$200,RESUMEN!C33,MORTALIDAD!$G$6:$G$200)</f>
        <v>40</v>
      </c>
      <c r="H33" s="3">
        <f>SUMIF(TRASLADOS!$B$6:$B$200,C33,TRASLADOS!$E$6:$E$200)</f>
        <v>0</v>
      </c>
      <c r="I33" s="3">
        <f>SUMIF(TRASLADOS!$B$6:$B$200,C33,TRASLADOS!$F$6:$F$200)</f>
        <v>0</v>
      </c>
      <c r="J33" s="3">
        <f>SUMIF(VENTAS!$B$6:$B$200,RESUMEN!C33,VENTAS!$F$6:$F$200)</f>
        <v>0</v>
      </c>
      <c r="K33" s="3">
        <f>SUMIF(VENTAS!$B$6:$B$200,RESUMEN!C33,VENTAS!$G$6:$G$200)</f>
        <v>0</v>
      </c>
      <c r="L33" s="97">
        <f t="shared" si="9"/>
        <v>2044</v>
      </c>
      <c r="M33" s="96"/>
      <c r="N33" s="99">
        <f t="shared" si="1"/>
        <v>6</v>
      </c>
      <c r="O33" s="11">
        <f t="shared" ref="O33:P48" si="25">O32+1</f>
        <v>43283</v>
      </c>
      <c r="P33" s="3">
        <f t="shared" si="25"/>
        <v>41</v>
      </c>
      <c r="Q33" s="3">
        <f>SUMIF(MORTALIDAD!$J:$J,RESUMEN!O33,MORTALIDAD!$N:$N)</f>
        <v>-12</v>
      </c>
      <c r="R33" s="19">
        <f t="shared" si="11"/>
        <v>-97</v>
      </c>
      <c r="S33" s="3">
        <f>SUMIF(MORTALIDAD!$J:$J,RESUMEN!O33,MORTALIDAD!$O:$O)</f>
        <v>29</v>
      </c>
      <c r="T33" s="3">
        <f>SUMIF(TRASLADOS!$K:$K,RESUMEN!O33,TRASLADOS!$N:$N)</f>
        <v>0</v>
      </c>
      <c r="U33" s="3">
        <f>SUMIF(TRASLADOS!$K:$K,RESUMEN!O33,TRASLADOS!$O:$O)</f>
        <v>0</v>
      </c>
      <c r="V33" s="3">
        <f>SUMIF(VENTAS!$J:$J,RESUMEN!O33,VENTAS!$N:$N)</f>
        <v>0</v>
      </c>
      <c r="W33" s="3">
        <f>SUMIF(VENTAS!$J:$J,RESUMEN!O33,VENTAS!$O:$O)</f>
        <v>0</v>
      </c>
      <c r="X33" s="97">
        <f t="shared" si="12"/>
        <v>2103</v>
      </c>
      <c r="Y33" s="96"/>
      <c r="Z33" s="99">
        <f t="shared" si="2"/>
        <v>6</v>
      </c>
      <c r="AA33" s="11">
        <f t="shared" ref="AA33:AB48" si="26">AA32+1</f>
        <v>43287</v>
      </c>
      <c r="AB33" s="3">
        <f t="shared" si="26"/>
        <v>40</v>
      </c>
      <c r="AC33" s="3">
        <f>SUMIF(MORTALIDAD!$R:$R,RESUMEN!AA33,MORTALIDAD!$V:$V)</f>
        <v>-6</v>
      </c>
      <c r="AD33" s="19">
        <f t="shared" si="14"/>
        <v>-58</v>
      </c>
      <c r="AE33" s="3">
        <f>SUMIF(MORTALIDAD!$R:$R,RESUMEN!AA33,MORTALIDAD!$W:$W)</f>
        <v>35</v>
      </c>
      <c r="AF33" s="3">
        <f>SUMIF(TRASLADOS!$T:$T,RESUMEN!AA33,TRASLADOS!$W:$W)</f>
        <v>0</v>
      </c>
      <c r="AG33" s="3">
        <f>SUMIF(TRASLADOS!$T:$T,RESUMEN!AA33,TRASLADOS!$X:$X)</f>
        <v>0</v>
      </c>
      <c r="AH33" s="3">
        <f>SUMIF(VENTAS!$R:$R,RESUMEN!AA33,VENTAS!$V:$V)</f>
        <v>0</v>
      </c>
      <c r="AI33" s="3">
        <f>SUMIF(VENTAS!$R:$R,RESUMEN!AA33,VENTAS!$W:$W)</f>
        <v>0</v>
      </c>
      <c r="AJ33" s="97">
        <f t="shared" si="15"/>
        <v>2142</v>
      </c>
      <c r="AK33" s="96"/>
      <c r="AL33" s="99">
        <f t="shared" si="3"/>
        <v>6</v>
      </c>
      <c r="AM33" s="11">
        <f t="shared" ref="AM33:AN48" si="27">AM32+1</f>
        <v>43294</v>
      </c>
      <c r="AN33" s="3">
        <f t="shared" si="27"/>
        <v>40</v>
      </c>
      <c r="AO33" s="3">
        <f>SUMIF(MORTALIDAD!$Z:$Z,RESUMEN!AM33,MORTALIDAD!$AD:$AD)</f>
        <v>-3</v>
      </c>
      <c r="AP33" s="19">
        <f t="shared" si="17"/>
        <v>-20</v>
      </c>
      <c r="AQ33" s="3">
        <f>SUMIF(MORTALIDAD!$Z:$Z,RESUMEN!AM33,MORTALIDAD!$AE:$AE)</f>
        <v>16</v>
      </c>
      <c r="AR33" s="3">
        <f>SUMIF(TRASLADOS!$AC:$AC,RESUMEN!AM33,TRASLADOS!$AF:$AF)</f>
        <v>0</v>
      </c>
      <c r="AS33" s="3">
        <f>SUMIF(TRASLADOS!$AC:$AC,RESUMEN!AM33,TRASLADOS!$AG:$AG)</f>
        <v>0</v>
      </c>
      <c r="AT33" s="3">
        <f>SUMIF(VENTAS!$Z:$Z,RESUMEN!AM33,VENTAS!$AD:$AD)</f>
        <v>0</v>
      </c>
      <c r="AU33" s="3">
        <f>SUMIF(VENTAS!$Z:$Z,RESUMEN!AM33,VENTAS!$AE:$AE)</f>
        <v>0</v>
      </c>
      <c r="AV33" s="97">
        <f t="shared" si="18"/>
        <v>2180</v>
      </c>
      <c r="AW33" s="96"/>
      <c r="AX33" s="99">
        <f t="shared" si="4"/>
        <v>6</v>
      </c>
      <c r="AY33" s="11">
        <f t="shared" ref="AY33:AZ48" si="28">AY32+1</f>
        <v>43301</v>
      </c>
      <c r="AZ33" s="3">
        <f t="shared" si="28"/>
        <v>40</v>
      </c>
      <c r="BA33" s="3">
        <f>SUMIF(MORTALIDAD!$AH:$AH,RESUMEN!AY33,MORTALIDAD!$AL:$AL)</f>
        <v>-4</v>
      </c>
      <c r="BB33" s="19">
        <f t="shared" si="20"/>
        <v>-43</v>
      </c>
      <c r="BC33" s="3">
        <f>SUMIF(MORTALIDAD!$AH:$AH,RESUMEN!AY33,MORTALIDAD!$AM:$AM)</f>
        <v>16</v>
      </c>
      <c r="BD33" s="3">
        <f>SUMIF(TRASLADOS!$AL:$AL,RESUMEN!AY33,TRASLADOS!$AO:$AO)</f>
        <v>0</v>
      </c>
      <c r="BE33" s="3">
        <f>SUMIF(TRASLADOS!$AL:$AL,RESUMEN!AY33,TRASLADOS!$AP:$AP)</f>
        <v>0</v>
      </c>
      <c r="BF33" s="3">
        <f>SUMIF(VENTAS!$AH:$AH,RESUMEN!AY33,VENTAS!$AL:$AL)</f>
        <v>0</v>
      </c>
      <c r="BG33" s="3">
        <f>SUMIF(VENTAS!$AH:$AH,RESUMEN!AY33,VENTAS!$AM:$AM)</f>
        <v>0</v>
      </c>
      <c r="BH33" s="97">
        <f t="shared" si="21"/>
        <v>2157</v>
      </c>
      <c r="BI33" s="96"/>
      <c r="BJ33" s="99">
        <f t="shared" si="5"/>
        <v>7</v>
      </c>
      <c r="BK33" s="11">
        <f t="shared" ref="BK33:BL48" si="29">BK32+1</f>
        <v>43310</v>
      </c>
      <c r="BL33" s="3">
        <f t="shared" si="29"/>
        <v>43</v>
      </c>
      <c r="BM33" s="3">
        <f>SUMIF(MORTALIDAD!$AP:$AP,RESUMEN!BK33,MORTALIDAD!$AT:$AT)</f>
        <v>-5</v>
      </c>
      <c r="BN33" s="19">
        <f t="shared" si="23"/>
        <v>-54</v>
      </c>
      <c r="BO33" s="3">
        <f>SUMIF(MORTALIDAD!$AP$6:$AP$200,RESUMEN!BK33,MORTALIDAD!$AU$6:$AU$200)</f>
        <v>12</v>
      </c>
      <c r="BP33" s="3">
        <f>SUMIF(TRASLADOS!$AU:$AU,RESUMEN!BK33,TRASLADOS!$AX:$AX)</f>
        <v>0</v>
      </c>
      <c r="BQ33" s="3">
        <f>SUMIF(TRASLADOS!$AU:$AU,RESUMEN!BK33,TRASLADOS!$AY:$AY)</f>
        <v>0</v>
      </c>
      <c r="BR33" s="3">
        <f>SUMIF(VENTAS!$AP:$AP,RESUMEN!BK33,VENTAS!$AT:$AT)</f>
        <v>0</v>
      </c>
      <c r="BS33" s="3">
        <f>SUMIF(VENTAS!$AP:$AP,RESUMEN!BK33,VENTAS!$AU:$AU)</f>
        <v>0</v>
      </c>
      <c r="BT33" s="36">
        <f t="shared" si="24"/>
        <v>2260</v>
      </c>
    </row>
    <row r="34" spans="2:72" x14ac:dyDescent="0.2">
      <c r="B34" s="3">
        <f t="shared" si="0"/>
        <v>7</v>
      </c>
      <c r="C34" s="11">
        <f t="shared" si="6"/>
        <v>43281</v>
      </c>
      <c r="D34" s="3">
        <f t="shared" si="7"/>
        <v>43</v>
      </c>
      <c r="E34" s="3">
        <f>SUMIF(MORTALIDAD!$B$6:$B$200,RESUMEN!C34,MORTALIDAD!$F$6:$F$200)</f>
        <v>-10</v>
      </c>
      <c r="F34" s="17">
        <f t="shared" si="8"/>
        <v>-166</v>
      </c>
      <c r="G34" s="3">
        <f>SUMIF(MORTALIDAD!$B$6:$B$200,RESUMEN!C34,MORTALIDAD!$G$6:$G$200)</f>
        <v>54</v>
      </c>
      <c r="H34" s="3">
        <f>SUMIF(TRASLADOS!$B$6:$B$200,C34,TRASLADOS!$E$6:$E$200)</f>
        <v>0</v>
      </c>
      <c r="I34" s="3">
        <f>SUMIF(TRASLADOS!$B$6:$B$200,C34,TRASLADOS!$F$6:$F$200)</f>
        <v>0</v>
      </c>
      <c r="J34" s="3">
        <f>SUMIF(VENTAS!$B$6:$B$200,RESUMEN!C34,VENTAS!$F$6:$F$200)</f>
        <v>0</v>
      </c>
      <c r="K34" s="3">
        <f>SUMIF(VENTAS!$B$6:$B$200,RESUMEN!C34,VENTAS!$G$6:$G$200)</f>
        <v>0</v>
      </c>
      <c r="L34" s="97">
        <f t="shared" si="9"/>
        <v>2034</v>
      </c>
      <c r="M34" s="96"/>
      <c r="N34" s="99">
        <f t="shared" si="1"/>
        <v>6</v>
      </c>
      <c r="O34" s="11">
        <f t="shared" si="25"/>
        <v>43284</v>
      </c>
      <c r="P34" s="3">
        <f t="shared" si="25"/>
        <v>42</v>
      </c>
      <c r="Q34" s="3">
        <f>SUMIF(MORTALIDAD!$J:$J,RESUMEN!O34,MORTALIDAD!$N:$N)</f>
        <v>-5</v>
      </c>
      <c r="R34" s="19">
        <f t="shared" si="11"/>
        <v>-102</v>
      </c>
      <c r="S34" s="3">
        <f>SUMIF(MORTALIDAD!$J:$J,RESUMEN!O34,MORTALIDAD!$O:$O)</f>
        <v>35</v>
      </c>
      <c r="T34" s="3">
        <f>SUMIF(TRASLADOS!$K:$K,RESUMEN!O34,TRASLADOS!$N:$N)</f>
        <v>0</v>
      </c>
      <c r="U34" s="3">
        <f>SUMIF(TRASLADOS!$K:$K,RESUMEN!O34,TRASLADOS!$O:$O)</f>
        <v>0</v>
      </c>
      <c r="V34" s="3">
        <f>SUMIF(VENTAS!$J:$J,RESUMEN!O34,VENTAS!$N:$N)</f>
        <v>0</v>
      </c>
      <c r="W34" s="3">
        <f>SUMIF(VENTAS!$J:$J,RESUMEN!O34,VENTAS!$O:$O)</f>
        <v>0</v>
      </c>
      <c r="X34" s="97">
        <f t="shared" si="12"/>
        <v>2098</v>
      </c>
      <c r="Y34" s="96"/>
      <c r="Z34" s="99">
        <f t="shared" si="2"/>
        <v>6</v>
      </c>
      <c r="AA34" s="11">
        <f t="shared" si="26"/>
        <v>43288</v>
      </c>
      <c r="AB34" s="3">
        <f t="shared" si="26"/>
        <v>41</v>
      </c>
      <c r="AC34" s="3">
        <f>SUMIF(MORTALIDAD!$R:$R,RESUMEN!AA34,MORTALIDAD!$V:$V)</f>
        <v>-5</v>
      </c>
      <c r="AD34" s="19">
        <f t="shared" si="14"/>
        <v>-63</v>
      </c>
      <c r="AE34" s="3">
        <f>SUMIF(MORTALIDAD!$R:$R,RESUMEN!AA34,MORTALIDAD!$W:$W)</f>
        <v>17</v>
      </c>
      <c r="AF34" s="3">
        <f>SUMIF(TRASLADOS!$T:$T,RESUMEN!AA34,TRASLADOS!$W:$W)</f>
        <v>0</v>
      </c>
      <c r="AG34" s="3">
        <f>SUMIF(TRASLADOS!$T:$T,RESUMEN!AA34,TRASLADOS!$X:$X)</f>
        <v>0</v>
      </c>
      <c r="AH34" s="3">
        <f>SUMIF(VENTAS!$R:$R,RESUMEN!AA34,VENTAS!$V:$V)</f>
        <v>0</v>
      </c>
      <c r="AI34" s="3">
        <f>SUMIF(VENTAS!$R:$R,RESUMEN!AA34,VENTAS!$W:$W)</f>
        <v>0</v>
      </c>
      <c r="AJ34" s="97">
        <f t="shared" si="15"/>
        <v>2137</v>
      </c>
      <c r="AK34" s="96"/>
      <c r="AL34" s="99">
        <f t="shared" si="3"/>
        <v>6</v>
      </c>
      <c r="AM34" s="11">
        <f t="shared" si="27"/>
        <v>43295</v>
      </c>
      <c r="AN34" s="3">
        <f t="shared" si="27"/>
        <v>41</v>
      </c>
      <c r="AO34" s="3">
        <f>SUMIF(MORTALIDAD!$Z:$Z,RESUMEN!AM34,MORTALIDAD!$AD:$AD)</f>
        <v>-2</v>
      </c>
      <c r="AP34" s="19">
        <f t="shared" si="17"/>
        <v>-22</v>
      </c>
      <c r="AQ34" s="3">
        <f>SUMIF(MORTALIDAD!$Z:$Z,RESUMEN!AM34,MORTALIDAD!$AE:$AE)</f>
        <v>8</v>
      </c>
      <c r="AR34" s="3">
        <f>SUMIF(TRASLADOS!$AC:$AC,RESUMEN!AM34,TRASLADOS!$AF:$AF)</f>
        <v>0</v>
      </c>
      <c r="AS34" s="3">
        <f>SUMIF(TRASLADOS!$AC:$AC,RESUMEN!AM34,TRASLADOS!$AG:$AG)</f>
        <v>0</v>
      </c>
      <c r="AT34" s="3">
        <f>SUMIF(VENTAS!$Z:$Z,RESUMEN!AM34,VENTAS!$AD:$AD)</f>
        <v>0</v>
      </c>
      <c r="AU34" s="3">
        <f>SUMIF(VENTAS!$Z:$Z,RESUMEN!AM34,VENTAS!$AE:$AE)</f>
        <v>0</v>
      </c>
      <c r="AV34" s="97">
        <f t="shared" si="18"/>
        <v>2178</v>
      </c>
      <c r="AW34" s="96"/>
      <c r="AX34" s="99">
        <f t="shared" si="4"/>
        <v>6</v>
      </c>
      <c r="AY34" s="11">
        <f t="shared" si="28"/>
        <v>43302</v>
      </c>
      <c r="AZ34" s="3">
        <f t="shared" si="28"/>
        <v>41</v>
      </c>
      <c r="BA34" s="3">
        <f>SUMIF(MORTALIDAD!$AH:$AH,RESUMEN!AY34,MORTALIDAD!$AL:$AL)</f>
        <v>-9</v>
      </c>
      <c r="BB34" s="19">
        <f t="shared" si="20"/>
        <v>-52</v>
      </c>
      <c r="BC34" s="3">
        <f>SUMIF(MORTALIDAD!$AH:$AH,RESUMEN!AY34,MORTALIDAD!$AM:$AM)</f>
        <v>43</v>
      </c>
      <c r="BD34" s="3">
        <f>SUMIF(TRASLADOS!$AL:$AL,RESUMEN!AY34,TRASLADOS!$AO:$AO)</f>
        <v>0</v>
      </c>
      <c r="BE34" s="3">
        <f>SUMIF(TRASLADOS!$AL:$AL,RESUMEN!AY34,TRASLADOS!$AP:$AP)</f>
        <v>0</v>
      </c>
      <c r="BF34" s="3">
        <f>SUMIF(VENTAS!$AH:$AH,RESUMEN!AY34,VENTAS!$AL:$AL)</f>
        <v>0</v>
      </c>
      <c r="BG34" s="3">
        <f>SUMIF(VENTAS!$AH:$AH,RESUMEN!AY34,VENTAS!$AM:$AM)</f>
        <v>0</v>
      </c>
      <c r="BH34" s="97">
        <f t="shared" si="21"/>
        <v>2148</v>
      </c>
      <c r="BI34" s="96"/>
      <c r="BJ34" s="99">
        <f t="shared" si="5"/>
        <v>7</v>
      </c>
      <c r="BK34" s="11">
        <f t="shared" si="29"/>
        <v>43311</v>
      </c>
      <c r="BL34" s="3">
        <f t="shared" si="29"/>
        <v>44</v>
      </c>
      <c r="BM34" s="3">
        <f>SUMIF(MORTALIDAD!$AP:$AP,RESUMEN!BK34,MORTALIDAD!$AT:$AT)</f>
        <v>-4</v>
      </c>
      <c r="BN34" s="19">
        <f t="shared" si="23"/>
        <v>-58</v>
      </c>
      <c r="BO34" s="3">
        <f>SUMIF(MORTALIDAD!$AP$6:$AP$200,RESUMEN!BK34,MORTALIDAD!$AU$6:$AU$200)</f>
        <v>13</v>
      </c>
      <c r="BP34" s="3">
        <f>SUMIF(TRASLADOS!$AU:$AU,RESUMEN!BK34,TRASLADOS!$AX:$AX)</f>
        <v>0</v>
      </c>
      <c r="BQ34" s="3">
        <f>SUMIF(TRASLADOS!$AU:$AU,RESUMEN!BK34,TRASLADOS!$AY:$AY)</f>
        <v>0</v>
      </c>
      <c r="BR34" s="3">
        <f>SUMIF(VENTAS!$AP:$AP,RESUMEN!BK34,VENTAS!$AT:$AT)</f>
        <v>0</v>
      </c>
      <c r="BS34" s="3">
        <f>SUMIF(VENTAS!$AP:$AP,RESUMEN!BK34,VENTAS!$AU:$AU)</f>
        <v>0</v>
      </c>
      <c r="BT34" s="36">
        <f t="shared" si="24"/>
        <v>2256</v>
      </c>
    </row>
    <row r="35" spans="2:72" x14ac:dyDescent="0.2">
      <c r="B35" s="3">
        <f t="shared" si="0"/>
        <v>7</v>
      </c>
      <c r="C35" s="11">
        <f t="shared" si="6"/>
        <v>43282</v>
      </c>
      <c r="D35" s="3">
        <f t="shared" si="7"/>
        <v>44</v>
      </c>
      <c r="E35" s="3">
        <f>SUMIF(MORTALIDAD!$B$6:$B$200,RESUMEN!C35,MORTALIDAD!$F$6:$F$200)</f>
        <v>-14</v>
      </c>
      <c r="F35" s="17">
        <f t="shared" si="8"/>
        <v>-180</v>
      </c>
      <c r="G35" s="3">
        <f>SUMIF(MORTALIDAD!$B$6:$B$200,RESUMEN!C35,MORTALIDAD!$G$6:$G$200)</f>
        <v>86</v>
      </c>
      <c r="H35" s="3">
        <f>SUMIF(TRASLADOS!$B$6:$B$200,C35,TRASLADOS!$E$6:$E$200)</f>
        <v>0</v>
      </c>
      <c r="I35" s="3">
        <f>SUMIF(TRASLADOS!$B$6:$B$200,C35,TRASLADOS!$F$6:$F$200)</f>
        <v>0</v>
      </c>
      <c r="J35" s="3">
        <f>SUMIF(VENTAS!$B$6:$B$200,RESUMEN!C35,VENTAS!$F$6:$F$200)</f>
        <v>0</v>
      </c>
      <c r="K35" s="3">
        <f>SUMIF(VENTAS!$B$6:$B$200,RESUMEN!C35,VENTAS!$G$6:$G$200)</f>
        <v>0</v>
      </c>
      <c r="L35" s="97">
        <f t="shared" si="9"/>
        <v>2020</v>
      </c>
      <c r="M35" s="96"/>
      <c r="N35" s="99">
        <f t="shared" si="1"/>
        <v>7</v>
      </c>
      <c r="O35" s="11">
        <f t="shared" si="25"/>
        <v>43285</v>
      </c>
      <c r="P35" s="3">
        <f t="shared" si="25"/>
        <v>43</v>
      </c>
      <c r="Q35" s="3">
        <f>SUMIF(MORTALIDAD!$J:$J,RESUMEN!O35,MORTALIDAD!$N:$N)</f>
        <v>-6</v>
      </c>
      <c r="R35" s="19">
        <f t="shared" si="11"/>
        <v>-108</v>
      </c>
      <c r="S35" s="3">
        <f>SUMIF(MORTALIDAD!$J:$J,RESUMEN!O35,MORTALIDAD!$O:$O)</f>
        <v>27</v>
      </c>
      <c r="T35" s="3">
        <f>SUMIF(TRASLADOS!$K:$K,RESUMEN!O35,TRASLADOS!$N:$N)</f>
        <v>0</v>
      </c>
      <c r="U35" s="3">
        <f>SUMIF(TRASLADOS!$K:$K,RESUMEN!O35,TRASLADOS!$O:$O)</f>
        <v>0</v>
      </c>
      <c r="V35" s="3">
        <f>SUMIF(VENTAS!$J:$J,RESUMEN!O35,VENTAS!$N:$N)</f>
        <v>0</v>
      </c>
      <c r="W35" s="3">
        <f>SUMIF(VENTAS!$J:$J,RESUMEN!O35,VENTAS!$O:$O)</f>
        <v>0</v>
      </c>
      <c r="X35" s="97">
        <f t="shared" si="12"/>
        <v>2092</v>
      </c>
      <c r="Y35" s="96"/>
      <c r="Z35" s="99">
        <f t="shared" si="2"/>
        <v>6</v>
      </c>
      <c r="AA35" s="11">
        <f t="shared" si="26"/>
        <v>43289</v>
      </c>
      <c r="AB35" s="3">
        <f t="shared" si="26"/>
        <v>42</v>
      </c>
      <c r="AC35" s="3">
        <f>SUMIF(MORTALIDAD!$R:$R,RESUMEN!AA35,MORTALIDAD!$V:$V)</f>
        <v>-10</v>
      </c>
      <c r="AD35" s="19">
        <f t="shared" si="14"/>
        <v>-73</v>
      </c>
      <c r="AE35" s="3">
        <f>SUMIF(MORTALIDAD!$R:$R,RESUMEN!AA35,MORTALIDAD!$W:$W)</f>
        <v>63</v>
      </c>
      <c r="AF35" s="3">
        <f>SUMIF(TRASLADOS!$T:$T,RESUMEN!AA35,TRASLADOS!$W:$W)</f>
        <v>0</v>
      </c>
      <c r="AG35" s="3">
        <f>SUMIF(TRASLADOS!$T:$T,RESUMEN!AA35,TRASLADOS!$X:$X)</f>
        <v>0</v>
      </c>
      <c r="AH35" s="3">
        <f>SUMIF(VENTAS!$R:$R,RESUMEN!AA35,VENTAS!$V:$V)</f>
        <v>0</v>
      </c>
      <c r="AI35" s="3">
        <f>SUMIF(VENTAS!$R:$R,RESUMEN!AA35,VENTAS!$W:$W)</f>
        <v>0</v>
      </c>
      <c r="AJ35" s="97">
        <f t="shared" si="15"/>
        <v>2127</v>
      </c>
      <c r="AK35" s="96"/>
      <c r="AL35" s="99">
        <f t="shared" si="3"/>
        <v>6</v>
      </c>
      <c r="AM35" s="11">
        <f t="shared" si="27"/>
        <v>43296</v>
      </c>
      <c r="AN35" s="3">
        <f t="shared" si="27"/>
        <v>42</v>
      </c>
      <c r="AO35" s="3">
        <f>SUMIF(MORTALIDAD!$Z:$Z,RESUMEN!AM35,MORTALIDAD!$AD:$AD)</f>
        <v>-7</v>
      </c>
      <c r="AP35" s="19">
        <f t="shared" si="17"/>
        <v>-29</v>
      </c>
      <c r="AQ35" s="3">
        <f>SUMIF(MORTALIDAD!$Z:$Z,RESUMEN!AM35,MORTALIDAD!$AE:$AE)</f>
        <v>42</v>
      </c>
      <c r="AR35" s="3">
        <f>SUMIF(TRASLADOS!$AC:$AC,RESUMEN!AM35,TRASLADOS!$AF:$AF)</f>
        <v>0</v>
      </c>
      <c r="AS35" s="3">
        <f>SUMIF(TRASLADOS!$AC:$AC,RESUMEN!AM35,TRASLADOS!$AG:$AG)</f>
        <v>0</v>
      </c>
      <c r="AT35" s="3">
        <f>SUMIF(VENTAS!$Z:$Z,RESUMEN!AM35,VENTAS!$AD:$AD)</f>
        <v>0</v>
      </c>
      <c r="AU35" s="3">
        <f>SUMIF(VENTAS!$Z:$Z,RESUMEN!AM35,VENTAS!$AE:$AE)</f>
        <v>0</v>
      </c>
      <c r="AV35" s="97">
        <f t="shared" si="18"/>
        <v>2171</v>
      </c>
      <c r="AW35" s="96"/>
      <c r="AX35" s="99">
        <f t="shared" si="4"/>
        <v>6</v>
      </c>
      <c r="AY35" s="11">
        <f t="shared" si="28"/>
        <v>43303</v>
      </c>
      <c r="AZ35" s="3">
        <f t="shared" si="28"/>
        <v>42</v>
      </c>
      <c r="BA35" s="3">
        <f>SUMIF(MORTALIDAD!$AH:$AH,RESUMEN!AY35,MORTALIDAD!$AL:$AL)</f>
        <v>-6</v>
      </c>
      <c r="BB35" s="19">
        <f t="shared" si="20"/>
        <v>-58</v>
      </c>
      <c r="BC35" s="3">
        <f>SUMIF(MORTALIDAD!$AH:$AH,RESUMEN!AY35,MORTALIDAD!$AM:$AM)</f>
        <v>32</v>
      </c>
      <c r="BD35" s="3">
        <f>SUMIF(TRASLADOS!$AL:$AL,RESUMEN!AY35,TRASLADOS!$AO:$AO)</f>
        <v>0</v>
      </c>
      <c r="BE35" s="3">
        <f>SUMIF(TRASLADOS!$AL:$AL,RESUMEN!AY35,TRASLADOS!$AP:$AP)</f>
        <v>0</v>
      </c>
      <c r="BF35" s="3">
        <f>SUMIF(VENTAS!$AH:$AH,RESUMEN!AY35,VENTAS!$AL:$AL)</f>
        <v>0</v>
      </c>
      <c r="BG35" s="3">
        <f>SUMIF(VENTAS!$AH:$AH,RESUMEN!AY35,VENTAS!$AM:$AM)</f>
        <v>0</v>
      </c>
      <c r="BH35" s="97">
        <f t="shared" si="21"/>
        <v>2142</v>
      </c>
      <c r="BI35" s="96"/>
      <c r="BJ35" s="99">
        <f t="shared" si="5"/>
        <v>7</v>
      </c>
      <c r="BK35" s="11">
        <f t="shared" si="29"/>
        <v>43312</v>
      </c>
      <c r="BL35" s="3">
        <f t="shared" si="29"/>
        <v>45</v>
      </c>
      <c r="BM35" s="3">
        <f>SUMIF(MORTALIDAD!$AP:$AP,RESUMEN!BK35,MORTALIDAD!$AT:$AT)</f>
        <v>-10</v>
      </c>
      <c r="BN35" s="19">
        <f t="shared" si="23"/>
        <v>-68</v>
      </c>
      <c r="BO35" s="3">
        <f>SUMIF(MORTALIDAD!$AP$6:$AP$200,RESUMEN!BK35,MORTALIDAD!$AU$6:$AU$200)</f>
        <v>37</v>
      </c>
      <c r="BP35" s="3">
        <f>SUMIF(TRASLADOS!$AU:$AU,RESUMEN!BK35,TRASLADOS!$AX:$AX)</f>
        <v>0</v>
      </c>
      <c r="BQ35" s="3">
        <f>SUMIF(TRASLADOS!$AU:$AU,RESUMEN!BK35,TRASLADOS!$AY:$AY)</f>
        <v>0</v>
      </c>
      <c r="BR35" s="3">
        <f>SUMIF(VENTAS!$AP:$AP,RESUMEN!BK35,VENTAS!$AT:$AT)</f>
        <v>0</v>
      </c>
      <c r="BS35" s="3">
        <f>SUMIF(VENTAS!$AP:$AP,RESUMEN!BK35,VENTAS!$AU:$AU)</f>
        <v>0</v>
      </c>
      <c r="BT35" s="36">
        <f t="shared" si="24"/>
        <v>2246</v>
      </c>
    </row>
    <row r="36" spans="2:72" x14ac:dyDescent="0.2">
      <c r="B36" s="3">
        <f t="shared" si="0"/>
        <v>7</v>
      </c>
      <c r="C36" s="11">
        <f t="shared" si="6"/>
        <v>43283</v>
      </c>
      <c r="D36" s="3">
        <f t="shared" si="7"/>
        <v>45</v>
      </c>
      <c r="E36" s="3">
        <f>SUMIF(MORTALIDAD!$B$6:$B$200,RESUMEN!C36,MORTALIDAD!$F$6:$F$200)</f>
        <v>-19</v>
      </c>
      <c r="F36" s="17">
        <f t="shared" si="8"/>
        <v>-199</v>
      </c>
      <c r="G36" s="3">
        <f>SUMIF(MORTALIDAD!$B$6:$B$200,RESUMEN!C36,MORTALIDAD!$G$6:$G$200)</f>
        <v>99</v>
      </c>
      <c r="H36" s="3">
        <f>SUMIF(TRASLADOS!$B$6:$B$200,C36,TRASLADOS!$E$6:$E$200)</f>
        <v>0</v>
      </c>
      <c r="I36" s="3">
        <f>SUMIF(TRASLADOS!$B$6:$B$200,C36,TRASLADOS!$F$6:$F$200)</f>
        <v>0</v>
      </c>
      <c r="J36" s="3">
        <f>SUMIF(VENTAS!$B$6:$B$200,RESUMEN!C36,VENTAS!$F$6:$F$200)</f>
        <v>0</v>
      </c>
      <c r="K36" s="3">
        <f>SUMIF(VENTAS!$B$6:$B$200,RESUMEN!C36,VENTAS!$G$6:$G$200)</f>
        <v>0</v>
      </c>
      <c r="L36" s="97">
        <f t="shared" si="9"/>
        <v>2001</v>
      </c>
      <c r="M36" s="96"/>
      <c r="N36" s="99">
        <f t="shared" si="1"/>
        <v>7</v>
      </c>
      <c r="O36" s="11">
        <f t="shared" si="25"/>
        <v>43286</v>
      </c>
      <c r="P36" s="3">
        <f t="shared" si="25"/>
        <v>44</v>
      </c>
      <c r="Q36" s="3">
        <f>SUMIF(MORTALIDAD!$J:$J,RESUMEN!O36,MORTALIDAD!$N:$N)</f>
        <v>-9</v>
      </c>
      <c r="R36" s="19">
        <f t="shared" si="11"/>
        <v>-117</v>
      </c>
      <c r="S36" s="3">
        <f>SUMIF(MORTALIDAD!$J:$J,RESUMEN!O36,MORTALIDAD!$O:$O)</f>
        <v>49</v>
      </c>
      <c r="T36" s="3">
        <f>SUMIF(TRASLADOS!$K:$K,RESUMEN!O36,TRASLADOS!$N:$N)</f>
        <v>0</v>
      </c>
      <c r="U36" s="3">
        <f>SUMIF(TRASLADOS!$K:$K,RESUMEN!O36,TRASLADOS!$O:$O)</f>
        <v>0</v>
      </c>
      <c r="V36" s="3">
        <f>SUMIF(VENTAS!$J:$J,RESUMEN!O36,VENTAS!$N:$N)</f>
        <v>0</v>
      </c>
      <c r="W36" s="3">
        <f>SUMIF(VENTAS!$J:$J,RESUMEN!O36,VENTAS!$O:$O)</f>
        <v>0</v>
      </c>
      <c r="X36" s="97">
        <f t="shared" si="12"/>
        <v>2083</v>
      </c>
      <c r="Y36" s="96"/>
      <c r="Z36" s="99">
        <f t="shared" si="2"/>
        <v>7</v>
      </c>
      <c r="AA36" s="11">
        <f t="shared" si="26"/>
        <v>43290</v>
      </c>
      <c r="AB36" s="3">
        <f t="shared" si="26"/>
        <v>43</v>
      </c>
      <c r="AC36" s="3">
        <f>SUMIF(MORTALIDAD!$R:$R,RESUMEN!AA36,MORTALIDAD!$V:$V)</f>
        <v>-7</v>
      </c>
      <c r="AD36" s="19">
        <f t="shared" si="14"/>
        <v>-80</v>
      </c>
      <c r="AE36" s="3">
        <f>SUMIF(MORTALIDAD!$R:$R,RESUMEN!AA36,MORTALIDAD!$W:$W)</f>
        <v>34</v>
      </c>
      <c r="AF36" s="3">
        <f>SUMIF(TRASLADOS!$T:$T,RESUMEN!AA36,TRASLADOS!$W:$W)</f>
        <v>0</v>
      </c>
      <c r="AG36" s="3">
        <f>SUMIF(TRASLADOS!$T:$T,RESUMEN!AA36,TRASLADOS!$X:$X)</f>
        <v>0</v>
      </c>
      <c r="AH36" s="3">
        <f>SUMIF(VENTAS!$R:$R,RESUMEN!AA36,VENTAS!$V:$V)</f>
        <v>0</v>
      </c>
      <c r="AI36" s="3">
        <f>SUMIF(VENTAS!$R:$R,RESUMEN!AA36,VENTAS!$W:$W)</f>
        <v>0</v>
      </c>
      <c r="AJ36" s="97">
        <f t="shared" si="15"/>
        <v>2120</v>
      </c>
      <c r="AK36" s="96"/>
      <c r="AL36" s="99">
        <f t="shared" si="3"/>
        <v>7</v>
      </c>
      <c r="AM36" s="11">
        <f t="shared" si="27"/>
        <v>43297</v>
      </c>
      <c r="AN36" s="3">
        <f t="shared" si="27"/>
        <v>43</v>
      </c>
      <c r="AO36" s="3">
        <f>SUMIF(MORTALIDAD!$Z:$Z,RESUMEN!AM36,MORTALIDAD!$AD:$AD)</f>
        <v>-3</v>
      </c>
      <c r="AP36" s="19">
        <f t="shared" si="17"/>
        <v>-32</v>
      </c>
      <c r="AQ36" s="3">
        <f>SUMIF(MORTALIDAD!$Z:$Z,RESUMEN!AM36,MORTALIDAD!$AE:$AE)</f>
        <v>21</v>
      </c>
      <c r="AR36" s="3">
        <f>SUMIF(TRASLADOS!$AC:$AC,RESUMEN!AM36,TRASLADOS!$AF:$AF)</f>
        <v>0</v>
      </c>
      <c r="AS36" s="3">
        <f>SUMIF(TRASLADOS!$AC:$AC,RESUMEN!AM36,TRASLADOS!$AG:$AG)</f>
        <v>0</v>
      </c>
      <c r="AT36" s="3">
        <f>SUMIF(VENTAS!$Z:$Z,RESUMEN!AM36,VENTAS!$AD:$AD)</f>
        <v>0</v>
      </c>
      <c r="AU36" s="3">
        <f>SUMIF(VENTAS!$Z:$Z,RESUMEN!AM36,VENTAS!$AE:$AE)</f>
        <v>0</v>
      </c>
      <c r="AV36" s="97">
        <f t="shared" si="18"/>
        <v>2168</v>
      </c>
      <c r="AW36" s="96"/>
      <c r="AX36" s="99">
        <f t="shared" si="4"/>
        <v>7</v>
      </c>
      <c r="AY36" s="11">
        <f t="shared" si="28"/>
        <v>43304</v>
      </c>
      <c r="AZ36" s="3">
        <f t="shared" si="28"/>
        <v>43</v>
      </c>
      <c r="BA36" s="3">
        <f>SUMIF(MORTALIDAD!$AH:$AH,RESUMEN!AY36,MORTALIDAD!$AL:$AL)</f>
        <v>-5</v>
      </c>
      <c r="BB36" s="19">
        <f t="shared" si="20"/>
        <v>-63</v>
      </c>
      <c r="BC36" s="3">
        <f>SUMIF(MORTALIDAD!$AH:$AH,RESUMEN!AY36,MORTALIDAD!$AM:$AM)</f>
        <v>31</v>
      </c>
      <c r="BD36" s="3">
        <f>SUMIF(TRASLADOS!$AL:$AL,RESUMEN!AY36,TRASLADOS!$AO:$AO)</f>
        <v>0</v>
      </c>
      <c r="BE36" s="3">
        <f>SUMIF(TRASLADOS!$AL:$AL,RESUMEN!AY36,TRASLADOS!$AP:$AP)</f>
        <v>0</v>
      </c>
      <c r="BF36" s="3">
        <f>SUMIF(VENTAS!$AH:$AH,RESUMEN!AY36,VENTAS!$AL:$AL)</f>
        <v>0</v>
      </c>
      <c r="BG36" s="3">
        <f>SUMIF(VENTAS!$AH:$AH,RESUMEN!AY36,VENTAS!$AM:$AM)</f>
        <v>0</v>
      </c>
      <c r="BH36" s="97">
        <f t="shared" si="21"/>
        <v>2137</v>
      </c>
      <c r="BI36" s="96"/>
      <c r="BJ36" s="99">
        <f t="shared" si="5"/>
        <v>7</v>
      </c>
      <c r="BK36" s="11">
        <f t="shared" si="29"/>
        <v>43313</v>
      </c>
      <c r="BL36" s="3">
        <f t="shared" si="29"/>
        <v>46</v>
      </c>
      <c r="BM36" s="3">
        <f>SUMIF(MORTALIDAD!$AP:$AP,RESUMEN!BK36,MORTALIDAD!$AT:$AT)</f>
        <v>-5</v>
      </c>
      <c r="BN36" s="19">
        <f t="shared" si="23"/>
        <v>-73</v>
      </c>
      <c r="BO36" s="3">
        <f>SUMIF(MORTALIDAD!$AP$6:$AP$200,RESUMEN!BK36,MORTALIDAD!$AU$6:$AU$200)</f>
        <v>28</v>
      </c>
      <c r="BP36" s="3">
        <f>SUMIF(TRASLADOS!$AU:$AU,RESUMEN!BK36,TRASLADOS!$AX:$AX)</f>
        <v>0</v>
      </c>
      <c r="BQ36" s="3">
        <f>SUMIF(TRASLADOS!$AU:$AU,RESUMEN!BK36,TRASLADOS!$AY:$AY)</f>
        <v>0</v>
      </c>
      <c r="BR36" s="3">
        <f>SUMIF(VENTAS!$AP:$AP,RESUMEN!BK36,VENTAS!$AT:$AT)</f>
        <v>0</v>
      </c>
      <c r="BS36" s="3">
        <f>SUMIF(VENTAS!$AP:$AP,RESUMEN!BK36,VENTAS!$AU:$AU)</f>
        <v>0</v>
      </c>
      <c r="BT36" s="36">
        <f t="shared" si="24"/>
        <v>2241</v>
      </c>
    </row>
    <row r="37" spans="2:72" x14ac:dyDescent="0.2">
      <c r="B37" s="3">
        <f t="shared" si="0"/>
        <v>7</v>
      </c>
      <c r="C37" s="11">
        <f t="shared" si="6"/>
        <v>43284</v>
      </c>
      <c r="D37" s="3">
        <f t="shared" si="7"/>
        <v>46</v>
      </c>
      <c r="E37" s="3">
        <f>SUMIF(MORTALIDAD!$B$6:$B$200,RESUMEN!C37,MORTALIDAD!$F$6:$F$200)</f>
        <v>-14</v>
      </c>
      <c r="F37" s="17">
        <f t="shared" si="8"/>
        <v>-213</v>
      </c>
      <c r="G37" s="3">
        <f>SUMIF(MORTALIDAD!$B$6:$B$200,RESUMEN!C37,MORTALIDAD!$G$6:$G$200)</f>
        <v>77</v>
      </c>
      <c r="H37" s="3">
        <f>SUMIF(TRASLADOS!$B$6:$B$200,C37,TRASLADOS!$E$6:$E$200)</f>
        <v>0</v>
      </c>
      <c r="I37" s="3">
        <f>SUMIF(TRASLADOS!$B$6:$B$200,C37,TRASLADOS!$F$6:$F$200)</f>
        <v>0</v>
      </c>
      <c r="J37" s="3">
        <f>SUMIF(VENTAS!$B$6:$B$200,RESUMEN!C37,VENTAS!$F$6:$F$200)</f>
        <v>0</v>
      </c>
      <c r="K37" s="3">
        <f>SUMIF(VENTAS!$B$6:$B$200,RESUMEN!C37,VENTAS!$G$6:$G$200)</f>
        <v>0</v>
      </c>
      <c r="L37" s="97">
        <f t="shared" si="9"/>
        <v>1987</v>
      </c>
      <c r="M37" s="96"/>
      <c r="N37" s="99">
        <f t="shared" si="1"/>
        <v>7</v>
      </c>
      <c r="O37" s="11">
        <f t="shared" si="25"/>
        <v>43287</v>
      </c>
      <c r="P37" s="3">
        <f t="shared" si="25"/>
        <v>45</v>
      </c>
      <c r="Q37" s="3">
        <f>SUMIF(MORTALIDAD!$J:$J,RESUMEN!O37,MORTALIDAD!$N:$N)</f>
        <v>-11</v>
      </c>
      <c r="R37" s="19">
        <f t="shared" si="11"/>
        <v>-128</v>
      </c>
      <c r="S37" s="3">
        <f>SUMIF(MORTALIDAD!$J:$J,RESUMEN!O37,MORTALIDAD!$O:$O)</f>
        <v>72</v>
      </c>
      <c r="T37" s="3">
        <f>SUMIF(TRASLADOS!$K:$K,RESUMEN!O37,TRASLADOS!$N:$N)</f>
        <v>0</v>
      </c>
      <c r="U37" s="3">
        <f>SUMIF(TRASLADOS!$K:$K,RESUMEN!O37,TRASLADOS!$O:$O)</f>
        <v>0</v>
      </c>
      <c r="V37" s="3">
        <f>SUMIF(VENTAS!$J:$J,RESUMEN!O37,VENTAS!$N:$N)</f>
        <v>0</v>
      </c>
      <c r="W37" s="3">
        <f>SUMIF(VENTAS!$J:$J,RESUMEN!O37,VENTAS!$O:$O)</f>
        <v>0</v>
      </c>
      <c r="X37" s="97">
        <f t="shared" si="12"/>
        <v>2072</v>
      </c>
      <c r="Y37" s="96"/>
      <c r="Z37" s="99">
        <f t="shared" si="2"/>
        <v>7</v>
      </c>
      <c r="AA37" s="11">
        <f t="shared" si="26"/>
        <v>43291</v>
      </c>
      <c r="AB37" s="3">
        <f t="shared" si="26"/>
        <v>44</v>
      </c>
      <c r="AC37" s="3">
        <f>SUMIF(MORTALIDAD!$R:$R,RESUMEN!AA37,MORTALIDAD!$V:$V)</f>
        <v>-6</v>
      </c>
      <c r="AD37" s="19">
        <f t="shared" si="14"/>
        <v>-86</v>
      </c>
      <c r="AE37" s="3">
        <f>SUMIF(MORTALIDAD!$R:$R,RESUMEN!AA37,MORTALIDAD!$W:$W)</f>
        <v>26</v>
      </c>
      <c r="AF37" s="3">
        <f>SUMIF(TRASLADOS!$T:$T,RESUMEN!AA37,TRASLADOS!$W:$W)</f>
        <v>0</v>
      </c>
      <c r="AG37" s="3">
        <f>SUMIF(TRASLADOS!$T:$T,RESUMEN!AA37,TRASLADOS!$X:$X)</f>
        <v>0</v>
      </c>
      <c r="AH37" s="3">
        <f>SUMIF(VENTAS!$R:$R,RESUMEN!AA37,VENTAS!$V:$V)</f>
        <v>0</v>
      </c>
      <c r="AI37" s="3">
        <f>SUMIF(VENTAS!$R:$R,RESUMEN!AA37,VENTAS!$W:$W)</f>
        <v>0</v>
      </c>
      <c r="AJ37" s="97">
        <f t="shared" si="15"/>
        <v>2114</v>
      </c>
      <c r="AK37" s="96"/>
      <c r="AL37" s="99">
        <f t="shared" si="3"/>
        <v>7</v>
      </c>
      <c r="AM37" s="11">
        <f t="shared" si="27"/>
        <v>43298</v>
      </c>
      <c r="AN37" s="3">
        <f t="shared" si="27"/>
        <v>44</v>
      </c>
      <c r="AO37" s="3">
        <f>SUMIF(MORTALIDAD!$Z:$Z,RESUMEN!AM37,MORTALIDAD!$AD:$AD)</f>
        <v>-4</v>
      </c>
      <c r="AP37" s="19">
        <f t="shared" si="17"/>
        <v>-36</v>
      </c>
      <c r="AQ37" s="3">
        <f>SUMIF(MORTALIDAD!$Z:$Z,RESUMEN!AM37,MORTALIDAD!$AE:$AE)</f>
        <v>26</v>
      </c>
      <c r="AR37" s="3">
        <f>SUMIF(TRASLADOS!$AC:$AC,RESUMEN!AM37,TRASLADOS!$AF:$AF)</f>
        <v>0</v>
      </c>
      <c r="AS37" s="3">
        <f>SUMIF(TRASLADOS!$AC:$AC,RESUMEN!AM37,TRASLADOS!$AG:$AG)</f>
        <v>0</v>
      </c>
      <c r="AT37" s="3">
        <f>SUMIF(VENTAS!$Z:$Z,RESUMEN!AM37,VENTAS!$AD:$AD)</f>
        <v>0</v>
      </c>
      <c r="AU37" s="3">
        <f>SUMIF(VENTAS!$Z:$Z,RESUMEN!AM37,VENTAS!$AE:$AE)</f>
        <v>0</v>
      </c>
      <c r="AV37" s="97">
        <f t="shared" si="18"/>
        <v>2164</v>
      </c>
      <c r="AW37" s="96"/>
      <c r="AX37" s="99">
        <f t="shared" si="4"/>
        <v>7</v>
      </c>
      <c r="AY37" s="11">
        <f t="shared" si="28"/>
        <v>43305</v>
      </c>
      <c r="AZ37" s="3">
        <f t="shared" si="28"/>
        <v>44</v>
      </c>
      <c r="BA37" s="3">
        <f>SUMIF(MORTALIDAD!$AH:$AH,RESUMEN!AY37,MORTALIDAD!$AL:$AL)</f>
        <v>-4</v>
      </c>
      <c r="BB37" s="19">
        <f t="shared" si="20"/>
        <v>-67</v>
      </c>
      <c r="BC37" s="3">
        <f>SUMIF(MORTALIDAD!$AH:$AH,RESUMEN!AY37,MORTALIDAD!$AM:$AM)</f>
        <v>19</v>
      </c>
      <c r="BD37" s="3">
        <f>SUMIF(TRASLADOS!$AL:$AL,RESUMEN!AY37,TRASLADOS!$AO:$AO)</f>
        <v>0</v>
      </c>
      <c r="BE37" s="3">
        <f>SUMIF(TRASLADOS!$AL:$AL,RESUMEN!AY37,TRASLADOS!$AP:$AP)</f>
        <v>0</v>
      </c>
      <c r="BF37" s="3">
        <f>SUMIF(VENTAS!$AH:$AH,RESUMEN!AY37,VENTAS!$AL:$AL)</f>
        <v>0</v>
      </c>
      <c r="BG37" s="3">
        <f>SUMIF(VENTAS!$AH:$AH,RESUMEN!AY37,VENTAS!$AM:$AM)</f>
        <v>0</v>
      </c>
      <c r="BH37" s="97">
        <f t="shared" si="21"/>
        <v>2133</v>
      </c>
      <c r="BI37" s="96"/>
      <c r="BJ37" s="99">
        <f t="shared" si="5"/>
        <v>7</v>
      </c>
      <c r="BK37" s="11">
        <f t="shared" si="29"/>
        <v>43314</v>
      </c>
      <c r="BL37" s="3">
        <f t="shared" si="29"/>
        <v>47</v>
      </c>
      <c r="BM37" s="3">
        <f>SUMIF(MORTALIDAD!$AP:$AP,RESUMEN!BK37,MORTALIDAD!$AT:$AT)</f>
        <v>0</v>
      </c>
      <c r="BN37" s="19">
        <f t="shared" si="23"/>
        <v>-73</v>
      </c>
      <c r="BO37" s="3">
        <f>SUMIF(MORTALIDAD!$AP$6:$AP$200,RESUMEN!BK37,MORTALIDAD!$AU$6:$AU$200)</f>
        <v>0</v>
      </c>
      <c r="BP37" s="3">
        <f>SUMIF(TRASLADOS!$AU:$AU,RESUMEN!BK37,TRASLADOS!$AX:$AX)</f>
        <v>0</v>
      </c>
      <c r="BQ37" s="3">
        <f>SUMIF(TRASLADOS!$AU:$AU,RESUMEN!BK37,TRASLADOS!$AY:$AY)</f>
        <v>0</v>
      </c>
      <c r="BR37" s="3">
        <f>SUMIF(VENTAS!$AP:$AP,RESUMEN!BK37,VENTAS!$AT:$AT)</f>
        <v>0</v>
      </c>
      <c r="BS37" s="3">
        <f>SUMIF(VENTAS!$AP:$AP,RESUMEN!BK37,VENTAS!$AU:$AU)</f>
        <v>0</v>
      </c>
      <c r="BT37" s="36">
        <f t="shared" si="24"/>
        <v>2241</v>
      </c>
    </row>
    <row r="38" spans="2:72" x14ac:dyDescent="0.2">
      <c r="B38" s="3">
        <f t="shared" si="0"/>
        <v>7</v>
      </c>
      <c r="C38" s="11">
        <f t="shared" si="6"/>
        <v>43285</v>
      </c>
      <c r="D38" s="3">
        <f t="shared" si="7"/>
        <v>47</v>
      </c>
      <c r="E38" s="3">
        <f>SUMIF(MORTALIDAD!$B$6:$B$200,RESUMEN!C38,MORTALIDAD!$F$6:$F$200)</f>
        <v>-10</v>
      </c>
      <c r="F38" s="17">
        <f t="shared" si="8"/>
        <v>-223</v>
      </c>
      <c r="G38" s="3">
        <f>SUMIF(MORTALIDAD!$B$6:$B$200,RESUMEN!C38,MORTALIDAD!$G$6:$G$200)</f>
        <v>47</v>
      </c>
      <c r="H38" s="3">
        <f>SUMIF(TRASLADOS!$B$6:$B$200,C38,TRASLADOS!$E$6:$E$200)</f>
        <v>0</v>
      </c>
      <c r="I38" s="3">
        <f>SUMIF(TRASLADOS!$B$6:$B$200,C38,TRASLADOS!$F$6:$F$200)</f>
        <v>0</v>
      </c>
      <c r="J38" s="3">
        <f>SUMIF(VENTAS!$B$6:$B$200,RESUMEN!C38,VENTAS!$F$6:$F$200)</f>
        <v>0</v>
      </c>
      <c r="K38" s="3">
        <f>SUMIF(VENTAS!$B$6:$B$200,RESUMEN!C38,VENTAS!$G$6:$G$200)</f>
        <v>0</v>
      </c>
      <c r="L38" s="97">
        <f t="shared" si="9"/>
        <v>1977</v>
      </c>
      <c r="M38" s="96"/>
      <c r="N38" s="99">
        <f t="shared" si="1"/>
        <v>7</v>
      </c>
      <c r="O38" s="11">
        <f t="shared" si="25"/>
        <v>43288</v>
      </c>
      <c r="P38" s="3">
        <f t="shared" si="25"/>
        <v>46</v>
      </c>
      <c r="Q38" s="3">
        <f>SUMIF(MORTALIDAD!$J:$J,RESUMEN!O38,MORTALIDAD!$N:$N)</f>
        <v>-4</v>
      </c>
      <c r="R38" s="19">
        <f t="shared" si="11"/>
        <v>-132</v>
      </c>
      <c r="S38" s="3">
        <f>SUMIF(MORTALIDAD!$J:$J,RESUMEN!O38,MORTALIDAD!$O:$O)</f>
        <v>23</v>
      </c>
      <c r="T38" s="3">
        <f>SUMIF(TRASLADOS!$K:$K,RESUMEN!O38,TRASLADOS!$N:$N)</f>
        <v>0</v>
      </c>
      <c r="U38" s="3">
        <f>SUMIF(TRASLADOS!$K:$K,RESUMEN!O38,TRASLADOS!$O:$O)</f>
        <v>0</v>
      </c>
      <c r="V38" s="3">
        <f>SUMIF(VENTAS!$J:$J,RESUMEN!O38,VENTAS!$N:$N)</f>
        <v>0</v>
      </c>
      <c r="W38" s="3">
        <f>SUMIF(VENTAS!$J:$J,RESUMEN!O38,VENTAS!$O:$O)</f>
        <v>0</v>
      </c>
      <c r="X38" s="97">
        <f t="shared" si="12"/>
        <v>2068</v>
      </c>
      <c r="Y38" s="96"/>
      <c r="Z38" s="99">
        <f t="shared" si="2"/>
        <v>7</v>
      </c>
      <c r="AA38" s="11">
        <f t="shared" si="26"/>
        <v>43292</v>
      </c>
      <c r="AB38" s="3">
        <f t="shared" si="26"/>
        <v>45</v>
      </c>
      <c r="AC38" s="3">
        <f>SUMIF(MORTALIDAD!$R:$R,RESUMEN!AA38,MORTALIDAD!$V:$V)</f>
        <v>-8</v>
      </c>
      <c r="AD38" s="19">
        <f t="shared" si="14"/>
        <v>-94</v>
      </c>
      <c r="AE38" s="3">
        <f>SUMIF(MORTALIDAD!$R:$R,RESUMEN!AA38,MORTALIDAD!$W:$W)</f>
        <v>53</v>
      </c>
      <c r="AF38" s="3">
        <f>SUMIF(TRASLADOS!$T:$T,RESUMEN!AA38,TRASLADOS!$W:$W)</f>
        <v>0</v>
      </c>
      <c r="AG38" s="3">
        <f>SUMIF(TRASLADOS!$T:$T,RESUMEN!AA38,TRASLADOS!$X:$X)</f>
        <v>0</v>
      </c>
      <c r="AH38" s="3">
        <f>SUMIF(VENTAS!$R:$R,RESUMEN!AA38,VENTAS!$V:$V)</f>
        <v>0</v>
      </c>
      <c r="AI38" s="3">
        <f>SUMIF(VENTAS!$R:$R,RESUMEN!AA38,VENTAS!$W:$W)</f>
        <v>0</v>
      </c>
      <c r="AJ38" s="97">
        <f t="shared" si="15"/>
        <v>2106</v>
      </c>
      <c r="AK38" s="96"/>
      <c r="AL38" s="99">
        <f t="shared" si="3"/>
        <v>7</v>
      </c>
      <c r="AM38" s="11">
        <f t="shared" si="27"/>
        <v>43299</v>
      </c>
      <c r="AN38" s="3">
        <f t="shared" si="27"/>
        <v>45</v>
      </c>
      <c r="AO38" s="3">
        <f>SUMIF(MORTALIDAD!$Z:$Z,RESUMEN!AM38,MORTALIDAD!$AD:$AD)</f>
        <v>-3</v>
      </c>
      <c r="AP38" s="19">
        <f t="shared" si="17"/>
        <v>-39</v>
      </c>
      <c r="AQ38" s="3">
        <f>SUMIF(MORTALIDAD!$Z:$Z,RESUMEN!AM38,MORTALIDAD!$AE:$AE)</f>
        <v>21</v>
      </c>
      <c r="AR38" s="3">
        <f>SUMIF(TRASLADOS!$AC:$AC,RESUMEN!AM38,TRASLADOS!$AF:$AF)</f>
        <v>0</v>
      </c>
      <c r="AS38" s="3">
        <f>SUMIF(TRASLADOS!$AC:$AC,RESUMEN!AM38,TRASLADOS!$AG:$AG)</f>
        <v>0</v>
      </c>
      <c r="AT38" s="3">
        <f>SUMIF(VENTAS!$Z:$Z,RESUMEN!AM38,VENTAS!$AD:$AD)</f>
        <v>0</v>
      </c>
      <c r="AU38" s="3">
        <f>SUMIF(VENTAS!$Z:$Z,RESUMEN!AM38,VENTAS!$AE:$AE)</f>
        <v>0</v>
      </c>
      <c r="AV38" s="97">
        <f t="shared" si="18"/>
        <v>2161</v>
      </c>
      <c r="AW38" s="96"/>
      <c r="AX38" s="99">
        <f t="shared" si="4"/>
        <v>7</v>
      </c>
      <c r="AY38" s="11">
        <f t="shared" si="28"/>
        <v>43306</v>
      </c>
      <c r="AZ38" s="3">
        <f t="shared" si="28"/>
        <v>45</v>
      </c>
      <c r="BA38" s="3">
        <f>SUMIF(MORTALIDAD!$AH:$AH,RESUMEN!AY38,MORTALIDAD!$AL:$AL)</f>
        <v>0</v>
      </c>
      <c r="BB38" s="19">
        <f t="shared" si="20"/>
        <v>-67</v>
      </c>
      <c r="BC38" s="3">
        <f>SUMIF(MORTALIDAD!$AH:$AH,RESUMEN!AY38,MORTALIDAD!$AM:$AM)</f>
        <v>0</v>
      </c>
      <c r="BD38" s="3">
        <f>SUMIF(TRASLADOS!$AL:$AL,RESUMEN!AY38,TRASLADOS!$AO:$AO)</f>
        <v>0</v>
      </c>
      <c r="BE38" s="3">
        <f>SUMIF(TRASLADOS!$AL:$AL,RESUMEN!AY38,TRASLADOS!$AP:$AP)</f>
        <v>0</v>
      </c>
      <c r="BF38" s="3">
        <f>SUMIF(VENTAS!$AH:$AH,RESUMEN!AY38,VENTAS!$AL:$AL)</f>
        <v>0</v>
      </c>
      <c r="BG38" s="3">
        <f>SUMIF(VENTAS!$AH:$AH,RESUMEN!AY38,VENTAS!$AM:$AM)</f>
        <v>0</v>
      </c>
      <c r="BH38" s="97">
        <f t="shared" si="21"/>
        <v>2133</v>
      </c>
      <c r="BI38" s="96"/>
      <c r="BJ38" s="99">
        <f t="shared" si="5"/>
        <v>7</v>
      </c>
      <c r="BK38" s="11">
        <f t="shared" si="29"/>
        <v>43315</v>
      </c>
      <c r="BL38" s="3">
        <f t="shared" si="29"/>
        <v>48</v>
      </c>
      <c r="BM38" s="3">
        <f>SUMIF(MORTALIDAD!$AP:$AP,RESUMEN!BK38,MORTALIDAD!$AT:$AT)</f>
        <v>0</v>
      </c>
      <c r="BN38" s="19">
        <f t="shared" si="23"/>
        <v>-73</v>
      </c>
      <c r="BO38" s="3">
        <f>SUMIF(MORTALIDAD!$AP$6:$AP$200,RESUMEN!BK38,MORTALIDAD!$AU$6:$AU$200)</f>
        <v>0</v>
      </c>
      <c r="BP38" s="3">
        <f>SUMIF(TRASLADOS!$AU:$AU,RESUMEN!BK38,TRASLADOS!$AX:$AX)</f>
        <v>0</v>
      </c>
      <c r="BQ38" s="3">
        <f>SUMIF(TRASLADOS!$AU:$AU,RESUMEN!BK38,TRASLADOS!$AY:$AY)</f>
        <v>0</v>
      </c>
      <c r="BR38" s="3">
        <f>SUMIF(VENTAS!$AP:$AP,RESUMEN!BK38,VENTAS!$AT:$AT)</f>
        <v>0</v>
      </c>
      <c r="BS38" s="3">
        <f>SUMIF(VENTAS!$AP:$AP,RESUMEN!BK38,VENTAS!$AU:$AU)</f>
        <v>0</v>
      </c>
      <c r="BT38" s="36">
        <f t="shared" si="24"/>
        <v>2241</v>
      </c>
    </row>
    <row r="39" spans="2:72" x14ac:dyDescent="0.2">
      <c r="B39" s="3">
        <f t="shared" si="0"/>
        <v>7</v>
      </c>
      <c r="C39" s="11">
        <f t="shared" si="6"/>
        <v>43286</v>
      </c>
      <c r="D39" s="3">
        <f t="shared" si="7"/>
        <v>48</v>
      </c>
      <c r="E39" s="3">
        <f>SUMIF(MORTALIDAD!$B$6:$B$200,RESUMEN!C39,MORTALIDAD!$F$6:$F$200)</f>
        <v>-11</v>
      </c>
      <c r="F39" s="17">
        <f t="shared" si="8"/>
        <v>-234</v>
      </c>
      <c r="G39" s="3">
        <f>SUMIF(MORTALIDAD!$B$6:$B$200,RESUMEN!C39,MORTALIDAD!$G$6:$G$200)</f>
        <v>50</v>
      </c>
      <c r="H39" s="3">
        <f>SUMIF(TRASLADOS!$B$6:$B$200,C39,TRASLADOS!$E$6:$E$200)</f>
        <v>0</v>
      </c>
      <c r="I39" s="3">
        <f>SUMIF(TRASLADOS!$B$6:$B$200,C39,TRASLADOS!$F$6:$F$200)</f>
        <v>0</v>
      </c>
      <c r="J39" s="3">
        <f>SUMIF(VENTAS!$B$6:$B$200,RESUMEN!C39,VENTAS!$F$6:$F$200)</f>
        <v>0</v>
      </c>
      <c r="K39" s="3">
        <f>SUMIF(VENTAS!$B$6:$B$200,RESUMEN!C39,VENTAS!$G$6:$G$200)</f>
        <v>0</v>
      </c>
      <c r="L39" s="97">
        <f t="shared" si="9"/>
        <v>1966</v>
      </c>
      <c r="M39" s="96"/>
      <c r="N39" s="99">
        <f t="shared" si="1"/>
        <v>7</v>
      </c>
      <c r="O39" s="11">
        <f t="shared" si="25"/>
        <v>43289</v>
      </c>
      <c r="P39" s="3">
        <f t="shared" si="25"/>
        <v>47</v>
      </c>
      <c r="Q39" s="3">
        <f>SUMIF(MORTALIDAD!$J:$J,RESUMEN!O39,MORTALIDAD!$N:$N)</f>
        <v>-14</v>
      </c>
      <c r="R39" s="19">
        <f t="shared" si="11"/>
        <v>-146</v>
      </c>
      <c r="S39" s="3">
        <f>SUMIF(MORTALIDAD!$J:$J,RESUMEN!O39,MORTALIDAD!$O:$O)</f>
        <v>87</v>
      </c>
      <c r="T39" s="3">
        <f>SUMIF(TRASLADOS!$K:$K,RESUMEN!O39,TRASLADOS!$N:$N)</f>
        <v>0</v>
      </c>
      <c r="U39" s="3">
        <f>SUMIF(TRASLADOS!$K:$K,RESUMEN!O39,TRASLADOS!$O:$O)</f>
        <v>0</v>
      </c>
      <c r="V39" s="3">
        <f>SUMIF(VENTAS!$J:$J,RESUMEN!O39,VENTAS!$N:$N)</f>
        <v>0</v>
      </c>
      <c r="W39" s="3">
        <f>SUMIF(VENTAS!$J:$J,RESUMEN!O39,VENTAS!$O:$O)</f>
        <v>0</v>
      </c>
      <c r="X39" s="97">
        <f t="shared" si="12"/>
        <v>2054</v>
      </c>
      <c r="Y39" s="96"/>
      <c r="Z39" s="99">
        <f t="shared" si="2"/>
        <v>7</v>
      </c>
      <c r="AA39" s="11">
        <f t="shared" si="26"/>
        <v>43293</v>
      </c>
      <c r="AB39" s="3">
        <f t="shared" si="26"/>
        <v>46</v>
      </c>
      <c r="AC39" s="3">
        <f>SUMIF(MORTALIDAD!$R:$R,RESUMEN!AA39,MORTALIDAD!$V:$V)</f>
        <v>-8</v>
      </c>
      <c r="AD39" s="19">
        <f t="shared" si="14"/>
        <v>-102</v>
      </c>
      <c r="AE39" s="3">
        <f>SUMIF(MORTALIDAD!$R:$R,RESUMEN!AA39,MORTALIDAD!$W:$W)</f>
        <v>40</v>
      </c>
      <c r="AF39" s="3">
        <f>SUMIF(TRASLADOS!$T:$T,RESUMEN!AA39,TRASLADOS!$W:$W)</f>
        <v>0</v>
      </c>
      <c r="AG39" s="3">
        <f>SUMIF(TRASLADOS!$T:$T,RESUMEN!AA39,TRASLADOS!$X:$X)</f>
        <v>0</v>
      </c>
      <c r="AH39" s="3">
        <f>SUMIF(VENTAS!$R:$R,RESUMEN!AA39,VENTAS!$V:$V)</f>
        <v>0</v>
      </c>
      <c r="AI39" s="3">
        <f>SUMIF(VENTAS!$R:$R,RESUMEN!AA39,VENTAS!$W:$W)</f>
        <v>0</v>
      </c>
      <c r="AJ39" s="97">
        <f t="shared" si="15"/>
        <v>2098</v>
      </c>
      <c r="AK39" s="96"/>
      <c r="AL39" s="99">
        <f t="shared" si="3"/>
        <v>7</v>
      </c>
      <c r="AM39" s="11">
        <f t="shared" si="27"/>
        <v>43300</v>
      </c>
      <c r="AN39" s="3">
        <f t="shared" si="27"/>
        <v>46</v>
      </c>
      <c r="AO39" s="3">
        <f>SUMIF(MORTALIDAD!$Z:$Z,RESUMEN!AM39,MORTALIDAD!$AD:$AD)</f>
        <v>-6</v>
      </c>
      <c r="AP39" s="19">
        <f t="shared" si="17"/>
        <v>-45</v>
      </c>
      <c r="AQ39" s="3">
        <f>SUMIF(MORTALIDAD!$Z:$Z,RESUMEN!AM39,MORTALIDAD!$AE:$AE)</f>
        <v>43</v>
      </c>
      <c r="AR39" s="3">
        <f>SUMIF(TRASLADOS!$AC:$AC,RESUMEN!AM39,TRASLADOS!$AF:$AF)</f>
        <v>0</v>
      </c>
      <c r="AS39" s="3">
        <f>SUMIF(TRASLADOS!$AC:$AC,RESUMEN!AM39,TRASLADOS!$AG:$AG)</f>
        <v>0</v>
      </c>
      <c r="AT39" s="3">
        <f>SUMIF(VENTAS!$Z:$Z,RESUMEN!AM39,VENTAS!$AD:$AD)</f>
        <v>0</v>
      </c>
      <c r="AU39" s="3">
        <f>SUMIF(VENTAS!$Z:$Z,RESUMEN!AM39,VENTAS!$AE:$AE)</f>
        <v>0</v>
      </c>
      <c r="AV39" s="97">
        <f t="shared" si="18"/>
        <v>2155</v>
      </c>
      <c r="AW39" s="96"/>
      <c r="AX39" s="99">
        <f t="shared" si="4"/>
        <v>7</v>
      </c>
      <c r="AY39" s="11">
        <f t="shared" si="28"/>
        <v>43307</v>
      </c>
      <c r="AZ39" s="3">
        <f t="shared" si="28"/>
        <v>46</v>
      </c>
      <c r="BA39" s="3">
        <f>SUMIF(MORTALIDAD!$AH:$AH,RESUMEN!AY39,MORTALIDAD!$AL:$AL)</f>
        <v>-5</v>
      </c>
      <c r="BB39" s="19">
        <f t="shared" si="20"/>
        <v>-72</v>
      </c>
      <c r="BC39" s="3">
        <f>SUMIF(MORTALIDAD!$AH:$AH,RESUMEN!AY39,MORTALIDAD!$AM:$AM)</f>
        <v>37</v>
      </c>
      <c r="BD39" s="3">
        <f>SUMIF(TRASLADOS!$AL:$AL,RESUMEN!AY39,TRASLADOS!$AO:$AO)</f>
        <v>0</v>
      </c>
      <c r="BE39" s="3">
        <f>SUMIF(TRASLADOS!$AL:$AL,RESUMEN!AY39,TRASLADOS!$AP:$AP)</f>
        <v>0</v>
      </c>
      <c r="BF39" s="3">
        <f>SUMIF(VENTAS!$AH:$AH,RESUMEN!AY39,VENTAS!$AL:$AL)</f>
        <v>0</v>
      </c>
      <c r="BG39" s="3">
        <f>SUMIF(VENTAS!$AH:$AH,RESUMEN!AY39,VENTAS!$AM:$AM)</f>
        <v>0</v>
      </c>
      <c r="BH39" s="97">
        <f t="shared" si="21"/>
        <v>2128</v>
      </c>
      <c r="BI39" s="96"/>
      <c r="BJ39" s="99">
        <f t="shared" si="5"/>
        <v>7</v>
      </c>
      <c r="BK39" s="11">
        <f t="shared" si="29"/>
        <v>43316</v>
      </c>
      <c r="BL39" s="3">
        <f t="shared" si="29"/>
        <v>49</v>
      </c>
      <c r="BM39" s="3">
        <f>SUMIF(MORTALIDAD!$AP:$AP,RESUMEN!BK39,MORTALIDAD!$AT:$AT)</f>
        <v>0</v>
      </c>
      <c r="BN39" s="19">
        <f t="shared" si="23"/>
        <v>-73</v>
      </c>
      <c r="BO39" s="3">
        <f>SUMIF(MORTALIDAD!$AP$6:$AP$200,RESUMEN!BK39,MORTALIDAD!$AU$6:$AU$200)</f>
        <v>0</v>
      </c>
      <c r="BP39" s="3">
        <f>SUMIF(TRASLADOS!$AU:$AU,RESUMEN!BK39,TRASLADOS!$AX:$AX)</f>
        <v>0</v>
      </c>
      <c r="BQ39" s="3">
        <f>SUMIF(TRASLADOS!$AU:$AU,RESUMEN!BK39,TRASLADOS!$AY:$AY)</f>
        <v>0</v>
      </c>
      <c r="BR39" s="3">
        <f>SUMIF(VENTAS!$AP:$AP,RESUMEN!BK39,VENTAS!$AT:$AT)</f>
        <v>0</v>
      </c>
      <c r="BS39" s="3">
        <f>SUMIF(VENTAS!$AP:$AP,RESUMEN!BK39,VENTAS!$AU:$AU)</f>
        <v>0</v>
      </c>
      <c r="BT39" s="36">
        <f t="shared" si="24"/>
        <v>2241</v>
      </c>
    </row>
    <row r="40" spans="2:72" x14ac:dyDescent="0.2">
      <c r="B40" s="3">
        <f t="shared" si="0"/>
        <v>7</v>
      </c>
      <c r="C40" s="11">
        <f t="shared" si="6"/>
        <v>43287</v>
      </c>
      <c r="D40" s="3">
        <f t="shared" si="7"/>
        <v>49</v>
      </c>
      <c r="E40" s="3">
        <f>SUMIF(MORTALIDAD!$B$6:$B$200,RESUMEN!C40,MORTALIDAD!$F$6:$F$200)</f>
        <v>-36</v>
      </c>
      <c r="F40" s="17">
        <f t="shared" si="8"/>
        <v>-270</v>
      </c>
      <c r="G40" s="3">
        <f>SUMIF(MORTALIDAD!$B$6:$B$200,RESUMEN!C40,MORTALIDAD!$G$6:$G$200)</f>
        <v>162</v>
      </c>
      <c r="H40" s="3">
        <f>SUMIF(TRASLADOS!$B$6:$B$200,C40,TRASLADOS!$E$6:$E$200)</f>
        <v>0</v>
      </c>
      <c r="I40" s="3">
        <f>SUMIF(TRASLADOS!$B$6:$B$200,C40,TRASLADOS!$F$6:$F$200)</f>
        <v>0</v>
      </c>
      <c r="J40" s="3">
        <f>SUMIF(VENTAS!$B$6:$B$200,RESUMEN!C40,VENTAS!$F$6:$F$200)</f>
        <v>0</v>
      </c>
      <c r="K40" s="3">
        <f>SUMIF(VENTAS!$B$6:$B$200,RESUMEN!C40,VENTAS!$G$6:$G$200)</f>
        <v>0</v>
      </c>
      <c r="L40" s="97">
        <f t="shared" si="9"/>
        <v>1930</v>
      </c>
      <c r="M40" s="96"/>
      <c r="N40" s="99">
        <f t="shared" si="1"/>
        <v>7</v>
      </c>
      <c r="O40" s="11">
        <f t="shared" si="25"/>
        <v>43290</v>
      </c>
      <c r="P40" s="3">
        <f t="shared" si="25"/>
        <v>48</v>
      </c>
      <c r="Q40" s="3">
        <f>SUMIF(MORTALIDAD!$J:$J,RESUMEN!O40,MORTALIDAD!$N:$N)</f>
        <v>-10</v>
      </c>
      <c r="R40" s="19">
        <f t="shared" si="11"/>
        <v>-156</v>
      </c>
      <c r="S40" s="3">
        <f>SUMIF(MORTALIDAD!$J:$J,RESUMEN!O40,MORTALIDAD!$O:$O)</f>
        <v>60</v>
      </c>
      <c r="T40" s="3">
        <f>SUMIF(TRASLADOS!$K:$K,RESUMEN!O40,TRASLADOS!$N:$N)</f>
        <v>0</v>
      </c>
      <c r="U40" s="3">
        <f>SUMIF(TRASLADOS!$K:$K,RESUMEN!O40,TRASLADOS!$O:$O)</f>
        <v>0</v>
      </c>
      <c r="V40" s="3">
        <f>SUMIF(VENTAS!$J:$J,RESUMEN!O40,VENTAS!$N:$N)</f>
        <v>0</v>
      </c>
      <c r="W40" s="3">
        <f>SUMIF(VENTAS!$J:$J,RESUMEN!O40,VENTAS!$O:$O)</f>
        <v>0</v>
      </c>
      <c r="X40" s="97">
        <f t="shared" si="12"/>
        <v>2044</v>
      </c>
      <c r="Y40" s="96"/>
      <c r="Z40" s="99">
        <f t="shared" si="2"/>
        <v>7</v>
      </c>
      <c r="AA40" s="11">
        <f t="shared" si="26"/>
        <v>43294</v>
      </c>
      <c r="AB40" s="3">
        <f t="shared" si="26"/>
        <v>47</v>
      </c>
      <c r="AC40" s="3">
        <f>SUMIF(MORTALIDAD!$R:$R,RESUMEN!AA40,MORTALIDAD!$V:$V)</f>
        <v>-8</v>
      </c>
      <c r="AD40" s="19">
        <f t="shared" si="14"/>
        <v>-110</v>
      </c>
      <c r="AE40" s="3">
        <f>SUMIF(MORTALIDAD!$R:$R,RESUMEN!AA40,MORTALIDAD!$W:$W)</f>
        <v>43</v>
      </c>
      <c r="AF40" s="3">
        <f>SUMIF(TRASLADOS!$T:$T,RESUMEN!AA40,TRASLADOS!$W:$W)</f>
        <v>0</v>
      </c>
      <c r="AG40" s="3">
        <f>SUMIF(TRASLADOS!$T:$T,RESUMEN!AA40,TRASLADOS!$X:$X)</f>
        <v>0</v>
      </c>
      <c r="AH40" s="3">
        <f>SUMIF(VENTAS!$R:$R,RESUMEN!AA40,VENTAS!$V:$V)</f>
        <v>0</v>
      </c>
      <c r="AI40" s="3">
        <f>SUMIF(VENTAS!$R:$R,RESUMEN!AA40,VENTAS!$W:$W)</f>
        <v>0</v>
      </c>
      <c r="AJ40" s="97">
        <f t="shared" si="15"/>
        <v>2090</v>
      </c>
      <c r="AK40" s="96"/>
      <c r="AL40" s="99">
        <f t="shared" si="3"/>
        <v>7</v>
      </c>
      <c r="AM40" s="11">
        <f t="shared" si="27"/>
        <v>43301</v>
      </c>
      <c r="AN40" s="3">
        <f t="shared" si="27"/>
        <v>47</v>
      </c>
      <c r="AO40" s="3">
        <f>SUMIF(MORTALIDAD!$Z:$Z,RESUMEN!AM40,MORTALIDAD!$AD:$AD)</f>
        <v>-4</v>
      </c>
      <c r="AP40" s="19">
        <f t="shared" si="17"/>
        <v>-49</v>
      </c>
      <c r="AQ40" s="3">
        <f>SUMIF(MORTALIDAD!$Z:$Z,RESUMEN!AM40,MORTALIDAD!$AE:$AE)</f>
        <v>24</v>
      </c>
      <c r="AR40" s="3">
        <f>SUMIF(TRASLADOS!$AC:$AC,RESUMEN!AM40,TRASLADOS!$AF:$AF)</f>
        <v>0</v>
      </c>
      <c r="AS40" s="3">
        <f>SUMIF(TRASLADOS!$AC:$AC,RESUMEN!AM40,TRASLADOS!$AG:$AG)</f>
        <v>0</v>
      </c>
      <c r="AT40" s="3">
        <f>SUMIF(VENTAS!$Z:$Z,RESUMEN!AM40,VENTAS!$AD:$AD)</f>
        <v>0</v>
      </c>
      <c r="AU40" s="3">
        <f>SUMIF(VENTAS!$Z:$Z,RESUMEN!AM40,VENTAS!$AE:$AE)</f>
        <v>0</v>
      </c>
      <c r="AV40" s="97">
        <f t="shared" si="18"/>
        <v>2151</v>
      </c>
      <c r="AW40" s="96"/>
      <c r="AX40" s="99">
        <f t="shared" si="4"/>
        <v>7</v>
      </c>
      <c r="AY40" s="11">
        <f t="shared" si="28"/>
        <v>43308</v>
      </c>
      <c r="AZ40" s="3">
        <f t="shared" si="28"/>
        <v>47</v>
      </c>
      <c r="BA40" s="3">
        <f>SUMIF(MORTALIDAD!$AH:$AH,RESUMEN!AY40,MORTALIDAD!$AL:$AL)</f>
        <v>-5</v>
      </c>
      <c r="BB40" s="19">
        <f t="shared" si="20"/>
        <v>-77</v>
      </c>
      <c r="BC40" s="3">
        <f>SUMIF(MORTALIDAD!$AH:$AH,RESUMEN!AY40,MORTALIDAD!$AM:$AM)</f>
        <v>30</v>
      </c>
      <c r="BD40" s="3">
        <f>SUMIF(TRASLADOS!$AL:$AL,RESUMEN!AY40,TRASLADOS!$AO:$AO)</f>
        <v>0</v>
      </c>
      <c r="BE40" s="3">
        <f>SUMIF(TRASLADOS!$AL:$AL,RESUMEN!AY40,TRASLADOS!$AP:$AP)</f>
        <v>0</v>
      </c>
      <c r="BF40" s="3">
        <f>SUMIF(VENTAS!$AH:$AH,RESUMEN!AY40,VENTAS!$AL:$AL)</f>
        <v>0</v>
      </c>
      <c r="BG40" s="3">
        <f>SUMIF(VENTAS!$AH:$AH,RESUMEN!AY40,VENTAS!$AM:$AM)</f>
        <v>0</v>
      </c>
      <c r="BH40" s="97">
        <f t="shared" si="21"/>
        <v>2123</v>
      </c>
      <c r="BI40" s="96"/>
      <c r="BJ40" s="99">
        <f t="shared" si="5"/>
        <v>8</v>
      </c>
      <c r="BK40" s="11">
        <f t="shared" si="29"/>
        <v>43317</v>
      </c>
      <c r="BL40" s="3">
        <f t="shared" si="29"/>
        <v>50</v>
      </c>
      <c r="BM40" s="3">
        <f>SUMIF(MORTALIDAD!$AP:$AP,RESUMEN!BK40,MORTALIDAD!$AT:$AT)</f>
        <v>0</v>
      </c>
      <c r="BN40" s="19">
        <f t="shared" si="23"/>
        <v>-73</v>
      </c>
      <c r="BO40" s="3">
        <f>SUMIF(MORTALIDAD!$AP$6:$AP$200,RESUMEN!BK40,MORTALIDAD!$AU$6:$AU$200)</f>
        <v>0</v>
      </c>
      <c r="BP40" s="3">
        <f>SUMIF(TRASLADOS!$AU:$AU,RESUMEN!BK40,TRASLADOS!$AX:$AX)</f>
        <v>0</v>
      </c>
      <c r="BQ40" s="3">
        <f>SUMIF(TRASLADOS!$AU:$AU,RESUMEN!BK40,TRASLADOS!$AY:$AY)</f>
        <v>0</v>
      </c>
      <c r="BR40" s="3">
        <f>SUMIF(VENTAS!$AP:$AP,RESUMEN!BK40,VENTAS!$AT:$AT)</f>
        <v>0</v>
      </c>
      <c r="BS40" s="3">
        <f>SUMIF(VENTAS!$AP:$AP,RESUMEN!BK40,VENTAS!$AU:$AU)</f>
        <v>0</v>
      </c>
      <c r="BT40" s="36">
        <f t="shared" si="24"/>
        <v>2241</v>
      </c>
    </row>
    <row r="41" spans="2:72" x14ac:dyDescent="0.2">
      <c r="B41" s="3">
        <f t="shared" si="0"/>
        <v>8</v>
      </c>
      <c r="C41" s="11">
        <f t="shared" si="6"/>
        <v>43288</v>
      </c>
      <c r="D41" s="3">
        <f t="shared" si="7"/>
        <v>50</v>
      </c>
      <c r="E41" s="3">
        <f>SUMIF(MORTALIDAD!$B$6:$B$200,RESUMEN!C41,MORTALIDAD!$F$6:$F$200)</f>
        <v>-17</v>
      </c>
      <c r="F41" s="17">
        <f t="shared" si="8"/>
        <v>-287</v>
      </c>
      <c r="G41" s="3">
        <f>SUMIF(MORTALIDAD!$B$6:$B$200,RESUMEN!C41,MORTALIDAD!$G$6:$G$200)</f>
        <v>100</v>
      </c>
      <c r="H41" s="3">
        <f>SUMIF(TRASLADOS!$B$6:$B$200,C41,TRASLADOS!$E$6:$E$200)</f>
        <v>0</v>
      </c>
      <c r="I41" s="3">
        <f>SUMIF(TRASLADOS!$B$6:$B$200,C41,TRASLADOS!$F$6:$F$200)</f>
        <v>0</v>
      </c>
      <c r="J41" s="3">
        <f>SUMIF(VENTAS!$B$6:$B$200,RESUMEN!C41,VENTAS!$F$6:$F$200)</f>
        <v>0</v>
      </c>
      <c r="K41" s="3">
        <f>SUMIF(VENTAS!$B$6:$B$200,RESUMEN!C41,VENTAS!$G$6:$G$200)</f>
        <v>0</v>
      </c>
      <c r="L41" s="97">
        <f t="shared" si="9"/>
        <v>1913</v>
      </c>
      <c r="M41" s="96"/>
      <c r="N41" s="99">
        <f t="shared" si="1"/>
        <v>7</v>
      </c>
      <c r="O41" s="11">
        <f t="shared" si="25"/>
        <v>43291</v>
      </c>
      <c r="P41" s="3">
        <f t="shared" si="25"/>
        <v>49</v>
      </c>
      <c r="Q41" s="3">
        <f>SUMIF(MORTALIDAD!$J:$J,RESUMEN!O41,MORTALIDAD!$N:$N)</f>
        <v>-16</v>
      </c>
      <c r="R41" s="19">
        <f t="shared" si="11"/>
        <v>-172</v>
      </c>
      <c r="S41" s="3">
        <f>SUMIF(MORTALIDAD!$J:$J,RESUMEN!O41,MORTALIDAD!$O:$O)</f>
        <v>83</v>
      </c>
      <c r="T41" s="3">
        <f>SUMIF(TRASLADOS!$K:$K,RESUMEN!O41,TRASLADOS!$N:$N)</f>
        <v>0</v>
      </c>
      <c r="U41" s="3">
        <f>SUMIF(TRASLADOS!$K:$K,RESUMEN!O41,TRASLADOS!$O:$O)</f>
        <v>0</v>
      </c>
      <c r="V41" s="3">
        <f>SUMIF(VENTAS!$J:$J,RESUMEN!O41,VENTAS!$N:$N)</f>
        <v>0</v>
      </c>
      <c r="W41" s="3">
        <f>SUMIF(VENTAS!$J:$J,RESUMEN!O41,VENTAS!$O:$O)</f>
        <v>0</v>
      </c>
      <c r="X41" s="97">
        <f t="shared" si="12"/>
        <v>2028</v>
      </c>
      <c r="Y41" s="96"/>
      <c r="Z41" s="99">
        <f t="shared" si="2"/>
        <v>7</v>
      </c>
      <c r="AA41" s="11">
        <f t="shared" si="26"/>
        <v>43295</v>
      </c>
      <c r="AB41" s="3">
        <f t="shared" si="26"/>
        <v>48</v>
      </c>
      <c r="AC41" s="3">
        <f>SUMIF(MORTALIDAD!$R:$R,RESUMEN!AA41,MORTALIDAD!$V:$V)</f>
        <v>-18</v>
      </c>
      <c r="AD41" s="19">
        <f t="shared" si="14"/>
        <v>-128</v>
      </c>
      <c r="AE41" s="3">
        <f>SUMIF(MORTALIDAD!$R:$R,RESUMEN!AA41,MORTALIDAD!$W:$W)</f>
        <v>123</v>
      </c>
      <c r="AF41" s="3">
        <f>SUMIF(TRASLADOS!$T:$T,RESUMEN!AA41,TRASLADOS!$W:$W)</f>
        <v>0</v>
      </c>
      <c r="AG41" s="3">
        <f>SUMIF(TRASLADOS!$T:$T,RESUMEN!AA41,TRASLADOS!$X:$X)</f>
        <v>0</v>
      </c>
      <c r="AH41" s="3">
        <f>SUMIF(VENTAS!$R:$R,RESUMEN!AA41,VENTAS!$V:$V)</f>
        <v>0</v>
      </c>
      <c r="AI41" s="3">
        <f>SUMIF(VENTAS!$R:$R,RESUMEN!AA41,VENTAS!$W:$W)</f>
        <v>0</v>
      </c>
      <c r="AJ41" s="97">
        <f t="shared" si="15"/>
        <v>2072</v>
      </c>
      <c r="AK41" s="96"/>
      <c r="AL41" s="99">
        <f t="shared" si="3"/>
        <v>7</v>
      </c>
      <c r="AM41" s="11">
        <f t="shared" si="27"/>
        <v>43302</v>
      </c>
      <c r="AN41" s="3">
        <f t="shared" si="27"/>
        <v>48</v>
      </c>
      <c r="AO41" s="3">
        <f>SUMIF(MORTALIDAD!$Z:$Z,RESUMEN!AM41,MORTALIDAD!$AD:$AD)</f>
        <v>-4</v>
      </c>
      <c r="AP41" s="19">
        <f t="shared" si="17"/>
        <v>-53</v>
      </c>
      <c r="AQ41" s="3">
        <f>SUMIF(MORTALIDAD!$Z:$Z,RESUMEN!AM41,MORTALIDAD!$AE:$AE)</f>
        <v>25</v>
      </c>
      <c r="AR41" s="3">
        <f>SUMIF(TRASLADOS!$AC:$AC,RESUMEN!AM41,TRASLADOS!$AF:$AF)</f>
        <v>0</v>
      </c>
      <c r="AS41" s="3">
        <f>SUMIF(TRASLADOS!$AC:$AC,RESUMEN!AM41,TRASLADOS!$AG:$AG)</f>
        <v>0</v>
      </c>
      <c r="AT41" s="3">
        <f>SUMIF(VENTAS!$Z:$Z,RESUMEN!AM41,VENTAS!$AD:$AD)</f>
        <v>0</v>
      </c>
      <c r="AU41" s="3">
        <f>SUMIF(VENTAS!$Z:$Z,RESUMEN!AM41,VENTAS!$AE:$AE)</f>
        <v>0</v>
      </c>
      <c r="AV41" s="97">
        <f t="shared" si="18"/>
        <v>2147</v>
      </c>
      <c r="AW41" s="96"/>
      <c r="AX41" s="99">
        <f t="shared" si="4"/>
        <v>7</v>
      </c>
      <c r="AY41" s="11">
        <f t="shared" si="28"/>
        <v>43309</v>
      </c>
      <c r="AZ41" s="3">
        <f t="shared" si="28"/>
        <v>48</v>
      </c>
      <c r="BA41" s="3">
        <f>SUMIF(MORTALIDAD!$AH:$AH,RESUMEN!AY41,MORTALIDAD!$AL:$AL)</f>
        <v>-8</v>
      </c>
      <c r="BB41" s="19">
        <f t="shared" si="20"/>
        <v>-85</v>
      </c>
      <c r="BC41" s="3">
        <f>SUMIF(MORTALIDAD!$AH:$AH,RESUMEN!AY41,MORTALIDAD!$AM:$AM)</f>
        <v>48</v>
      </c>
      <c r="BD41" s="3">
        <f>SUMIF(TRASLADOS!$AL:$AL,RESUMEN!AY41,TRASLADOS!$AO:$AO)</f>
        <v>0</v>
      </c>
      <c r="BE41" s="3">
        <f>SUMIF(TRASLADOS!$AL:$AL,RESUMEN!AY41,TRASLADOS!$AP:$AP)</f>
        <v>0</v>
      </c>
      <c r="BF41" s="3">
        <f>SUMIF(VENTAS!$AH:$AH,RESUMEN!AY41,VENTAS!$AL:$AL)</f>
        <v>0</v>
      </c>
      <c r="BG41" s="3">
        <f>SUMIF(VENTAS!$AH:$AH,RESUMEN!AY41,VENTAS!$AM:$AM)</f>
        <v>0</v>
      </c>
      <c r="BH41" s="97">
        <f t="shared" si="21"/>
        <v>2115</v>
      </c>
      <c r="BI41" s="96"/>
      <c r="BJ41" s="99">
        <f t="shared" si="5"/>
        <v>8</v>
      </c>
      <c r="BK41" s="11">
        <f t="shared" si="29"/>
        <v>43318</v>
      </c>
      <c r="BL41" s="3">
        <f t="shared" si="29"/>
        <v>51</v>
      </c>
      <c r="BM41" s="3">
        <f>SUMIF(MORTALIDAD!$AP:$AP,RESUMEN!BK41,MORTALIDAD!$AT:$AT)</f>
        <v>0</v>
      </c>
      <c r="BN41" s="19">
        <f t="shared" si="23"/>
        <v>-73</v>
      </c>
      <c r="BO41" s="3">
        <f>SUMIF(MORTALIDAD!$AP$6:$AP$200,RESUMEN!BK41,MORTALIDAD!$AU$6:$AU$200)</f>
        <v>0</v>
      </c>
      <c r="BP41" s="3">
        <f>SUMIF(TRASLADOS!$AU:$AU,RESUMEN!BK41,TRASLADOS!$AX:$AX)</f>
        <v>0</v>
      </c>
      <c r="BQ41" s="3">
        <f>SUMIF(TRASLADOS!$AU:$AU,RESUMEN!BK41,TRASLADOS!$AY:$AY)</f>
        <v>0</v>
      </c>
      <c r="BR41" s="3">
        <f>SUMIF(VENTAS!$AP:$AP,RESUMEN!BK41,VENTAS!$AT:$AT)</f>
        <v>0</v>
      </c>
      <c r="BS41" s="3">
        <f>SUMIF(VENTAS!$AP:$AP,RESUMEN!BK41,VENTAS!$AU:$AU)</f>
        <v>0</v>
      </c>
      <c r="BT41" s="36">
        <f t="shared" si="24"/>
        <v>2241</v>
      </c>
    </row>
    <row r="42" spans="2:72" x14ac:dyDescent="0.2">
      <c r="B42" s="3">
        <f t="shared" si="0"/>
        <v>8</v>
      </c>
      <c r="C42" s="11">
        <f t="shared" si="6"/>
        <v>43289</v>
      </c>
      <c r="D42" s="3">
        <f t="shared" si="7"/>
        <v>51</v>
      </c>
      <c r="E42" s="3">
        <f>SUMIF(MORTALIDAD!$B$6:$B$200,RESUMEN!C42,MORTALIDAD!$F$6:$F$200)</f>
        <v>-14</v>
      </c>
      <c r="F42" s="17">
        <f t="shared" si="8"/>
        <v>-301</v>
      </c>
      <c r="G42" s="3">
        <f>SUMIF(MORTALIDAD!$B$6:$B$200,RESUMEN!C42,MORTALIDAD!$G$6:$G$200)</f>
        <v>83</v>
      </c>
      <c r="H42" s="3">
        <f>SUMIF(TRASLADOS!$B$6:$B$200,C42,TRASLADOS!$E$6:$E$200)</f>
        <v>0</v>
      </c>
      <c r="I42" s="3">
        <f>SUMIF(TRASLADOS!$B$6:$B$200,C42,TRASLADOS!$F$6:$F$200)</f>
        <v>0</v>
      </c>
      <c r="J42" s="3">
        <f>SUMIF(VENTAS!$B$6:$B$200,RESUMEN!C42,VENTAS!$F$6:$F$200)</f>
        <v>0</v>
      </c>
      <c r="K42" s="3">
        <f>SUMIF(VENTAS!$B$6:$B$200,RESUMEN!C42,VENTAS!$G$6:$G$200)</f>
        <v>0</v>
      </c>
      <c r="L42" s="97">
        <f t="shared" si="9"/>
        <v>1899</v>
      </c>
      <c r="M42" s="96"/>
      <c r="N42" s="99">
        <f t="shared" si="1"/>
        <v>8</v>
      </c>
      <c r="O42" s="11">
        <f t="shared" si="25"/>
        <v>43292</v>
      </c>
      <c r="P42" s="3">
        <f t="shared" si="25"/>
        <v>50</v>
      </c>
      <c r="Q42" s="3">
        <f>SUMIF(MORTALIDAD!$J:$J,RESUMEN!O42,MORTALIDAD!$N:$N)</f>
        <v>-14</v>
      </c>
      <c r="R42" s="19">
        <f t="shared" si="11"/>
        <v>-186</v>
      </c>
      <c r="S42" s="3">
        <f>SUMIF(MORTALIDAD!$J:$J,RESUMEN!O42,MORTALIDAD!$O:$O)</f>
        <v>100</v>
      </c>
      <c r="T42" s="3">
        <f>SUMIF(TRASLADOS!$K:$K,RESUMEN!O42,TRASLADOS!$N:$N)</f>
        <v>0</v>
      </c>
      <c r="U42" s="3">
        <f>SUMIF(TRASLADOS!$K:$K,RESUMEN!O42,TRASLADOS!$O:$O)</f>
        <v>0</v>
      </c>
      <c r="V42" s="3">
        <f>SUMIF(VENTAS!$J:$J,RESUMEN!O42,VENTAS!$N:$N)</f>
        <v>0</v>
      </c>
      <c r="W42" s="3">
        <f>SUMIF(VENTAS!$J:$J,RESUMEN!O42,VENTAS!$O:$O)</f>
        <v>0</v>
      </c>
      <c r="X42" s="97">
        <f t="shared" si="12"/>
        <v>2014</v>
      </c>
      <c r="Y42" s="96"/>
      <c r="Z42" s="99">
        <f t="shared" si="2"/>
        <v>7</v>
      </c>
      <c r="AA42" s="11">
        <f t="shared" si="26"/>
        <v>43296</v>
      </c>
      <c r="AB42" s="3">
        <f t="shared" si="26"/>
        <v>49</v>
      </c>
      <c r="AC42" s="3">
        <f>SUMIF(MORTALIDAD!$R:$R,RESUMEN!AA42,MORTALIDAD!$V:$V)</f>
        <v>-8</v>
      </c>
      <c r="AD42" s="19">
        <f t="shared" si="14"/>
        <v>-136</v>
      </c>
      <c r="AE42" s="3">
        <f>SUMIF(MORTALIDAD!$R:$R,RESUMEN!AA42,MORTALIDAD!$W:$W)</f>
        <v>31</v>
      </c>
      <c r="AF42" s="3">
        <f>SUMIF(TRASLADOS!$T:$T,RESUMEN!AA42,TRASLADOS!$W:$W)</f>
        <v>0</v>
      </c>
      <c r="AG42" s="3">
        <f>SUMIF(TRASLADOS!$T:$T,RESUMEN!AA42,TRASLADOS!$X:$X)</f>
        <v>0</v>
      </c>
      <c r="AH42" s="3">
        <f>SUMIF(VENTAS!$R:$R,RESUMEN!AA42,VENTAS!$V:$V)</f>
        <v>0</v>
      </c>
      <c r="AI42" s="3">
        <f>SUMIF(VENTAS!$R:$R,RESUMEN!AA42,VENTAS!$W:$W)</f>
        <v>0</v>
      </c>
      <c r="AJ42" s="97">
        <f t="shared" si="15"/>
        <v>2064</v>
      </c>
      <c r="AK42" s="96"/>
      <c r="AL42" s="99">
        <f t="shared" si="3"/>
        <v>7</v>
      </c>
      <c r="AM42" s="11">
        <f t="shared" si="27"/>
        <v>43303</v>
      </c>
      <c r="AN42" s="3">
        <f t="shared" si="27"/>
        <v>49</v>
      </c>
      <c r="AO42" s="3">
        <f>SUMIF(MORTALIDAD!$Z:$Z,RESUMEN!AM42,MORTALIDAD!$AD:$AD)</f>
        <v>-5</v>
      </c>
      <c r="AP42" s="19">
        <f t="shared" si="17"/>
        <v>-58</v>
      </c>
      <c r="AQ42" s="3">
        <f>SUMIF(MORTALIDAD!$Z:$Z,RESUMEN!AM42,MORTALIDAD!$AE:$AE)</f>
        <v>28</v>
      </c>
      <c r="AR42" s="3">
        <f>SUMIF(TRASLADOS!$AC:$AC,RESUMEN!AM42,TRASLADOS!$AF:$AF)</f>
        <v>0</v>
      </c>
      <c r="AS42" s="3">
        <f>SUMIF(TRASLADOS!$AC:$AC,RESUMEN!AM42,TRASLADOS!$AG:$AG)</f>
        <v>0</v>
      </c>
      <c r="AT42" s="3">
        <f>SUMIF(VENTAS!$Z:$Z,RESUMEN!AM42,VENTAS!$AD:$AD)</f>
        <v>0</v>
      </c>
      <c r="AU42" s="3">
        <f>SUMIF(VENTAS!$Z:$Z,RESUMEN!AM42,VENTAS!$AE:$AE)</f>
        <v>0</v>
      </c>
      <c r="AV42" s="97">
        <f t="shared" si="18"/>
        <v>2142</v>
      </c>
      <c r="AW42" s="96"/>
      <c r="AX42" s="99">
        <f t="shared" si="4"/>
        <v>7</v>
      </c>
      <c r="AY42" s="11">
        <f t="shared" si="28"/>
        <v>43310</v>
      </c>
      <c r="AZ42" s="3">
        <f t="shared" si="28"/>
        <v>49</v>
      </c>
      <c r="BA42" s="3">
        <f>SUMIF(MORTALIDAD!$AH:$AH,RESUMEN!AY42,MORTALIDAD!$AL:$AL)</f>
        <v>-4</v>
      </c>
      <c r="BB42" s="19">
        <f t="shared" si="20"/>
        <v>-89</v>
      </c>
      <c r="BC42" s="3">
        <f>SUMIF(MORTALIDAD!$AH:$AH,RESUMEN!AY42,MORTALIDAD!$AM:$AM)</f>
        <v>32</v>
      </c>
      <c r="BD42" s="3">
        <f>SUMIF(TRASLADOS!$AL:$AL,RESUMEN!AY42,TRASLADOS!$AO:$AO)</f>
        <v>0</v>
      </c>
      <c r="BE42" s="3">
        <f>SUMIF(TRASLADOS!$AL:$AL,RESUMEN!AY42,TRASLADOS!$AP:$AP)</f>
        <v>0</v>
      </c>
      <c r="BF42" s="3">
        <f>SUMIF(VENTAS!$AH:$AH,RESUMEN!AY42,VENTAS!$AL:$AL)</f>
        <v>0</v>
      </c>
      <c r="BG42" s="3">
        <f>SUMIF(VENTAS!$AH:$AH,RESUMEN!AY42,VENTAS!$AM:$AM)</f>
        <v>0</v>
      </c>
      <c r="BH42" s="97">
        <f t="shared" si="21"/>
        <v>2111</v>
      </c>
      <c r="BI42" s="96"/>
      <c r="BJ42" s="99">
        <f t="shared" si="5"/>
        <v>8</v>
      </c>
      <c r="BK42" s="11">
        <f t="shared" si="29"/>
        <v>43319</v>
      </c>
      <c r="BL42" s="3">
        <f t="shared" si="29"/>
        <v>52</v>
      </c>
      <c r="BM42" s="3">
        <f>SUMIF(MORTALIDAD!$AP:$AP,RESUMEN!BK42,MORTALIDAD!$AT:$AT)</f>
        <v>0</v>
      </c>
      <c r="BN42" s="19">
        <f t="shared" si="23"/>
        <v>-73</v>
      </c>
      <c r="BO42" s="3">
        <f>SUMIF(MORTALIDAD!$AP$6:$AP$200,RESUMEN!BK42,MORTALIDAD!$AU$6:$AU$200)</f>
        <v>0</v>
      </c>
      <c r="BP42" s="3">
        <f>SUMIF(TRASLADOS!$AU:$AU,RESUMEN!BK42,TRASLADOS!$AX:$AX)</f>
        <v>0</v>
      </c>
      <c r="BQ42" s="3">
        <f>SUMIF(TRASLADOS!$AU:$AU,RESUMEN!BK42,TRASLADOS!$AY:$AY)</f>
        <v>0</v>
      </c>
      <c r="BR42" s="3">
        <f>SUMIF(VENTAS!$AP:$AP,RESUMEN!BK42,VENTAS!$AT:$AT)</f>
        <v>0</v>
      </c>
      <c r="BS42" s="3">
        <f>SUMIF(VENTAS!$AP:$AP,RESUMEN!BK42,VENTAS!$AU:$AU)</f>
        <v>0</v>
      </c>
      <c r="BT42" s="36">
        <f t="shared" si="24"/>
        <v>2241</v>
      </c>
    </row>
    <row r="43" spans="2:72" x14ac:dyDescent="0.2">
      <c r="B43" s="3">
        <f t="shared" si="0"/>
        <v>8</v>
      </c>
      <c r="C43" s="11">
        <f t="shared" si="6"/>
        <v>43290</v>
      </c>
      <c r="D43" s="3">
        <f t="shared" si="7"/>
        <v>52</v>
      </c>
      <c r="E43" s="3">
        <f>SUMIF(MORTALIDAD!$B$6:$B$200,RESUMEN!C43,MORTALIDAD!$F$6:$F$200)</f>
        <v>-19</v>
      </c>
      <c r="F43" s="17">
        <f t="shared" si="8"/>
        <v>-320</v>
      </c>
      <c r="G43" s="3">
        <f>SUMIF(MORTALIDAD!$B$6:$B$200,RESUMEN!C43,MORTALIDAD!$G$6:$G$200)</f>
        <v>112</v>
      </c>
      <c r="H43" s="3">
        <f>SUMIF(TRASLADOS!$B$6:$B$200,C43,TRASLADOS!$E$6:$E$200)</f>
        <v>0</v>
      </c>
      <c r="I43" s="3">
        <f>SUMIF(TRASLADOS!$B$6:$B$200,C43,TRASLADOS!$F$6:$F$200)</f>
        <v>0</v>
      </c>
      <c r="J43" s="3">
        <f>SUMIF(VENTAS!$B$6:$B$200,RESUMEN!C43,VENTAS!$F$6:$F$200)</f>
        <v>0</v>
      </c>
      <c r="K43" s="3">
        <f>SUMIF(VENTAS!$B$6:$B$200,RESUMEN!C43,VENTAS!$G$6:$G$200)</f>
        <v>0</v>
      </c>
      <c r="L43" s="97">
        <f t="shared" si="9"/>
        <v>1880</v>
      </c>
      <c r="M43" s="96"/>
      <c r="N43" s="99">
        <f t="shared" si="1"/>
        <v>8</v>
      </c>
      <c r="O43" s="11">
        <f t="shared" si="25"/>
        <v>43293</v>
      </c>
      <c r="P43" s="3">
        <f t="shared" si="25"/>
        <v>51</v>
      </c>
      <c r="Q43" s="3">
        <f>SUMIF(MORTALIDAD!$J:$J,RESUMEN!O43,MORTALIDAD!$N:$N)</f>
        <v>-14</v>
      </c>
      <c r="R43" s="19">
        <f t="shared" si="11"/>
        <v>-200</v>
      </c>
      <c r="S43" s="3">
        <f>SUMIF(MORTALIDAD!$J:$J,RESUMEN!O43,MORTALIDAD!$O:$O)</f>
        <v>84</v>
      </c>
      <c r="T43" s="3">
        <f>SUMIF(TRASLADOS!$K:$K,RESUMEN!O43,TRASLADOS!$N:$N)</f>
        <v>0</v>
      </c>
      <c r="U43" s="3">
        <f>SUMIF(TRASLADOS!$K:$K,RESUMEN!O43,TRASLADOS!$O:$O)</f>
        <v>0</v>
      </c>
      <c r="V43" s="3">
        <f>SUMIF(VENTAS!$J:$J,RESUMEN!O43,VENTAS!$N:$N)</f>
        <v>0</v>
      </c>
      <c r="W43" s="3">
        <f>SUMIF(VENTAS!$J:$J,RESUMEN!O43,VENTAS!$O:$O)</f>
        <v>0</v>
      </c>
      <c r="X43" s="97">
        <f t="shared" si="12"/>
        <v>2000</v>
      </c>
      <c r="Y43" s="96"/>
      <c r="Z43" s="99">
        <f t="shared" si="2"/>
        <v>8</v>
      </c>
      <c r="AA43" s="11">
        <f t="shared" si="26"/>
        <v>43297</v>
      </c>
      <c r="AB43" s="3">
        <f t="shared" si="26"/>
        <v>50</v>
      </c>
      <c r="AC43" s="3">
        <f>SUMIF(MORTALIDAD!$R:$R,RESUMEN!AA43,MORTALIDAD!$V:$V)</f>
        <v>-18</v>
      </c>
      <c r="AD43" s="19">
        <f t="shared" si="14"/>
        <v>-154</v>
      </c>
      <c r="AE43" s="3">
        <f>SUMIF(MORTALIDAD!$R:$R,RESUMEN!AA43,MORTALIDAD!$W:$W)</f>
        <v>114</v>
      </c>
      <c r="AF43" s="3">
        <f>SUMIF(TRASLADOS!$T:$T,RESUMEN!AA43,TRASLADOS!$W:$W)</f>
        <v>0</v>
      </c>
      <c r="AG43" s="3">
        <f>SUMIF(TRASLADOS!$T:$T,RESUMEN!AA43,TRASLADOS!$X:$X)</f>
        <v>0</v>
      </c>
      <c r="AH43" s="3">
        <f>SUMIF(VENTAS!$R:$R,RESUMEN!AA43,VENTAS!$V:$V)</f>
        <v>0</v>
      </c>
      <c r="AI43" s="3">
        <f>SUMIF(VENTAS!$R:$R,RESUMEN!AA43,VENTAS!$W:$W)</f>
        <v>0</v>
      </c>
      <c r="AJ43" s="97">
        <f t="shared" si="15"/>
        <v>2046</v>
      </c>
      <c r="AK43" s="96"/>
      <c r="AL43" s="99">
        <f t="shared" si="3"/>
        <v>8</v>
      </c>
      <c r="AM43" s="11">
        <f t="shared" si="27"/>
        <v>43304</v>
      </c>
      <c r="AN43" s="3">
        <f t="shared" si="27"/>
        <v>50</v>
      </c>
      <c r="AO43" s="3">
        <f>SUMIF(MORTALIDAD!$Z:$Z,RESUMEN!AM43,MORTALIDAD!$AD:$AD)</f>
        <v>-4</v>
      </c>
      <c r="AP43" s="19">
        <f t="shared" si="17"/>
        <v>-62</v>
      </c>
      <c r="AQ43" s="3">
        <f>SUMIF(MORTALIDAD!$Z:$Z,RESUMEN!AM43,MORTALIDAD!$AE:$AE)</f>
        <v>35</v>
      </c>
      <c r="AR43" s="3">
        <f>SUMIF(TRASLADOS!$AC:$AC,RESUMEN!AM43,TRASLADOS!$AF:$AF)</f>
        <v>0</v>
      </c>
      <c r="AS43" s="3">
        <f>SUMIF(TRASLADOS!$AC:$AC,RESUMEN!AM43,TRASLADOS!$AG:$AG)</f>
        <v>0</v>
      </c>
      <c r="AT43" s="3">
        <f>SUMIF(VENTAS!$Z:$Z,RESUMEN!AM43,VENTAS!$AD:$AD)</f>
        <v>0</v>
      </c>
      <c r="AU43" s="3">
        <f>SUMIF(VENTAS!$Z:$Z,RESUMEN!AM43,VENTAS!$AE:$AE)</f>
        <v>0</v>
      </c>
      <c r="AV43" s="97">
        <f t="shared" si="18"/>
        <v>2138</v>
      </c>
      <c r="AW43" s="96"/>
      <c r="AX43" s="99">
        <f t="shared" si="4"/>
        <v>8</v>
      </c>
      <c r="AY43" s="11">
        <f t="shared" si="28"/>
        <v>43311</v>
      </c>
      <c r="AZ43" s="3">
        <f t="shared" si="28"/>
        <v>50</v>
      </c>
      <c r="BA43" s="3">
        <f>SUMIF(MORTALIDAD!$AH:$AH,RESUMEN!AY43,MORTALIDAD!$AL:$AL)</f>
        <v>-4</v>
      </c>
      <c r="BB43" s="19">
        <f t="shared" si="20"/>
        <v>-93</v>
      </c>
      <c r="BC43" s="3">
        <f>SUMIF(MORTALIDAD!$AH:$AH,RESUMEN!AY43,MORTALIDAD!$AM:$AM)</f>
        <v>32</v>
      </c>
      <c r="BD43" s="3">
        <f>SUMIF(TRASLADOS!$AL:$AL,RESUMEN!AY43,TRASLADOS!$AO:$AO)</f>
        <v>0</v>
      </c>
      <c r="BE43" s="3">
        <f>SUMIF(TRASLADOS!$AL:$AL,RESUMEN!AY43,TRASLADOS!$AP:$AP)</f>
        <v>0</v>
      </c>
      <c r="BF43" s="3">
        <f>SUMIF(VENTAS!$AH:$AH,RESUMEN!AY43,VENTAS!$AL:$AL)</f>
        <v>0</v>
      </c>
      <c r="BG43" s="3">
        <f>SUMIF(VENTAS!$AH:$AH,RESUMEN!AY43,VENTAS!$AM:$AM)</f>
        <v>0</v>
      </c>
      <c r="BH43" s="97">
        <f t="shared" si="21"/>
        <v>2107</v>
      </c>
      <c r="BI43" s="96"/>
      <c r="BJ43" s="99">
        <f t="shared" si="5"/>
        <v>8</v>
      </c>
      <c r="BK43" s="11">
        <f t="shared" si="29"/>
        <v>43320</v>
      </c>
      <c r="BL43" s="3">
        <f t="shared" si="29"/>
        <v>53</v>
      </c>
      <c r="BM43" s="3">
        <f>SUMIF(MORTALIDAD!$AP:$AP,RESUMEN!BK43,MORTALIDAD!$AT:$AT)</f>
        <v>0</v>
      </c>
      <c r="BN43" s="19">
        <f t="shared" si="23"/>
        <v>-73</v>
      </c>
      <c r="BO43" s="3">
        <f>SUMIF(MORTALIDAD!$AP$6:$AP$200,RESUMEN!BK43,MORTALIDAD!$AU$6:$AU$200)</f>
        <v>0</v>
      </c>
      <c r="BP43" s="3">
        <f>SUMIF(TRASLADOS!$AU:$AU,RESUMEN!BK43,TRASLADOS!$AX:$AX)</f>
        <v>0</v>
      </c>
      <c r="BQ43" s="3">
        <f>SUMIF(TRASLADOS!$AU:$AU,RESUMEN!BK43,TRASLADOS!$AY:$AY)</f>
        <v>0</v>
      </c>
      <c r="BR43" s="3">
        <f>SUMIF(VENTAS!$AP:$AP,RESUMEN!BK43,VENTAS!$AT:$AT)</f>
        <v>0</v>
      </c>
      <c r="BS43" s="3">
        <f>SUMIF(VENTAS!$AP:$AP,RESUMEN!BK43,VENTAS!$AU:$AU)</f>
        <v>0</v>
      </c>
      <c r="BT43" s="36">
        <f t="shared" si="24"/>
        <v>2241</v>
      </c>
    </row>
    <row r="44" spans="2:72" x14ac:dyDescent="0.2">
      <c r="B44" s="3">
        <f t="shared" si="0"/>
        <v>8</v>
      </c>
      <c r="C44" s="11">
        <f t="shared" si="6"/>
        <v>43291</v>
      </c>
      <c r="D44" s="3">
        <f t="shared" si="7"/>
        <v>53</v>
      </c>
      <c r="E44" s="3">
        <f>SUMIF(MORTALIDAD!$B$6:$B$200,RESUMEN!C44,MORTALIDAD!$F$6:$F$200)</f>
        <v>-27</v>
      </c>
      <c r="F44" s="17">
        <f t="shared" si="8"/>
        <v>-347</v>
      </c>
      <c r="G44" s="3">
        <f>SUMIF(MORTALIDAD!$B$6:$B$200,RESUMEN!C44,MORTALIDAD!$G$6:$G$200)</f>
        <v>170</v>
      </c>
      <c r="H44" s="3">
        <f>SUMIF(TRASLADOS!$B$6:$B$200,C44,TRASLADOS!$E$6:$E$200)</f>
        <v>0</v>
      </c>
      <c r="I44" s="3">
        <f>SUMIF(TRASLADOS!$B$6:$B$200,C44,TRASLADOS!$F$6:$F$200)</f>
        <v>0</v>
      </c>
      <c r="J44" s="3">
        <f>SUMIF(VENTAS!$B$6:$B$200,RESUMEN!C44,VENTAS!$F$6:$F$200)</f>
        <v>0</v>
      </c>
      <c r="K44" s="3">
        <f>SUMIF(VENTAS!$B$6:$B$200,RESUMEN!C44,VENTAS!$G$6:$G$200)</f>
        <v>0</v>
      </c>
      <c r="L44" s="97">
        <f t="shared" si="9"/>
        <v>1853</v>
      </c>
      <c r="M44" s="96"/>
      <c r="N44" s="99">
        <f t="shared" si="1"/>
        <v>8</v>
      </c>
      <c r="O44" s="11">
        <f t="shared" si="25"/>
        <v>43294</v>
      </c>
      <c r="P44" s="3">
        <f t="shared" si="25"/>
        <v>52</v>
      </c>
      <c r="Q44" s="3">
        <f>SUMIF(MORTALIDAD!$J:$J,RESUMEN!O44,MORTALIDAD!$N:$N)</f>
        <v>-20</v>
      </c>
      <c r="R44" s="19">
        <f t="shared" si="11"/>
        <v>-220</v>
      </c>
      <c r="S44" s="3">
        <f>SUMIF(MORTALIDAD!$J:$J,RESUMEN!O44,MORTALIDAD!$O:$O)</f>
        <v>132</v>
      </c>
      <c r="T44" s="3">
        <f>SUMIF(TRASLADOS!$K:$K,RESUMEN!O44,TRASLADOS!$N:$N)</f>
        <v>0</v>
      </c>
      <c r="U44" s="3">
        <f>SUMIF(TRASLADOS!$K:$K,RESUMEN!O44,TRASLADOS!$O:$O)</f>
        <v>0</v>
      </c>
      <c r="V44" s="3">
        <f>SUMIF(VENTAS!$J:$J,RESUMEN!O44,VENTAS!$N:$N)</f>
        <v>0</v>
      </c>
      <c r="W44" s="3">
        <f>SUMIF(VENTAS!$J:$J,RESUMEN!O44,VENTAS!$O:$O)</f>
        <v>0</v>
      </c>
      <c r="X44" s="97">
        <f t="shared" si="12"/>
        <v>1980</v>
      </c>
      <c r="Y44" s="96"/>
      <c r="Z44" s="99">
        <f t="shared" si="2"/>
        <v>8</v>
      </c>
      <c r="AA44" s="11">
        <f t="shared" si="26"/>
        <v>43298</v>
      </c>
      <c r="AB44" s="3">
        <f t="shared" si="26"/>
        <v>51</v>
      </c>
      <c r="AC44" s="3">
        <f>SUMIF(MORTALIDAD!$R:$R,RESUMEN!AA44,MORTALIDAD!$V:$V)</f>
        <v>-22</v>
      </c>
      <c r="AD44" s="19">
        <f t="shared" si="14"/>
        <v>-176</v>
      </c>
      <c r="AE44" s="3">
        <f>SUMIF(MORTALIDAD!$R:$R,RESUMEN!AA44,MORTALIDAD!$W:$W)</f>
        <v>152</v>
      </c>
      <c r="AF44" s="3">
        <f>SUMIF(TRASLADOS!$T:$T,RESUMEN!AA44,TRASLADOS!$W:$W)</f>
        <v>0</v>
      </c>
      <c r="AG44" s="3">
        <f>SUMIF(TRASLADOS!$T:$T,RESUMEN!AA44,TRASLADOS!$X:$X)</f>
        <v>0</v>
      </c>
      <c r="AH44" s="3">
        <f>SUMIF(VENTAS!$R:$R,RESUMEN!AA44,VENTAS!$V:$V)</f>
        <v>0</v>
      </c>
      <c r="AI44" s="3">
        <f>SUMIF(VENTAS!$R:$R,RESUMEN!AA44,VENTAS!$W:$W)</f>
        <v>0</v>
      </c>
      <c r="AJ44" s="97">
        <f t="shared" si="15"/>
        <v>2024</v>
      </c>
      <c r="AK44" s="96"/>
      <c r="AL44" s="99">
        <f t="shared" si="3"/>
        <v>8</v>
      </c>
      <c r="AM44" s="11">
        <f t="shared" si="27"/>
        <v>43305</v>
      </c>
      <c r="AN44" s="3">
        <f t="shared" si="27"/>
        <v>51</v>
      </c>
      <c r="AO44" s="3">
        <f>SUMIF(MORTALIDAD!$Z:$Z,RESUMEN!AM44,MORTALIDAD!$AD:$AD)</f>
        <v>-4</v>
      </c>
      <c r="AP44" s="19">
        <f t="shared" si="17"/>
        <v>-66</v>
      </c>
      <c r="AQ44" s="3">
        <f>SUMIF(MORTALIDAD!$Z:$Z,RESUMEN!AM44,MORTALIDAD!$AE:$AE)</f>
        <v>16</v>
      </c>
      <c r="AR44" s="3">
        <f>SUMIF(TRASLADOS!$AC:$AC,RESUMEN!AM44,TRASLADOS!$AF:$AF)</f>
        <v>0</v>
      </c>
      <c r="AS44" s="3">
        <f>SUMIF(TRASLADOS!$AC:$AC,RESUMEN!AM44,TRASLADOS!$AG:$AG)</f>
        <v>0</v>
      </c>
      <c r="AT44" s="3">
        <f>SUMIF(VENTAS!$Z:$Z,RESUMEN!AM44,VENTAS!$AD:$AD)</f>
        <v>0</v>
      </c>
      <c r="AU44" s="3">
        <f>SUMIF(VENTAS!$Z:$Z,RESUMEN!AM44,VENTAS!$AE:$AE)</f>
        <v>0</v>
      </c>
      <c r="AV44" s="97">
        <f t="shared" si="18"/>
        <v>2134</v>
      </c>
      <c r="AW44" s="96"/>
      <c r="AX44" s="99">
        <f t="shared" si="4"/>
        <v>8</v>
      </c>
      <c r="AY44" s="11">
        <f t="shared" si="28"/>
        <v>43312</v>
      </c>
      <c r="AZ44" s="3">
        <f t="shared" si="28"/>
        <v>51</v>
      </c>
      <c r="BA44" s="3">
        <f>SUMIF(MORTALIDAD!$AH:$AH,RESUMEN!AY44,MORTALIDAD!$AL:$AL)</f>
        <v>-16</v>
      </c>
      <c r="BB44" s="19">
        <f t="shared" si="20"/>
        <v>-109</v>
      </c>
      <c r="BC44" s="3">
        <f>SUMIF(MORTALIDAD!$AH:$AH,RESUMEN!AY44,MORTALIDAD!$AM:$AM)</f>
        <v>80</v>
      </c>
      <c r="BD44" s="3">
        <f>SUMIF(TRASLADOS!$AL:$AL,RESUMEN!AY44,TRASLADOS!$AO:$AO)</f>
        <v>0</v>
      </c>
      <c r="BE44" s="3">
        <f>SUMIF(TRASLADOS!$AL:$AL,RESUMEN!AY44,TRASLADOS!$AP:$AP)</f>
        <v>0</v>
      </c>
      <c r="BF44" s="3">
        <f>SUMIF(VENTAS!$AH:$AH,RESUMEN!AY44,VENTAS!$AL:$AL)</f>
        <v>0</v>
      </c>
      <c r="BG44" s="3">
        <f>SUMIF(VENTAS!$AH:$AH,RESUMEN!AY44,VENTAS!$AM:$AM)</f>
        <v>0</v>
      </c>
      <c r="BH44" s="97">
        <f t="shared" si="21"/>
        <v>2091</v>
      </c>
      <c r="BI44" s="96"/>
      <c r="BJ44" s="99">
        <f t="shared" si="5"/>
        <v>8</v>
      </c>
      <c r="BK44" s="11">
        <f t="shared" si="29"/>
        <v>43321</v>
      </c>
      <c r="BL44" s="3">
        <f t="shared" si="29"/>
        <v>54</v>
      </c>
      <c r="BM44" s="3">
        <f>SUMIF(MORTALIDAD!$AP:$AP,RESUMEN!BK44,MORTALIDAD!$AT:$AT)</f>
        <v>0</v>
      </c>
      <c r="BN44" s="19">
        <f t="shared" si="23"/>
        <v>-73</v>
      </c>
      <c r="BO44" s="3">
        <f>SUMIF(MORTALIDAD!$AP$6:$AP$200,RESUMEN!BK44,MORTALIDAD!$AU$6:$AU$200)</f>
        <v>0</v>
      </c>
      <c r="BP44" s="3">
        <f>SUMIF(TRASLADOS!$AU:$AU,RESUMEN!BK44,TRASLADOS!$AX:$AX)</f>
        <v>0</v>
      </c>
      <c r="BQ44" s="3">
        <f>SUMIF(TRASLADOS!$AU:$AU,RESUMEN!BK44,TRASLADOS!$AY:$AY)</f>
        <v>0</v>
      </c>
      <c r="BR44" s="3">
        <f>SUMIF(VENTAS!$AP:$AP,RESUMEN!BK44,VENTAS!$AT:$AT)</f>
        <v>0</v>
      </c>
      <c r="BS44" s="3">
        <f>SUMIF(VENTAS!$AP:$AP,RESUMEN!BK44,VENTAS!$AU:$AU)</f>
        <v>0</v>
      </c>
      <c r="BT44" s="36">
        <f t="shared" si="24"/>
        <v>2241</v>
      </c>
    </row>
    <row r="45" spans="2:72" x14ac:dyDescent="0.2">
      <c r="B45" s="3">
        <f t="shared" si="0"/>
        <v>8</v>
      </c>
      <c r="C45" s="11">
        <f t="shared" si="6"/>
        <v>43292</v>
      </c>
      <c r="D45" s="3">
        <f t="shared" si="7"/>
        <v>54</v>
      </c>
      <c r="E45" s="3">
        <f>SUMIF(MORTALIDAD!$B$6:$B$200,RESUMEN!C45,MORTALIDAD!$F$6:$F$200)</f>
        <v>-24</v>
      </c>
      <c r="F45" s="17">
        <f t="shared" si="8"/>
        <v>-371</v>
      </c>
      <c r="G45" s="3">
        <f>SUMIF(MORTALIDAD!$B$6:$B$200,RESUMEN!C45,MORTALIDAD!$G$6:$G$200)</f>
        <v>159</v>
      </c>
      <c r="H45" s="3">
        <f>SUMIF(TRASLADOS!$B$6:$B$200,C45,TRASLADOS!$E$6:$E$200)</f>
        <v>0</v>
      </c>
      <c r="I45" s="3">
        <f>SUMIF(TRASLADOS!$B$6:$B$200,C45,TRASLADOS!$F$6:$F$200)</f>
        <v>0</v>
      </c>
      <c r="J45" s="3">
        <f>SUMIF(VENTAS!$B$6:$B$200,RESUMEN!C45,VENTAS!$F$6:$F$200)</f>
        <v>0</v>
      </c>
      <c r="K45" s="3">
        <f>SUMIF(VENTAS!$B$6:$B$200,RESUMEN!C45,VENTAS!$G$6:$G$200)</f>
        <v>0</v>
      </c>
      <c r="L45" s="97">
        <f t="shared" si="9"/>
        <v>1829</v>
      </c>
      <c r="M45" s="96"/>
      <c r="N45" s="99">
        <f t="shared" si="1"/>
        <v>8</v>
      </c>
      <c r="O45" s="11">
        <f t="shared" si="25"/>
        <v>43295</v>
      </c>
      <c r="P45" s="3">
        <f t="shared" si="25"/>
        <v>53</v>
      </c>
      <c r="Q45" s="3">
        <f>SUMIF(MORTALIDAD!$J:$J,RESUMEN!O45,MORTALIDAD!$N:$N)</f>
        <v>-29</v>
      </c>
      <c r="R45" s="19">
        <f t="shared" si="11"/>
        <v>-249</v>
      </c>
      <c r="S45" s="3">
        <f>SUMIF(MORTALIDAD!$J:$J,RESUMEN!O45,MORTALIDAD!$O:$O)</f>
        <v>198</v>
      </c>
      <c r="T45" s="3">
        <f>SUMIF(TRASLADOS!$K:$K,RESUMEN!O45,TRASLADOS!$N:$N)</f>
        <v>0</v>
      </c>
      <c r="U45" s="3">
        <f>SUMIF(TRASLADOS!$K:$K,RESUMEN!O45,TRASLADOS!$O:$O)</f>
        <v>0</v>
      </c>
      <c r="V45" s="3">
        <f>SUMIF(VENTAS!$J:$J,RESUMEN!O45,VENTAS!$N:$N)</f>
        <v>0</v>
      </c>
      <c r="W45" s="3">
        <f>SUMIF(VENTAS!$J:$J,RESUMEN!O45,VENTAS!$O:$O)</f>
        <v>0</v>
      </c>
      <c r="X45" s="97">
        <f t="shared" si="12"/>
        <v>1951</v>
      </c>
      <c r="Y45" s="96"/>
      <c r="Z45" s="99">
        <f t="shared" si="2"/>
        <v>8</v>
      </c>
      <c r="AA45" s="11">
        <f t="shared" si="26"/>
        <v>43299</v>
      </c>
      <c r="AB45" s="3">
        <f t="shared" si="26"/>
        <v>52</v>
      </c>
      <c r="AC45" s="3">
        <f>SUMIF(MORTALIDAD!$R:$R,RESUMEN!AA45,MORTALIDAD!$V:$V)</f>
        <v>-20</v>
      </c>
      <c r="AD45" s="19">
        <f t="shared" si="14"/>
        <v>-196</v>
      </c>
      <c r="AE45" s="3">
        <f>SUMIF(MORTALIDAD!$R:$R,RESUMEN!AA45,MORTALIDAD!$W:$W)</f>
        <v>153</v>
      </c>
      <c r="AF45" s="3">
        <f>SUMIF(TRASLADOS!$T:$T,RESUMEN!AA45,TRASLADOS!$W:$W)</f>
        <v>0</v>
      </c>
      <c r="AG45" s="3">
        <f>SUMIF(TRASLADOS!$T:$T,RESUMEN!AA45,TRASLADOS!$X:$X)</f>
        <v>0</v>
      </c>
      <c r="AH45" s="3">
        <f>SUMIF(VENTAS!$R:$R,RESUMEN!AA45,VENTAS!$V:$V)</f>
        <v>0</v>
      </c>
      <c r="AI45" s="3">
        <f>SUMIF(VENTAS!$R:$R,RESUMEN!AA45,VENTAS!$W:$W)</f>
        <v>0</v>
      </c>
      <c r="AJ45" s="97">
        <f t="shared" si="15"/>
        <v>2004</v>
      </c>
      <c r="AK45" s="96"/>
      <c r="AL45" s="99">
        <f t="shared" si="3"/>
        <v>8</v>
      </c>
      <c r="AM45" s="11">
        <f t="shared" si="27"/>
        <v>43306</v>
      </c>
      <c r="AN45" s="3">
        <f t="shared" si="27"/>
        <v>52</v>
      </c>
      <c r="AO45" s="3">
        <f>SUMIF(MORTALIDAD!$Z:$Z,RESUMEN!AM45,MORTALIDAD!$AD:$AD)</f>
        <v>-6</v>
      </c>
      <c r="AP45" s="19">
        <f t="shared" si="17"/>
        <v>-72</v>
      </c>
      <c r="AQ45" s="3">
        <f>SUMIF(MORTALIDAD!$Z:$Z,RESUMEN!AM45,MORTALIDAD!$AE:$AE)</f>
        <v>24</v>
      </c>
      <c r="AR45" s="3">
        <f>SUMIF(TRASLADOS!$AC:$AC,RESUMEN!AM45,TRASLADOS!$AF:$AF)</f>
        <v>0</v>
      </c>
      <c r="AS45" s="3">
        <f>SUMIF(TRASLADOS!$AC:$AC,RESUMEN!AM45,TRASLADOS!$AG:$AG)</f>
        <v>0</v>
      </c>
      <c r="AT45" s="3">
        <f>SUMIF(VENTAS!$Z:$Z,RESUMEN!AM45,VENTAS!$AD:$AD)</f>
        <v>0</v>
      </c>
      <c r="AU45" s="3">
        <f>SUMIF(VENTAS!$Z:$Z,RESUMEN!AM45,VENTAS!$AE:$AE)</f>
        <v>0</v>
      </c>
      <c r="AV45" s="97">
        <f t="shared" si="18"/>
        <v>2128</v>
      </c>
      <c r="AW45" s="96"/>
      <c r="AX45" s="99">
        <f t="shared" si="4"/>
        <v>8</v>
      </c>
      <c r="AY45" s="11">
        <f t="shared" si="28"/>
        <v>43313</v>
      </c>
      <c r="AZ45" s="3">
        <f t="shared" si="28"/>
        <v>52</v>
      </c>
      <c r="BA45" s="3">
        <f>SUMIF(MORTALIDAD!$AH:$AH,RESUMEN!AY45,MORTALIDAD!$AL:$AL)</f>
        <v>-10</v>
      </c>
      <c r="BB45" s="19">
        <f t="shared" si="20"/>
        <v>-119</v>
      </c>
      <c r="BC45" s="3">
        <f>SUMIF(MORTALIDAD!$AH:$AH,RESUMEN!AY45,MORTALIDAD!$AM:$AM)</f>
        <v>88</v>
      </c>
      <c r="BD45" s="3">
        <f>SUMIF(TRASLADOS!$AL:$AL,RESUMEN!AY45,TRASLADOS!$AO:$AO)</f>
        <v>0</v>
      </c>
      <c r="BE45" s="3">
        <f>SUMIF(TRASLADOS!$AL:$AL,RESUMEN!AY45,TRASLADOS!$AP:$AP)</f>
        <v>0</v>
      </c>
      <c r="BF45" s="3">
        <f>SUMIF(VENTAS!$AH:$AH,RESUMEN!AY45,VENTAS!$AL:$AL)</f>
        <v>0</v>
      </c>
      <c r="BG45" s="3">
        <f>SUMIF(VENTAS!$AH:$AH,RESUMEN!AY45,VENTAS!$AM:$AM)</f>
        <v>0</v>
      </c>
      <c r="BH45" s="97">
        <f t="shared" si="21"/>
        <v>2081</v>
      </c>
      <c r="BI45" s="96"/>
      <c r="BJ45" s="99">
        <f t="shared" si="5"/>
        <v>8</v>
      </c>
      <c r="BK45" s="11">
        <f t="shared" si="29"/>
        <v>43322</v>
      </c>
      <c r="BL45" s="3">
        <f t="shared" si="29"/>
        <v>55</v>
      </c>
      <c r="BM45" s="3">
        <f>SUMIF(MORTALIDAD!$AP:$AP,RESUMEN!BK45,MORTALIDAD!$AT:$AT)</f>
        <v>0</v>
      </c>
      <c r="BN45" s="19">
        <f t="shared" si="23"/>
        <v>-73</v>
      </c>
      <c r="BO45" s="3">
        <f>SUMIF(MORTALIDAD!$AP$6:$AP$200,RESUMEN!BK45,MORTALIDAD!$AU$6:$AU$200)</f>
        <v>0</v>
      </c>
      <c r="BP45" s="3">
        <f>SUMIF(TRASLADOS!$AU:$AU,RESUMEN!BK45,TRASLADOS!$AX:$AX)</f>
        <v>0</v>
      </c>
      <c r="BQ45" s="3">
        <f>SUMIF(TRASLADOS!$AU:$AU,RESUMEN!BK45,TRASLADOS!$AY:$AY)</f>
        <v>0</v>
      </c>
      <c r="BR45" s="3">
        <f>SUMIF(VENTAS!$AP:$AP,RESUMEN!BK45,VENTAS!$AT:$AT)</f>
        <v>0</v>
      </c>
      <c r="BS45" s="3">
        <f>SUMIF(VENTAS!$AP:$AP,RESUMEN!BK45,VENTAS!$AU:$AU)</f>
        <v>0</v>
      </c>
      <c r="BT45" s="36">
        <f t="shared" si="24"/>
        <v>2241</v>
      </c>
    </row>
    <row r="46" spans="2:72" x14ac:dyDescent="0.2">
      <c r="B46" s="3">
        <f t="shared" si="0"/>
        <v>8</v>
      </c>
      <c r="C46" s="11">
        <f t="shared" si="6"/>
        <v>43293</v>
      </c>
      <c r="D46" s="3">
        <f t="shared" si="7"/>
        <v>55</v>
      </c>
      <c r="E46" s="3">
        <f>SUMIF(MORTALIDAD!$B$6:$B$200,RESUMEN!C46,MORTALIDAD!$F$6:$F$200)</f>
        <v>-10</v>
      </c>
      <c r="F46" s="17">
        <f t="shared" si="8"/>
        <v>-381</v>
      </c>
      <c r="G46" s="3">
        <f>SUMIF(MORTALIDAD!$B$6:$B$200,RESUMEN!C46,MORTALIDAD!$G$6:$G$200)</f>
        <v>67</v>
      </c>
      <c r="H46" s="3">
        <f>SUMIF(TRASLADOS!$B$6:$B$200,C46,TRASLADOS!$E$6:$E$200)</f>
        <v>0</v>
      </c>
      <c r="I46" s="3">
        <f>SUMIF(TRASLADOS!$B$6:$B$200,C46,TRASLADOS!$F$6:$F$200)</f>
        <v>0</v>
      </c>
      <c r="J46" s="3">
        <f>SUMIF(VENTAS!$B$6:$B$200,RESUMEN!C46,VENTAS!$F$6:$F$200)</f>
        <v>0</v>
      </c>
      <c r="K46" s="3">
        <f>SUMIF(VENTAS!$B$6:$B$200,RESUMEN!C46,VENTAS!$G$6:$G$200)</f>
        <v>0</v>
      </c>
      <c r="L46" s="97">
        <f t="shared" si="9"/>
        <v>1819</v>
      </c>
      <c r="M46" s="96"/>
      <c r="N46" s="99">
        <f t="shared" si="1"/>
        <v>8</v>
      </c>
      <c r="O46" s="11">
        <f t="shared" si="25"/>
        <v>43296</v>
      </c>
      <c r="P46" s="3">
        <f t="shared" si="25"/>
        <v>54</v>
      </c>
      <c r="Q46" s="3">
        <f>SUMIF(MORTALIDAD!$J:$J,RESUMEN!O46,MORTALIDAD!$N:$N)</f>
        <v>-30</v>
      </c>
      <c r="R46" s="19">
        <f t="shared" si="11"/>
        <v>-279</v>
      </c>
      <c r="S46" s="3">
        <f>SUMIF(MORTALIDAD!$J:$J,RESUMEN!O46,MORTALIDAD!$O:$O)</f>
        <v>210</v>
      </c>
      <c r="T46" s="3">
        <f>SUMIF(TRASLADOS!$K:$K,RESUMEN!O46,TRASLADOS!$N:$N)</f>
        <v>0</v>
      </c>
      <c r="U46" s="3">
        <f>SUMIF(TRASLADOS!$K:$K,RESUMEN!O46,TRASLADOS!$O:$O)</f>
        <v>0</v>
      </c>
      <c r="V46" s="3">
        <f>SUMIF(VENTAS!$J:$J,RESUMEN!O46,VENTAS!$N:$N)</f>
        <v>0</v>
      </c>
      <c r="W46" s="3">
        <f>SUMIF(VENTAS!$J:$J,RESUMEN!O46,VENTAS!$O:$O)</f>
        <v>0</v>
      </c>
      <c r="X46" s="97">
        <f t="shared" si="12"/>
        <v>1921</v>
      </c>
      <c r="Y46" s="96"/>
      <c r="Z46" s="99">
        <f t="shared" si="2"/>
        <v>8</v>
      </c>
      <c r="AA46" s="11">
        <f t="shared" si="26"/>
        <v>43300</v>
      </c>
      <c r="AB46" s="3">
        <f t="shared" si="26"/>
        <v>53</v>
      </c>
      <c r="AC46" s="3">
        <f>SUMIF(MORTALIDAD!$R:$R,RESUMEN!AA46,MORTALIDAD!$V:$V)</f>
        <v>-22</v>
      </c>
      <c r="AD46" s="19">
        <f t="shared" si="14"/>
        <v>-218</v>
      </c>
      <c r="AE46" s="3">
        <f>SUMIF(MORTALIDAD!$R:$R,RESUMEN!AA46,MORTALIDAD!$W:$W)</f>
        <v>157</v>
      </c>
      <c r="AF46" s="3">
        <f>SUMIF(TRASLADOS!$T:$T,RESUMEN!AA46,TRASLADOS!$W:$W)</f>
        <v>0</v>
      </c>
      <c r="AG46" s="3">
        <f>SUMIF(TRASLADOS!$T:$T,RESUMEN!AA46,TRASLADOS!$X:$X)</f>
        <v>0</v>
      </c>
      <c r="AH46" s="3">
        <f>SUMIF(VENTAS!$R:$R,RESUMEN!AA46,VENTAS!$V:$V)</f>
        <v>0</v>
      </c>
      <c r="AI46" s="3">
        <f>SUMIF(VENTAS!$R:$R,RESUMEN!AA46,VENTAS!$W:$W)</f>
        <v>0</v>
      </c>
      <c r="AJ46" s="97">
        <f t="shared" si="15"/>
        <v>1982</v>
      </c>
      <c r="AK46" s="96"/>
      <c r="AL46" s="99">
        <f t="shared" si="3"/>
        <v>8</v>
      </c>
      <c r="AM46" s="11">
        <f t="shared" si="27"/>
        <v>43307</v>
      </c>
      <c r="AN46" s="3">
        <f t="shared" si="27"/>
        <v>53</v>
      </c>
      <c r="AO46" s="3">
        <f>SUMIF(MORTALIDAD!$Z:$Z,RESUMEN!AM46,MORTALIDAD!$AD:$AD)</f>
        <v>-9</v>
      </c>
      <c r="AP46" s="19">
        <f t="shared" si="17"/>
        <v>-81</v>
      </c>
      <c r="AQ46" s="3">
        <f>SUMIF(MORTALIDAD!$Z:$Z,RESUMEN!AM46,MORTALIDAD!$AE:$AE)</f>
        <v>75</v>
      </c>
      <c r="AR46" s="3">
        <f>SUMIF(TRASLADOS!$AC:$AC,RESUMEN!AM46,TRASLADOS!$AF:$AF)</f>
        <v>0</v>
      </c>
      <c r="AS46" s="3">
        <f>SUMIF(TRASLADOS!$AC:$AC,RESUMEN!AM46,TRASLADOS!$AG:$AG)</f>
        <v>0</v>
      </c>
      <c r="AT46" s="3">
        <f>SUMIF(VENTAS!$Z:$Z,RESUMEN!AM46,VENTAS!$AD:$AD)</f>
        <v>0</v>
      </c>
      <c r="AU46" s="3">
        <f>SUMIF(VENTAS!$Z:$Z,RESUMEN!AM46,VENTAS!$AE:$AE)</f>
        <v>0</v>
      </c>
      <c r="AV46" s="97">
        <f t="shared" si="18"/>
        <v>2119</v>
      </c>
      <c r="AW46" s="96"/>
      <c r="AX46" s="99">
        <f t="shared" si="4"/>
        <v>8</v>
      </c>
      <c r="AY46" s="11">
        <f t="shared" si="28"/>
        <v>43314</v>
      </c>
      <c r="AZ46" s="3">
        <f t="shared" si="28"/>
        <v>53</v>
      </c>
      <c r="BA46" s="3">
        <f>SUMIF(MORTALIDAD!$AH:$AH,RESUMEN!AY46,MORTALIDAD!$AL:$AL)</f>
        <v>0</v>
      </c>
      <c r="BB46" s="19">
        <f t="shared" si="20"/>
        <v>-119</v>
      </c>
      <c r="BC46" s="3">
        <f>SUMIF(MORTALIDAD!$AH:$AH,RESUMEN!AY46,MORTALIDAD!$AM:$AM)</f>
        <v>0</v>
      </c>
      <c r="BD46" s="3">
        <f>SUMIF(TRASLADOS!$AL:$AL,RESUMEN!AY46,TRASLADOS!$AO:$AO)</f>
        <v>0</v>
      </c>
      <c r="BE46" s="3">
        <f>SUMIF(TRASLADOS!$AL:$AL,RESUMEN!AY46,TRASLADOS!$AP:$AP)</f>
        <v>0</v>
      </c>
      <c r="BF46" s="3">
        <f>SUMIF(VENTAS!$AH:$AH,RESUMEN!AY46,VENTAS!$AL:$AL)</f>
        <v>0</v>
      </c>
      <c r="BG46" s="3">
        <f>SUMIF(VENTAS!$AH:$AH,RESUMEN!AY46,VENTAS!$AM:$AM)</f>
        <v>0</v>
      </c>
      <c r="BH46" s="97">
        <f t="shared" si="21"/>
        <v>2081</v>
      </c>
      <c r="BI46" s="96"/>
      <c r="BJ46" s="99">
        <f t="shared" si="5"/>
        <v>8</v>
      </c>
      <c r="BK46" s="11">
        <f t="shared" si="29"/>
        <v>43323</v>
      </c>
      <c r="BL46" s="3">
        <f t="shared" si="29"/>
        <v>56</v>
      </c>
      <c r="BM46" s="3">
        <f>SUMIF(MORTALIDAD!$AP:$AP,RESUMEN!BK46,MORTALIDAD!$AT:$AT)</f>
        <v>0</v>
      </c>
      <c r="BN46" s="19">
        <f t="shared" si="23"/>
        <v>-73</v>
      </c>
      <c r="BO46" s="3">
        <f>SUMIF(MORTALIDAD!$AP$6:$AP$200,RESUMEN!BK46,MORTALIDAD!$AU$6:$AU$200)</f>
        <v>0</v>
      </c>
      <c r="BP46" s="3">
        <f>SUMIF(TRASLADOS!$AU:$AU,RESUMEN!BK46,TRASLADOS!$AX:$AX)</f>
        <v>0</v>
      </c>
      <c r="BQ46" s="3">
        <f>SUMIF(TRASLADOS!$AU:$AU,RESUMEN!BK46,TRASLADOS!$AY:$AY)</f>
        <v>0</v>
      </c>
      <c r="BR46" s="3">
        <f>SUMIF(VENTAS!$AP:$AP,RESUMEN!BK46,VENTAS!$AT:$AT)</f>
        <v>0</v>
      </c>
      <c r="BS46" s="3">
        <f>SUMIF(VENTAS!$AP:$AP,RESUMEN!BK46,VENTAS!$AU:$AU)</f>
        <v>0</v>
      </c>
      <c r="BT46" s="36">
        <f t="shared" si="24"/>
        <v>2241</v>
      </c>
    </row>
    <row r="47" spans="2:72" x14ac:dyDescent="0.2">
      <c r="B47" s="3">
        <f t="shared" si="0"/>
        <v>8</v>
      </c>
      <c r="C47" s="11">
        <f t="shared" si="6"/>
        <v>43294</v>
      </c>
      <c r="D47" s="3">
        <f t="shared" si="7"/>
        <v>56</v>
      </c>
      <c r="E47" s="3">
        <f>SUMIF(MORTALIDAD!$B$6:$B$200,RESUMEN!C47,MORTALIDAD!$F$6:$F$200)</f>
        <v>-26</v>
      </c>
      <c r="F47" s="17">
        <f t="shared" si="8"/>
        <v>-407</v>
      </c>
      <c r="G47" s="3">
        <f>SUMIF(MORTALIDAD!$B$6:$B$200,RESUMEN!C47,MORTALIDAD!$G$6:$G$200)</f>
        <v>186</v>
      </c>
      <c r="H47" s="3">
        <f>SUMIF(TRASLADOS!$B$6:$B$200,C47,TRASLADOS!$E$6:$E$200)</f>
        <v>0</v>
      </c>
      <c r="I47" s="3">
        <f>SUMIF(TRASLADOS!$B$6:$B$200,C47,TRASLADOS!$F$6:$F$200)</f>
        <v>0</v>
      </c>
      <c r="J47" s="3">
        <f>SUMIF(VENTAS!$B$6:$B$200,RESUMEN!C47,VENTAS!$F$6:$F$200)</f>
        <v>0</v>
      </c>
      <c r="K47" s="3">
        <f>SUMIF(VENTAS!$B$6:$B$200,RESUMEN!C47,VENTAS!$G$6:$G$200)</f>
        <v>0</v>
      </c>
      <c r="L47" s="97">
        <f t="shared" si="9"/>
        <v>1793</v>
      </c>
      <c r="M47" s="96"/>
      <c r="N47" s="99">
        <f t="shared" si="1"/>
        <v>8</v>
      </c>
      <c r="O47" s="11">
        <f t="shared" si="25"/>
        <v>43297</v>
      </c>
      <c r="P47" s="3">
        <f t="shared" si="25"/>
        <v>55</v>
      </c>
      <c r="Q47" s="3">
        <f>SUMIF(MORTALIDAD!$J:$J,RESUMEN!O47,MORTALIDAD!$N:$N)</f>
        <v>-28</v>
      </c>
      <c r="R47" s="19">
        <f t="shared" si="11"/>
        <v>-307</v>
      </c>
      <c r="S47" s="3">
        <f>SUMIF(MORTALIDAD!$J:$J,RESUMEN!O47,MORTALIDAD!$O:$O)</f>
        <v>199</v>
      </c>
      <c r="T47" s="3">
        <f>SUMIF(TRASLADOS!$K:$K,RESUMEN!O47,TRASLADOS!$N:$N)</f>
        <v>0</v>
      </c>
      <c r="U47" s="3">
        <f>SUMIF(TRASLADOS!$K:$K,RESUMEN!O47,TRASLADOS!$O:$O)</f>
        <v>0</v>
      </c>
      <c r="V47" s="3">
        <f>SUMIF(VENTAS!$J:$J,RESUMEN!O47,VENTAS!$N:$N)</f>
        <v>0</v>
      </c>
      <c r="W47" s="3">
        <f>SUMIF(VENTAS!$J:$J,RESUMEN!O47,VENTAS!$O:$O)</f>
        <v>0</v>
      </c>
      <c r="X47" s="97">
        <f t="shared" si="12"/>
        <v>1893</v>
      </c>
      <c r="Y47" s="96"/>
      <c r="Z47" s="99">
        <f t="shared" si="2"/>
        <v>8</v>
      </c>
      <c r="AA47" s="11">
        <f t="shared" si="26"/>
        <v>43301</v>
      </c>
      <c r="AB47" s="3">
        <f t="shared" si="26"/>
        <v>54</v>
      </c>
      <c r="AC47" s="3">
        <f>SUMIF(MORTALIDAD!$R:$R,RESUMEN!AA47,MORTALIDAD!$V:$V)</f>
        <v>-31</v>
      </c>
      <c r="AD47" s="19">
        <f t="shared" si="14"/>
        <v>-249</v>
      </c>
      <c r="AE47" s="3">
        <f>SUMIF(MORTALIDAD!$R:$R,RESUMEN!AA47,MORTALIDAD!$W:$W)</f>
        <v>246</v>
      </c>
      <c r="AF47" s="3">
        <f>SUMIF(TRASLADOS!$T:$T,RESUMEN!AA47,TRASLADOS!$W:$W)</f>
        <v>0</v>
      </c>
      <c r="AG47" s="3">
        <f>SUMIF(TRASLADOS!$T:$T,RESUMEN!AA47,TRASLADOS!$X:$X)</f>
        <v>0</v>
      </c>
      <c r="AH47" s="3">
        <f>SUMIF(VENTAS!$R:$R,RESUMEN!AA47,VENTAS!$V:$V)</f>
        <v>0</v>
      </c>
      <c r="AI47" s="3">
        <f>SUMIF(VENTAS!$R:$R,RESUMEN!AA47,VENTAS!$W:$W)</f>
        <v>0</v>
      </c>
      <c r="AJ47" s="97">
        <f t="shared" si="15"/>
        <v>1951</v>
      </c>
      <c r="AK47" s="96"/>
      <c r="AL47" s="99">
        <f t="shared" si="3"/>
        <v>8</v>
      </c>
      <c r="AM47" s="11">
        <f t="shared" si="27"/>
        <v>43308</v>
      </c>
      <c r="AN47" s="3">
        <f t="shared" si="27"/>
        <v>54</v>
      </c>
      <c r="AO47" s="3">
        <f>SUMIF(MORTALIDAD!$Z:$Z,RESUMEN!AM47,MORTALIDAD!$AD:$AD)</f>
        <v>-9</v>
      </c>
      <c r="AP47" s="19">
        <f t="shared" si="17"/>
        <v>-90</v>
      </c>
      <c r="AQ47" s="3">
        <f>SUMIF(MORTALIDAD!$Z:$Z,RESUMEN!AM47,MORTALIDAD!$AE:$AE)</f>
        <v>57</v>
      </c>
      <c r="AR47" s="3">
        <f>SUMIF(TRASLADOS!$AC:$AC,RESUMEN!AM47,TRASLADOS!$AF:$AF)</f>
        <v>0</v>
      </c>
      <c r="AS47" s="3">
        <f>SUMIF(TRASLADOS!$AC:$AC,RESUMEN!AM47,TRASLADOS!$AG:$AG)</f>
        <v>0</v>
      </c>
      <c r="AT47" s="3">
        <f>SUMIF(VENTAS!$Z:$Z,RESUMEN!AM47,VENTAS!$AD:$AD)</f>
        <v>0</v>
      </c>
      <c r="AU47" s="3">
        <f>SUMIF(VENTAS!$Z:$Z,RESUMEN!AM47,VENTAS!$AE:$AE)</f>
        <v>0</v>
      </c>
      <c r="AV47" s="97">
        <f t="shared" si="18"/>
        <v>2110</v>
      </c>
      <c r="AW47" s="96"/>
      <c r="AX47" s="99">
        <f t="shared" si="4"/>
        <v>8</v>
      </c>
      <c r="AY47" s="11">
        <f t="shared" si="28"/>
        <v>43315</v>
      </c>
      <c r="AZ47" s="3">
        <f t="shared" si="28"/>
        <v>54</v>
      </c>
      <c r="BA47" s="3">
        <f>SUMIF(MORTALIDAD!$AH:$AH,RESUMEN!AY47,MORTALIDAD!$AL:$AL)</f>
        <v>0</v>
      </c>
      <c r="BB47" s="19">
        <f t="shared" si="20"/>
        <v>-119</v>
      </c>
      <c r="BC47" s="3">
        <f>SUMIF(MORTALIDAD!$AH:$AH,RESUMEN!AY47,MORTALIDAD!$AM:$AM)</f>
        <v>0</v>
      </c>
      <c r="BD47" s="3">
        <f>SUMIF(TRASLADOS!$AL:$AL,RESUMEN!AY47,TRASLADOS!$AO:$AO)</f>
        <v>0</v>
      </c>
      <c r="BE47" s="3">
        <f>SUMIF(TRASLADOS!$AL:$AL,RESUMEN!AY47,TRASLADOS!$AP:$AP)</f>
        <v>0</v>
      </c>
      <c r="BF47" s="3">
        <f>SUMIF(VENTAS!$AH:$AH,RESUMEN!AY47,VENTAS!$AL:$AL)</f>
        <v>0</v>
      </c>
      <c r="BG47" s="3">
        <f>SUMIF(VENTAS!$AH:$AH,RESUMEN!AY47,VENTAS!$AM:$AM)</f>
        <v>0</v>
      </c>
      <c r="BH47" s="97">
        <f t="shared" si="21"/>
        <v>2081</v>
      </c>
      <c r="BI47" s="96"/>
      <c r="BJ47" s="99">
        <f t="shared" si="5"/>
        <v>9</v>
      </c>
      <c r="BK47" s="11">
        <f t="shared" si="29"/>
        <v>43324</v>
      </c>
      <c r="BL47" s="3">
        <f t="shared" si="29"/>
        <v>57</v>
      </c>
      <c r="BM47" s="3">
        <f>SUMIF(MORTALIDAD!$AP:$AP,RESUMEN!BK47,MORTALIDAD!$AT:$AT)</f>
        <v>0</v>
      </c>
      <c r="BN47" s="19">
        <f t="shared" si="23"/>
        <v>-73</v>
      </c>
      <c r="BO47" s="3">
        <f>SUMIF(MORTALIDAD!$AP$6:$AP$200,RESUMEN!BK47,MORTALIDAD!$AU$6:$AU$200)</f>
        <v>0</v>
      </c>
      <c r="BP47" s="3">
        <f>SUMIF(TRASLADOS!$AU:$AU,RESUMEN!BK47,TRASLADOS!$AX:$AX)</f>
        <v>0</v>
      </c>
      <c r="BQ47" s="3">
        <f>SUMIF(TRASLADOS!$AU:$AU,RESUMEN!BK47,TRASLADOS!$AY:$AY)</f>
        <v>0</v>
      </c>
      <c r="BR47" s="3">
        <f>SUMIF(VENTAS!$AP:$AP,RESUMEN!BK47,VENTAS!$AT:$AT)</f>
        <v>0</v>
      </c>
      <c r="BS47" s="3">
        <f>SUMIF(VENTAS!$AP:$AP,RESUMEN!BK47,VENTAS!$AU:$AU)</f>
        <v>0</v>
      </c>
      <c r="BT47" s="36">
        <f t="shared" si="24"/>
        <v>2241</v>
      </c>
    </row>
    <row r="48" spans="2:72" x14ac:dyDescent="0.2">
      <c r="B48" s="3">
        <f t="shared" si="0"/>
        <v>9</v>
      </c>
      <c r="C48" s="11">
        <f t="shared" si="6"/>
        <v>43295</v>
      </c>
      <c r="D48" s="3">
        <f t="shared" si="7"/>
        <v>57</v>
      </c>
      <c r="E48" s="3">
        <f>SUMIF(MORTALIDAD!$B$6:$B$200,RESUMEN!C48,MORTALIDAD!$F$6:$F$200)</f>
        <v>-23</v>
      </c>
      <c r="F48" s="17">
        <f t="shared" si="8"/>
        <v>-430</v>
      </c>
      <c r="G48" s="3">
        <f>SUMIF(MORTALIDAD!$B$6:$B$200,RESUMEN!C48,MORTALIDAD!$G$6:$G$200)</f>
        <v>179</v>
      </c>
      <c r="H48" s="3">
        <f>SUMIF(TRASLADOS!$B$6:$B$200,C48,TRASLADOS!$E$6:$E$200)</f>
        <v>0</v>
      </c>
      <c r="I48" s="3">
        <f>SUMIF(TRASLADOS!$B$6:$B$200,C48,TRASLADOS!$F$6:$F$200)</f>
        <v>0</v>
      </c>
      <c r="J48" s="3">
        <f>SUMIF(VENTAS!$B$6:$B$200,RESUMEN!C48,VENTAS!$F$6:$F$200)</f>
        <v>0</v>
      </c>
      <c r="K48" s="3">
        <f>SUMIF(VENTAS!$B$6:$B$200,RESUMEN!C48,VENTAS!$G$6:$G$200)</f>
        <v>0</v>
      </c>
      <c r="L48" s="97">
        <f t="shared" si="9"/>
        <v>1770</v>
      </c>
      <c r="M48" s="96"/>
      <c r="N48" s="99">
        <f t="shared" si="1"/>
        <v>8</v>
      </c>
      <c r="O48" s="11">
        <f t="shared" si="25"/>
        <v>43298</v>
      </c>
      <c r="P48" s="3">
        <f t="shared" si="25"/>
        <v>56</v>
      </c>
      <c r="Q48" s="3">
        <f>SUMIF(MORTALIDAD!$J:$J,RESUMEN!O48,MORTALIDAD!$N:$N)</f>
        <v>-34</v>
      </c>
      <c r="R48" s="19">
        <f t="shared" si="11"/>
        <v>-341</v>
      </c>
      <c r="S48" s="3">
        <f>SUMIF(MORTALIDAD!$J:$J,RESUMEN!O48,MORTALIDAD!$O:$O)</f>
        <v>234</v>
      </c>
      <c r="T48" s="3">
        <f>SUMIF(TRASLADOS!$K:$K,RESUMEN!O48,TRASLADOS!$N:$N)</f>
        <v>0</v>
      </c>
      <c r="U48" s="3">
        <f>SUMIF(TRASLADOS!$K:$K,RESUMEN!O48,TRASLADOS!$O:$O)</f>
        <v>0</v>
      </c>
      <c r="V48" s="3">
        <f>SUMIF(VENTAS!$J:$J,RESUMEN!O48,VENTAS!$N:$N)</f>
        <v>0</v>
      </c>
      <c r="W48" s="3">
        <f>SUMIF(VENTAS!$J:$J,RESUMEN!O48,VENTAS!$O:$O)</f>
        <v>0</v>
      </c>
      <c r="X48" s="97">
        <f t="shared" si="12"/>
        <v>1859</v>
      </c>
      <c r="Y48" s="96"/>
      <c r="Z48" s="99">
        <f t="shared" si="2"/>
        <v>8</v>
      </c>
      <c r="AA48" s="11">
        <f t="shared" si="26"/>
        <v>43302</v>
      </c>
      <c r="AB48" s="3">
        <f t="shared" si="26"/>
        <v>55</v>
      </c>
      <c r="AC48" s="3">
        <f>SUMIF(MORTALIDAD!$R:$R,RESUMEN!AA48,MORTALIDAD!$V:$V)</f>
        <v>-17</v>
      </c>
      <c r="AD48" s="19">
        <f t="shared" si="14"/>
        <v>-266</v>
      </c>
      <c r="AE48" s="3">
        <f>SUMIF(MORTALIDAD!$R:$R,RESUMEN!AA48,MORTALIDAD!$W:$W)</f>
        <v>140</v>
      </c>
      <c r="AF48" s="3">
        <f>SUMIF(TRASLADOS!$T:$T,RESUMEN!AA48,TRASLADOS!$W:$W)</f>
        <v>0</v>
      </c>
      <c r="AG48" s="3">
        <f>SUMIF(TRASLADOS!$T:$T,RESUMEN!AA48,TRASLADOS!$X:$X)</f>
        <v>0</v>
      </c>
      <c r="AH48" s="3">
        <f>SUMIF(VENTAS!$R:$R,RESUMEN!AA48,VENTAS!$V:$V)</f>
        <v>0</v>
      </c>
      <c r="AI48" s="3">
        <f>SUMIF(VENTAS!$R:$R,RESUMEN!AA48,VENTAS!$W:$W)</f>
        <v>0</v>
      </c>
      <c r="AJ48" s="97">
        <f t="shared" si="15"/>
        <v>1934</v>
      </c>
      <c r="AK48" s="96"/>
      <c r="AL48" s="99">
        <f t="shared" si="3"/>
        <v>8</v>
      </c>
      <c r="AM48" s="11">
        <f t="shared" si="27"/>
        <v>43309</v>
      </c>
      <c r="AN48" s="3">
        <f t="shared" si="27"/>
        <v>55</v>
      </c>
      <c r="AO48" s="3">
        <f>SUMIF(MORTALIDAD!$Z:$Z,RESUMEN!AM48,MORTALIDAD!$AD:$AD)</f>
        <v>-4</v>
      </c>
      <c r="AP48" s="19">
        <f t="shared" si="17"/>
        <v>-94</v>
      </c>
      <c r="AQ48" s="3">
        <f>SUMIF(MORTALIDAD!$Z:$Z,RESUMEN!AM48,MORTALIDAD!$AE:$AE)</f>
        <v>24</v>
      </c>
      <c r="AR48" s="3">
        <f>SUMIF(TRASLADOS!$AC:$AC,RESUMEN!AM48,TRASLADOS!$AF:$AF)</f>
        <v>0</v>
      </c>
      <c r="AS48" s="3">
        <f>SUMIF(TRASLADOS!$AC:$AC,RESUMEN!AM48,TRASLADOS!$AG:$AG)</f>
        <v>0</v>
      </c>
      <c r="AT48" s="3">
        <f>SUMIF(VENTAS!$Z:$Z,RESUMEN!AM48,VENTAS!$AD:$AD)</f>
        <v>0</v>
      </c>
      <c r="AU48" s="3">
        <f>SUMIF(VENTAS!$Z:$Z,RESUMEN!AM48,VENTAS!$AE:$AE)</f>
        <v>0</v>
      </c>
      <c r="AV48" s="97">
        <f t="shared" si="18"/>
        <v>2106</v>
      </c>
      <c r="AW48" s="96"/>
      <c r="AX48" s="99">
        <f t="shared" si="4"/>
        <v>8</v>
      </c>
      <c r="AY48" s="11">
        <f t="shared" si="28"/>
        <v>43316</v>
      </c>
      <c r="AZ48" s="3">
        <f t="shared" si="28"/>
        <v>55</v>
      </c>
      <c r="BA48" s="3">
        <f>SUMIF(MORTALIDAD!$AH:$AH,RESUMEN!AY48,MORTALIDAD!$AL:$AL)</f>
        <v>0</v>
      </c>
      <c r="BB48" s="19">
        <f t="shared" si="20"/>
        <v>-119</v>
      </c>
      <c r="BC48" s="3">
        <f>SUMIF(MORTALIDAD!$AH:$AH,RESUMEN!AY48,MORTALIDAD!$AM:$AM)</f>
        <v>0</v>
      </c>
      <c r="BD48" s="3">
        <f>SUMIF(TRASLADOS!$AL:$AL,RESUMEN!AY48,TRASLADOS!$AO:$AO)</f>
        <v>0</v>
      </c>
      <c r="BE48" s="3">
        <f>SUMIF(TRASLADOS!$AL:$AL,RESUMEN!AY48,TRASLADOS!$AP:$AP)</f>
        <v>0</v>
      </c>
      <c r="BF48" s="3">
        <f>SUMIF(VENTAS!$AH:$AH,RESUMEN!AY48,VENTAS!$AL:$AL)</f>
        <v>0</v>
      </c>
      <c r="BG48" s="3">
        <f>SUMIF(VENTAS!$AH:$AH,RESUMEN!AY48,VENTAS!$AM:$AM)</f>
        <v>0</v>
      </c>
      <c r="BH48" s="97">
        <f t="shared" si="21"/>
        <v>2081</v>
      </c>
      <c r="BI48" s="96"/>
      <c r="BJ48" s="99">
        <f t="shared" si="5"/>
        <v>9</v>
      </c>
      <c r="BK48" s="11">
        <f t="shared" si="29"/>
        <v>43325</v>
      </c>
      <c r="BL48" s="3">
        <f t="shared" si="29"/>
        <v>58</v>
      </c>
      <c r="BM48" s="3">
        <f>SUMIF(MORTALIDAD!$AP:$AP,RESUMEN!BK48,MORTALIDAD!$AT:$AT)</f>
        <v>0</v>
      </c>
      <c r="BN48" s="19">
        <f t="shared" si="23"/>
        <v>-73</v>
      </c>
      <c r="BO48" s="3">
        <f>SUMIF(MORTALIDAD!$AP$6:$AP$200,RESUMEN!BK48,MORTALIDAD!$AU$6:$AU$200)</f>
        <v>0</v>
      </c>
      <c r="BP48" s="3">
        <f>SUMIF(TRASLADOS!$AU:$AU,RESUMEN!BK48,TRASLADOS!$AX:$AX)</f>
        <v>0</v>
      </c>
      <c r="BQ48" s="3">
        <f>SUMIF(TRASLADOS!$AU:$AU,RESUMEN!BK48,TRASLADOS!$AY:$AY)</f>
        <v>0</v>
      </c>
      <c r="BR48" s="3">
        <f>SUMIF(VENTAS!$AP:$AP,RESUMEN!BK48,VENTAS!$AT:$AT)</f>
        <v>0</v>
      </c>
      <c r="BS48" s="3">
        <f>SUMIF(VENTAS!$AP:$AP,RESUMEN!BK48,VENTAS!$AU:$AU)</f>
        <v>0</v>
      </c>
      <c r="BT48" s="36">
        <f t="shared" si="24"/>
        <v>2241</v>
      </c>
    </row>
    <row r="49" spans="2:72" x14ac:dyDescent="0.2">
      <c r="B49" s="3">
        <f t="shared" si="0"/>
        <v>9</v>
      </c>
      <c r="C49" s="11">
        <f t="shared" si="6"/>
        <v>43296</v>
      </c>
      <c r="D49" s="3">
        <f t="shared" si="7"/>
        <v>58</v>
      </c>
      <c r="E49" s="3">
        <f>SUMIF(MORTALIDAD!$B$6:$B$200,RESUMEN!C49,MORTALIDAD!$F$6:$F$200)</f>
        <v>-18</v>
      </c>
      <c r="F49" s="17">
        <f t="shared" si="8"/>
        <v>-448</v>
      </c>
      <c r="G49" s="3">
        <f>SUMIF(MORTALIDAD!$B$6:$B$200,RESUMEN!C49,MORTALIDAD!$G$6:$G$200)</f>
        <v>126</v>
      </c>
      <c r="H49" s="3">
        <f>SUMIF(TRASLADOS!$B$6:$B$200,C49,TRASLADOS!$E$6:$E$200)</f>
        <v>0</v>
      </c>
      <c r="I49" s="3">
        <f>SUMIF(TRASLADOS!$B$6:$B$200,C49,TRASLADOS!$F$6:$F$200)</f>
        <v>0</v>
      </c>
      <c r="J49" s="3">
        <f>SUMIF(VENTAS!$B$6:$B$200,RESUMEN!C49,VENTAS!$F$6:$F$200)</f>
        <v>0</v>
      </c>
      <c r="K49" s="3">
        <f>SUMIF(VENTAS!$B$6:$B$200,RESUMEN!C49,VENTAS!$G$6:$G$200)</f>
        <v>0</v>
      </c>
      <c r="L49" s="97">
        <f t="shared" si="9"/>
        <v>1752</v>
      </c>
      <c r="M49" s="96"/>
      <c r="N49" s="99">
        <f t="shared" si="1"/>
        <v>9</v>
      </c>
      <c r="O49" s="11">
        <f t="shared" ref="O49:P64" si="30">O48+1</f>
        <v>43299</v>
      </c>
      <c r="P49" s="3">
        <f t="shared" si="30"/>
        <v>57</v>
      </c>
      <c r="Q49" s="3">
        <f>SUMIF(MORTALIDAD!$J:$J,RESUMEN!O49,MORTALIDAD!$N:$N)</f>
        <v>-24</v>
      </c>
      <c r="R49" s="19">
        <f t="shared" si="11"/>
        <v>-365</v>
      </c>
      <c r="S49" s="3">
        <f>SUMIF(MORTALIDAD!$J:$J,RESUMEN!O49,MORTALIDAD!$O:$O)</f>
        <v>146</v>
      </c>
      <c r="T49" s="3">
        <f>SUMIF(TRASLADOS!$K:$K,RESUMEN!O49,TRASLADOS!$N:$N)</f>
        <v>0</v>
      </c>
      <c r="U49" s="3">
        <f>SUMIF(TRASLADOS!$K:$K,RESUMEN!O49,TRASLADOS!$O:$O)</f>
        <v>0</v>
      </c>
      <c r="V49" s="3">
        <f>SUMIF(VENTAS!$J:$J,RESUMEN!O49,VENTAS!$N:$N)</f>
        <v>0</v>
      </c>
      <c r="W49" s="3">
        <f>SUMIF(VENTAS!$J:$J,RESUMEN!O49,VENTAS!$O:$O)</f>
        <v>0</v>
      </c>
      <c r="X49" s="97">
        <f t="shared" si="12"/>
        <v>1835</v>
      </c>
      <c r="Y49" s="96"/>
      <c r="Z49" s="99">
        <f t="shared" si="2"/>
        <v>8</v>
      </c>
      <c r="AA49" s="11">
        <f t="shared" ref="AA49:AB64" si="31">AA48+1</f>
        <v>43303</v>
      </c>
      <c r="AB49" s="3">
        <f t="shared" si="31"/>
        <v>56</v>
      </c>
      <c r="AC49" s="3">
        <f>SUMIF(MORTALIDAD!$R:$R,RESUMEN!AA49,MORTALIDAD!$V:$V)</f>
        <v>-26</v>
      </c>
      <c r="AD49" s="19">
        <f t="shared" si="14"/>
        <v>-292</v>
      </c>
      <c r="AE49" s="3">
        <f>SUMIF(MORTALIDAD!$R:$R,RESUMEN!AA49,MORTALIDAD!$W:$W)</f>
        <v>188</v>
      </c>
      <c r="AF49" s="3">
        <f>SUMIF(TRASLADOS!$T:$T,RESUMEN!AA49,TRASLADOS!$W:$W)</f>
        <v>0</v>
      </c>
      <c r="AG49" s="3">
        <f>SUMIF(TRASLADOS!$T:$T,RESUMEN!AA49,TRASLADOS!$X:$X)</f>
        <v>0</v>
      </c>
      <c r="AH49" s="3">
        <f>SUMIF(VENTAS!$R:$R,RESUMEN!AA49,VENTAS!$V:$V)</f>
        <v>0</v>
      </c>
      <c r="AI49" s="3">
        <f>SUMIF(VENTAS!$R:$R,RESUMEN!AA49,VENTAS!$W:$W)</f>
        <v>0</v>
      </c>
      <c r="AJ49" s="97">
        <f t="shared" si="15"/>
        <v>1908</v>
      </c>
      <c r="AK49" s="96"/>
      <c r="AL49" s="99">
        <f t="shared" si="3"/>
        <v>8</v>
      </c>
      <c r="AM49" s="11">
        <f t="shared" ref="AM49:AN64" si="32">AM48+1</f>
        <v>43310</v>
      </c>
      <c r="AN49" s="3">
        <f t="shared" si="32"/>
        <v>56</v>
      </c>
      <c r="AO49" s="3">
        <f>SUMIF(MORTALIDAD!$Z:$Z,RESUMEN!AM49,MORTALIDAD!$AD:$AD)</f>
        <v>-5</v>
      </c>
      <c r="AP49" s="19">
        <f t="shared" si="17"/>
        <v>-99</v>
      </c>
      <c r="AQ49" s="3">
        <f>SUMIF(MORTALIDAD!$Z:$Z,RESUMEN!AM49,MORTALIDAD!$AE:$AE)</f>
        <v>37</v>
      </c>
      <c r="AR49" s="3">
        <f>SUMIF(TRASLADOS!$AC:$AC,RESUMEN!AM49,TRASLADOS!$AF:$AF)</f>
        <v>0</v>
      </c>
      <c r="AS49" s="3">
        <f>SUMIF(TRASLADOS!$AC:$AC,RESUMEN!AM49,TRASLADOS!$AG:$AG)</f>
        <v>0</v>
      </c>
      <c r="AT49" s="3">
        <f>SUMIF(VENTAS!$Z:$Z,RESUMEN!AM49,VENTAS!$AD:$AD)</f>
        <v>0</v>
      </c>
      <c r="AU49" s="3">
        <f>SUMIF(VENTAS!$Z:$Z,RESUMEN!AM49,VENTAS!$AE:$AE)</f>
        <v>0</v>
      </c>
      <c r="AV49" s="97">
        <f t="shared" si="18"/>
        <v>2101</v>
      </c>
      <c r="AW49" s="96"/>
      <c r="AX49" s="99">
        <f t="shared" si="4"/>
        <v>8</v>
      </c>
      <c r="AY49" s="11">
        <f t="shared" ref="AY49:AZ64" si="33">AY48+1</f>
        <v>43317</v>
      </c>
      <c r="AZ49" s="3">
        <f t="shared" si="33"/>
        <v>56</v>
      </c>
      <c r="BA49" s="3">
        <f>SUMIF(MORTALIDAD!$AH:$AH,RESUMEN!AY49,MORTALIDAD!$AL:$AL)</f>
        <v>0</v>
      </c>
      <c r="BB49" s="19">
        <f t="shared" si="20"/>
        <v>-119</v>
      </c>
      <c r="BC49" s="3">
        <f>SUMIF(MORTALIDAD!$AH:$AH,RESUMEN!AY49,MORTALIDAD!$AM:$AM)</f>
        <v>0</v>
      </c>
      <c r="BD49" s="3">
        <f>SUMIF(TRASLADOS!$AL:$AL,RESUMEN!AY49,TRASLADOS!$AO:$AO)</f>
        <v>0</v>
      </c>
      <c r="BE49" s="3">
        <f>SUMIF(TRASLADOS!$AL:$AL,RESUMEN!AY49,TRASLADOS!$AP:$AP)</f>
        <v>0</v>
      </c>
      <c r="BF49" s="3">
        <f>SUMIF(VENTAS!$AH:$AH,RESUMEN!AY49,VENTAS!$AL:$AL)</f>
        <v>0</v>
      </c>
      <c r="BG49" s="3">
        <f>SUMIF(VENTAS!$AH:$AH,RESUMEN!AY49,VENTAS!$AM:$AM)</f>
        <v>0</v>
      </c>
      <c r="BH49" s="97">
        <f t="shared" si="21"/>
        <v>2081</v>
      </c>
      <c r="BI49" s="96"/>
      <c r="BJ49" s="99">
        <f t="shared" si="5"/>
        <v>9</v>
      </c>
      <c r="BK49" s="11">
        <f t="shared" ref="BK49:BL64" si="34">BK48+1</f>
        <v>43326</v>
      </c>
      <c r="BL49" s="3">
        <f t="shared" si="34"/>
        <v>59</v>
      </c>
      <c r="BM49" s="3">
        <f>SUMIF(MORTALIDAD!$AP:$AP,RESUMEN!BK49,MORTALIDAD!$AT:$AT)</f>
        <v>0</v>
      </c>
      <c r="BN49" s="19">
        <f t="shared" si="23"/>
        <v>-73</v>
      </c>
      <c r="BO49" s="3">
        <f>SUMIF(MORTALIDAD!$AP$6:$AP$200,RESUMEN!BK49,MORTALIDAD!$AU$6:$AU$200)</f>
        <v>0</v>
      </c>
      <c r="BP49" s="3">
        <f>SUMIF(TRASLADOS!$AU:$AU,RESUMEN!BK49,TRASLADOS!$AX:$AX)</f>
        <v>0</v>
      </c>
      <c r="BQ49" s="3">
        <f>SUMIF(TRASLADOS!$AU:$AU,RESUMEN!BK49,TRASLADOS!$AY:$AY)</f>
        <v>0</v>
      </c>
      <c r="BR49" s="3">
        <f>SUMIF(VENTAS!$AP:$AP,RESUMEN!BK49,VENTAS!$AT:$AT)</f>
        <v>0</v>
      </c>
      <c r="BS49" s="3">
        <f>SUMIF(VENTAS!$AP:$AP,RESUMEN!BK49,VENTAS!$AU:$AU)</f>
        <v>0</v>
      </c>
      <c r="BT49" s="36">
        <f t="shared" si="24"/>
        <v>2241</v>
      </c>
    </row>
    <row r="50" spans="2:72" x14ac:dyDescent="0.2">
      <c r="B50" s="3">
        <f t="shared" si="0"/>
        <v>9</v>
      </c>
      <c r="C50" s="11">
        <f t="shared" si="6"/>
        <v>43297</v>
      </c>
      <c r="D50" s="3">
        <f t="shared" si="7"/>
        <v>59</v>
      </c>
      <c r="E50" s="3">
        <f>SUMIF(MORTALIDAD!$B$6:$B$200,RESUMEN!C50,MORTALIDAD!$F$6:$F$200)</f>
        <v>-23</v>
      </c>
      <c r="F50" s="17">
        <f t="shared" si="8"/>
        <v>-471</v>
      </c>
      <c r="G50" s="3">
        <f>SUMIF(MORTALIDAD!$B$6:$B$200,RESUMEN!C50,MORTALIDAD!$G$6:$G$200)</f>
        <v>186</v>
      </c>
      <c r="H50" s="3">
        <f>SUMIF(TRASLADOS!$B$6:$B$200,C50,TRASLADOS!$E$6:$E$200)</f>
        <v>0</v>
      </c>
      <c r="I50" s="3">
        <f>SUMIF(TRASLADOS!$B$6:$B$200,C50,TRASLADOS!$F$6:$F$200)</f>
        <v>0</v>
      </c>
      <c r="J50" s="3">
        <f>SUMIF(VENTAS!$B$6:$B$200,RESUMEN!C50,VENTAS!$F$6:$F$200)</f>
        <v>0</v>
      </c>
      <c r="K50" s="3">
        <f>SUMIF(VENTAS!$B$6:$B$200,RESUMEN!C50,VENTAS!$G$6:$G$200)</f>
        <v>0</v>
      </c>
      <c r="L50" s="97">
        <f t="shared" si="9"/>
        <v>1729</v>
      </c>
      <c r="M50" s="96"/>
      <c r="N50" s="99">
        <f t="shared" si="1"/>
        <v>9</v>
      </c>
      <c r="O50" s="11">
        <f t="shared" si="30"/>
        <v>43300</v>
      </c>
      <c r="P50" s="3">
        <f t="shared" si="30"/>
        <v>58</v>
      </c>
      <c r="Q50" s="3">
        <f>SUMIF(MORTALIDAD!$J:$J,RESUMEN!O50,MORTALIDAD!$N:$N)</f>
        <v>-27</v>
      </c>
      <c r="R50" s="19">
        <f t="shared" si="11"/>
        <v>-392</v>
      </c>
      <c r="S50" s="3">
        <f>SUMIF(MORTALIDAD!$J:$J,RESUMEN!O50,MORTALIDAD!$O:$O)</f>
        <v>192</v>
      </c>
      <c r="T50" s="3">
        <f>SUMIF(TRASLADOS!$K:$K,RESUMEN!O50,TRASLADOS!$N:$N)</f>
        <v>0</v>
      </c>
      <c r="U50" s="3">
        <f>SUMIF(TRASLADOS!$K:$K,RESUMEN!O50,TRASLADOS!$O:$O)</f>
        <v>0</v>
      </c>
      <c r="V50" s="3">
        <f>SUMIF(VENTAS!$J:$J,RESUMEN!O50,VENTAS!$N:$N)</f>
        <v>0</v>
      </c>
      <c r="W50" s="3">
        <f>SUMIF(VENTAS!$J:$J,RESUMEN!O50,VENTAS!$O:$O)</f>
        <v>0</v>
      </c>
      <c r="X50" s="97">
        <f t="shared" si="12"/>
        <v>1808</v>
      </c>
      <c r="Y50" s="96"/>
      <c r="Z50" s="99">
        <f t="shared" si="2"/>
        <v>9</v>
      </c>
      <c r="AA50" s="11">
        <f t="shared" si="31"/>
        <v>43304</v>
      </c>
      <c r="AB50" s="3">
        <f t="shared" si="31"/>
        <v>57</v>
      </c>
      <c r="AC50" s="3">
        <f>SUMIF(MORTALIDAD!$R:$R,RESUMEN!AA50,MORTALIDAD!$V:$V)</f>
        <v>-26</v>
      </c>
      <c r="AD50" s="19">
        <f t="shared" si="14"/>
        <v>-318</v>
      </c>
      <c r="AE50" s="3">
        <f>SUMIF(MORTALIDAD!$R:$R,RESUMEN!AA50,MORTALIDAD!$W:$W)</f>
        <v>226</v>
      </c>
      <c r="AF50" s="3">
        <f>SUMIF(TRASLADOS!$T:$T,RESUMEN!AA50,TRASLADOS!$W:$W)</f>
        <v>0</v>
      </c>
      <c r="AG50" s="3">
        <f>SUMIF(TRASLADOS!$T:$T,RESUMEN!AA50,TRASLADOS!$X:$X)</f>
        <v>0</v>
      </c>
      <c r="AH50" s="3">
        <f>SUMIF(VENTAS!$R:$R,RESUMEN!AA50,VENTAS!$V:$V)</f>
        <v>0</v>
      </c>
      <c r="AI50" s="3">
        <f>SUMIF(VENTAS!$R:$R,RESUMEN!AA50,VENTAS!$W:$W)</f>
        <v>0</v>
      </c>
      <c r="AJ50" s="97">
        <f t="shared" si="15"/>
        <v>1882</v>
      </c>
      <c r="AK50" s="96"/>
      <c r="AL50" s="99">
        <f t="shared" si="3"/>
        <v>9</v>
      </c>
      <c r="AM50" s="11">
        <f t="shared" si="32"/>
        <v>43311</v>
      </c>
      <c r="AN50" s="3">
        <f t="shared" si="32"/>
        <v>57</v>
      </c>
      <c r="AO50" s="3">
        <f>SUMIF(MORTALIDAD!$Z:$Z,RESUMEN!AM50,MORTALIDAD!$AD:$AD)</f>
        <v>-6</v>
      </c>
      <c r="AP50" s="19">
        <f t="shared" si="17"/>
        <v>-105</v>
      </c>
      <c r="AQ50" s="3">
        <f>SUMIF(MORTALIDAD!$Z:$Z,RESUMEN!AM50,MORTALIDAD!$AE:$AE)</f>
        <v>62</v>
      </c>
      <c r="AR50" s="3">
        <f>SUMIF(TRASLADOS!$AC:$AC,RESUMEN!AM50,TRASLADOS!$AF:$AF)</f>
        <v>0</v>
      </c>
      <c r="AS50" s="3">
        <f>SUMIF(TRASLADOS!$AC:$AC,RESUMEN!AM50,TRASLADOS!$AG:$AG)</f>
        <v>0</v>
      </c>
      <c r="AT50" s="3">
        <f>SUMIF(VENTAS!$Z:$Z,RESUMEN!AM50,VENTAS!$AD:$AD)</f>
        <v>0</v>
      </c>
      <c r="AU50" s="3">
        <f>SUMIF(VENTAS!$Z:$Z,RESUMEN!AM50,VENTAS!$AE:$AE)</f>
        <v>0</v>
      </c>
      <c r="AV50" s="97">
        <f t="shared" si="18"/>
        <v>2095</v>
      </c>
      <c r="AW50" s="96"/>
      <c r="AX50" s="99">
        <f t="shared" si="4"/>
        <v>9</v>
      </c>
      <c r="AY50" s="11">
        <f t="shared" si="33"/>
        <v>43318</v>
      </c>
      <c r="AZ50" s="3">
        <f t="shared" si="33"/>
        <v>57</v>
      </c>
      <c r="BA50" s="3">
        <f>SUMIF(MORTALIDAD!$AH:$AH,RESUMEN!AY50,MORTALIDAD!$AL:$AL)</f>
        <v>0</v>
      </c>
      <c r="BB50" s="19">
        <f t="shared" si="20"/>
        <v>-119</v>
      </c>
      <c r="BC50" s="3">
        <f>SUMIF(MORTALIDAD!$AH:$AH,RESUMEN!AY50,MORTALIDAD!$AM:$AM)</f>
        <v>0</v>
      </c>
      <c r="BD50" s="3">
        <f>SUMIF(TRASLADOS!$AL:$AL,RESUMEN!AY50,TRASLADOS!$AO:$AO)</f>
        <v>0</v>
      </c>
      <c r="BE50" s="3">
        <f>SUMIF(TRASLADOS!$AL:$AL,RESUMEN!AY50,TRASLADOS!$AP:$AP)</f>
        <v>0</v>
      </c>
      <c r="BF50" s="3">
        <f>SUMIF(VENTAS!$AH:$AH,RESUMEN!AY50,VENTAS!$AL:$AL)</f>
        <v>0</v>
      </c>
      <c r="BG50" s="3">
        <f>SUMIF(VENTAS!$AH:$AH,RESUMEN!AY50,VENTAS!$AM:$AM)</f>
        <v>0</v>
      </c>
      <c r="BH50" s="97">
        <f t="shared" si="21"/>
        <v>2081</v>
      </c>
      <c r="BI50" s="96"/>
      <c r="BJ50" s="99">
        <f t="shared" si="5"/>
        <v>9</v>
      </c>
      <c r="BK50" s="11">
        <f t="shared" si="34"/>
        <v>43327</v>
      </c>
      <c r="BL50" s="3">
        <f t="shared" si="34"/>
        <v>60</v>
      </c>
      <c r="BM50" s="3">
        <f>SUMIF(MORTALIDAD!$AP:$AP,RESUMEN!BK50,MORTALIDAD!$AT:$AT)</f>
        <v>0</v>
      </c>
      <c r="BN50" s="19">
        <f t="shared" si="23"/>
        <v>-73</v>
      </c>
      <c r="BO50" s="3">
        <f>SUMIF(MORTALIDAD!$AP$6:$AP$200,RESUMEN!BK50,MORTALIDAD!$AU$6:$AU$200)</f>
        <v>0</v>
      </c>
      <c r="BP50" s="3">
        <f>SUMIF(TRASLADOS!$AU:$AU,RESUMEN!BK50,TRASLADOS!$AX:$AX)</f>
        <v>0</v>
      </c>
      <c r="BQ50" s="3">
        <f>SUMIF(TRASLADOS!$AU:$AU,RESUMEN!BK50,TRASLADOS!$AY:$AY)</f>
        <v>0</v>
      </c>
      <c r="BR50" s="3">
        <f>SUMIF(VENTAS!$AP:$AP,RESUMEN!BK50,VENTAS!$AT:$AT)</f>
        <v>0</v>
      </c>
      <c r="BS50" s="3">
        <f>SUMIF(VENTAS!$AP:$AP,RESUMEN!BK50,VENTAS!$AU:$AU)</f>
        <v>0</v>
      </c>
      <c r="BT50" s="36">
        <f t="shared" si="24"/>
        <v>2241</v>
      </c>
    </row>
    <row r="51" spans="2:72" x14ac:dyDescent="0.2">
      <c r="B51" s="3">
        <f t="shared" si="0"/>
        <v>9</v>
      </c>
      <c r="C51" s="11">
        <f t="shared" si="6"/>
        <v>43298</v>
      </c>
      <c r="D51" s="3">
        <f t="shared" si="7"/>
        <v>60</v>
      </c>
      <c r="E51" s="3">
        <f>SUMIF(MORTALIDAD!$B$6:$B$200,RESUMEN!C51,MORTALIDAD!$F$6:$F$200)</f>
        <v>-18</v>
      </c>
      <c r="F51" s="17">
        <f t="shared" si="8"/>
        <v>-489</v>
      </c>
      <c r="G51" s="3">
        <f>SUMIF(MORTALIDAD!$B$6:$B$200,RESUMEN!C51,MORTALIDAD!$G$6:$G$200)</f>
        <v>128</v>
      </c>
      <c r="H51" s="3">
        <f>SUMIF(TRASLADOS!$B$6:$B$200,C51,TRASLADOS!$E$6:$E$200)</f>
        <v>0</v>
      </c>
      <c r="I51" s="3">
        <f>SUMIF(TRASLADOS!$B$6:$B$200,C51,TRASLADOS!$F$6:$F$200)</f>
        <v>0</v>
      </c>
      <c r="J51" s="3">
        <f>SUMIF(VENTAS!$B$6:$B$200,RESUMEN!C51,VENTAS!$F$6:$F$200)</f>
        <v>0</v>
      </c>
      <c r="K51" s="3">
        <f>SUMIF(VENTAS!$B$6:$B$200,RESUMEN!C51,VENTAS!$G$6:$G$200)</f>
        <v>0</v>
      </c>
      <c r="L51" s="97">
        <f t="shared" si="9"/>
        <v>1711</v>
      </c>
      <c r="M51" s="96"/>
      <c r="N51" s="99">
        <f t="shared" si="1"/>
        <v>9</v>
      </c>
      <c r="O51" s="11">
        <f t="shared" si="30"/>
        <v>43301</v>
      </c>
      <c r="P51" s="3">
        <f t="shared" si="30"/>
        <v>59</v>
      </c>
      <c r="Q51" s="3">
        <f>SUMIF(MORTALIDAD!$J:$J,RESUMEN!O51,MORTALIDAD!$N:$N)</f>
        <v>-29</v>
      </c>
      <c r="R51" s="19">
        <f t="shared" si="11"/>
        <v>-421</v>
      </c>
      <c r="S51" s="3">
        <f>SUMIF(MORTALIDAD!$J:$J,RESUMEN!O51,MORTALIDAD!$O:$O)</f>
        <v>245</v>
      </c>
      <c r="T51" s="3">
        <f>SUMIF(TRASLADOS!$K:$K,RESUMEN!O51,TRASLADOS!$N:$N)</f>
        <v>0</v>
      </c>
      <c r="U51" s="3">
        <f>SUMIF(TRASLADOS!$K:$K,RESUMEN!O51,TRASLADOS!$O:$O)</f>
        <v>0</v>
      </c>
      <c r="V51" s="3">
        <f>SUMIF(VENTAS!$J:$J,RESUMEN!O51,VENTAS!$N:$N)</f>
        <v>0</v>
      </c>
      <c r="W51" s="3">
        <f>SUMIF(VENTAS!$J:$J,RESUMEN!O51,VENTAS!$O:$O)</f>
        <v>0</v>
      </c>
      <c r="X51" s="97">
        <f t="shared" si="12"/>
        <v>1779</v>
      </c>
      <c r="Y51" s="96"/>
      <c r="Z51" s="99">
        <f t="shared" si="2"/>
        <v>9</v>
      </c>
      <c r="AA51" s="11">
        <f t="shared" si="31"/>
        <v>43305</v>
      </c>
      <c r="AB51" s="3">
        <f t="shared" si="31"/>
        <v>58</v>
      </c>
      <c r="AC51" s="3">
        <f>SUMIF(MORTALIDAD!$R:$R,RESUMEN!AA51,MORTALIDAD!$V:$V)</f>
        <v>-26</v>
      </c>
      <c r="AD51" s="19">
        <f t="shared" si="14"/>
        <v>-344</v>
      </c>
      <c r="AE51" s="3">
        <f>SUMIF(MORTALIDAD!$R:$R,RESUMEN!AA51,MORTALIDAD!$W:$W)</f>
        <v>228</v>
      </c>
      <c r="AF51" s="3">
        <f>SUMIF(TRASLADOS!$T:$T,RESUMEN!AA51,TRASLADOS!$W:$W)</f>
        <v>0</v>
      </c>
      <c r="AG51" s="3">
        <f>SUMIF(TRASLADOS!$T:$T,RESUMEN!AA51,TRASLADOS!$X:$X)</f>
        <v>0</v>
      </c>
      <c r="AH51" s="3">
        <f>SUMIF(VENTAS!$R:$R,RESUMEN!AA51,VENTAS!$V:$V)</f>
        <v>0</v>
      </c>
      <c r="AI51" s="3">
        <f>SUMIF(VENTAS!$R:$R,RESUMEN!AA51,VENTAS!$W:$W)</f>
        <v>0</v>
      </c>
      <c r="AJ51" s="97">
        <f t="shared" si="15"/>
        <v>1856</v>
      </c>
      <c r="AK51" s="96"/>
      <c r="AL51" s="99">
        <f t="shared" si="3"/>
        <v>9</v>
      </c>
      <c r="AM51" s="11">
        <f t="shared" si="32"/>
        <v>43312</v>
      </c>
      <c r="AN51" s="3">
        <f t="shared" si="32"/>
        <v>58</v>
      </c>
      <c r="AO51" s="3">
        <f>SUMIF(MORTALIDAD!$Z:$Z,RESUMEN!AM51,MORTALIDAD!$AD:$AD)</f>
        <v>-6</v>
      </c>
      <c r="AP51" s="19">
        <f t="shared" si="17"/>
        <v>-111</v>
      </c>
      <c r="AQ51" s="3">
        <f>SUMIF(MORTALIDAD!$Z:$Z,RESUMEN!AM51,MORTALIDAD!$AE:$AE)</f>
        <v>48</v>
      </c>
      <c r="AR51" s="3">
        <f>SUMIF(TRASLADOS!$AC:$AC,RESUMEN!AM51,TRASLADOS!$AF:$AF)</f>
        <v>0</v>
      </c>
      <c r="AS51" s="3">
        <f>SUMIF(TRASLADOS!$AC:$AC,RESUMEN!AM51,TRASLADOS!$AG:$AG)</f>
        <v>0</v>
      </c>
      <c r="AT51" s="3">
        <f>SUMIF(VENTAS!$Z:$Z,RESUMEN!AM51,VENTAS!$AD:$AD)</f>
        <v>0</v>
      </c>
      <c r="AU51" s="3">
        <f>SUMIF(VENTAS!$Z:$Z,RESUMEN!AM51,VENTAS!$AE:$AE)</f>
        <v>0</v>
      </c>
      <c r="AV51" s="97">
        <f t="shared" si="18"/>
        <v>2089</v>
      </c>
      <c r="AW51" s="96"/>
      <c r="AX51" s="99">
        <f t="shared" si="4"/>
        <v>9</v>
      </c>
      <c r="AY51" s="11">
        <f t="shared" si="33"/>
        <v>43319</v>
      </c>
      <c r="AZ51" s="3">
        <f t="shared" si="33"/>
        <v>58</v>
      </c>
      <c r="BA51" s="3">
        <f>SUMIF(MORTALIDAD!$AH:$AH,RESUMEN!AY51,MORTALIDAD!$AL:$AL)</f>
        <v>0</v>
      </c>
      <c r="BB51" s="19">
        <f t="shared" si="20"/>
        <v>-119</v>
      </c>
      <c r="BC51" s="3">
        <f>SUMIF(MORTALIDAD!$AH:$AH,RESUMEN!AY51,MORTALIDAD!$AM:$AM)</f>
        <v>0</v>
      </c>
      <c r="BD51" s="3">
        <f>SUMIF(TRASLADOS!$AL:$AL,RESUMEN!AY51,TRASLADOS!$AO:$AO)</f>
        <v>0</v>
      </c>
      <c r="BE51" s="3">
        <f>SUMIF(TRASLADOS!$AL:$AL,RESUMEN!AY51,TRASLADOS!$AP:$AP)</f>
        <v>0</v>
      </c>
      <c r="BF51" s="3">
        <f>SUMIF(VENTAS!$AH:$AH,RESUMEN!AY51,VENTAS!$AL:$AL)</f>
        <v>0</v>
      </c>
      <c r="BG51" s="3">
        <f>SUMIF(VENTAS!$AH:$AH,RESUMEN!AY51,VENTAS!$AM:$AM)</f>
        <v>0</v>
      </c>
      <c r="BH51" s="97">
        <f t="shared" si="21"/>
        <v>2081</v>
      </c>
      <c r="BI51" s="96"/>
      <c r="BJ51" s="99">
        <f t="shared" si="5"/>
        <v>9</v>
      </c>
      <c r="BK51" s="11">
        <f t="shared" si="34"/>
        <v>43328</v>
      </c>
      <c r="BL51" s="3">
        <f t="shared" si="34"/>
        <v>61</v>
      </c>
      <c r="BM51" s="3">
        <f>SUMIF(MORTALIDAD!$AP:$AP,RESUMEN!BK51,MORTALIDAD!$AT:$AT)</f>
        <v>0</v>
      </c>
      <c r="BN51" s="19">
        <f t="shared" si="23"/>
        <v>-73</v>
      </c>
      <c r="BO51" s="3">
        <f>SUMIF(MORTALIDAD!$AP$6:$AP$200,RESUMEN!BK51,MORTALIDAD!$AU$6:$AU$200)</f>
        <v>0</v>
      </c>
      <c r="BP51" s="3">
        <f>SUMIF(TRASLADOS!$AU:$AU,RESUMEN!BK51,TRASLADOS!$AX:$AX)</f>
        <v>0</v>
      </c>
      <c r="BQ51" s="3">
        <f>SUMIF(TRASLADOS!$AU:$AU,RESUMEN!BK51,TRASLADOS!$AY:$AY)</f>
        <v>0</v>
      </c>
      <c r="BR51" s="3">
        <f>SUMIF(VENTAS!$AP:$AP,RESUMEN!BK51,VENTAS!$AT:$AT)</f>
        <v>0</v>
      </c>
      <c r="BS51" s="3">
        <f>SUMIF(VENTAS!$AP:$AP,RESUMEN!BK51,VENTAS!$AU:$AU)</f>
        <v>0</v>
      </c>
      <c r="BT51" s="36">
        <f t="shared" si="24"/>
        <v>2241</v>
      </c>
    </row>
    <row r="52" spans="2:72" x14ac:dyDescent="0.2">
      <c r="B52" s="3">
        <f t="shared" si="0"/>
        <v>9</v>
      </c>
      <c r="C52" s="11">
        <f t="shared" ref="C52:C115" si="35">C51+1</f>
        <v>43299</v>
      </c>
      <c r="D52" s="3">
        <f t="shared" ref="D52:D115" si="36">D51+1</f>
        <v>61</v>
      </c>
      <c r="E52" s="3">
        <f>SUMIF(MORTALIDAD!$B$6:$B$200,RESUMEN!C52,MORTALIDAD!$F$6:$F$200)</f>
        <v>-18</v>
      </c>
      <c r="F52" s="17">
        <f t="shared" ref="F52:F115" si="37">F51+E52</f>
        <v>-507</v>
      </c>
      <c r="G52" s="3">
        <f>SUMIF(MORTALIDAD!$B$6:$B$200,RESUMEN!C52,MORTALIDAD!$G$6:$G$200)</f>
        <v>158</v>
      </c>
      <c r="H52" s="3">
        <f>SUMIF(TRASLADOS!$B$6:$B$200,C52,TRASLADOS!$E$6:$E$200)</f>
        <v>0</v>
      </c>
      <c r="I52" s="3">
        <f>SUMIF(TRASLADOS!$B$6:$B$200,C52,TRASLADOS!$F$6:$F$200)</f>
        <v>0</v>
      </c>
      <c r="J52" s="3">
        <f>SUMIF(VENTAS!$B$6:$B$200,RESUMEN!C52,VENTAS!$F$6:$F$200)</f>
        <v>0</v>
      </c>
      <c r="K52" s="3">
        <f>SUMIF(VENTAS!$B$6:$B$200,RESUMEN!C52,VENTAS!$G$6:$G$200)</f>
        <v>0</v>
      </c>
      <c r="L52" s="97">
        <f t="shared" si="9"/>
        <v>1693</v>
      </c>
      <c r="M52" s="96"/>
      <c r="N52" s="99">
        <f t="shared" si="1"/>
        <v>9</v>
      </c>
      <c r="O52" s="11">
        <f t="shared" si="30"/>
        <v>43302</v>
      </c>
      <c r="P52" s="3">
        <f t="shared" si="30"/>
        <v>60</v>
      </c>
      <c r="Q52" s="3">
        <f>SUMIF(MORTALIDAD!$J:$J,RESUMEN!O52,MORTALIDAD!$N:$N)</f>
        <v>-21</v>
      </c>
      <c r="R52" s="19">
        <f t="shared" si="11"/>
        <v>-442</v>
      </c>
      <c r="S52" s="3">
        <f>SUMIF(MORTALIDAD!$J:$J,RESUMEN!O52,MORTALIDAD!$O:$O)</f>
        <v>144</v>
      </c>
      <c r="T52" s="3">
        <f>SUMIF(TRASLADOS!$K:$K,RESUMEN!O52,TRASLADOS!$N:$N)</f>
        <v>0</v>
      </c>
      <c r="U52" s="3">
        <f>SUMIF(TRASLADOS!$K:$K,RESUMEN!O52,TRASLADOS!$O:$O)</f>
        <v>0</v>
      </c>
      <c r="V52" s="3">
        <f>SUMIF(VENTAS!$J:$J,RESUMEN!O52,VENTAS!$N:$N)</f>
        <v>0</v>
      </c>
      <c r="W52" s="3">
        <f>SUMIF(VENTAS!$J:$J,RESUMEN!O52,VENTAS!$O:$O)</f>
        <v>0</v>
      </c>
      <c r="X52" s="97">
        <f t="shared" si="12"/>
        <v>1758</v>
      </c>
      <c r="Y52" s="96"/>
      <c r="Z52" s="99">
        <f t="shared" si="2"/>
        <v>9</v>
      </c>
      <c r="AA52" s="11">
        <f t="shared" si="31"/>
        <v>43306</v>
      </c>
      <c r="AB52" s="3">
        <f t="shared" si="31"/>
        <v>59</v>
      </c>
      <c r="AC52" s="3">
        <f>SUMIF(MORTALIDAD!$R:$R,RESUMEN!AA52,MORTALIDAD!$V:$V)</f>
        <v>-11</v>
      </c>
      <c r="AD52" s="19">
        <f t="shared" si="14"/>
        <v>-355</v>
      </c>
      <c r="AE52" s="3">
        <f>SUMIF(MORTALIDAD!$R:$R,RESUMEN!AA52,MORTALIDAD!$W:$W)</f>
        <v>96</v>
      </c>
      <c r="AF52" s="3">
        <f>SUMIF(TRASLADOS!$T:$T,RESUMEN!AA52,TRASLADOS!$W:$W)</f>
        <v>0</v>
      </c>
      <c r="AG52" s="3">
        <f>SUMIF(TRASLADOS!$T:$T,RESUMEN!AA52,TRASLADOS!$X:$X)</f>
        <v>0</v>
      </c>
      <c r="AH52" s="3">
        <f>SUMIF(VENTAS!$R:$R,RESUMEN!AA52,VENTAS!$V:$V)</f>
        <v>0</v>
      </c>
      <c r="AI52" s="3">
        <f>SUMIF(VENTAS!$R:$R,RESUMEN!AA52,VENTAS!$W:$W)</f>
        <v>0</v>
      </c>
      <c r="AJ52" s="97">
        <f t="shared" si="15"/>
        <v>1845</v>
      </c>
      <c r="AK52" s="96"/>
      <c r="AL52" s="99">
        <f t="shared" si="3"/>
        <v>9</v>
      </c>
      <c r="AM52" s="11">
        <f t="shared" si="32"/>
        <v>43313</v>
      </c>
      <c r="AN52" s="3">
        <f t="shared" si="32"/>
        <v>59</v>
      </c>
      <c r="AO52" s="3">
        <f>SUMIF(MORTALIDAD!$Z:$Z,RESUMEN!AM52,MORTALIDAD!$AD:$AD)</f>
        <v>-13</v>
      </c>
      <c r="AP52" s="19">
        <f t="shared" si="17"/>
        <v>-124</v>
      </c>
      <c r="AQ52" s="3">
        <f>SUMIF(MORTALIDAD!$Z:$Z,RESUMEN!AM52,MORTALIDAD!$AE:$AE)</f>
        <v>122</v>
      </c>
      <c r="AR52" s="3">
        <f>SUMIF(TRASLADOS!$AC:$AC,RESUMEN!AM52,TRASLADOS!$AF:$AF)</f>
        <v>0</v>
      </c>
      <c r="AS52" s="3">
        <f>SUMIF(TRASLADOS!$AC:$AC,RESUMEN!AM52,TRASLADOS!$AG:$AG)</f>
        <v>0</v>
      </c>
      <c r="AT52" s="3">
        <f>SUMIF(VENTAS!$Z:$Z,RESUMEN!AM52,VENTAS!$AD:$AD)</f>
        <v>0</v>
      </c>
      <c r="AU52" s="3">
        <f>SUMIF(VENTAS!$Z:$Z,RESUMEN!AM52,VENTAS!$AE:$AE)</f>
        <v>0</v>
      </c>
      <c r="AV52" s="97">
        <f t="shared" si="18"/>
        <v>2076</v>
      </c>
      <c r="AW52" s="96"/>
      <c r="AX52" s="99">
        <f t="shared" si="4"/>
        <v>9</v>
      </c>
      <c r="AY52" s="11">
        <f t="shared" si="33"/>
        <v>43320</v>
      </c>
      <c r="AZ52" s="3">
        <f t="shared" si="33"/>
        <v>59</v>
      </c>
      <c r="BA52" s="3">
        <f>SUMIF(MORTALIDAD!$AH:$AH,RESUMEN!AY52,MORTALIDAD!$AL:$AL)</f>
        <v>0</v>
      </c>
      <c r="BB52" s="19">
        <f t="shared" si="20"/>
        <v>-119</v>
      </c>
      <c r="BC52" s="3">
        <f>SUMIF(MORTALIDAD!$AH:$AH,RESUMEN!AY52,MORTALIDAD!$AM:$AM)</f>
        <v>0</v>
      </c>
      <c r="BD52" s="3">
        <f>SUMIF(TRASLADOS!$AL:$AL,RESUMEN!AY52,TRASLADOS!$AO:$AO)</f>
        <v>0</v>
      </c>
      <c r="BE52" s="3">
        <f>SUMIF(TRASLADOS!$AL:$AL,RESUMEN!AY52,TRASLADOS!$AP:$AP)</f>
        <v>0</v>
      </c>
      <c r="BF52" s="3">
        <f>SUMIF(VENTAS!$AH:$AH,RESUMEN!AY52,VENTAS!$AL:$AL)</f>
        <v>0</v>
      </c>
      <c r="BG52" s="3">
        <f>SUMIF(VENTAS!$AH:$AH,RESUMEN!AY52,VENTAS!$AM:$AM)</f>
        <v>0</v>
      </c>
      <c r="BH52" s="97">
        <f t="shared" si="21"/>
        <v>2081</v>
      </c>
      <c r="BI52" s="96"/>
      <c r="BJ52" s="99">
        <f t="shared" si="5"/>
        <v>9</v>
      </c>
      <c r="BK52" s="11">
        <f t="shared" si="34"/>
        <v>43329</v>
      </c>
      <c r="BL52" s="3">
        <f t="shared" si="34"/>
        <v>62</v>
      </c>
      <c r="BM52" s="3">
        <f>SUMIF(MORTALIDAD!$AP:$AP,RESUMEN!BK52,MORTALIDAD!$AT:$AT)</f>
        <v>0</v>
      </c>
      <c r="BN52" s="19">
        <f t="shared" si="23"/>
        <v>-73</v>
      </c>
      <c r="BO52" s="3">
        <f>SUMIF(MORTALIDAD!$AP$6:$AP$200,RESUMEN!BK52,MORTALIDAD!$AU$6:$AU$200)</f>
        <v>0</v>
      </c>
      <c r="BP52" s="3">
        <f>SUMIF(TRASLADOS!$AU:$AU,RESUMEN!BK52,TRASLADOS!$AX:$AX)</f>
        <v>0</v>
      </c>
      <c r="BQ52" s="3">
        <f>SUMIF(TRASLADOS!$AU:$AU,RESUMEN!BK52,TRASLADOS!$AY:$AY)</f>
        <v>0</v>
      </c>
      <c r="BR52" s="3">
        <f>SUMIF(VENTAS!$AP:$AP,RESUMEN!BK52,VENTAS!$AT:$AT)</f>
        <v>0</v>
      </c>
      <c r="BS52" s="3">
        <f>SUMIF(VENTAS!$AP:$AP,RESUMEN!BK52,VENTAS!$AU:$AU)</f>
        <v>0</v>
      </c>
      <c r="BT52" s="36">
        <f t="shared" si="24"/>
        <v>2241</v>
      </c>
    </row>
    <row r="53" spans="2:72" x14ac:dyDescent="0.2">
      <c r="B53" s="3">
        <f t="shared" si="0"/>
        <v>9</v>
      </c>
      <c r="C53" s="11">
        <f t="shared" si="35"/>
        <v>43300</v>
      </c>
      <c r="D53" s="3">
        <f t="shared" si="36"/>
        <v>62</v>
      </c>
      <c r="E53" s="3">
        <f>SUMIF(MORTALIDAD!$B$6:$B$200,RESUMEN!C53,MORTALIDAD!$F$6:$F$200)</f>
        <v>-18</v>
      </c>
      <c r="F53" s="17">
        <f t="shared" si="37"/>
        <v>-525</v>
      </c>
      <c r="G53" s="3">
        <f>SUMIF(MORTALIDAD!$B$6:$B$200,RESUMEN!C53,MORTALIDAD!$G$6:$G$200)</f>
        <v>147</v>
      </c>
      <c r="H53" s="3">
        <f>SUMIF(TRASLADOS!$B$6:$B$200,C53,TRASLADOS!$E$6:$E$200)</f>
        <v>0</v>
      </c>
      <c r="I53" s="3">
        <f>SUMIF(TRASLADOS!$B$6:$B$200,C53,TRASLADOS!$F$6:$F$200)</f>
        <v>0</v>
      </c>
      <c r="J53" s="3">
        <f>SUMIF(VENTAS!$B$6:$B$200,RESUMEN!C53,VENTAS!$F$6:$F$200)</f>
        <v>0</v>
      </c>
      <c r="K53" s="3">
        <f>SUMIF(VENTAS!$B$6:$B$200,RESUMEN!C53,VENTAS!$G$6:$G$200)</f>
        <v>0</v>
      </c>
      <c r="L53" s="97">
        <f t="shared" si="9"/>
        <v>1675</v>
      </c>
      <c r="M53" s="96"/>
      <c r="N53" s="99">
        <f t="shared" si="1"/>
        <v>9</v>
      </c>
      <c r="O53" s="11">
        <f t="shared" si="30"/>
        <v>43303</v>
      </c>
      <c r="P53" s="3">
        <f t="shared" si="30"/>
        <v>61</v>
      </c>
      <c r="Q53" s="3">
        <f>SUMIF(MORTALIDAD!$J:$J,RESUMEN!O53,MORTALIDAD!$N:$N)</f>
        <v>-30</v>
      </c>
      <c r="R53" s="19">
        <f t="shared" si="11"/>
        <v>-472</v>
      </c>
      <c r="S53" s="3">
        <f>SUMIF(MORTALIDAD!$J:$J,RESUMEN!O53,MORTALIDAD!$O:$O)</f>
        <v>219</v>
      </c>
      <c r="T53" s="3">
        <f>SUMIF(TRASLADOS!$K:$K,RESUMEN!O53,TRASLADOS!$N:$N)</f>
        <v>0</v>
      </c>
      <c r="U53" s="3">
        <f>SUMIF(TRASLADOS!$K:$K,RESUMEN!O53,TRASLADOS!$O:$O)</f>
        <v>0</v>
      </c>
      <c r="V53" s="3">
        <f>SUMIF(VENTAS!$J:$J,RESUMEN!O53,VENTAS!$N:$N)</f>
        <v>0</v>
      </c>
      <c r="W53" s="3">
        <f>SUMIF(VENTAS!$J:$J,RESUMEN!O53,VENTAS!$O:$O)</f>
        <v>0</v>
      </c>
      <c r="X53" s="97">
        <f t="shared" si="12"/>
        <v>1728</v>
      </c>
      <c r="Y53" s="96"/>
      <c r="Z53" s="99">
        <f t="shared" si="2"/>
        <v>9</v>
      </c>
      <c r="AA53" s="11">
        <f t="shared" si="31"/>
        <v>43307</v>
      </c>
      <c r="AB53" s="3">
        <f t="shared" si="31"/>
        <v>60</v>
      </c>
      <c r="AC53" s="3">
        <f>SUMIF(MORTALIDAD!$R:$R,RESUMEN!AA53,MORTALIDAD!$V:$V)</f>
        <v>-16</v>
      </c>
      <c r="AD53" s="19">
        <f t="shared" si="14"/>
        <v>-371</v>
      </c>
      <c r="AE53" s="3">
        <f>SUMIF(MORTALIDAD!$R:$R,RESUMEN!AA53,MORTALIDAD!$W:$W)</f>
        <v>162</v>
      </c>
      <c r="AF53" s="3">
        <f>SUMIF(TRASLADOS!$T:$T,RESUMEN!AA53,TRASLADOS!$W:$W)</f>
        <v>0</v>
      </c>
      <c r="AG53" s="3">
        <f>SUMIF(TRASLADOS!$T:$T,RESUMEN!AA53,TRASLADOS!$X:$X)</f>
        <v>0</v>
      </c>
      <c r="AH53" s="3">
        <f>SUMIF(VENTAS!$R:$R,RESUMEN!AA53,VENTAS!$V:$V)</f>
        <v>0</v>
      </c>
      <c r="AI53" s="3">
        <f>SUMIF(VENTAS!$R:$R,RESUMEN!AA53,VENTAS!$W:$W)</f>
        <v>0</v>
      </c>
      <c r="AJ53" s="97">
        <f t="shared" si="15"/>
        <v>1829</v>
      </c>
      <c r="AK53" s="96"/>
      <c r="AL53" s="99">
        <f t="shared" si="3"/>
        <v>9</v>
      </c>
      <c r="AM53" s="11">
        <f t="shared" si="32"/>
        <v>43314</v>
      </c>
      <c r="AN53" s="3">
        <f t="shared" si="32"/>
        <v>60</v>
      </c>
      <c r="AO53" s="3">
        <f>SUMIF(MORTALIDAD!$Z:$Z,RESUMEN!AM53,MORTALIDAD!$AD:$AD)</f>
        <v>0</v>
      </c>
      <c r="AP53" s="19">
        <f t="shared" si="17"/>
        <v>-124</v>
      </c>
      <c r="AQ53" s="3">
        <f>SUMIF(MORTALIDAD!$Z:$Z,RESUMEN!AM53,MORTALIDAD!$AE:$AE)</f>
        <v>0</v>
      </c>
      <c r="AR53" s="3">
        <f>SUMIF(TRASLADOS!$AC:$AC,RESUMEN!AM53,TRASLADOS!$AF:$AF)</f>
        <v>0</v>
      </c>
      <c r="AS53" s="3">
        <f>SUMIF(TRASLADOS!$AC:$AC,RESUMEN!AM53,TRASLADOS!$AG:$AG)</f>
        <v>0</v>
      </c>
      <c r="AT53" s="3">
        <f>SUMIF(VENTAS!$Z:$Z,RESUMEN!AM53,VENTAS!$AD:$AD)</f>
        <v>0</v>
      </c>
      <c r="AU53" s="3">
        <f>SUMIF(VENTAS!$Z:$Z,RESUMEN!AM53,VENTAS!$AE:$AE)</f>
        <v>0</v>
      </c>
      <c r="AV53" s="97">
        <f t="shared" si="18"/>
        <v>2076</v>
      </c>
      <c r="AW53" s="96"/>
      <c r="AX53" s="99">
        <f t="shared" si="4"/>
        <v>9</v>
      </c>
      <c r="AY53" s="11">
        <f t="shared" si="33"/>
        <v>43321</v>
      </c>
      <c r="AZ53" s="3">
        <f t="shared" si="33"/>
        <v>60</v>
      </c>
      <c r="BA53" s="3">
        <f>SUMIF(MORTALIDAD!$AH:$AH,RESUMEN!AY53,MORTALIDAD!$AL:$AL)</f>
        <v>0</v>
      </c>
      <c r="BB53" s="19">
        <f t="shared" si="20"/>
        <v>-119</v>
      </c>
      <c r="BC53" s="3">
        <f>SUMIF(MORTALIDAD!$AH:$AH,RESUMEN!AY53,MORTALIDAD!$AM:$AM)</f>
        <v>0</v>
      </c>
      <c r="BD53" s="3">
        <f>SUMIF(TRASLADOS!$AL:$AL,RESUMEN!AY53,TRASLADOS!$AO:$AO)</f>
        <v>0</v>
      </c>
      <c r="BE53" s="3">
        <f>SUMIF(TRASLADOS!$AL:$AL,RESUMEN!AY53,TRASLADOS!$AP:$AP)</f>
        <v>0</v>
      </c>
      <c r="BF53" s="3">
        <f>SUMIF(VENTAS!$AH:$AH,RESUMEN!AY53,VENTAS!$AL:$AL)</f>
        <v>0</v>
      </c>
      <c r="BG53" s="3">
        <f>SUMIF(VENTAS!$AH:$AH,RESUMEN!AY53,VENTAS!$AM:$AM)</f>
        <v>0</v>
      </c>
      <c r="BH53" s="97">
        <f t="shared" si="21"/>
        <v>2081</v>
      </c>
      <c r="BI53" s="96"/>
      <c r="BJ53" s="99">
        <f t="shared" si="5"/>
        <v>9</v>
      </c>
      <c r="BK53" s="11">
        <f t="shared" si="34"/>
        <v>43330</v>
      </c>
      <c r="BL53" s="3">
        <f t="shared" si="34"/>
        <v>63</v>
      </c>
      <c r="BM53" s="3">
        <f>SUMIF(MORTALIDAD!$AP:$AP,RESUMEN!BK53,MORTALIDAD!$AT:$AT)</f>
        <v>0</v>
      </c>
      <c r="BN53" s="19">
        <f t="shared" si="23"/>
        <v>-73</v>
      </c>
      <c r="BO53" s="3">
        <f>SUMIF(MORTALIDAD!$AP$6:$AP$200,RESUMEN!BK53,MORTALIDAD!$AU$6:$AU$200)</f>
        <v>0</v>
      </c>
      <c r="BP53" s="3">
        <f>SUMIF(TRASLADOS!$AU:$AU,RESUMEN!BK53,TRASLADOS!$AX:$AX)</f>
        <v>0</v>
      </c>
      <c r="BQ53" s="3">
        <f>SUMIF(TRASLADOS!$AU:$AU,RESUMEN!BK53,TRASLADOS!$AY:$AY)</f>
        <v>0</v>
      </c>
      <c r="BR53" s="3">
        <f>SUMIF(VENTAS!$AP:$AP,RESUMEN!BK53,VENTAS!$AT:$AT)</f>
        <v>0</v>
      </c>
      <c r="BS53" s="3">
        <f>SUMIF(VENTAS!$AP:$AP,RESUMEN!BK53,VENTAS!$AU:$AU)</f>
        <v>0</v>
      </c>
      <c r="BT53" s="36">
        <f t="shared" si="24"/>
        <v>2241</v>
      </c>
    </row>
    <row r="54" spans="2:72" x14ac:dyDescent="0.2">
      <c r="B54" s="3">
        <f t="shared" si="0"/>
        <v>9</v>
      </c>
      <c r="C54" s="11">
        <f t="shared" si="35"/>
        <v>43301</v>
      </c>
      <c r="D54" s="3">
        <f t="shared" si="36"/>
        <v>63</v>
      </c>
      <c r="E54" s="3">
        <f>SUMIF(MORTALIDAD!$B$6:$B$200,RESUMEN!C54,MORTALIDAD!$F$6:$F$200)</f>
        <v>-28</v>
      </c>
      <c r="F54" s="17">
        <f t="shared" si="37"/>
        <v>-553</v>
      </c>
      <c r="G54" s="3">
        <f>SUMIF(MORTALIDAD!$B$6:$B$200,RESUMEN!C54,MORTALIDAD!$G$6:$G$200)</f>
        <v>227</v>
      </c>
      <c r="H54" s="3">
        <f>SUMIF(TRASLADOS!$B$6:$B$200,C54,TRASLADOS!$E$6:$E$200)</f>
        <v>0</v>
      </c>
      <c r="I54" s="3">
        <f>SUMIF(TRASLADOS!$B$6:$B$200,C54,TRASLADOS!$F$6:$F$200)</f>
        <v>0</v>
      </c>
      <c r="J54" s="3">
        <f>SUMIF(VENTAS!$B$6:$B$200,RESUMEN!C54,VENTAS!$F$6:$F$200)</f>
        <v>0</v>
      </c>
      <c r="K54" s="3">
        <f>SUMIF(VENTAS!$B$6:$B$200,RESUMEN!C54,VENTAS!$G$6:$G$200)</f>
        <v>0</v>
      </c>
      <c r="L54" s="97">
        <f t="shared" si="9"/>
        <v>1647</v>
      </c>
      <c r="M54" s="96"/>
      <c r="N54" s="99">
        <f t="shared" si="1"/>
        <v>9</v>
      </c>
      <c r="O54" s="11">
        <f t="shared" si="30"/>
        <v>43304</v>
      </c>
      <c r="P54" s="3">
        <f t="shared" si="30"/>
        <v>62</v>
      </c>
      <c r="Q54" s="3">
        <f>SUMIF(MORTALIDAD!$J:$J,RESUMEN!O54,MORTALIDAD!$N:$N)</f>
        <v>-34</v>
      </c>
      <c r="R54" s="19">
        <f t="shared" si="11"/>
        <v>-506</v>
      </c>
      <c r="S54" s="3">
        <f>SUMIF(MORTALIDAD!$J:$J,RESUMEN!O54,MORTALIDAD!$O:$O)</f>
        <v>253</v>
      </c>
      <c r="T54" s="3">
        <f>SUMIF(TRASLADOS!$K:$K,RESUMEN!O54,TRASLADOS!$N:$N)</f>
        <v>0</v>
      </c>
      <c r="U54" s="3">
        <f>SUMIF(TRASLADOS!$K:$K,RESUMEN!O54,TRASLADOS!$O:$O)</f>
        <v>0</v>
      </c>
      <c r="V54" s="3">
        <f>SUMIF(VENTAS!$J:$J,RESUMEN!O54,VENTAS!$N:$N)</f>
        <v>0</v>
      </c>
      <c r="W54" s="3">
        <f>SUMIF(VENTAS!$J:$J,RESUMEN!O54,VENTAS!$O:$O)</f>
        <v>0</v>
      </c>
      <c r="X54" s="97">
        <f t="shared" si="12"/>
        <v>1694</v>
      </c>
      <c r="Y54" s="96"/>
      <c r="Z54" s="99">
        <f t="shared" si="2"/>
        <v>9</v>
      </c>
      <c r="AA54" s="11">
        <f t="shared" si="31"/>
        <v>43308</v>
      </c>
      <c r="AB54" s="3">
        <f t="shared" si="31"/>
        <v>61</v>
      </c>
      <c r="AC54" s="3">
        <f>SUMIF(MORTALIDAD!$R:$R,RESUMEN!AA54,MORTALIDAD!$V:$V)</f>
        <v>-30</v>
      </c>
      <c r="AD54" s="19">
        <f t="shared" si="14"/>
        <v>-401</v>
      </c>
      <c r="AE54" s="3">
        <f>SUMIF(MORTALIDAD!$R:$R,RESUMEN!AA54,MORTALIDAD!$W:$W)</f>
        <v>298</v>
      </c>
      <c r="AF54" s="3">
        <f>SUMIF(TRASLADOS!$T:$T,RESUMEN!AA54,TRASLADOS!$W:$W)</f>
        <v>0</v>
      </c>
      <c r="AG54" s="3">
        <f>SUMIF(TRASLADOS!$T:$T,RESUMEN!AA54,TRASLADOS!$X:$X)</f>
        <v>0</v>
      </c>
      <c r="AH54" s="3">
        <f>SUMIF(VENTAS!$R:$R,RESUMEN!AA54,VENTAS!$V:$V)</f>
        <v>0</v>
      </c>
      <c r="AI54" s="3">
        <f>SUMIF(VENTAS!$R:$R,RESUMEN!AA54,VENTAS!$W:$W)</f>
        <v>0</v>
      </c>
      <c r="AJ54" s="97">
        <f t="shared" si="15"/>
        <v>1799</v>
      </c>
      <c r="AK54" s="96"/>
      <c r="AL54" s="99">
        <f t="shared" si="3"/>
        <v>9</v>
      </c>
      <c r="AM54" s="11">
        <f t="shared" si="32"/>
        <v>43315</v>
      </c>
      <c r="AN54" s="3">
        <f t="shared" si="32"/>
        <v>61</v>
      </c>
      <c r="AO54" s="3">
        <f>SUMIF(MORTALIDAD!$Z:$Z,RESUMEN!AM54,MORTALIDAD!$AD:$AD)</f>
        <v>0</v>
      </c>
      <c r="AP54" s="19">
        <f t="shared" si="17"/>
        <v>-124</v>
      </c>
      <c r="AQ54" s="3">
        <f>SUMIF(MORTALIDAD!$Z:$Z,RESUMEN!AM54,MORTALIDAD!$AE:$AE)</f>
        <v>0</v>
      </c>
      <c r="AR54" s="3">
        <f>SUMIF(TRASLADOS!$AC:$AC,RESUMEN!AM54,TRASLADOS!$AF:$AF)</f>
        <v>0</v>
      </c>
      <c r="AS54" s="3">
        <f>SUMIF(TRASLADOS!$AC:$AC,RESUMEN!AM54,TRASLADOS!$AG:$AG)</f>
        <v>0</v>
      </c>
      <c r="AT54" s="3">
        <f>SUMIF(VENTAS!$Z:$Z,RESUMEN!AM54,VENTAS!$AD:$AD)</f>
        <v>0</v>
      </c>
      <c r="AU54" s="3">
        <f>SUMIF(VENTAS!$Z:$Z,RESUMEN!AM54,VENTAS!$AE:$AE)</f>
        <v>0</v>
      </c>
      <c r="AV54" s="97">
        <f t="shared" si="18"/>
        <v>2076</v>
      </c>
      <c r="AW54" s="96"/>
      <c r="AX54" s="99">
        <f t="shared" si="4"/>
        <v>9</v>
      </c>
      <c r="AY54" s="11">
        <f t="shared" si="33"/>
        <v>43322</v>
      </c>
      <c r="AZ54" s="3">
        <f t="shared" si="33"/>
        <v>61</v>
      </c>
      <c r="BA54" s="3">
        <f>SUMIF(MORTALIDAD!$AH:$AH,RESUMEN!AY54,MORTALIDAD!$AL:$AL)</f>
        <v>0</v>
      </c>
      <c r="BB54" s="19">
        <f t="shared" si="20"/>
        <v>-119</v>
      </c>
      <c r="BC54" s="3">
        <f>SUMIF(MORTALIDAD!$AH:$AH,RESUMEN!AY54,MORTALIDAD!$AM:$AM)</f>
        <v>0</v>
      </c>
      <c r="BD54" s="3">
        <f>SUMIF(TRASLADOS!$AL:$AL,RESUMEN!AY54,TRASLADOS!$AO:$AO)</f>
        <v>0</v>
      </c>
      <c r="BE54" s="3">
        <f>SUMIF(TRASLADOS!$AL:$AL,RESUMEN!AY54,TRASLADOS!$AP:$AP)</f>
        <v>0</v>
      </c>
      <c r="BF54" s="3">
        <f>SUMIF(VENTAS!$AH:$AH,RESUMEN!AY54,VENTAS!$AL:$AL)</f>
        <v>0</v>
      </c>
      <c r="BG54" s="3">
        <f>SUMIF(VENTAS!$AH:$AH,RESUMEN!AY54,VENTAS!$AM:$AM)</f>
        <v>0</v>
      </c>
      <c r="BH54" s="97">
        <f t="shared" si="21"/>
        <v>2081</v>
      </c>
      <c r="BI54" s="96"/>
      <c r="BJ54" s="99">
        <f t="shared" si="5"/>
        <v>10</v>
      </c>
      <c r="BK54" s="11">
        <f t="shared" si="34"/>
        <v>43331</v>
      </c>
      <c r="BL54" s="3">
        <f t="shared" si="34"/>
        <v>64</v>
      </c>
      <c r="BM54" s="3">
        <f>SUMIF(MORTALIDAD!$AP:$AP,RESUMEN!BK54,MORTALIDAD!$AT:$AT)</f>
        <v>0</v>
      </c>
      <c r="BN54" s="19">
        <f t="shared" si="23"/>
        <v>-73</v>
      </c>
      <c r="BO54" s="3">
        <f>SUMIF(MORTALIDAD!$AP$6:$AP$200,RESUMEN!BK54,MORTALIDAD!$AU$6:$AU$200)</f>
        <v>0</v>
      </c>
      <c r="BP54" s="3">
        <f>SUMIF(TRASLADOS!$AU:$AU,RESUMEN!BK54,TRASLADOS!$AX:$AX)</f>
        <v>0</v>
      </c>
      <c r="BQ54" s="3">
        <f>SUMIF(TRASLADOS!$AU:$AU,RESUMEN!BK54,TRASLADOS!$AY:$AY)</f>
        <v>0</v>
      </c>
      <c r="BR54" s="3">
        <f>SUMIF(VENTAS!$AP:$AP,RESUMEN!BK54,VENTAS!$AT:$AT)</f>
        <v>0</v>
      </c>
      <c r="BS54" s="3">
        <f>SUMIF(VENTAS!$AP:$AP,RESUMEN!BK54,VENTAS!$AU:$AU)</f>
        <v>0</v>
      </c>
      <c r="BT54" s="36">
        <f t="shared" si="24"/>
        <v>2241</v>
      </c>
    </row>
    <row r="55" spans="2:72" x14ac:dyDescent="0.2">
      <c r="B55" s="3">
        <f t="shared" si="0"/>
        <v>10</v>
      </c>
      <c r="C55" s="11">
        <f t="shared" si="35"/>
        <v>43302</v>
      </c>
      <c r="D55" s="3">
        <f t="shared" si="36"/>
        <v>64</v>
      </c>
      <c r="E55" s="3">
        <f>SUMIF(MORTALIDAD!$B$6:$B$200,RESUMEN!C55,MORTALIDAD!$F$6:$F$200)</f>
        <v>-21</v>
      </c>
      <c r="F55" s="17">
        <f t="shared" si="37"/>
        <v>-574</v>
      </c>
      <c r="G55" s="3">
        <f>SUMIF(MORTALIDAD!$B$6:$B$200,RESUMEN!C55,MORTALIDAD!$G$6:$G$200)</f>
        <v>180</v>
      </c>
      <c r="H55" s="3">
        <f>SUMIF(TRASLADOS!$B$6:$B$200,C55,TRASLADOS!$E$6:$E$200)</f>
        <v>0</v>
      </c>
      <c r="I55" s="3">
        <f>SUMIF(TRASLADOS!$B$6:$B$200,C55,TRASLADOS!$F$6:$F$200)</f>
        <v>0</v>
      </c>
      <c r="J55" s="3">
        <f>SUMIF(VENTAS!$B$6:$B$200,RESUMEN!C55,VENTAS!$F$6:$F$200)</f>
        <v>0</v>
      </c>
      <c r="K55" s="3">
        <f>SUMIF(VENTAS!$B$6:$B$200,RESUMEN!C55,VENTAS!$G$6:$G$200)</f>
        <v>0</v>
      </c>
      <c r="L55" s="97">
        <f t="shared" si="9"/>
        <v>1626</v>
      </c>
      <c r="M55" s="96"/>
      <c r="N55" s="99">
        <f t="shared" si="1"/>
        <v>9</v>
      </c>
      <c r="O55" s="11">
        <f t="shared" si="30"/>
        <v>43305</v>
      </c>
      <c r="P55" s="3">
        <f t="shared" si="30"/>
        <v>63</v>
      </c>
      <c r="Q55" s="3">
        <f>SUMIF(MORTALIDAD!$J:$J,RESUMEN!O55,MORTALIDAD!$N:$N)</f>
        <v>-15</v>
      </c>
      <c r="R55" s="19">
        <f t="shared" si="11"/>
        <v>-521</v>
      </c>
      <c r="S55" s="3">
        <f>SUMIF(MORTALIDAD!$J:$J,RESUMEN!O55,MORTALIDAD!$O:$O)</f>
        <v>135</v>
      </c>
      <c r="T55" s="3">
        <f>SUMIF(TRASLADOS!$K:$K,RESUMEN!O55,TRASLADOS!$N:$N)</f>
        <v>0</v>
      </c>
      <c r="U55" s="3">
        <f>SUMIF(TRASLADOS!$K:$K,RESUMEN!O55,TRASLADOS!$O:$O)</f>
        <v>0</v>
      </c>
      <c r="V55" s="3">
        <f>SUMIF(VENTAS!$J:$J,RESUMEN!O55,VENTAS!$N:$N)</f>
        <v>0</v>
      </c>
      <c r="W55" s="3">
        <f>SUMIF(VENTAS!$J:$J,RESUMEN!O55,VENTAS!$O:$O)</f>
        <v>0</v>
      </c>
      <c r="X55" s="97">
        <f t="shared" si="12"/>
        <v>1679</v>
      </c>
      <c r="Y55" s="96"/>
      <c r="Z55" s="99">
        <f t="shared" si="2"/>
        <v>9</v>
      </c>
      <c r="AA55" s="11">
        <f t="shared" si="31"/>
        <v>43309</v>
      </c>
      <c r="AB55" s="3">
        <f t="shared" si="31"/>
        <v>62</v>
      </c>
      <c r="AC55" s="3">
        <f>SUMIF(MORTALIDAD!$R:$R,RESUMEN!AA55,MORTALIDAD!$V:$V)</f>
        <v>-15</v>
      </c>
      <c r="AD55" s="19">
        <f t="shared" si="14"/>
        <v>-416</v>
      </c>
      <c r="AE55" s="3">
        <f>SUMIF(MORTALIDAD!$R:$R,RESUMEN!AA55,MORTALIDAD!$W:$W)</f>
        <v>120</v>
      </c>
      <c r="AF55" s="3">
        <f>SUMIF(TRASLADOS!$T:$T,RESUMEN!AA55,TRASLADOS!$W:$W)</f>
        <v>0</v>
      </c>
      <c r="AG55" s="3">
        <f>SUMIF(TRASLADOS!$T:$T,RESUMEN!AA55,TRASLADOS!$X:$X)</f>
        <v>0</v>
      </c>
      <c r="AH55" s="3">
        <f>SUMIF(VENTAS!$R:$R,RESUMEN!AA55,VENTAS!$V:$V)</f>
        <v>0</v>
      </c>
      <c r="AI55" s="3">
        <f>SUMIF(VENTAS!$R:$R,RESUMEN!AA55,VENTAS!$W:$W)</f>
        <v>0</v>
      </c>
      <c r="AJ55" s="97">
        <f t="shared" si="15"/>
        <v>1784</v>
      </c>
      <c r="AK55" s="96"/>
      <c r="AL55" s="99">
        <f t="shared" si="3"/>
        <v>9</v>
      </c>
      <c r="AM55" s="11">
        <f t="shared" si="32"/>
        <v>43316</v>
      </c>
      <c r="AN55" s="3">
        <f t="shared" si="32"/>
        <v>62</v>
      </c>
      <c r="AO55" s="3">
        <f>SUMIF(MORTALIDAD!$Z:$Z,RESUMEN!AM55,MORTALIDAD!$AD:$AD)</f>
        <v>0</v>
      </c>
      <c r="AP55" s="19">
        <f t="shared" si="17"/>
        <v>-124</v>
      </c>
      <c r="AQ55" s="3">
        <f>SUMIF(MORTALIDAD!$Z:$Z,RESUMEN!AM55,MORTALIDAD!$AE:$AE)</f>
        <v>0</v>
      </c>
      <c r="AR55" s="3">
        <f>SUMIF(TRASLADOS!$AC:$AC,RESUMEN!AM55,TRASLADOS!$AF:$AF)</f>
        <v>0</v>
      </c>
      <c r="AS55" s="3">
        <f>SUMIF(TRASLADOS!$AC:$AC,RESUMEN!AM55,TRASLADOS!$AG:$AG)</f>
        <v>0</v>
      </c>
      <c r="AT55" s="3">
        <f>SUMIF(VENTAS!$Z:$Z,RESUMEN!AM55,VENTAS!$AD:$AD)</f>
        <v>0</v>
      </c>
      <c r="AU55" s="3">
        <f>SUMIF(VENTAS!$Z:$Z,RESUMEN!AM55,VENTAS!$AE:$AE)</f>
        <v>0</v>
      </c>
      <c r="AV55" s="97">
        <f t="shared" si="18"/>
        <v>2076</v>
      </c>
      <c r="AW55" s="96"/>
      <c r="AX55" s="99">
        <f t="shared" si="4"/>
        <v>9</v>
      </c>
      <c r="AY55" s="11">
        <f t="shared" si="33"/>
        <v>43323</v>
      </c>
      <c r="AZ55" s="3">
        <f t="shared" si="33"/>
        <v>62</v>
      </c>
      <c r="BA55" s="3">
        <f>SUMIF(MORTALIDAD!$AH:$AH,RESUMEN!AY55,MORTALIDAD!$AL:$AL)</f>
        <v>0</v>
      </c>
      <c r="BB55" s="19">
        <f t="shared" si="20"/>
        <v>-119</v>
      </c>
      <c r="BC55" s="3">
        <f>SUMIF(MORTALIDAD!$AH:$AH,RESUMEN!AY55,MORTALIDAD!$AM:$AM)</f>
        <v>0</v>
      </c>
      <c r="BD55" s="3">
        <f>SUMIF(TRASLADOS!$AL:$AL,RESUMEN!AY55,TRASLADOS!$AO:$AO)</f>
        <v>0</v>
      </c>
      <c r="BE55" s="3">
        <f>SUMIF(TRASLADOS!$AL:$AL,RESUMEN!AY55,TRASLADOS!$AP:$AP)</f>
        <v>0</v>
      </c>
      <c r="BF55" s="3">
        <f>SUMIF(VENTAS!$AH:$AH,RESUMEN!AY55,VENTAS!$AL:$AL)</f>
        <v>0</v>
      </c>
      <c r="BG55" s="3">
        <f>SUMIF(VENTAS!$AH:$AH,RESUMEN!AY55,VENTAS!$AM:$AM)</f>
        <v>0</v>
      </c>
      <c r="BH55" s="97">
        <f t="shared" si="21"/>
        <v>2081</v>
      </c>
      <c r="BI55" s="96"/>
      <c r="BJ55" s="99">
        <f t="shared" si="5"/>
        <v>10</v>
      </c>
      <c r="BK55" s="11">
        <f t="shared" si="34"/>
        <v>43332</v>
      </c>
      <c r="BL55" s="3">
        <f t="shared" si="34"/>
        <v>65</v>
      </c>
      <c r="BM55" s="3">
        <f>SUMIF(MORTALIDAD!$AP:$AP,RESUMEN!BK55,MORTALIDAD!$AT:$AT)</f>
        <v>0</v>
      </c>
      <c r="BN55" s="19">
        <f t="shared" si="23"/>
        <v>-73</v>
      </c>
      <c r="BO55" s="3">
        <f>SUMIF(MORTALIDAD!$AP$6:$AP$200,RESUMEN!BK55,MORTALIDAD!$AU$6:$AU$200)</f>
        <v>0</v>
      </c>
      <c r="BP55" s="3">
        <f>SUMIF(TRASLADOS!$AU:$AU,RESUMEN!BK55,TRASLADOS!$AX:$AX)</f>
        <v>0</v>
      </c>
      <c r="BQ55" s="3">
        <f>SUMIF(TRASLADOS!$AU:$AU,RESUMEN!BK55,TRASLADOS!$AY:$AY)</f>
        <v>0</v>
      </c>
      <c r="BR55" s="3">
        <f>SUMIF(VENTAS!$AP:$AP,RESUMEN!BK55,VENTAS!$AT:$AT)</f>
        <v>0</v>
      </c>
      <c r="BS55" s="3">
        <f>SUMIF(VENTAS!$AP:$AP,RESUMEN!BK55,VENTAS!$AU:$AU)</f>
        <v>0</v>
      </c>
      <c r="BT55" s="36">
        <f t="shared" si="24"/>
        <v>2241</v>
      </c>
    </row>
    <row r="56" spans="2:72" x14ac:dyDescent="0.2">
      <c r="B56" s="3">
        <f t="shared" si="0"/>
        <v>10</v>
      </c>
      <c r="C56" s="11">
        <f t="shared" si="35"/>
        <v>43303</v>
      </c>
      <c r="D56" s="3">
        <f t="shared" si="36"/>
        <v>65</v>
      </c>
      <c r="E56" s="3">
        <f>SUMIF(MORTALIDAD!$B$6:$B$200,RESUMEN!C56,MORTALIDAD!$F$6:$F$200)</f>
        <v>-22</v>
      </c>
      <c r="F56" s="17">
        <f t="shared" si="37"/>
        <v>-596</v>
      </c>
      <c r="G56" s="3">
        <f>SUMIF(MORTALIDAD!$B$6:$B$200,RESUMEN!C56,MORTALIDAD!$G$6:$G$200)</f>
        <v>186</v>
      </c>
      <c r="H56" s="3">
        <f>SUMIF(TRASLADOS!$B$6:$B$200,C56,TRASLADOS!$E$6:$E$200)</f>
        <v>0</v>
      </c>
      <c r="I56" s="3">
        <f>SUMIF(TRASLADOS!$B$6:$B$200,C56,TRASLADOS!$F$6:$F$200)</f>
        <v>0</v>
      </c>
      <c r="J56" s="3">
        <f>SUMIF(VENTAS!$B$6:$B$200,RESUMEN!C56,VENTAS!$F$6:$F$200)</f>
        <v>0</v>
      </c>
      <c r="K56" s="3">
        <f>SUMIF(VENTAS!$B$6:$B$200,RESUMEN!C56,VENTAS!$G$6:$G$200)</f>
        <v>0</v>
      </c>
      <c r="L56" s="97">
        <f t="shared" si="9"/>
        <v>1604</v>
      </c>
      <c r="M56" s="96"/>
      <c r="N56" s="99">
        <f t="shared" si="1"/>
        <v>10</v>
      </c>
      <c r="O56" s="11">
        <f t="shared" si="30"/>
        <v>43306</v>
      </c>
      <c r="P56" s="3">
        <f t="shared" si="30"/>
        <v>64</v>
      </c>
      <c r="Q56" s="3">
        <f>SUMIF(MORTALIDAD!$J:$J,RESUMEN!O56,MORTALIDAD!$N:$N)</f>
        <v>-23</v>
      </c>
      <c r="R56" s="19">
        <f t="shared" si="11"/>
        <v>-544</v>
      </c>
      <c r="S56" s="3">
        <f>SUMIF(MORTALIDAD!$J:$J,RESUMEN!O56,MORTALIDAD!$O:$O)</f>
        <v>180</v>
      </c>
      <c r="T56" s="3">
        <f>SUMIF(TRASLADOS!$K:$K,RESUMEN!O56,TRASLADOS!$N:$N)</f>
        <v>0</v>
      </c>
      <c r="U56" s="3">
        <f>SUMIF(TRASLADOS!$K:$K,RESUMEN!O56,TRASLADOS!$O:$O)</f>
        <v>0</v>
      </c>
      <c r="V56" s="3">
        <f>SUMIF(VENTAS!$J:$J,RESUMEN!O56,VENTAS!$N:$N)</f>
        <v>0</v>
      </c>
      <c r="W56" s="3">
        <f>SUMIF(VENTAS!$J:$J,RESUMEN!O56,VENTAS!$O:$O)</f>
        <v>0</v>
      </c>
      <c r="X56" s="97">
        <f t="shared" si="12"/>
        <v>1656</v>
      </c>
      <c r="Y56" s="96"/>
      <c r="Z56" s="99">
        <f t="shared" si="2"/>
        <v>9</v>
      </c>
      <c r="AA56" s="11">
        <f t="shared" si="31"/>
        <v>43310</v>
      </c>
      <c r="AB56" s="3">
        <f t="shared" si="31"/>
        <v>63</v>
      </c>
      <c r="AC56" s="3">
        <f>SUMIF(MORTALIDAD!$R:$R,RESUMEN!AA56,MORTALIDAD!$V:$V)</f>
        <v>-14</v>
      </c>
      <c r="AD56" s="19">
        <f t="shared" si="14"/>
        <v>-430</v>
      </c>
      <c r="AE56" s="3">
        <f>SUMIF(MORTALIDAD!$R:$R,RESUMEN!AA56,MORTALIDAD!$W:$W)</f>
        <v>102</v>
      </c>
      <c r="AF56" s="3">
        <f>SUMIF(TRASLADOS!$T:$T,RESUMEN!AA56,TRASLADOS!$W:$W)</f>
        <v>0</v>
      </c>
      <c r="AG56" s="3">
        <f>SUMIF(TRASLADOS!$T:$T,RESUMEN!AA56,TRASLADOS!$X:$X)</f>
        <v>0</v>
      </c>
      <c r="AH56" s="3">
        <f>SUMIF(VENTAS!$R:$R,RESUMEN!AA56,VENTAS!$V:$V)</f>
        <v>0</v>
      </c>
      <c r="AI56" s="3">
        <f>SUMIF(VENTAS!$R:$R,RESUMEN!AA56,VENTAS!$W:$W)</f>
        <v>0</v>
      </c>
      <c r="AJ56" s="97">
        <f t="shared" si="15"/>
        <v>1770</v>
      </c>
      <c r="AK56" s="96"/>
      <c r="AL56" s="99">
        <f t="shared" si="3"/>
        <v>9</v>
      </c>
      <c r="AM56" s="11">
        <f t="shared" si="32"/>
        <v>43317</v>
      </c>
      <c r="AN56" s="3">
        <f t="shared" si="32"/>
        <v>63</v>
      </c>
      <c r="AO56" s="3">
        <f>SUMIF(MORTALIDAD!$Z:$Z,RESUMEN!AM56,MORTALIDAD!$AD:$AD)</f>
        <v>0</v>
      </c>
      <c r="AP56" s="19">
        <f t="shared" si="17"/>
        <v>-124</v>
      </c>
      <c r="AQ56" s="3">
        <f>SUMIF(MORTALIDAD!$Z:$Z,RESUMEN!AM56,MORTALIDAD!$AE:$AE)</f>
        <v>0</v>
      </c>
      <c r="AR56" s="3">
        <f>SUMIF(TRASLADOS!$AC:$AC,RESUMEN!AM56,TRASLADOS!$AF:$AF)</f>
        <v>0</v>
      </c>
      <c r="AS56" s="3">
        <f>SUMIF(TRASLADOS!$AC:$AC,RESUMEN!AM56,TRASLADOS!$AG:$AG)</f>
        <v>0</v>
      </c>
      <c r="AT56" s="3">
        <f>SUMIF(VENTAS!$Z:$Z,RESUMEN!AM56,VENTAS!$AD:$AD)</f>
        <v>0</v>
      </c>
      <c r="AU56" s="3">
        <f>SUMIF(VENTAS!$Z:$Z,RESUMEN!AM56,VENTAS!$AE:$AE)</f>
        <v>0</v>
      </c>
      <c r="AV56" s="97">
        <f t="shared" si="18"/>
        <v>2076</v>
      </c>
      <c r="AW56" s="96"/>
      <c r="AX56" s="99">
        <f t="shared" si="4"/>
        <v>9</v>
      </c>
      <c r="AY56" s="11">
        <f t="shared" si="33"/>
        <v>43324</v>
      </c>
      <c r="AZ56" s="3">
        <f t="shared" si="33"/>
        <v>63</v>
      </c>
      <c r="BA56" s="3">
        <f>SUMIF(MORTALIDAD!$AH:$AH,RESUMEN!AY56,MORTALIDAD!$AL:$AL)</f>
        <v>0</v>
      </c>
      <c r="BB56" s="19">
        <f t="shared" si="20"/>
        <v>-119</v>
      </c>
      <c r="BC56" s="3">
        <f>SUMIF(MORTALIDAD!$AH:$AH,RESUMEN!AY56,MORTALIDAD!$AM:$AM)</f>
        <v>0</v>
      </c>
      <c r="BD56" s="3">
        <f>SUMIF(TRASLADOS!$AL:$AL,RESUMEN!AY56,TRASLADOS!$AO:$AO)</f>
        <v>0</v>
      </c>
      <c r="BE56" s="3">
        <f>SUMIF(TRASLADOS!$AL:$AL,RESUMEN!AY56,TRASLADOS!$AP:$AP)</f>
        <v>0</v>
      </c>
      <c r="BF56" s="3">
        <f>SUMIF(VENTAS!$AH:$AH,RESUMEN!AY56,VENTAS!$AL:$AL)</f>
        <v>0</v>
      </c>
      <c r="BG56" s="3">
        <f>SUMIF(VENTAS!$AH:$AH,RESUMEN!AY56,VENTAS!$AM:$AM)</f>
        <v>0</v>
      </c>
      <c r="BH56" s="97">
        <f t="shared" si="21"/>
        <v>2081</v>
      </c>
      <c r="BI56" s="96"/>
      <c r="BJ56" s="99">
        <f t="shared" si="5"/>
        <v>10</v>
      </c>
      <c r="BK56" s="11">
        <f t="shared" si="34"/>
        <v>43333</v>
      </c>
      <c r="BL56" s="3">
        <f t="shared" si="34"/>
        <v>66</v>
      </c>
      <c r="BM56" s="3">
        <f>SUMIF(MORTALIDAD!$AP:$AP,RESUMEN!BK56,MORTALIDAD!$AT:$AT)</f>
        <v>0</v>
      </c>
      <c r="BN56" s="19">
        <f t="shared" si="23"/>
        <v>-73</v>
      </c>
      <c r="BO56" s="3">
        <f>SUMIF(MORTALIDAD!$AP$6:$AP$200,RESUMEN!BK56,MORTALIDAD!$AU$6:$AU$200)</f>
        <v>0</v>
      </c>
      <c r="BP56" s="3">
        <f>SUMIF(TRASLADOS!$AU:$AU,RESUMEN!BK56,TRASLADOS!$AX:$AX)</f>
        <v>0</v>
      </c>
      <c r="BQ56" s="3">
        <f>SUMIF(TRASLADOS!$AU:$AU,RESUMEN!BK56,TRASLADOS!$AY:$AY)</f>
        <v>0</v>
      </c>
      <c r="BR56" s="3">
        <f>SUMIF(VENTAS!$AP:$AP,RESUMEN!BK56,VENTAS!$AT:$AT)</f>
        <v>0</v>
      </c>
      <c r="BS56" s="3">
        <f>SUMIF(VENTAS!$AP:$AP,RESUMEN!BK56,VENTAS!$AU:$AU)</f>
        <v>0</v>
      </c>
      <c r="BT56" s="36">
        <f t="shared" si="24"/>
        <v>2241</v>
      </c>
    </row>
    <row r="57" spans="2:72" x14ac:dyDescent="0.2">
      <c r="B57" s="3">
        <f t="shared" si="0"/>
        <v>10</v>
      </c>
      <c r="C57" s="11">
        <f t="shared" si="35"/>
        <v>43304</v>
      </c>
      <c r="D57" s="3">
        <f t="shared" si="36"/>
        <v>66</v>
      </c>
      <c r="E57" s="3">
        <f>SUMIF(MORTALIDAD!$B$6:$B$200,RESUMEN!C57,MORTALIDAD!$F$6:$F$200)</f>
        <v>-22</v>
      </c>
      <c r="F57" s="17">
        <f t="shared" si="37"/>
        <v>-618</v>
      </c>
      <c r="G57" s="3">
        <f>SUMIF(MORTALIDAD!$B$6:$B$200,RESUMEN!C57,MORTALIDAD!$G$6:$G$200)</f>
        <v>174</v>
      </c>
      <c r="H57" s="3">
        <f>SUMIF(TRASLADOS!$B$6:$B$200,C57,TRASLADOS!$E$6:$E$200)</f>
        <v>0</v>
      </c>
      <c r="I57" s="3">
        <f>SUMIF(TRASLADOS!$B$6:$B$200,C57,TRASLADOS!$F$6:$F$200)</f>
        <v>0</v>
      </c>
      <c r="J57" s="3">
        <f>SUMIF(VENTAS!$B$6:$B$200,RESUMEN!C57,VENTAS!$F$6:$F$200)</f>
        <v>0</v>
      </c>
      <c r="K57" s="3">
        <f>SUMIF(VENTAS!$B$6:$B$200,RESUMEN!C57,VENTAS!$G$6:$G$200)</f>
        <v>0</v>
      </c>
      <c r="L57" s="97">
        <f t="shared" si="9"/>
        <v>1582</v>
      </c>
      <c r="M57" s="96"/>
      <c r="N57" s="99">
        <f t="shared" si="1"/>
        <v>10</v>
      </c>
      <c r="O57" s="11">
        <f t="shared" si="30"/>
        <v>43307</v>
      </c>
      <c r="P57" s="3">
        <f t="shared" si="30"/>
        <v>65</v>
      </c>
      <c r="Q57" s="3">
        <f>SUMIF(MORTALIDAD!$J:$J,RESUMEN!O57,MORTALIDAD!$N:$N)</f>
        <v>-21</v>
      </c>
      <c r="R57" s="19">
        <f t="shared" si="11"/>
        <v>-565</v>
      </c>
      <c r="S57" s="3">
        <f>SUMIF(MORTALIDAD!$J:$J,RESUMEN!O57,MORTALIDAD!$O:$O)</f>
        <v>211</v>
      </c>
      <c r="T57" s="3">
        <f>SUMIF(TRASLADOS!$K:$K,RESUMEN!O57,TRASLADOS!$N:$N)</f>
        <v>0</v>
      </c>
      <c r="U57" s="3">
        <f>SUMIF(TRASLADOS!$K:$K,RESUMEN!O57,TRASLADOS!$O:$O)</f>
        <v>0</v>
      </c>
      <c r="V57" s="3">
        <f>SUMIF(VENTAS!$J:$J,RESUMEN!O57,VENTAS!$N:$N)</f>
        <v>0</v>
      </c>
      <c r="W57" s="3">
        <f>SUMIF(VENTAS!$J:$J,RESUMEN!O57,VENTAS!$O:$O)</f>
        <v>0</v>
      </c>
      <c r="X57" s="97">
        <f t="shared" si="12"/>
        <v>1635</v>
      </c>
      <c r="Y57" s="96"/>
      <c r="Z57" s="99">
        <f t="shared" si="2"/>
        <v>10</v>
      </c>
      <c r="AA57" s="11">
        <f t="shared" si="31"/>
        <v>43311</v>
      </c>
      <c r="AB57" s="3">
        <f t="shared" si="31"/>
        <v>64</v>
      </c>
      <c r="AC57" s="3">
        <f>SUMIF(MORTALIDAD!$R:$R,RESUMEN!AA57,MORTALIDAD!$V:$V)</f>
        <v>-13</v>
      </c>
      <c r="AD57" s="19">
        <f t="shared" si="14"/>
        <v>-443</v>
      </c>
      <c r="AE57" s="3">
        <f>SUMIF(MORTALIDAD!$R:$R,RESUMEN!AA57,MORTALIDAD!$W:$W)</f>
        <v>99</v>
      </c>
      <c r="AF57" s="3">
        <f>SUMIF(TRASLADOS!$T:$T,RESUMEN!AA57,TRASLADOS!$W:$W)</f>
        <v>0</v>
      </c>
      <c r="AG57" s="3">
        <f>SUMIF(TRASLADOS!$T:$T,RESUMEN!AA57,TRASLADOS!$X:$X)</f>
        <v>0</v>
      </c>
      <c r="AH57" s="3">
        <f>SUMIF(VENTAS!$R:$R,RESUMEN!AA57,VENTAS!$V:$V)</f>
        <v>0</v>
      </c>
      <c r="AI57" s="3">
        <f>SUMIF(VENTAS!$R:$R,RESUMEN!AA57,VENTAS!$W:$W)</f>
        <v>0</v>
      </c>
      <c r="AJ57" s="97">
        <f t="shared" si="15"/>
        <v>1757</v>
      </c>
      <c r="AK57" s="96"/>
      <c r="AL57" s="99">
        <f t="shared" si="3"/>
        <v>10</v>
      </c>
      <c r="AM57" s="11">
        <f t="shared" si="32"/>
        <v>43318</v>
      </c>
      <c r="AN57" s="3">
        <f t="shared" si="32"/>
        <v>64</v>
      </c>
      <c r="AO57" s="3">
        <f>SUMIF(MORTALIDAD!$Z:$Z,RESUMEN!AM57,MORTALIDAD!$AD:$AD)</f>
        <v>0</v>
      </c>
      <c r="AP57" s="19">
        <f t="shared" si="17"/>
        <v>-124</v>
      </c>
      <c r="AQ57" s="3">
        <f>SUMIF(MORTALIDAD!$Z:$Z,RESUMEN!AM57,MORTALIDAD!$AE:$AE)</f>
        <v>0</v>
      </c>
      <c r="AR57" s="3">
        <f>SUMIF(TRASLADOS!$AC:$AC,RESUMEN!AM57,TRASLADOS!$AF:$AF)</f>
        <v>0</v>
      </c>
      <c r="AS57" s="3">
        <f>SUMIF(TRASLADOS!$AC:$AC,RESUMEN!AM57,TRASLADOS!$AG:$AG)</f>
        <v>0</v>
      </c>
      <c r="AT57" s="3">
        <f>SUMIF(VENTAS!$Z:$Z,RESUMEN!AM57,VENTAS!$AD:$AD)</f>
        <v>0</v>
      </c>
      <c r="AU57" s="3">
        <f>SUMIF(VENTAS!$Z:$Z,RESUMEN!AM57,VENTAS!$AE:$AE)</f>
        <v>0</v>
      </c>
      <c r="AV57" s="97">
        <f t="shared" si="18"/>
        <v>2076</v>
      </c>
      <c r="AW57" s="96"/>
      <c r="AX57" s="99">
        <f t="shared" si="4"/>
        <v>10</v>
      </c>
      <c r="AY57" s="11">
        <f t="shared" si="33"/>
        <v>43325</v>
      </c>
      <c r="AZ57" s="3">
        <f t="shared" si="33"/>
        <v>64</v>
      </c>
      <c r="BA57" s="3">
        <f>SUMIF(MORTALIDAD!$AH:$AH,RESUMEN!AY57,MORTALIDAD!$AL:$AL)</f>
        <v>0</v>
      </c>
      <c r="BB57" s="19">
        <f t="shared" si="20"/>
        <v>-119</v>
      </c>
      <c r="BC57" s="3">
        <f>SUMIF(MORTALIDAD!$AH:$AH,RESUMEN!AY57,MORTALIDAD!$AM:$AM)</f>
        <v>0</v>
      </c>
      <c r="BD57" s="3">
        <f>SUMIF(TRASLADOS!$AL:$AL,RESUMEN!AY57,TRASLADOS!$AO:$AO)</f>
        <v>0</v>
      </c>
      <c r="BE57" s="3">
        <f>SUMIF(TRASLADOS!$AL:$AL,RESUMEN!AY57,TRASLADOS!$AP:$AP)</f>
        <v>0</v>
      </c>
      <c r="BF57" s="3">
        <f>SUMIF(VENTAS!$AH:$AH,RESUMEN!AY57,VENTAS!$AL:$AL)</f>
        <v>0</v>
      </c>
      <c r="BG57" s="3">
        <f>SUMIF(VENTAS!$AH:$AH,RESUMEN!AY57,VENTAS!$AM:$AM)</f>
        <v>0</v>
      </c>
      <c r="BH57" s="97">
        <f t="shared" si="21"/>
        <v>2081</v>
      </c>
      <c r="BI57" s="96"/>
      <c r="BJ57" s="99">
        <f t="shared" si="5"/>
        <v>10</v>
      </c>
      <c r="BK57" s="11">
        <f t="shared" si="34"/>
        <v>43334</v>
      </c>
      <c r="BL57" s="3">
        <f t="shared" si="34"/>
        <v>67</v>
      </c>
      <c r="BM57" s="3">
        <f>SUMIF(MORTALIDAD!$AP:$AP,RESUMEN!BK57,MORTALIDAD!$AT:$AT)</f>
        <v>0</v>
      </c>
      <c r="BN57" s="19">
        <f t="shared" si="23"/>
        <v>-73</v>
      </c>
      <c r="BO57" s="3">
        <f>SUMIF(MORTALIDAD!$AP$6:$AP$200,RESUMEN!BK57,MORTALIDAD!$AU$6:$AU$200)</f>
        <v>0</v>
      </c>
      <c r="BP57" s="3">
        <f>SUMIF(TRASLADOS!$AU:$AU,RESUMEN!BK57,TRASLADOS!$AX:$AX)</f>
        <v>0</v>
      </c>
      <c r="BQ57" s="3">
        <f>SUMIF(TRASLADOS!$AU:$AU,RESUMEN!BK57,TRASLADOS!$AY:$AY)</f>
        <v>0</v>
      </c>
      <c r="BR57" s="3">
        <f>SUMIF(VENTAS!$AP:$AP,RESUMEN!BK57,VENTAS!$AT:$AT)</f>
        <v>0</v>
      </c>
      <c r="BS57" s="3">
        <f>SUMIF(VENTAS!$AP:$AP,RESUMEN!BK57,VENTAS!$AU:$AU)</f>
        <v>0</v>
      </c>
      <c r="BT57" s="36">
        <f t="shared" si="24"/>
        <v>2241</v>
      </c>
    </row>
    <row r="58" spans="2:72" x14ac:dyDescent="0.2">
      <c r="B58" s="3">
        <f t="shared" si="0"/>
        <v>10</v>
      </c>
      <c r="C58" s="11">
        <f t="shared" si="35"/>
        <v>43305</v>
      </c>
      <c r="D58" s="3">
        <f t="shared" si="36"/>
        <v>67</v>
      </c>
      <c r="E58" s="3">
        <f>SUMIF(MORTALIDAD!$B$6:$B$200,RESUMEN!C58,MORTALIDAD!$F$6:$F$200)</f>
        <v>-15</v>
      </c>
      <c r="F58" s="17">
        <f t="shared" si="37"/>
        <v>-633</v>
      </c>
      <c r="G58" s="3">
        <f>SUMIF(MORTALIDAD!$B$6:$B$200,RESUMEN!C58,MORTALIDAD!$G$6:$G$200)</f>
        <v>133</v>
      </c>
      <c r="H58" s="3">
        <f>SUMIF(TRASLADOS!$B$6:$B$200,C58,TRASLADOS!$E$6:$E$200)</f>
        <v>0</v>
      </c>
      <c r="I58" s="3">
        <f>SUMIF(TRASLADOS!$B$6:$B$200,C58,TRASLADOS!$F$6:$F$200)</f>
        <v>0</v>
      </c>
      <c r="J58" s="3">
        <f>SUMIF(VENTAS!$B$6:$B$200,RESUMEN!C58,VENTAS!$F$6:$F$200)</f>
        <v>0</v>
      </c>
      <c r="K58" s="3">
        <f>SUMIF(VENTAS!$B$6:$B$200,RESUMEN!C58,VENTAS!$G$6:$G$200)</f>
        <v>0</v>
      </c>
      <c r="L58" s="97">
        <f t="shared" si="9"/>
        <v>1567</v>
      </c>
      <c r="M58" s="96"/>
      <c r="N58" s="99">
        <f t="shared" si="1"/>
        <v>10</v>
      </c>
      <c r="O58" s="11">
        <f t="shared" si="30"/>
        <v>43308</v>
      </c>
      <c r="P58" s="3">
        <f t="shared" si="30"/>
        <v>66</v>
      </c>
      <c r="Q58" s="3">
        <f>SUMIF(MORTALIDAD!$J:$J,RESUMEN!O58,MORTALIDAD!$N:$N)</f>
        <v>-33</v>
      </c>
      <c r="R58" s="19">
        <f t="shared" si="11"/>
        <v>-598</v>
      </c>
      <c r="S58" s="3">
        <f>SUMIF(MORTALIDAD!$J:$J,RESUMEN!O58,MORTALIDAD!$O:$O)</f>
        <v>342</v>
      </c>
      <c r="T58" s="3">
        <f>SUMIF(TRASLADOS!$K:$K,RESUMEN!O58,TRASLADOS!$N:$N)</f>
        <v>0</v>
      </c>
      <c r="U58" s="3">
        <f>SUMIF(TRASLADOS!$K:$K,RESUMEN!O58,TRASLADOS!$O:$O)</f>
        <v>0</v>
      </c>
      <c r="V58" s="3">
        <f>SUMIF(VENTAS!$J:$J,RESUMEN!O58,VENTAS!$N:$N)</f>
        <v>0</v>
      </c>
      <c r="W58" s="3">
        <f>SUMIF(VENTAS!$J:$J,RESUMEN!O58,VENTAS!$O:$O)</f>
        <v>0</v>
      </c>
      <c r="X58" s="97">
        <f t="shared" si="12"/>
        <v>1602</v>
      </c>
      <c r="Y58" s="96"/>
      <c r="Z58" s="99">
        <f t="shared" si="2"/>
        <v>10</v>
      </c>
      <c r="AA58" s="11">
        <f t="shared" si="31"/>
        <v>43312</v>
      </c>
      <c r="AB58" s="3">
        <f t="shared" si="31"/>
        <v>65</v>
      </c>
      <c r="AC58" s="3">
        <f>SUMIF(MORTALIDAD!$R:$R,RESUMEN!AA58,MORTALIDAD!$V:$V)</f>
        <v>-20</v>
      </c>
      <c r="AD58" s="19">
        <f t="shared" si="14"/>
        <v>-463</v>
      </c>
      <c r="AE58" s="3">
        <f>SUMIF(MORTALIDAD!$R:$R,RESUMEN!AA58,MORTALIDAD!$W:$W)</f>
        <v>128</v>
      </c>
      <c r="AF58" s="3">
        <f>SUMIF(TRASLADOS!$T:$T,RESUMEN!AA58,TRASLADOS!$W:$W)</f>
        <v>0</v>
      </c>
      <c r="AG58" s="3">
        <f>SUMIF(TRASLADOS!$T:$T,RESUMEN!AA58,TRASLADOS!$X:$X)</f>
        <v>0</v>
      </c>
      <c r="AH58" s="3">
        <f>SUMIF(VENTAS!$R:$R,RESUMEN!AA58,VENTAS!$V:$V)</f>
        <v>0</v>
      </c>
      <c r="AI58" s="3">
        <f>SUMIF(VENTAS!$R:$R,RESUMEN!AA58,VENTAS!$W:$W)</f>
        <v>0</v>
      </c>
      <c r="AJ58" s="97">
        <f t="shared" si="15"/>
        <v>1737</v>
      </c>
      <c r="AK58" s="96"/>
      <c r="AL58" s="99">
        <f t="shared" si="3"/>
        <v>10</v>
      </c>
      <c r="AM58" s="11">
        <f t="shared" si="32"/>
        <v>43319</v>
      </c>
      <c r="AN58" s="3">
        <f t="shared" si="32"/>
        <v>65</v>
      </c>
      <c r="AO58" s="3">
        <f>SUMIF(MORTALIDAD!$Z:$Z,RESUMEN!AM58,MORTALIDAD!$AD:$AD)</f>
        <v>0</v>
      </c>
      <c r="AP58" s="19">
        <f t="shared" si="17"/>
        <v>-124</v>
      </c>
      <c r="AQ58" s="3">
        <f>SUMIF(MORTALIDAD!$Z:$Z,RESUMEN!AM58,MORTALIDAD!$AE:$AE)</f>
        <v>0</v>
      </c>
      <c r="AR58" s="3">
        <f>SUMIF(TRASLADOS!$AC:$AC,RESUMEN!AM58,TRASLADOS!$AF:$AF)</f>
        <v>0</v>
      </c>
      <c r="AS58" s="3">
        <f>SUMIF(TRASLADOS!$AC:$AC,RESUMEN!AM58,TRASLADOS!$AG:$AG)</f>
        <v>0</v>
      </c>
      <c r="AT58" s="3">
        <f>SUMIF(VENTAS!$Z:$Z,RESUMEN!AM58,VENTAS!$AD:$AD)</f>
        <v>0</v>
      </c>
      <c r="AU58" s="3">
        <f>SUMIF(VENTAS!$Z:$Z,RESUMEN!AM58,VENTAS!$AE:$AE)</f>
        <v>0</v>
      </c>
      <c r="AV58" s="97">
        <f t="shared" si="18"/>
        <v>2076</v>
      </c>
      <c r="AW58" s="96"/>
      <c r="AX58" s="99">
        <f t="shared" si="4"/>
        <v>10</v>
      </c>
      <c r="AY58" s="11">
        <f t="shared" si="33"/>
        <v>43326</v>
      </c>
      <c r="AZ58" s="3">
        <f t="shared" si="33"/>
        <v>65</v>
      </c>
      <c r="BA58" s="3">
        <f>SUMIF(MORTALIDAD!$AH:$AH,RESUMEN!AY58,MORTALIDAD!$AL:$AL)</f>
        <v>0</v>
      </c>
      <c r="BB58" s="19">
        <f t="shared" si="20"/>
        <v>-119</v>
      </c>
      <c r="BC58" s="3">
        <f>SUMIF(MORTALIDAD!$AH:$AH,RESUMEN!AY58,MORTALIDAD!$AM:$AM)</f>
        <v>0</v>
      </c>
      <c r="BD58" s="3">
        <f>SUMIF(TRASLADOS!$AL:$AL,RESUMEN!AY58,TRASLADOS!$AO:$AO)</f>
        <v>0</v>
      </c>
      <c r="BE58" s="3">
        <f>SUMIF(TRASLADOS!$AL:$AL,RESUMEN!AY58,TRASLADOS!$AP:$AP)</f>
        <v>0</v>
      </c>
      <c r="BF58" s="3">
        <f>SUMIF(VENTAS!$AH:$AH,RESUMEN!AY58,VENTAS!$AL:$AL)</f>
        <v>0</v>
      </c>
      <c r="BG58" s="3">
        <f>SUMIF(VENTAS!$AH:$AH,RESUMEN!AY58,VENTAS!$AM:$AM)</f>
        <v>0</v>
      </c>
      <c r="BH58" s="97">
        <f t="shared" si="21"/>
        <v>2081</v>
      </c>
      <c r="BI58" s="96"/>
      <c r="BJ58" s="99">
        <f t="shared" si="5"/>
        <v>10</v>
      </c>
      <c r="BK58" s="11">
        <f t="shared" si="34"/>
        <v>43335</v>
      </c>
      <c r="BL58" s="3">
        <f t="shared" si="34"/>
        <v>68</v>
      </c>
      <c r="BM58" s="3">
        <f>SUMIF(MORTALIDAD!$AP:$AP,RESUMEN!BK58,MORTALIDAD!$AT:$AT)</f>
        <v>0</v>
      </c>
      <c r="BN58" s="19">
        <f t="shared" si="23"/>
        <v>-73</v>
      </c>
      <c r="BO58" s="3">
        <f>SUMIF(MORTALIDAD!$AP$6:$AP$200,RESUMEN!BK58,MORTALIDAD!$AU$6:$AU$200)</f>
        <v>0</v>
      </c>
      <c r="BP58" s="3">
        <f>SUMIF(TRASLADOS!$AU:$AU,RESUMEN!BK58,TRASLADOS!$AX:$AX)</f>
        <v>0</v>
      </c>
      <c r="BQ58" s="3">
        <f>SUMIF(TRASLADOS!$AU:$AU,RESUMEN!BK58,TRASLADOS!$AY:$AY)</f>
        <v>0</v>
      </c>
      <c r="BR58" s="3">
        <f>SUMIF(VENTAS!$AP:$AP,RESUMEN!BK58,VENTAS!$AT:$AT)</f>
        <v>0</v>
      </c>
      <c r="BS58" s="3">
        <f>SUMIF(VENTAS!$AP:$AP,RESUMEN!BK58,VENTAS!$AU:$AU)</f>
        <v>0</v>
      </c>
      <c r="BT58" s="36">
        <f t="shared" si="24"/>
        <v>2241</v>
      </c>
    </row>
    <row r="59" spans="2:72" x14ac:dyDescent="0.2">
      <c r="B59" s="3">
        <f t="shared" si="0"/>
        <v>10</v>
      </c>
      <c r="C59" s="11">
        <f t="shared" si="35"/>
        <v>43306</v>
      </c>
      <c r="D59" s="3">
        <f t="shared" si="36"/>
        <v>68</v>
      </c>
      <c r="E59" s="3">
        <f>SUMIF(MORTALIDAD!$B$6:$B$200,RESUMEN!C59,MORTALIDAD!$F$6:$F$200)</f>
        <v>-19</v>
      </c>
      <c r="F59" s="17">
        <f t="shared" si="37"/>
        <v>-652</v>
      </c>
      <c r="G59" s="3">
        <f>SUMIF(MORTALIDAD!$B$6:$B$200,RESUMEN!C59,MORTALIDAD!$G$6:$G$200)</f>
        <v>149</v>
      </c>
      <c r="H59" s="3">
        <f>SUMIF(TRASLADOS!$B$6:$B$200,C59,TRASLADOS!$E$6:$E$200)</f>
        <v>0</v>
      </c>
      <c r="I59" s="3">
        <f>SUMIF(TRASLADOS!$B$6:$B$200,C59,TRASLADOS!$F$6:$F$200)</f>
        <v>0</v>
      </c>
      <c r="J59" s="3">
        <f>SUMIF(VENTAS!$B$6:$B$200,RESUMEN!C59,VENTAS!$F$6:$F$200)</f>
        <v>0</v>
      </c>
      <c r="K59" s="3">
        <f>SUMIF(VENTAS!$B$6:$B$200,RESUMEN!C59,VENTAS!$G$6:$G$200)</f>
        <v>0</v>
      </c>
      <c r="L59" s="97">
        <f t="shared" si="9"/>
        <v>1548</v>
      </c>
      <c r="M59" s="96"/>
      <c r="N59" s="99">
        <f t="shared" si="1"/>
        <v>10</v>
      </c>
      <c r="O59" s="11">
        <f t="shared" si="30"/>
        <v>43309</v>
      </c>
      <c r="P59" s="3">
        <f t="shared" si="30"/>
        <v>67</v>
      </c>
      <c r="Q59" s="3">
        <f>SUMIF(MORTALIDAD!$J:$J,RESUMEN!O59,MORTALIDAD!$N:$N)</f>
        <v>-20</v>
      </c>
      <c r="R59" s="19">
        <f t="shared" si="11"/>
        <v>-618</v>
      </c>
      <c r="S59" s="3">
        <f>SUMIF(MORTALIDAD!$J:$J,RESUMEN!O59,MORTALIDAD!$O:$O)</f>
        <v>194</v>
      </c>
      <c r="T59" s="3">
        <f>SUMIF(TRASLADOS!$K:$K,RESUMEN!O59,TRASLADOS!$N:$N)</f>
        <v>0</v>
      </c>
      <c r="U59" s="3">
        <f>SUMIF(TRASLADOS!$K:$K,RESUMEN!O59,TRASLADOS!$O:$O)</f>
        <v>0</v>
      </c>
      <c r="V59" s="3">
        <f>SUMIF(VENTAS!$J:$J,RESUMEN!O59,VENTAS!$N:$N)</f>
        <v>0</v>
      </c>
      <c r="W59" s="3">
        <f>SUMIF(VENTAS!$J:$J,RESUMEN!O59,VENTAS!$O:$O)</f>
        <v>0</v>
      </c>
      <c r="X59" s="97">
        <f t="shared" si="12"/>
        <v>1582</v>
      </c>
      <c r="Y59" s="96"/>
      <c r="Z59" s="99">
        <f t="shared" si="2"/>
        <v>10</v>
      </c>
      <c r="AA59" s="11">
        <f t="shared" si="31"/>
        <v>43313</v>
      </c>
      <c r="AB59" s="3">
        <f t="shared" si="31"/>
        <v>66</v>
      </c>
      <c r="AC59" s="3">
        <f>SUMIF(MORTALIDAD!$R:$R,RESUMEN!AA59,MORTALIDAD!$V:$V)</f>
        <v>-13</v>
      </c>
      <c r="AD59" s="19">
        <f t="shared" si="14"/>
        <v>-476</v>
      </c>
      <c r="AE59" s="3">
        <f>SUMIF(MORTALIDAD!$R:$R,RESUMEN!AA59,MORTALIDAD!$W:$W)</f>
        <v>77</v>
      </c>
      <c r="AF59" s="3">
        <f>SUMIF(TRASLADOS!$T:$T,RESUMEN!AA59,TRASLADOS!$W:$W)</f>
        <v>0</v>
      </c>
      <c r="AG59" s="3">
        <f>SUMIF(TRASLADOS!$T:$T,RESUMEN!AA59,TRASLADOS!$X:$X)</f>
        <v>0</v>
      </c>
      <c r="AH59" s="3">
        <f>SUMIF(VENTAS!$R:$R,RESUMEN!AA59,VENTAS!$V:$V)</f>
        <v>0</v>
      </c>
      <c r="AI59" s="3">
        <f>SUMIF(VENTAS!$R:$R,RESUMEN!AA59,VENTAS!$W:$W)</f>
        <v>0</v>
      </c>
      <c r="AJ59" s="97">
        <f t="shared" si="15"/>
        <v>1724</v>
      </c>
      <c r="AK59" s="96"/>
      <c r="AL59" s="99">
        <f t="shared" si="3"/>
        <v>10</v>
      </c>
      <c r="AM59" s="11">
        <f t="shared" si="32"/>
        <v>43320</v>
      </c>
      <c r="AN59" s="3">
        <f t="shared" si="32"/>
        <v>66</v>
      </c>
      <c r="AO59" s="3">
        <f>SUMIF(MORTALIDAD!$Z:$Z,RESUMEN!AM59,MORTALIDAD!$AD:$AD)</f>
        <v>0</v>
      </c>
      <c r="AP59" s="19">
        <f t="shared" si="17"/>
        <v>-124</v>
      </c>
      <c r="AQ59" s="3">
        <f>SUMIF(MORTALIDAD!$Z:$Z,RESUMEN!AM59,MORTALIDAD!$AE:$AE)</f>
        <v>0</v>
      </c>
      <c r="AR59" s="3">
        <f>SUMIF(TRASLADOS!$AC:$AC,RESUMEN!AM59,TRASLADOS!$AF:$AF)</f>
        <v>0</v>
      </c>
      <c r="AS59" s="3">
        <f>SUMIF(TRASLADOS!$AC:$AC,RESUMEN!AM59,TRASLADOS!$AG:$AG)</f>
        <v>0</v>
      </c>
      <c r="AT59" s="3">
        <f>SUMIF(VENTAS!$Z:$Z,RESUMEN!AM59,VENTAS!$AD:$AD)</f>
        <v>0</v>
      </c>
      <c r="AU59" s="3">
        <f>SUMIF(VENTAS!$Z:$Z,RESUMEN!AM59,VENTAS!$AE:$AE)</f>
        <v>0</v>
      </c>
      <c r="AV59" s="97">
        <f t="shared" si="18"/>
        <v>2076</v>
      </c>
      <c r="AW59" s="96"/>
      <c r="AX59" s="99">
        <f t="shared" si="4"/>
        <v>10</v>
      </c>
      <c r="AY59" s="11">
        <f t="shared" si="33"/>
        <v>43327</v>
      </c>
      <c r="AZ59" s="3">
        <f t="shared" si="33"/>
        <v>66</v>
      </c>
      <c r="BA59" s="3">
        <f>SUMIF(MORTALIDAD!$AH:$AH,RESUMEN!AY59,MORTALIDAD!$AL:$AL)</f>
        <v>0</v>
      </c>
      <c r="BB59" s="19">
        <f t="shared" si="20"/>
        <v>-119</v>
      </c>
      <c r="BC59" s="3">
        <f>SUMIF(MORTALIDAD!$AH:$AH,RESUMEN!AY59,MORTALIDAD!$AM:$AM)</f>
        <v>0</v>
      </c>
      <c r="BD59" s="3">
        <f>SUMIF(TRASLADOS!$AL:$AL,RESUMEN!AY59,TRASLADOS!$AO:$AO)</f>
        <v>0</v>
      </c>
      <c r="BE59" s="3">
        <f>SUMIF(TRASLADOS!$AL:$AL,RESUMEN!AY59,TRASLADOS!$AP:$AP)</f>
        <v>0</v>
      </c>
      <c r="BF59" s="3">
        <f>SUMIF(VENTAS!$AH:$AH,RESUMEN!AY59,VENTAS!$AL:$AL)</f>
        <v>0</v>
      </c>
      <c r="BG59" s="3">
        <f>SUMIF(VENTAS!$AH:$AH,RESUMEN!AY59,VENTAS!$AM:$AM)</f>
        <v>0</v>
      </c>
      <c r="BH59" s="97">
        <f t="shared" si="21"/>
        <v>2081</v>
      </c>
      <c r="BI59" s="96"/>
      <c r="BJ59" s="99">
        <f t="shared" si="5"/>
        <v>10</v>
      </c>
      <c r="BK59" s="11">
        <f t="shared" si="34"/>
        <v>43336</v>
      </c>
      <c r="BL59" s="3">
        <f t="shared" si="34"/>
        <v>69</v>
      </c>
      <c r="BM59" s="3">
        <f>SUMIF(MORTALIDAD!$AP:$AP,RESUMEN!BK59,MORTALIDAD!$AT:$AT)</f>
        <v>0</v>
      </c>
      <c r="BN59" s="19">
        <f t="shared" si="23"/>
        <v>-73</v>
      </c>
      <c r="BO59" s="3">
        <f>SUMIF(MORTALIDAD!$AP$6:$AP$200,RESUMEN!BK59,MORTALIDAD!$AU$6:$AU$200)</f>
        <v>0</v>
      </c>
      <c r="BP59" s="3">
        <f>SUMIF(TRASLADOS!$AU:$AU,RESUMEN!BK59,TRASLADOS!$AX:$AX)</f>
        <v>0</v>
      </c>
      <c r="BQ59" s="3">
        <f>SUMIF(TRASLADOS!$AU:$AU,RESUMEN!BK59,TRASLADOS!$AY:$AY)</f>
        <v>0</v>
      </c>
      <c r="BR59" s="3">
        <f>SUMIF(VENTAS!$AP:$AP,RESUMEN!BK59,VENTAS!$AT:$AT)</f>
        <v>0</v>
      </c>
      <c r="BS59" s="3">
        <f>SUMIF(VENTAS!$AP:$AP,RESUMEN!BK59,VENTAS!$AU:$AU)</f>
        <v>0</v>
      </c>
      <c r="BT59" s="36">
        <f t="shared" si="24"/>
        <v>2241</v>
      </c>
    </row>
    <row r="60" spans="2:72" x14ac:dyDescent="0.2">
      <c r="B60" s="3">
        <f t="shared" si="0"/>
        <v>10</v>
      </c>
      <c r="C60" s="11">
        <f t="shared" si="35"/>
        <v>43307</v>
      </c>
      <c r="D60" s="3">
        <f t="shared" si="36"/>
        <v>69</v>
      </c>
      <c r="E60" s="3">
        <f>SUMIF(MORTALIDAD!$B$6:$B$200,RESUMEN!C60,MORTALIDAD!$F$6:$F$200)</f>
        <v>-14</v>
      </c>
      <c r="F60" s="17">
        <f t="shared" si="37"/>
        <v>-666</v>
      </c>
      <c r="G60" s="3">
        <f>SUMIF(MORTALIDAD!$B$6:$B$200,RESUMEN!C60,MORTALIDAD!$G$6:$G$200)</f>
        <v>142</v>
      </c>
      <c r="H60" s="3">
        <f>SUMIF(TRASLADOS!$B$6:$B$200,C60,TRASLADOS!$E$6:$E$200)</f>
        <v>0</v>
      </c>
      <c r="I60" s="3">
        <f>SUMIF(TRASLADOS!$B$6:$B$200,C60,TRASLADOS!$F$6:$F$200)</f>
        <v>0</v>
      </c>
      <c r="J60" s="3">
        <f>SUMIF(VENTAS!$B$6:$B$200,RESUMEN!C60,VENTAS!$F$6:$F$200)</f>
        <v>0</v>
      </c>
      <c r="K60" s="3">
        <f>SUMIF(VENTAS!$B$6:$B$200,RESUMEN!C60,VENTAS!$G$6:$G$200)</f>
        <v>0</v>
      </c>
      <c r="L60" s="97">
        <f t="shared" si="9"/>
        <v>1534</v>
      </c>
      <c r="M60" s="96"/>
      <c r="N60" s="99">
        <f t="shared" si="1"/>
        <v>10</v>
      </c>
      <c r="O60" s="11">
        <f t="shared" si="30"/>
        <v>43310</v>
      </c>
      <c r="P60" s="3">
        <f t="shared" si="30"/>
        <v>68</v>
      </c>
      <c r="Q60" s="3">
        <f>SUMIF(MORTALIDAD!$J:$J,RESUMEN!O60,MORTALIDAD!$N:$N)</f>
        <v>-21</v>
      </c>
      <c r="R60" s="19">
        <f t="shared" si="11"/>
        <v>-639</v>
      </c>
      <c r="S60" s="3">
        <f>SUMIF(MORTALIDAD!$J:$J,RESUMEN!O60,MORTALIDAD!$O:$O)</f>
        <v>162</v>
      </c>
      <c r="T60" s="3">
        <f>SUMIF(TRASLADOS!$K:$K,RESUMEN!O60,TRASLADOS!$N:$N)</f>
        <v>0</v>
      </c>
      <c r="U60" s="3">
        <f>SUMIF(TRASLADOS!$K:$K,RESUMEN!O60,TRASLADOS!$O:$O)</f>
        <v>0</v>
      </c>
      <c r="V60" s="3">
        <f>SUMIF(VENTAS!$J:$J,RESUMEN!O60,VENTAS!$N:$N)</f>
        <v>0</v>
      </c>
      <c r="W60" s="3">
        <f>SUMIF(VENTAS!$J:$J,RESUMEN!O60,VENTAS!$O:$O)</f>
        <v>0</v>
      </c>
      <c r="X60" s="97">
        <f t="shared" si="12"/>
        <v>1561</v>
      </c>
      <c r="Y60" s="96"/>
      <c r="Z60" s="99">
        <f t="shared" si="2"/>
        <v>10</v>
      </c>
      <c r="AA60" s="11">
        <f t="shared" si="31"/>
        <v>43314</v>
      </c>
      <c r="AB60" s="3">
        <f t="shared" si="31"/>
        <v>67</v>
      </c>
      <c r="AC60" s="3">
        <f>SUMIF(MORTALIDAD!$R:$R,RESUMEN!AA60,MORTALIDAD!$V:$V)</f>
        <v>0</v>
      </c>
      <c r="AD60" s="19">
        <f t="shared" si="14"/>
        <v>-476</v>
      </c>
      <c r="AE60" s="3">
        <f>SUMIF(MORTALIDAD!$R:$R,RESUMEN!AA60,MORTALIDAD!$W:$W)</f>
        <v>0</v>
      </c>
      <c r="AF60" s="3">
        <f>SUMIF(TRASLADOS!$T:$T,RESUMEN!AA60,TRASLADOS!$W:$W)</f>
        <v>0</v>
      </c>
      <c r="AG60" s="3">
        <f>SUMIF(TRASLADOS!$T:$T,RESUMEN!AA60,TRASLADOS!$X:$X)</f>
        <v>0</v>
      </c>
      <c r="AH60" s="3">
        <f>SUMIF(VENTAS!$R:$R,RESUMEN!AA60,VENTAS!$V:$V)</f>
        <v>0</v>
      </c>
      <c r="AI60" s="3">
        <f>SUMIF(VENTAS!$R:$R,RESUMEN!AA60,VENTAS!$W:$W)</f>
        <v>0</v>
      </c>
      <c r="AJ60" s="97">
        <f t="shared" si="15"/>
        <v>1724</v>
      </c>
      <c r="AK60" s="96"/>
      <c r="AL60" s="99">
        <f t="shared" si="3"/>
        <v>10</v>
      </c>
      <c r="AM60" s="11">
        <f t="shared" si="32"/>
        <v>43321</v>
      </c>
      <c r="AN60" s="3">
        <f t="shared" si="32"/>
        <v>67</v>
      </c>
      <c r="AO60" s="3">
        <f>SUMIF(MORTALIDAD!$Z:$Z,RESUMEN!AM60,MORTALIDAD!$AD:$AD)</f>
        <v>0</v>
      </c>
      <c r="AP60" s="19">
        <f t="shared" si="17"/>
        <v>-124</v>
      </c>
      <c r="AQ60" s="3">
        <f>SUMIF(MORTALIDAD!$Z:$Z,RESUMEN!AM60,MORTALIDAD!$AE:$AE)</f>
        <v>0</v>
      </c>
      <c r="AR60" s="3">
        <f>SUMIF(TRASLADOS!$AC:$AC,RESUMEN!AM60,TRASLADOS!$AF:$AF)</f>
        <v>0</v>
      </c>
      <c r="AS60" s="3">
        <f>SUMIF(TRASLADOS!$AC:$AC,RESUMEN!AM60,TRASLADOS!$AG:$AG)</f>
        <v>0</v>
      </c>
      <c r="AT60" s="3">
        <f>SUMIF(VENTAS!$Z:$Z,RESUMEN!AM60,VENTAS!$AD:$AD)</f>
        <v>0</v>
      </c>
      <c r="AU60" s="3">
        <f>SUMIF(VENTAS!$Z:$Z,RESUMEN!AM60,VENTAS!$AE:$AE)</f>
        <v>0</v>
      </c>
      <c r="AV60" s="97">
        <f t="shared" si="18"/>
        <v>2076</v>
      </c>
      <c r="AW60" s="96"/>
      <c r="AX60" s="99">
        <f t="shared" si="4"/>
        <v>10</v>
      </c>
      <c r="AY60" s="11">
        <f t="shared" si="33"/>
        <v>43328</v>
      </c>
      <c r="AZ60" s="3">
        <f t="shared" si="33"/>
        <v>67</v>
      </c>
      <c r="BA60" s="3">
        <f>SUMIF(MORTALIDAD!$AH:$AH,RESUMEN!AY60,MORTALIDAD!$AL:$AL)</f>
        <v>0</v>
      </c>
      <c r="BB60" s="19">
        <f t="shared" si="20"/>
        <v>-119</v>
      </c>
      <c r="BC60" s="3">
        <f>SUMIF(MORTALIDAD!$AH:$AH,RESUMEN!AY60,MORTALIDAD!$AM:$AM)</f>
        <v>0</v>
      </c>
      <c r="BD60" s="3">
        <f>SUMIF(TRASLADOS!$AL:$AL,RESUMEN!AY60,TRASLADOS!$AO:$AO)</f>
        <v>0</v>
      </c>
      <c r="BE60" s="3">
        <f>SUMIF(TRASLADOS!$AL:$AL,RESUMEN!AY60,TRASLADOS!$AP:$AP)</f>
        <v>0</v>
      </c>
      <c r="BF60" s="3">
        <f>SUMIF(VENTAS!$AH:$AH,RESUMEN!AY60,VENTAS!$AL:$AL)</f>
        <v>0</v>
      </c>
      <c r="BG60" s="3">
        <f>SUMIF(VENTAS!$AH:$AH,RESUMEN!AY60,VENTAS!$AM:$AM)</f>
        <v>0</v>
      </c>
      <c r="BH60" s="97">
        <f t="shared" si="21"/>
        <v>2081</v>
      </c>
      <c r="BI60" s="96"/>
      <c r="BJ60" s="99">
        <f t="shared" si="5"/>
        <v>10</v>
      </c>
      <c r="BK60" s="11">
        <f t="shared" si="34"/>
        <v>43337</v>
      </c>
      <c r="BL60" s="3">
        <f t="shared" si="34"/>
        <v>70</v>
      </c>
      <c r="BM60" s="3">
        <f>SUMIF(MORTALIDAD!$AP:$AP,RESUMEN!BK60,MORTALIDAD!$AT:$AT)</f>
        <v>0</v>
      </c>
      <c r="BN60" s="19">
        <f t="shared" si="23"/>
        <v>-73</v>
      </c>
      <c r="BO60" s="3">
        <f>SUMIF(MORTALIDAD!$AP$6:$AP$200,RESUMEN!BK60,MORTALIDAD!$AU$6:$AU$200)</f>
        <v>0</v>
      </c>
      <c r="BP60" s="3">
        <f>SUMIF(TRASLADOS!$AU:$AU,RESUMEN!BK60,TRASLADOS!$AX:$AX)</f>
        <v>0</v>
      </c>
      <c r="BQ60" s="3">
        <f>SUMIF(TRASLADOS!$AU:$AU,RESUMEN!BK60,TRASLADOS!$AY:$AY)</f>
        <v>0</v>
      </c>
      <c r="BR60" s="3">
        <f>SUMIF(VENTAS!$AP:$AP,RESUMEN!BK60,VENTAS!$AT:$AT)</f>
        <v>0</v>
      </c>
      <c r="BS60" s="3">
        <f>SUMIF(VENTAS!$AP:$AP,RESUMEN!BK60,VENTAS!$AU:$AU)</f>
        <v>0</v>
      </c>
      <c r="BT60" s="36">
        <f t="shared" si="24"/>
        <v>2241</v>
      </c>
    </row>
    <row r="61" spans="2:72" x14ac:dyDescent="0.2">
      <c r="B61" s="3">
        <f t="shared" si="0"/>
        <v>10</v>
      </c>
      <c r="C61" s="11">
        <f t="shared" si="35"/>
        <v>43308</v>
      </c>
      <c r="D61" s="3">
        <f t="shared" si="36"/>
        <v>70</v>
      </c>
      <c r="E61" s="3">
        <f>SUMIF(MORTALIDAD!$B$6:$B$200,RESUMEN!C61,MORTALIDAD!$F$6:$F$200)</f>
        <v>-15</v>
      </c>
      <c r="F61" s="17">
        <f t="shared" si="37"/>
        <v>-681</v>
      </c>
      <c r="G61" s="3">
        <f>SUMIF(MORTALIDAD!$B$6:$B$200,RESUMEN!C61,MORTALIDAD!$G$6:$G$200)</f>
        <v>162</v>
      </c>
      <c r="H61" s="3">
        <f>SUMIF(TRASLADOS!$B$6:$B$200,C61,TRASLADOS!$E$6:$E$200)</f>
        <v>0</v>
      </c>
      <c r="I61" s="3">
        <f>SUMIF(TRASLADOS!$B$6:$B$200,C61,TRASLADOS!$F$6:$F$200)</f>
        <v>0</v>
      </c>
      <c r="J61" s="3">
        <f>SUMIF(VENTAS!$B$6:$B$200,RESUMEN!C61,VENTAS!$F$6:$F$200)</f>
        <v>0</v>
      </c>
      <c r="K61" s="3">
        <f>SUMIF(VENTAS!$B$6:$B$200,RESUMEN!C61,VENTAS!$G$6:$G$200)</f>
        <v>0</v>
      </c>
      <c r="L61" s="97">
        <f t="shared" si="9"/>
        <v>1519</v>
      </c>
      <c r="M61" s="96"/>
      <c r="N61" s="99">
        <f t="shared" si="1"/>
        <v>10</v>
      </c>
      <c r="O61" s="11">
        <f t="shared" si="30"/>
        <v>43311</v>
      </c>
      <c r="P61" s="3">
        <f t="shared" si="30"/>
        <v>69</v>
      </c>
      <c r="Q61" s="3">
        <f>SUMIF(MORTALIDAD!$J:$J,RESUMEN!O61,MORTALIDAD!$N:$N)</f>
        <v>-15</v>
      </c>
      <c r="R61" s="19">
        <f t="shared" si="11"/>
        <v>-654</v>
      </c>
      <c r="S61" s="3">
        <f>SUMIF(MORTALIDAD!$J:$J,RESUMEN!O61,MORTALIDAD!$O:$O)</f>
        <v>122</v>
      </c>
      <c r="T61" s="3">
        <f>SUMIF(TRASLADOS!$K:$K,RESUMEN!O61,TRASLADOS!$N:$N)</f>
        <v>0</v>
      </c>
      <c r="U61" s="3">
        <f>SUMIF(TRASLADOS!$K:$K,RESUMEN!O61,TRASLADOS!$O:$O)</f>
        <v>0</v>
      </c>
      <c r="V61" s="3">
        <f>SUMIF(VENTAS!$J:$J,RESUMEN!O61,VENTAS!$N:$N)</f>
        <v>0</v>
      </c>
      <c r="W61" s="3">
        <f>SUMIF(VENTAS!$J:$J,RESUMEN!O61,VENTAS!$O:$O)</f>
        <v>0</v>
      </c>
      <c r="X61" s="97">
        <f t="shared" si="12"/>
        <v>1546</v>
      </c>
      <c r="Y61" s="96"/>
      <c r="Z61" s="99">
        <f t="shared" si="2"/>
        <v>10</v>
      </c>
      <c r="AA61" s="11">
        <f t="shared" si="31"/>
        <v>43315</v>
      </c>
      <c r="AB61" s="3">
        <f t="shared" si="31"/>
        <v>68</v>
      </c>
      <c r="AC61" s="3">
        <f>SUMIF(MORTALIDAD!$R:$R,RESUMEN!AA61,MORTALIDAD!$V:$V)</f>
        <v>0</v>
      </c>
      <c r="AD61" s="19">
        <f t="shared" si="14"/>
        <v>-476</v>
      </c>
      <c r="AE61" s="3">
        <f>SUMIF(MORTALIDAD!$R:$R,RESUMEN!AA61,MORTALIDAD!$W:$W)</f>
        <v>0</v>
      </c>
      <c r="AF61" s="3">
        <f>SUMIF(TRASLADOS!$T:$T,RESUMEN!AA61,TRASLADOS!$W:$W)</f>
        <v>0</v>
      </c>
      <c r="AG61" s="3">
        <f>SUMIF(TRASLADOS!$T:$T,RESUMEN!AA61,TRASLADOS!$X:$X)</f>
        <v>0</v>
      </c>
      <c r="AH61" s="3">
        <f>SUMIF(VENTAS!$R:$R,RESUMEN!AA61,VENTAS!$V:$V)</f>
        <v>0</v>
      </c>
      <c r="AI61" s="3">
        <f>SUMIF(VENTAS!$R:$R,RESUMEN!AA61,VENTAS!$W:$W)</f>
        <v>0</v>
      </c>
      <c r="AJ61" s="97">
        <f t="shared" si="15"/>
        <v>1724</v>
      </c>
      <c r="AK61" s="96"/>
      <c r="AL61" s="99">
        <f t="shared" si="3"/>
        <v>10</v>
      </c>
      <c r="AM61" s="11">
        <f t="shared" si="32"/>
        <v>43322</v>
      </c>
      <c r="AN61" s="3">
        <f t="shared" si="32"/>
        <v>68</v>
      </c>
      <c r="AO61" s="3">
        <f>SUMIF(MORTALIDAD!$Z:$Z,RESUMEN!AM61,MORTALIDAD!$AD:$AD)</f>
        <v>0</v>
      </c>
      <c r="AP61" s="19">
        <f t="shared" si="17"/>
        <v>-124</v>
      </c>
      <c r="AQ61" s="3">
        <f>SUMIF(MORTALIDAD!$Z:$Z,RESUMEN!AM61,MORTALIDAD!$AE:$AE)</f>
        <v>0</v>
      </c>
      <c r="AR61" s="3">
        <f>SUMIF(TRASLADOS!$AC:$AC,RESUMEN!AM61,TRASLADOS!$AF:$AF)</f>
        <v>0</v>
      </c>
      <c r="AS61" s="3">
        <f>SUMIF(TRASLADOS!$AC:$AC,RESUMEN!AM61,TRASLADOS!$AG:$AG)</f>
        <v>0</v>
      </c>
      <c r="AT61" s="3">
        <f>SUMIF(VENTAS!$Z:$Z,RESUMEN!AM61,VENTAS!$AD:$AD)</f>
        <v>0</v>
      </c>
      <c r="AU61" s="3">
        <f>SUMIF(VENTAS!$Z:$Z,RESUMEN!AM61,VENTAS!$AE:$AE)</f>
        <v>0</v>
      </c>
      <c r="AV61" s="97">
        <f t="shared" si="18"/>
        <v>2076</v>
      </c>
      <c r="AW61" s="96"/>
      <c r="AX61" s="99">
        <f t="shared" si="4"/>
        <v>10</v>
      </c>
      <c r="AY61" s="11">
        <f t="shared" si="33"/>
        <v>43329</v>
      </c>
      <c r="AZ61" s="3">
        <f t="shared" si="33"/>
        <v>68</v>
      </c>
      <c r="BA61" s="3">
        <f>SUMIF(MORTALIDAD!$AH:$AH,RESUMEN!AY61,MORTALIDAD!$AL:$AL)</f>
        <v>0</v>
      </c>
      <c r="BB61" s="19">
        <f t="shared" si="20"/>
        <v>-119</v>
      </c>
      <c r="BC61" s="3">
        <f>SUMIF(MORTALIDAD!$AH:$AH,RESUMEN!AY61,MORTALIDAD!$AM:$AM)</f>
        <v>0</v>
      </c>
      <c r="BD61" s="3">
        <f>SUMIF(TRASLADOS!$AL:$AL,RESUMEN!AY61,TRASLADOS!$AO:$AO)</f>
        <v>0</v>
      </c>
      <c r="BE61" s="3">
        <f>SUMIF(TRASLADOS!$AL:$AL,RESUMEN!AY61,TRASLADOS!$AP:$AP)</f>
        <v>0</v>
      </c>
      <c r="BF61" s="3">
        <f>SUMIF(VENTAS!$AH:$AH,RESUMEN!AY61,VENTAS!$AL:$AL)</f>
        <v>0</v>
      </c>
      <c r="BG61" s="3">
        <f>SUMIF(VENTAS!$AH:$AH,RESUMEN!AY61,VENTAS!$AM:$AM)</f>
        <v>0</v>
      </c>
      <c r="BH61" s="97">
        <f t="shared" si="21"/>
        <v>2081</v>
      </c>
      <c r="BI61" s="96"/>
      <c r="BJ61" s="99">
        <f t="shared" si="5"/>
        <v>11</v>
      </c>
      <c r="BK61" s="11">
        <f t="shared" si="34"/>
        <v>43338</v>
      </c>
      <c r="BL61" s="3">
        <f t="shared" si="34"/>
        <v>71</v>
      </c>
      <c r="BM61" s="3">
        <f>SUMIF(MORTALIDAD!$AP:$AP,RESUMEN!BK61,MORTALIDAD!$AT:$AT)</f>
        <v>0</v>
      </c>
      <c r="BN61" s="19">
        <f t="shared" si="23"/>
        <v>-73</v>
      </c>
      <c r="BO61" s="3">
        <f>SUMIF(MORTALIDAD!$AP$6:$AP$200,RESUMEN!BK61,MORTALIDAD!$AU$6:$AU$200)</f>
        <v>0</v>
      </c>
      <c r="BP61" s="3">
        <f>SUMIF(TRASLADOS!$AU:$AU,RESUMEN!BK61,TRASLADOS!$AX:$AX)</f>
        <v>0</v>
      </c>
      <c r="BQ61" s="3">
        <f>SUMIF(TRASLADOS!$AU:$AU,RESUMEN!BK61,TRASLADOS!$AY:$AY)</f>
        <v>0</v>
      </c>
      <c r="BR61" s="3">
        <f>SUMIF(VENTAS!$AP:$AP,RESUMEN!BK61,VENTAS!$AT:$AT)</f>
        <v>0</v>
      </c>
      <c r="BS61" s="3">
        <f>SUMIF(VENTAS!$AP:$AP,RESUMEN!BK61,VENTAS!$AU:$AU)</f>
        <v>0</v>
      </c>
      <c r="BT61" s="36">
        <f t="shared" si="24"/>
        <v>2241</v>
      </c>
    </row>
    <row r="62" spans="2:72" x14ac:dyDescent="0.2">
      <c r="B62" s="3">
        <f t="shared" si="0"/>
        <v>11</v>
      </c>
      <c r="C62" s="11">
        <f t="shared" si="35"/>
        <v>43309</v>
      </c>
      <c r="D62" s="3">
        <f t="shared" si="36"/>
        <v>71</v>
      </c>
      <c r="E62" s="3">
        <f>SUMIF(MORTALIDAD!$B$6:$B$200,RESUMEN!C62,MORTALIDAD!$F$6:$F$200)</f>
        <v>-10</v>
      </c>
      <c r="F62" s="17">
        <f t="shared" si="37"/>
        <v>-691</v>
      </c>
      <c r="G62" s="3">
        <f>SUMIF(MORTALIDAD!$B$6:$B$200,RESUMEN!C62,MORTALIDAD!$G$6:$G$200)</f>
        <v>95</v>
      </c>
      <c r="H62" s="3">
        <f>SUMIF(TRASLADOS!$B$6:$B$200,C62,TRASLADOS!$E$6:$E$200)</f>
        <v>0</v>
      </c>
      <c r="I62" s="3">
        <f>SUMIF(TRASLADOS!$B$6:$B$200,C62,TRASLADOS!$F$6:$F$200)</f>
        <v>0</v>
      </c>
      <c r="J62" s="3">
        <f>SUMIF(VENTAS!$B$6:$B$200,RESUMEN!C62,VENTAS!$F$6:$F$200)</f>
        <v>0</v>
      </c>
      <c r="K62" s="3">
        <f>SUMIF(VENTAS!$B$6:$B$200,RESUMEN!C62,VENTAS!$G$6:$G$200)</f>
        <v>0</v>
      </c>
      <c r="L62" s="97">
        <f t="shared" si="9"/>
        <v>1509</v>
      </c>
      <c r="M62" s="96"/>
      <c r="N62" s="99">
        <f t="shared" si="1"/>
        <v>10</v>
      </c>
      <c r="O62" s="11">
        <f t="shared" si="30"/>
        <v>43312</v>
      </c>
      <c r="P62" s="3">
        <f t="shared" si="30"/>
        <v>70</v>
      </c>
      <c r="Q62" s="3">
        <f>SUMIF(MORTALIDAD!$J:$J,RESUMEN!O62,MORTALIDAD!$N:$N)</f>
        <v>-16</v>
      </c>
      <c r="R62" s="19">
        <f t="shared" si="11"/>
        <v>-670</v>
      </c>
      <c r="S62" s="3">
        <f>SUMIF(MORTALIDAD!$J:$J,RESUMEN!O62,MORTALIDAD!$O:$O)</f>
        <v>115</v>
      </c>
      <c r="T62" s="3">
        <f>SUMIF(TRASLADOS!$K:$K,RESUMEN!O62,TRASLADOS!$N:$N)</f>
        <v>0</v>
      </c>
      <c r="U62" s="3">
        <f>SUMIF(TRASLADOS!$K:$K,RESUMEN!O62,TRASLADOS!$O:$O)</f>
        <v>0</v>
      </c>
      <c r="V62" s="3">
        <f>SUMIF(VENTAS!$J:$J,RESUMEN!O62,VENTAS!$N:$N)</f>
        <v>0</v>
      </c>
      <c r="W62" s="3">
        <f>SUMIF(VENTAS!$J:$J,RESUMEN!O62,VENTAS!$O:$O)</f>
        <v>0</v>
      </c>
      <c r="X62" s="97">
        <f t="shared" si="12"/>
        <v>1530</v>
      </c>
      <c r="Y62" s="96"/>
      <c r="Z62" s="99">
        <f t="shared" si="2"/>
        <v>10</v>
      </c>
      <c r="AA62" s="11">
        <f t="shared" si="31"/>
        <v>43316</v>
      </c>
      <c r="AB62" s="3">
        <f t="shared" si="31"/>
        <v>69</v>
      </c>
      <c r="AC62" s="3">
        <f>SUMIF(MORTALIDAD!$R:$R,RESUMEN!AA62,MORTALIDAD!$V:$V)</f>
        <v>0</v>
      </c>
      <c r="AD62" s="19">
        <f t="shared" si="14"/>
        <v>-476</v>
      </c>
      <c r="AE62" s="3">
        <f>SUMIF(MORTALIDAD!$R:$R,RESUMEN!AA62,MORTALIDAD!$W:$W)</f>
        <v>0</v>
      </c>
      <c r="AF62" s="3">
        <f>SUMIF(TRASLADOS!$T:$T,RESUMEN!AA62,TRASLADOS!$W:$W)</f>
        <v>0</v>
      </c>
      <c r="AG62" s="3">
        <f>SUMIF(TRASLADOS!$T:$T,RESUMEN!AA62,TRASLADOS!$X:$X)</f>
        <v>0</v>
      </c>
      <c r="AH62" s="3">
        <f>SUMIF(VENTAS!$R:$R,RESUMEN!AA62,VENTAS!$V:$V)</f>
        <v>0</v>
      </c>
      <c r="AI62" s="3">
        <f>SUMIF(VENTAS!$R:$R,RESUMEN!AA62,VENTAS!$W:$W)</f>
        <v>0</v>
      </c>
      <c r="AJ62" s="97">
        <f t="shared" si="15"/>
        <v>1724</v>
      </c>
      <c r="AK62" s="96"/>
      <c r="AL62" s="99">
        <f t="shared" si="3"/>
        <v>10</v>
      </c>
      <c r="AM62" s="11">
        <f t="shared" si="32"/>
        <v>43323</v>
      </c>
      <c r="AN62" s="3">
        <f t="shared" si="32"/>
        <v>69</v>
      </c>
      <c r="AO62" s="3">
        <f>SUMIF(MORTALIDAD!$Z:$Z,RESUMEN!AM62,MORTALIDAD!$AD:$AD)</f>
        <v>0</v>
      </c>
      <c r="AP62" s="19">
        <f t="shared" si="17"/>
        <v>-124</v>
      </c>
      <c r="AQ62" s="3">
        <f>SUMIF(MORTALIDAD!$Z:$Z,RESUMEN!AM62,MORTALIDAD!$AE:$AE)</f>
        <v>0</v>
      </c>
      <c r="AR62" s="3">
        <f>SUMIF(TRASLADOS!$AC:$AC,RESUMEN!AM62,TRASLADOS!$AF:$AF)</f>
        <v>0</v>
      </c>
      <c r="AS62" s="3">
        <f>SUMIF(TRASLADOS!$AC:$AC,RESUMEN!AM62,TRASLADOS!$AG:$AG)</f>
        <v>0</v>
      </c>
      <c r="AT62" s="3">
        <f>SUMIF(VENTAS!$Z:$Z,RESUMEN!AM62,VENTAS!$AD:$AD)</f>
        <v>0</v>
      </c>
      <c r="AU62" s="3">
        <f>SUMIF(VENTAS!$Z:$Z,RESUMEN!AM62,VENTAS!$AE:$AE)</f>
        <v>0</v>
      </c>
      <c r="AV62" s="97">
        <f t="shared" si="18"/>
        <v>2076</v>
      </c>
      <c r="AW62" s="96"/>
      <c r="AX62" s="99">
        <f t="shared" si="4"/>
        <v>10</v>
      </c>
      <c r="AY62" s="11">
        <f t="shared" si="33"/>
        <v>43330</v>
      </c>
      <c r="AZ62" s="3">
        <f t="shared" si="33"/>
        <v>69</v>
      </c>
      <c r="BA62" s="3">
        <f>SUMIF(MORTALIDAD!$AH:$AH,RESUMEN!AY62,MORTALIDAD!$AL:$AL)</f>
        <v>0</v>
      </c>
      <c r="BB62" s="19">
        <f t="shared" si="20"/>
        <v>-119</v>
      </c>
      <c r="BC62" s="3">
        <f>SUMIF(MORTALIDAD!$AH:$AH,RESUMEN!AY62,MORTALIDAD!$AM:$AM)</f>
        <v>0</v>
      </c>
      <c r="BD62" s="3">
        <f>SUMIF(TRASLADOS!$AL:$AL,RESUMEN!AY62,TRASLADOS!$AO:$AO)</f>
        <v>0</v>
      </c>
      <c r="BE62" s="3">
        <f>SUMIF(TRASLADOS!$AL:$AL,RESUMEN!AY62,TRASLADOS!$AP:$AP)</f>
        <v>0</v>
      </c>
      <c r="BF62" s="3">
        <f>SUMIF(VENTAS!$AH:$AH,RESUMEN!AY62,VENTAS!$AL:$AL)</f>
        <v>0</v>
      </c>
      <c r="BG62" s="3">
        <f>SUMIF(VENTAS!$AH:$AH,RESUMEN!AY62,VENTAS!$AM:$AM)</f>
        <v>0</v>
      </c>
      <c r="BH62" s="97">
        <f t="shared" si="21"/>
        <v>2081</v>
      </c>
      <c r="BI62" s="96"/>
      <c r="BJ62" s="99">
        <f t="shared" si="5"/>
        <v>11</v>
      </c>
      <c r="BK62" s="11">
        <f t="shared" si="34"/>
        <v>43339</v>
      </c>
      <c r="BL62" s="3">
        <f t="shared" si="34"/>
        <v>72</v>
      </c>
      <c r="BM62" s="3">
        <f>SUMIF(MORTALIDAD!$AP:$AP,RESUMEN!BK62,MORTALIDAD!$AT:$AT)</f>
        <v>0</v>
      </c>
      <c r="BN62" s="19">
        <f t="shared" si="23"/>
        <v>-73</v>
      </c>
      <c r="BO62" s="3">
        <f>SUMIF(MORTALIDAD!$AP$6:$AP$200,RESUMEN!BK62,MORTALIDAD!$AU$6:$AU$200)</f>
        <v>0</v>
      </c>
      <c r="BP62" s="3">
        <f>SUMIF(TRASLADOS!$AU:$AU,RESUMEN!BK62,TRASLADOS!$AX:$AX)</f>
        <v>0</v>
      </c>
      <c r="BQ62" s="3">
        <f>SUMIF(TRASLADOS!$AU:$AU,RESUMEN!BK62,TRASLADOS!$AY:$AY)</f>
        <v>0</v>
      </c>
      <c r="BR62" s="3">
        <f>SUMIF(VENTAS!$AP:$AP,RESUMEN!BK62,VENTAS!$AT:$AT)</f>
        <v>0</v>
      </c>
      <c r="BS62" s="3">
        <f>SUMIF(VENTAS!$AP:$AP,RESUMEN!BK62,VENTAS!$AU:$AU)</f>
        <v>0</v>
      </c>
      <c r="BT62" s="36">
        <f t="shared" si="24"/>
        <v>2241</v>
      </c>
    </row>
    <row r="63" spans="2:72" x14ac:dyDescent="0.2">
      <c r="B63" s="3">
        <f t="shared" si="0"/>
        <v>11</v>
      </c>
      <c r="C63" s="11">
        <f t="shared" si="35"/>
        <v>43310</v>
      </c>
      <c r="D63" s="3">
        <f t="shared" si="36"/>
        <v>72</v>
      </c>
      <c r="E63" s="3">
        <f>SUMIF(MORTALIDAD!$B$6:$B$200,RESUMEN!C63,MORTALIDAD!$F$6:$F$200)</f>
        <v>-13</v>
      </c>
      <c r="F63" s="17">
        <f t="shared" si="37"/>
        <v>-704</v>
      </c>
      <c r="G63" s="3">
        <f>SUMIF(MORTALIDAD!$B$6:$B$200,RESUMEN!C63,MORTALIDAD!$G$6:$G$200)</f>
        <v>107</v>
      </c>
      <c r="H63" s="3">
        <f>SUMIF(TRASLADOS!$B$6:$B$200,C63,TRASLADOS!$E$6:$E$200)</f>
        <v>0</v>
      </c>
      <c r="I63" s="3">
        <f>SUMIF(TRASLADOS!$B$6:$B$200,C63,TRASLADOS!$F$6:$F$200)</f>
        <v>0</v>
      </c>
      <c r="J63" s="3">
        <f>SUMIF(VENTAS!$B$6:$B$200,RESUMEN!C63,VENTAS!$F$6:$F$200)</f>
        <v>0</v>
      </c>
      <c r="K63" s="3">
        <f>SUMIF(VENTAS!$B$6:$B$200,RESUMEN!C63,VENTAS!$G$6:$G$200)</f>
        <v>0</v>
      </c>
      <c r="L63" s="97">
        <f t="shared" si="9"/>
        <v>1496</v>
      </c>
      <c r="M63" s="96"/>
      <c r="N63" s="99">
        <f t="shared" si="1"/>
        <v>11</v>
      </c>
      <c r="O63" s="11">
        <f t="shared" si="30"/>
        <v>43313</v>
      </c>
      <c r="P63" s="3">
        <f t="shared" si="30"/>
        <v>71</v>
      </c>
      <c r="Q63" s="3">
        <f>SUMIF(MORTALIDAD!$J:$J,RESUMEN!O63,MORTALIDAD!$N:$N)</f>
        <v>-10</v>
      </c>
      <c r="R63" s="19">
        <f t="shared" si="11"/>
        <v>-680</v>
      </c>
      <c r="S63" s="3">
        <f>SUMIF(MORTALIDAD!$J:$J,RESUMEN!O63,MORTALIDAD!$O:$O)</f>
        <v>84</v>
      </c>
      <c r="T63" s="3">
        <f>SUMIF(TRASLADOS!$K:$K,RESUMEN!O63,TRASLADOS!$N:$N)</f>
        <v>0</v>
      </c>
      <c r="U63" s="3">
        <f>SUMIF(TRASLADOS!$K:$K,RESUMEN!O63,TRASLADOS!$O:$O)</f>
        <v>0</v>
      </c>
      <c r="V63" s="3">
        <f>SUMIF(VENTAS!$J:$J,RESUMEN!O63,VENTAS!$N:$N)</f>
        <v>0</v>
      </c>
      <c r="W63" s="3">
        <f>SUMIF(VENTAS!$J:$J,RESUMEN!O63,VENTAS!$O:$O)</f>
        <v>0</v>
      </c>
      <c r="X63" s="97">
        <f t="shared" si="12"/>
        <v>1520</v>
      </c>
      <c r="Y63" s="96"/>
      <c r="Z63" s="99">
        <f t="shared" si="2"/>
        <v>10</v>
      </c>
      <c r="AA63" s="11">
        <f t="shared" si="31"/>
        <v>43317</v>
      </c>
      <c r="AB63" s="3">
        <f t="shared" si="31"/>
        <v>70</v>
      </c>
      <c r="AC63" s="3">
        <f>SUMIF(MORTALIDAD!$R:$R,RESUMEN!AA63,MORTALIDAD!$V:$V)</f>
        <v>0</v>
      </c>
      <c r="AD63" s="19">
        <f t="shared" si="14"/>
        <v>-476</v>
      </c>
      <c r="AE63" s="3">
        <f>SUMIF(MORTALIDAD!$R:$R,RESUMEN!AA63,MORTALIDAD!$W:$W)</f>
        <v>0</v>
      </c>
      <c r="AF63" s="3">
        <f>SUMIF(TRASLADOS!$T:$T,RESUMEN!AA63,TRASLADOS!$W:$W)</f>
        <v>0</v>
      </c>
      <c r="AG63" s="3">
        <f>SUMIF(TRASLADOS!$T:$T,RESUMEN!AA63,TRASLADOS!$X:$X)</f>
        <v>0</v>
      </c>
      <c r="AH63" s="3">
        <f>SUMIF(VENTAS!$R:$R,RESUMEN!AA63,VENTAS!$V:$V)</f>
        <v>0</v>
      </c>
      <c r="AI63" s="3">
        <f>SUMIF(VENTAS!$R:$R,RESUMEN!AA63,VENTAS!$W:$W)</f>
        <v>0</v>
      </c>
      <c r="AJ63" s="97">
        <f t="shared" si="15"/>
        <v>1724</v>
      </c>
      <c r="AK63" s="96"/>
      <c r="AL63" s="99">
        <f t="shared" si="3"/>
        <v>10</v>
      </c>
      <c r="AM63" s="11">
        <f t="shared" si="32"/>
        <v>43324</v>
      </c>
      <c r="AN63" s="3">
        <f t="shared" si="32"/>
        <v>70</v>
      </c>
      <c r="AO63" s="3">
        <f>SUMIF(MORTALIDAD!$Z:$Z,RESUMEN!AM63,MORTALIDAD!$AD:$AD)</f>
        <v>0</v>
      </c>
      <c r="AP63" s="19">
        <f t="shared" si="17"/>
        <v>-124</v>
      </c>
      <c r="AQ63" s="3">
        <f>SUMIF(MORTALIDAD!$Z:$Z,RESUMEN!AM63,MORTALIDAD!$AE:$AE)</f>
        <v>0</v>
      </c>
      <c r="AR63" s="3">
        <f>SUMIF(TRASLADOS!$AC:$AC,RESUMEN!AM63,TRASLADOS!$AF:$AF)</f>
        <v>0</v>
      </c>
      <c r="AS63" s="3">
        <f>SUMIF(TRASLADOS!$AC:$AC,RESUMEN!AM63,TRASLADOS!$AG:$AG)</f>
        <v>0</v>
      </c>
      <c r="AT63" s="3">
        <f>SUMIF(VENTAS!$Z:$Z,RESUMEN!AM63,VENTAS!$AD:$AD)</f>
        <v>0</v>
      </c>
      <c r="AU63" s="3">
        <f>SUMIF(VENTAS!$Z:$Z,RESUMEN!AM63,VENTAS!$AE:$AE)</f>
        <v>0</v>
      </c>
      <c r="AV63" s="97">
        <f t="shared" si="18"/>
        <v>2076</v>
      </c>
      <c r="AW63" s="96"/>
      <c r="AX63" s="99">
        <f t="shared" si="4"/>
        <v>10</v>
      </c>
      <c r="AY63" s="11">
        <f t="shared" si="33"/>
        <v>43331</v>
      </c>
      <c r="AZ63" s="3">
        <f t="shared" si="33"/>
        <v>70</v>
      </c>
      <c r="BA63" s="3">
        <f>SUMIF(MORTALIDAD!$AH:$AH,RESUMEN!AY63,MORTALIDAD!$AL:$AL)</f>
        <v>0</v>
      </c>
      <c r="BB63" s="19">
        <f t="shared" si="20"/>
        <v>-119</v>
      </c>
      <c r="BC63" s="3">
        <f>SUMIF(MORTALIDAD!$AH:$AH,RESUMEN!AY63,MORTALIDAD!$AM:$AM)</f>
        <v>0</v>
      </c>
      <c r="BD63" s="3">
        <f>SUMIF(TRASLADOS!$AL:$AL,RESUMEN!AY63,TRASLADOS!$AO:$AO)</f>
        <v>0</v>
      </c>
      <c r="BE63" s="3">
        <f>SUMIF(TRASLADOS!$AL:$AL,RESUMEN!AY63,TRASLADOS!$AP:$AP)</f>
        <v>0</v>
      </c>
      <c r="BF63" s="3">
        <f>SUMIF(VENTAS!$AH:$AH,RESUMEN!AY63,VENTAS!$AL:$AL)</f>
        <v>0</v>
      </c>
      <c r="BG63" s="3">
        <f>SUMIF(VENTAS!$AH:$AH,RESUMEN!AY63,VENTAS!$AM:$AM)</f>
        <v>0</v>
      </c>
      <c r="BH63" s="97">
        <f t="shared" si="21"/>
        <v>2081</v>
      </c>
      <c r="BI63" s="96"/>
      <c r="BJ63" s="99">
        <f t="shared" si="5"/>
        <v>11</v>
      </c>
      <c r="BK63" s="11">
        <f t="shared" si="34"/>
        <v>43340</v>
      </c>
      <c r="BL63" s="3">
        <f t="shared" si="34"/>
        <v>73</v>
      </c>
      <c r="BM63" s="3">
        <f>SUMIF(MORTALIDAD!$AP:$AP,RESUMEN!BK63,MORTALIDAD!$AT:$AT)</f>
        <v>0</v>
      </c>
      <c r="BN63" s="19">
        <f t="shared" si="23"/>
        <v>-73</v>
      </c>
      <c r="BO63" s="3">
        <f>SUMIF(MORTALIDAD!$AP$6:$AP$200,RESUMEN!BK63,MORTALIDAD!$AU$6:$AU$200)</f>
        <v>0</v>
      </c>
      <c r="BP63" s="3">
        <f>SUMIF(TRASLADOS!$AU:$AU,RESUMEN!BK63,TRASLADOS!$AX:$AX)</f>
        <v>0</v>
      </c>
      <c r="BQ63" s="3">
        <f>SUMIF(TRASLADOS!$AU:$AU,RESUMEN!BK63,TRASLADOS!$AY:$AY)</f>
        <v>0</v>
      </c>
      <c r="BR63" s="3">
        <f>SUMIF(VENTAS!$AP:$AP,RESUMEN!BK63,VENTAS!$AT:$AT)</f>
        <v>0</v>
      </c>
      <c r="BS63" s="3">
        <f>SUMIF(VENTAS!$AP:$AP,RESUMEN!BK63,VENTAS!$AU:$AU)</f>
        <v>0</v>
      </c>
      <c r="BT63" s="36">
        <f t="shared" si="24"/>
        <v>2241</v>
      </c>
    </row>
    <row r="64" spans="2:72" x14ac:dyDescent="0.2">
      <c r="B64" s="3">
        <f t="shared" si="0"/>
        <v>11</v>
      </c>
      <c r="C64" s="11">
        <f t="shared" si="35"/>
        <v>43311</v>
      </c>
      <c r="D64" s="3">
        <f t="shared" si="36"/>
        <v>73</v>
      </c>
      <c r="E64" s="3">
        <f>SUMIF(MORTALIDAD!$B$6:$B$200,RESUMEN!C64,MORTALIDAD!$F$6:$F$200)</f>
        <v>-15</v>
      </c>
      <c r="F64" s="17">
        <f t="shared" si="37"/>
        <v>-719</v>
      </c>
      <c r="G64" s="3">
        <f>SUMIF(MORTALIDAD!$B$6:$B$200,RESUMEN!C64,MORTALIDAD!$G$6:$G$200)</f>
        <v>112</v>
      </c>
      <c r="H64" s="3">
        <f>SUMIF(TRASLADOS!$B$6:$B$200,C64,TRASLADOS!$E$6:$E$200)</f>
        <v>0</v>
      </c>
      <c r="I64" s="3">
        <f>SUMIF(TRASLADOS!$B$6:$B$200,C64,TRASLADOS!$F$6:$F$200)</f>
        <v>0</v>
      </c>
      <c r="J64" s="3">
        <f>SUMIF(VENTAS!$B$6:$B$200,RESUMEN!C64,VENTAS!$F$6:$F$200)</f>
        <v>0</v>
      </c>
      <c r="K64" s="3">
        <f>SUMIF(VENTAS!$B$6:$B$200,RESUMEN!C64,VENTAS!$G$6:$G$200)</f>
        <v>0</v>
      </c>
      <c r="L64" s="97">
        <f t="shared" si="9"/>
        <v>1481</v>
      </c>
      <c r="M64" s="96"/>
      <c r="N64" s="99">
        <f t="shared" si="1"/>
        <v>11</v>
      </c>
      <c r="O64" s="11">
        <f t="shared" si="30"/>
        <v>43314</v>
      </c>
      <c r="P64" s="3">
        <f t="shared" si="30"/>
        <v>72</v>
      </c>
      <c r="Q64" s="3">
        <f>SUMIF(MORTALIDAD!$J:$J,RESUMEN!O64,MORTALIDAD!$N:$N)</f>
        <v>0</v>
      </c>
      <c r="R64" s="19">
        <f t="shared" si="11"/>
        <v>-680</v>
      </c>
      <c r="S64" s="3">
        <f>SUMIF(MORTALIDAD!$J:$J,RESUMEN!O64,MORTALIDAD!$O:$O)</f>
        <v>0</v>
      </c>
      <c r="T64" s="3">
        <f>SUMIF(TRASLADOS!$K:$K,RESUMEN!O64,TRASLADOS!$N:$N)</f>
        <v>0</v>
      </c>
      <c r="U64" s="3">
        <f>SUMIF(TRASLADOS!$K:$K,RESUMEN!O64,TRASLADOS!$O:$O)</f>
        <v>0</v>
      </c>
      <c r="V64" s="3">
        <f>SUMIF(VENTAS!$J:$J,RESUMEN!O64,VENTAS!$N:$N)</f>
        <v>0</v>
      </c>
      <c r="W64" s="3">
        <f>SUMIF(VENTAS!$J:$J,RESUMEN!O64,VENTAS!$O:$O)</f>
        <v>0</v>
      </c>
      <c r="X64" s="97">
        <f t="shared" si="12"/>
        <v>1520</v>
      </c>
      <c r="Y64" s="96"/>
      <c r="Z64" s="99">
        <f t="shared" si="2"/>
        <v>11</v>
      </c>
      <c r="AA64" s="11">
        <f t="shared" si="31"/>
        <v>43318</v>
      </c>
      <c r="AB64" s="3">
        <f t="shared" si="31"/>
        <v>71</v>
      </c>
      <c r="AC64" s="3">
        <f>SUMIF(MORTALIDAD!$R:$R,RESUMEN!AA64,MORTALIDAD!$V:$V)</f>
        <v>0</v>
      </c>
      <c r="AD64" s="19">
        <f t="shared" si="14"/>
        <v>-476</v>
      </c>
      <c r="AE64" s="3">
        <f>SUMIF(MORTALIDAD!$R:$R,RESUMEN!AA64,MORTALIDAD!$W:$W)</f>
        <v>0</v>
      </c>
      <c r="AF64" s="3">
        <f>SUMIF(TRASLADOS!$T:$T,RESUMEN!AA64,TRASLADOS!$W:$W)</f>
        <v>0</v>
      </c>
      <c r="AG64" s="3">
        <f>SUMIF(TRASLADOS!$T:$T,RESUMEN!AA64,TRASLADOS!$X:$X)</f>
        <v>0</v>
      </c>
      <c r="AH64" s="3">
        <f>SUMIF(VENTAS!$R:$R,RESUMEN!AA64,VENTAS!$V:$V)</f>
        <v>0</v>
      </c>
      <c r="AI64" s="3">
        <f>SUMIF(VENTAS!$R:$R,RESUMEN!AA64,VENTAS!$W:$W)</f>
        <v>0</v>
      </c>
      <c r="AJ64" s="97">
        <f t="shared" si="15"/>
        <v>1724</v>
      </c>
      <c r="AK64" s="96"/>
      <c r="AL64" s="99">
        <f t="shared" si="3"/>
        <v>11</v>
      </c>
      <c r="AM64" s="11">
        <f t="shared" si="32"/>
        <v>43325</v>
      </c>
      <c r="AN64" s="3">
        <f t="shared" si="32"/>
        <v>71</v>
      </c>
      <c r="AO64" s="3">
        <f>SUMIF(MORTALIDAD!$Z:$Z,RESUMEN!AM64,MORTALIDAD!$AD:$AD)</f>
        <v>0</v>
      </c>
      <c r="AP64" s="19">
        <f t="shared" si="17"/>
        <v>-124</v>
      </c>
      <c r="AQ64" s="3">
        <f>SUMIF(MORTALIDAD!$Z:$Z,RESUMEN!AM64,MORTALIDAD!$AE:$AE)</f>
        <v>0</v>
      </c>
      <c r="AR64" s="3">
        <f>SUMIF(TRASLADOS!$AC:$AC,RESUMEN!AM64,TRASLADOS!$AF:$AF)</f>
        <v>0</v>
      </c>
      <c r="AS64" s="3">
        <f>SUMIF(TRASLADOS!$AC:$AC,RESUMEN!AM64,TRASLADOS!$AG:$AG)</f>
        <v>0</v>
      </c>
      <c r="AT64" s="3">
        <f>SUMIF(VENTAS!$Z:$Z,RESUMEN!AM64,VENTAS!$AD:$AD)</f>
        <v>0</v>
      </c>
      <c r="AU64" s="3">
        <f>SUMIF(VENTAS!$Z:$Z,RESUMEN!AM64,VENTAS!$AE:$AE)</f>
        <v>0</v>
      </c>
      <c r="AV64" s="97">
        <f t="shared" si="18"/>
        <v>2076</v>
      </c>
      <c r="AW64" s="96"/>
      <c r="AX64" s="99">
        <f t="shared" si="4"/>
        <v>11</v>
      </c>
      <c r="AY64" s="11">
        <f t="shared" si="33"/>
        <v>43332</v>
      </c>
      <c r="AZ64" s="3">
        <f t="shared" si="33"/>
        <v>71</v>
      </c>
      <c r="BA64" s="3">
        <f>SUMIF(MORTALIDAD!$AH:$AH,RESUMEN!AY64,MORTALIDAD!$AL:$AL)</f>
        <v>0</v>
      </c>
      <c r="BB64" s="19">
        <f t="shared" si="20"/>
        <v>-119</v>
      </c>
      <c r="BC64" s="3">
        <f>SUMIF(MORTALIDAD!$AH:$AH,RESUMEN!AY64,MORTALIDAD!$AM:$AM)</f>
        <v>0</v>
      </c>
      <c r="BD64" s="3">
        <f>SUMIF(TRASLADOS!$AL:$AL,RESUMEN!AY64,TRASLADOS!$AO:$AO)</f>
        <v>0</v>
      </c>
      <c r="BE64" s="3">
        <f>SUMIF(TRASLADOS!$AL:$AL,RESUMEN!AY64,TRASLADOS!$AP:$AP)</f>
        <v>0</v>
      </c>
      <c r="BF64" s="3">
        <f>SUMIF(VENTAS!$AH:$AH,RESUMEN!AY64,VENTAS!$AL:$AL)</f>
        <v>0</v>
      </c>
      <c r="BG64" s="3">
        <f>SUMIF(VENTAS!$AH:$AH,RESUMEN!AY64,VENTAS!$AM:$AM)</f>
        <v>0</v>
      </c>
      <c r="BH64" s="97">
        <f t="shared" si="21"/>
        <v>2081</v>
      </c>
      <c r="BI64" s="96"/>
      <c r="BJ64" s="99">
        <f t="shared" si="5"/>
        <v>11</v>
      </c>
      <c r="BK64" s="11">
        <f t="shared" si="34"/>
        <v>43341</v>
      </c>
      <c r="BL64" s="3">
        <f t="shared" si="34"/>
        <v>74</v>
      </c>
      <c r="BM64" s="3">
        <f>SUMIF(MORTALIDAD!$AP:$AP,RESUMEN!BK64,MORTALIDAD!$AT:$AT)</f>
        <v>0</v>
      </c>
      <c r="BN64" s="19">
        <f t="shared" si="23"/>
        <v>-73</v>
      </c>
      <c r="BO64" s="3">
        <f>SUMIF(MORTALIDAD!$AP$6:$AP$200,RESUMEN!BK64,MORTALIDAD!$AU$6:$AU$200)</f>
        <v>0</v>
      </c>
      <c r="BP64" s="3">
        <f>SUMIF(TRASLADOS!$AU:$AU,RESUMEN!BK64,TRASLADOS!$AX:$AX)</f>
        <v>0</v>
      </c>
      <c r="BQ64" s="3">
        <f>SUMIF(TRASLADOS!$AU:$AU,RESUMEN!BK64,TRASLADOS!$AY:$AY)</f>
        <v>0</v>
      </c>
      <c r="BR64" s="3">
        <f>SUMIF(VENTAS!$AP:$AP,RESUMEN!BK64,VENTAS!$AT:$AT)</f>
        <v>0</v>
      </c>
      <c r="BS64" s="3">
        <f>SUMIF(VENTAS!$AP:$AP,RESUMEN!BK64,VENTAS!$AU:$AU)</f>
        <v>0</v>
      </c>
      <c r="BT64" s="36">
        <f t="shared" si="24"/>
        <v>2241</v>
      </c>
    </row>
    <row r="65" spans="2:72" x14ac:dyDescent="0.2">
      <c r="B65" s="3">
        <f t="shared" si="0"/>
        <v>11</v>
      </c>
      <c r="C65" s="11">
        <f t="shared" si="35"/>
        <v>43312</v>
      </c>
      <c r="D65" s="3">
        <f t="shared" si="36"/>
        <v>74</v>
      </c>
      <c r="E65" s="3">
        <f>SUMIF(MORTALIDAD!$B$6:$B$200,RESUMEN!C65,MORTALIDAD!$F$6:$F$200)</f>
        <v>-11</v>
      </c>
      <c r="F65" s="17">
        <f t="shared" si="37"/>
        <v>-730</v>
      </c>
      <c r="G65" s="3">
        <f>SUMIF(MORTALIDAD!$B$6:$B$200,RESUMEN!C65,MORTALIDAD!$G$6:$G$200)</f>
        <v>85</v>
      </c>
      <c r="H65" s="3">
        <f>SUMIF(TRASLADOS!$B$6:$B$200,C65,TRASLADOS!$E$6:$E$200)</f>
        <v>0</v>
      </c>
      <c r="I65" s="3">
        <f>SUMIF(TRASLADOS!$B$6:$B$200,C65,TRASLADOS!$F$6:$F$200)</f>
        <v>0</v>
      </c>
      <c r="J65" s="3">
        <f>SUMIF(VENTAS!$B$6:$B$200,RESUMEN!C65,VENTAS!$F$6:$F$200)</f>
        <v>0</v>
      </c>
      <c r="K65" s="3">
        <f>SUMIF(VENTAS!$B$6:$B$200,RESUMEN!C65,VENTAS!$G$6:$G$200)</f>
        <v>0</v>
      </c>
      <c r="L65" s="97">
        <f t="shared" si="9"/>
        <v>1470</v>
      </c>
      <c r="M65" s="96"/>
      <c r="N65" s="99">
        <f t="shared" si="1"/>
        <v>11</v>
      </c>
      <c r="O65" s="11">
        <f t="shared" ref="O65:P80" si="38">O64+1</f>
        <v>43315</v>
      </c>
      <c r="P65" s="3">
        <f t="shared" si="38"/>
        <v>73</v>
      </c>
      <c r="Q65" s="3">
        <f>SUMIF(MORTALIDAD!$J:$J,RESUMEN!O65,MORTALIDAD!$N:$N)</f>
        <v>0</v>
      </c>
      <c r="R65" s="19">
        <f t="shared" si="11"/>
        <v>-680</v>
      </c>
      <c r="S65" s="3">
        <f>SUMIF(MORTALIDAD!$J:$J,RESUMEN!O65,MORTALIDAD!$O:$O)</f>
        <v>0</v>
      </c>
      <c r="T65" s="3">
        <f>SUMIF(TRASLADOS!$K:$K,RESUMEN!O65,TRASLADOS!$N:$N)</f>
        <v>0</v>
      </c>
      <c r="U65" s="3">
        <f>SUMIF(TRASLADOS!$K:$K,RESUMEN!O65,TRASLADOS!$O:$O)</f>
        <v>0</v>
      </c>
      <c r="V65" s="3">
        <f>SUMIF(VENTAS!$J:$J,RESUMEN!O65,VENTAS!$N:$N)</f>
        <v>0</v>
      </c>
      <c r="W65" s="3">
        <f>SUMIF(VENTAS!$J:$J,RESUMEN!O65,VENTAS!$O:$O)</f>
        <v>0</v>
      </c>
      <c r="X65" s="97">
        <f t="shared" si="12"/>
        <v>1520</v>
      </c>
      <c r="Y65" s="96"/>
      <c r="Z65" s="99">
        <f t="shared" si="2"/>
        <v>11</v>
      </c>
      <c r="AA65" s="11">
        <f t="shared" ref="AA65:AB80" si="39">AA64+1</f>
        <v>43319</v>
      </c>
      <c r="AB65" s="3">
        <f t="shared" si="39"/>
        <v>72</v>
      </c>
      <c r="AC65" s="3">
        <f>SUMIF(MORTALIDAD!$R:$R,RESUMEN!AA65,MORTALIDAD!$V:$V)</f>
        <v>0</v>
      </c>
      <c r="AD65" s="19">
        <f t="shared" si="14"/>
        <v>-476</v>
      </c>
      <c r="AE65" s="3">
        <f>SUMIF(MORTALIDAD!$R:$R,RESUMEN!AA65,MORTALIDAD!$W:$W)</f>
        <v>0</v>
      </c>
      <c r="AF65" s="3">
        <f>SUMIF(TRASLADOS!$T:$T,RESUMEN!AA65,TRASLADOS!$W:$W)</f>
        <v>0</v>
      </c>
      <c r="AG65" s="3">
        <f>SUMIF(TRASLADOS!$T:$T,RESUMEN!AA65,TRASLADOS!$X:$X)</f>
        <v>0</v>
      </c>
      <c r="AH65" s="3">
        <f>SUMIF(VENTAS!$R:$R,RESUMEN!AA65,VENTAS!$V:$V)</f>
        <v>0</v>
      </c>
      <c r="AI65" s="3">
        <f>SUMIF(VENTAS!$R:$R,RESUMEN!AA65,VENTAS!$W:$W)</f>
        <v>0</v>
      </c>
      <c r="AJ65" s="97">
        <f t="shared" si="15"/>
        <v>1724</v>
      </c>
      <c r="AK65" s="96"/>
      <c r="AL65" s="99">
        <f t="shared" si="3"/>
        <v>11</v>
      </c>
      <c r="AM65" s="11">
        <f t="shared" ref="AM65:AN80" si="40">AM64+1</f>
        <v>43326</v>
      </c>
      <c r="AN65" s="3">
        <f t="shared" si="40"/>
        <v>72</v>
      </c>
      <c r="AO65" s="3">
        <f>SUMIF(MORTALIDAD!$Z:$Z,RESUMEN!AM65,MORTALIDAD!$AD:$AD)</f>
        <v>0</v>
      </c>
      <c r="AP65" s="19">
        <f t="shared" si="17"/>
        <v>-124</v>
      </c>
      <c r="AQ65" s="3">
        <f>SUMIF(MORTALIDAD!$Z:$Z,RESUMEN!AM65,MORTALIDAD!$AE:$AE)</f>
        <v>0</v>
      </c>
      <c r="AR65" s="3">
        <f>SUMIF(TRASLADOS!$AC:$AC,RESUMEN!AM65,TRASLADOS!$AF:$AF)</f>
        <v>0</v>
      </c>
      <c r="AS65" s="3">
        <f>SUMIF(TRASLADOS!$AC:$AC,RESUMEN!AM65,TRASLADOS!$AG:$AG)</f>
        <v>0</v>
      </c>
      <c r="AT65" s="3">
        <f>SUMIF(VENTAS!$Z:$Z,RESUMEN!AM65,VENTAS!$AD:$AD)</f>
        <v>0</v>
      </c>
      <c r="AU65" s="3">
        <f>SUMIF(VENTAS!$Z:$Z,RESUMEN!AM65,VENTAS!$AE:$AE)</f>
        <v>0</v>
      </c>
      <c r="AV65" s="97">
        <f t="shared" si="18"/>
        <v>2076</v>
      </c>
      <c r="AW65" s="96"/>
      <c r="AX65" s="99">
        <f t="shared" si="4"/>
        <v>11</v>
      </c>
      <c r="AY65" s="11">
        <f t="shared" ref="AY65:AZ80" si="41">AY64+1</f>
        <v>43333</v>
      </c>
      <c r="AZ65" s="3">
        <f t="shared" si="41"/>
        <v>72</v>
      </c>
      <c r="BA65" s="3">
        <f>SUMIF(MORTALIDAD!$AH:$AH,RESUMEN!AY65,MORTALIDAD!$AL:$AL)</f>
        <v>0</v>
      </c>
      <c r="BB65" s="19">
        <f t="shared" si="20"/>
        <v>-119</v>
      </c>
      <c r="BC65" s="3">
        <f>SUMIF(MORTALIDAD!$AH:$AH,RESUMEN!AY65,MORTALIDAD!$AM:$AM)</f>
        <v>0</v>
      </c>
      <c r="BD65" s="3">
        <f>SUMIF(TRASLADOS!$AL:$AL,RESUMEN!AY65,TRASLADOS!$AO:$AO)</f>
        <v>0</v>
      </c>
      <c r="BE65" s="3">
        <f>SUMIF(TRASLADOS!$AL:$AL,RESUMEN!AY65,TRASLADOS!$AP:$AP)</f>
        <v>0</v>
      </c>
      <c r="BF65" s="3">
        <f>SUMIF(VENTAS!$AH:$AH,RESUMEN!AY65,VENTAS!$AL:$AL)</f>
        <v>0</v>
      </c>
      <c r="BG65" s="3">
        <f>SUMIF(VENTAS!$AH:$AH,RESUMEN!AY65,VENTAS!$AM:$AM)</f>
        <v>0</v>
      </c>
      <c r="BH65" s="97">
        <f t="shared" si="21"/>
        <v>2081</v>
      </c>
      <c r="BI65" s="96"/>
      <c r="BJ65" s="99">
        <f t="shared" si="5"/>
        <v>11</v>
      </c>
      <c r="BK65" s="11">
        <f t="shared" ref="BK65:BL80" si="42">BK64+1</f>
        <v>43342</v>
      </c>
      <c r="BL65" s="3">
        <f t="shared" si="42"/>
        <v>75</v>
      </c>
      <c r="BM65" s="3">
        <f>SUMIF(MORTALIDAD!$AP:$AP,RESUMEN!BK65,MORTALIDAD!$AT:$AT)</f>
        <v>0</v>
      </c>
      <c r="BN65" s="19">
        <f t="shared" si="23"/>
        <v>-73</v>
      </c>
      <c r="BO65" s="3">
        <f>SUMIF(MORTALIDAD!$AP$6:$AP$200,RESUMEN!BK65,MORTALIDAD!$AU$6:$AU$200)</f>
        <v>0</v>
      </c>
      <c r="BP65" s="3">
        <f>SUMIF(TRASLADOS!$AU:$AU,RESUMEN!BK65,TRASLADOS!$AX:$AX)</f>
        <v>0</v>
      </c>
      <c r="BQ65" s="3">
        <f>SUMIF(TRASLADOS!$AU:$AU,RESUMEN!BK65,TRASLADOS!$AY:$AY)</f>
        <v>0</v>
      </c>
      <c r="BR65" s="3">
        <f>SUMIF(VENTAS!$AP:$AP,RESUMEN!BK65,VENTAS!$AT:$AT)</f>
        <v>0</v>
      </c>
      <c r="BS65" s="3">
        <f>SUMIF(VENTAS!$AP:$AP,RESUMEN!BK65,VENTAS!$AU:$AU)</f>
        <v>0</v>
      </c>
      <c r="BT65" s="36">
        <f t="shared" si="24"/>
        <v>2241</v>
      </c>
    </row>
    <row r="66" spans="2:72" x14ac:dyDescent="0.2">
      <c r="B66" s="3">
        <f t="shared" si="0"/>
        <v>11</v>
      </c>
      <c r="C66" s="11">
        <f t="shared" si="35"/>
        <v>43313</v>
      </c>
      <c r="D66" s="3">
        <f t="shared" si="36"/>
        <v>75</v>
      </c>
      <c r="E66" s="3">
        <f>SUMIF(MORTALIDAD!$B$6:$B$200,RESUMEN!C66,MORTALIDAD!$F$6:$F$200)</f>
        <v>-10</v>
      </c>
      <c r="F66" s="17">
        <f t="shared" si="37"/>
        <v>-740</v>
      </c>
      <c r="G66" s="3">
        <f>SUMIF(MORTALIDAD!$B$6:$B$200,RESUMEN!C66,MORTALIDAD!$G$6:$G$200)</f>
        <v>78</v>
      </c>
      <c r="H66" s="3">
        <f>SUMIF(TRASLADOS!$B$6:$B$200,C66,TRASLADOS!$E$6:$E$200)</f>
        <v>0</v>
      </c>
      <c r="I66" s="3">
        <f>SUMIF(TRASLADOS!$B$6:$B$200,C66,TRASLADOS!$F$6:$F$200)</f>
        <v>0</v>
      </c>
      <c r="J66" s="3">
        <f>SUMIF(VENTAS!$B$6:$B$200,RESUMEN!C66,VENTAS!$F$6:$F$200)</f>
        <v>0</v>
      </c>
      <c r="K66" s="3">
        <f>SUMIF(VENTAS!$B$6:$B$200,RESUMEN!C66,VENTAS!$G$6:$G$200)</f>
        <v>0</v>
      </c>
      <c r="L66" s="97">
        <f t="shared" si="9"/>
        <v>1460</v>
      </c>
      <c r="M66" s="96"/>
      <c r="N66" s="99">
        <f t="shared" si="1"/>
        <v>11</v>
      </c>
      <c r="O66" s="11">
        <f t="shared" si="38"/>
        <v>43316</v>
      </c>
      <c r="P66" s="3">
        <f t="shared" si="38"/>
        <v>74</v>
      </c>
      <c r="Q66" s="3">
        <f>SUMIF(MORTALIDAD!$J:$J,RESUMEN!O66,MORTALIDAD!$N:$N)</f>
        <v>0</v>
      </c>
      <c r="R66" s="19">
        <f t="shared" si="11"/>
        <v>-680</v>
      </c>
      <c r="S66" s="3">
        <f>SUMIF(MORTALIDAD!$J:$J,RESUMEN!O66,MORTALIDAD!$O:$O)</f>
        <v>0</v>
      </c>
      <c r="T66" s="3">
        <f>SUMIF(TRASLADOS!$K:$K,RESUMEN!O66,TRASLADOS!$N:$N)</f>
        <v>0</v>
      </c>
      <c r="U66" s="3">
        <f>SUMIF(TRASLADOS!$K:$K,RESUMEN!O66,TRASLADOS!$O:$O)</f>
        <v>0</v>
      </c>
      <c r="V66" s="3">
        <f>SUMIF(VENTAS!$J:$J,RESUMEN!O66,VENTAS!$N:$N)</f>
        <v>0</v>
      </c>
      <c r="W66" s="3">
        <f>SUMIF(VENTAS!$J:$J,RESUMEN!O66,VENTAS!$O:$O)</f>
        <v>0</v>
      </c>
      <c r="X66" s="97">
        <f t="shared" si="12"/>
        <v>1520</v>
      </c>
      <c r="Y66" s="96"/>
      <c r="Z66" s="99">
        <f t="shared" si="2"/>
        <v>11</v>
      </c>
      <c r="AA66" s="11">
        <f t="shared" si="39"/>
        <v>43320</v>
      </c>
      <c r="AB66" s="3">
        <f t="shared" si="39"/>
        <v>73</v>
      </c>
      <c r="AC66" s="3">
        <f>SUMIF(MORTALIDAD!$R:$R,RESUMEN!AA66,MORTALIDAD!$V:$V)</f>
        <v>0</v>
      </c>
      <c r="AD66" s="19">
        <f t="shared" si="14"/>
        <v>-476</v>
      </c>
      <c r="AE66" s="3">
        <f>SUMIF(MORTALIDAD!$R:$R,RESUMEN!AA66,MORTALIDAD!$W:$W)</f>
        <v>0</v>
      </c>
      <c r="AF66" s="3">
        <f>SUMIF(TRASLADOS!$T:$T,RESUMEN!AA66,TRASLADOS!$W:$W)</f>
        <v>0</v>
      </c>
      <c r="AG66" s="3">
        <f>SUMIF(TRASLADOS!$T:$T,RESUMEN!AA66,TRASLADOS!$X:$X)</f>
        <v>0</v>
      </c>
      <c r="AH66" s="3">
        <f>SUMIF(VENTAS!$R:$R,RESUMEN!AA66,VENTAS!$V:$V)</f>
        <v>0</v>
      </c>
      <c r="AI66" s="3">
        <f>SUMIF(VENTAS!$R:$R,RESUMEN!AA66,VENTAS!$W:$W)</f>
        <v>0</v>
      </c>
      <c r="AJ66" s="97">
        <f t="shared" si="15"/>
        <v>1724</v>
      </c>
      <c r="AK66" s="96"/>
      <c r="AL66" s="99">
        <f t="shared" si="3"/>
        <v>11</v>
      </c>
      <c r="AM66" s="11">
        <f t="shared" si="40"/>
        <v>43327</v>
      </c>
      <c r="AN66" s="3">
        <f t="shared" si="40"/>
        <v>73</v>
      </c>
      <c r="AO66" s="3">
        <f>SUMIF(MORTALIDAD!$Z:$Z,RESUMEN!AM66,MORTALIDAD!$AD:$AD)</f>
        <v>0</v>
      </c>
      <c r="AP66" s="19">
        <f t="shared" si="17"/>
        <v>-124</v>
      </c>
      <c r="AQ66" s="3">
        <f>SUMIF(MORTALIDAD!$Z:$Z,RESUMEN!AM66,MORTALIDAD!$AE:$AE)</f>
        <v>0</v>
      </c>
      <c r="AR66" s="3">
        <f>SUMIF(TRASLADOS!$AC:$AC,RESUMEN!AM66,TRASLADOS!$AF:$AF)</f>
        <v>0</v>
      </c>
      <c r="AS66" s="3">
        <f>SUMIF(TRASLADOS!$AC:$AC,RESUMEN!AM66,TRASLADOS!$AG:$AG)</f>
        <v>0</v>
      </c>
      <c r="AT66" s="3">
        <f>SUMIF(VENTAS!$Z:$Z,RESUMEN!AM66,VENTAS!$AD:$AD)</f>
        <v>0</v>
      </c>
      <c r="AU66" s="3">
        <f>SUMIF(VENTAS!$Z:$Z,RESUMEN!AM66,VENTAS!$AE:$AE)</f>
        <v>0</v>
      </c>
      <c r="AV66" s="97">
        <f t="shared" si="18"/>
        <v>2076</v>
      </c>
      <c r="AW66" s="96"/>
      <c r="AX66" s="99">
        <f t="shared" si="4"/>
        <v>11</v>
      </c>
      <c r="AY66" s="11">
        <f t="shared" si="41"/>
        <v>43334</v>
      </c>
      <c r="AZ66" s="3">
        <f t="shared" si="41"/>
        <v>73</v>
      </c>
      <c r="BA66" s="3">
        <f>SUMIF(MORTALIDAD!$AH:$AH,RESUMEN!AY66,MORTALIDAD!$AL:$AL)</f>
        <v>0</v>
      </c>
      <c r="BB66" s="19">
        <f t="shared" si="20"/>
        <v>-119</v>
      </c>
      <c r="BC66" s="3">
        <f>SUMIF(MORTALIDAD!$AH:$AH,RESUMEN!AY66,MORTALIDAD!$AM:$AM)</f>
        <v>0</v>
      </c>
      <c r="BD66" s="3">
        <f>SUMIF(TRASLADOS!$AL:$AL,RESUMEN!AY66,TRASLADOS!$AO:$AO)</f>
        <v>0</v>
      </c>
      <c r="BE66" s="3">
        <f>SUMIF(TRASLADOS!$AL:$AL,RESUMEN!AY66,TRASLADOS!$AP:$AP)</f>
        <v>0</v>
      </c>
      <c r="BF66" s="3">
        <f>SUMIF(VENTAS!$AH:$AH,RESUMEN!AY66,VENTAS!$AL:$AL)</f>
        <v>0</v>
      </c>
      <c r="BG66" s="3">
        <f>SUMIF(VENTAS!$AH:$AH,RESUMEN!AY66,VENTAS!$AM:$AM)</f>
        <v>0</v>
      </c>
      <c r="BH66" s="97">
        <f t="shared" si="21"/>
        <v>2081</v>
      </c>
      <c r="BI66" s="96"/>
      <c r="BJ66" s="99">
        <f t="shared" si="5"/>
        <v>11</v>
      </c>
      <c r="BK66" s="11">
        <f t="shared" si="42"/>
        <v>43343</v>
      </c>
      <c r="BL66" s="3">
        <f t="shared" si="42"/>
        <v>76</v>
      </c>
      <c r="BM66" s="3">
        <f>SUMIF(MORTALIDAD!$AP:$AP,RESUMEN!BK66,MORTALIDAD!$AT:$AT)</f>
        <v>0</v>
      </c>
      <c r="BN66" s="19">
        <f t="shared" si="23"/>
        <v>-73</v>
      </c>
      <c r="BO66" s="3">
        <f>SUMIF(MORTALIDAD!$AP$6:$AP$200,RESUMEN!BK66,MORTALIDAD!$AU$6:$AU$200)</f>
        <v>0</v>
      </c>
      <c r="BP66" s="3">
        <f>SUMIF(TRASLADOS!$AU:$AU,RESUMEN!BK66,TRASLADOS!$AX:$AX)</f>
        <v>0</v>
      </c>
      <c r="BQ66" s="3">
        <f>SUMIF(TRASLADOS!$AU:$AU,RESUMEN!BK66,TRASLADOS!$AY:$AY)</f>
        <v>0</v>
      </c>
      <c r="BR66" s="3">
        <f>SUMIF(VENTAS!$AP:$AP,RESUMEN!BK66,VENTAS!$AT:$AT)</f>
        <v>0</v>
      </c>
      <c r="BS66" s="3">
        <f>SUMIF(VENTAS!$AP:$AP,RESUMEN!BK66,VENTAS!$AU:$AU)</f>
        <v>0</v>
      </c>
      <c r="BT66" s="36">
        <f t="shared" si="24"/>
        <v>2241</v>
      </c>
    </row>
    <row r="67" spans="2:72" x14ac:dyDescent="0.2">
      <c r="B67" s="3">
        <f t="shared" si="0"/>
        <v>11</v>
      </c>
      <c r="C67" s="11">
        <f t="shared" si="35"/>
        <v>43314</v>
      </c>
      <c r="D67" s="3">
        <f t="shared" si="36"/>
        <v>76</v>
      </c>
      <c r="E67" s="3">
        <f>SUMIF(MORTALIDAD!$B$6:$B$200,RESUMEN!C67,MORTALIDAD!$F$6:$F$200)</f>
        <v>0</v>
      </c>
      <c r="F67" s="17">
        <f t="shared" si="37"/>
        <v>-740</v>
      </c>
      <c r="G67" s="3">
        <f>SUMIF(MORTALIDAD!$B$6:$B$200,RESUMEN!C67,MORTALIDAD!$G$6:$G$200)</f>
        <v>0</v>
      </c>
      <c r="H67" s="3">
        <f>SUMIF(TRASLADOS!$B$6:$B$200,C67,TRASLADOS!$E$6:$E$200)</f>
        <v>0</v>
      </c>
      <c r="I67" s="3">
        <f>SUMIF(TRASLADOS!$B$6:$B$200,C67,TRASLADOS!$F$6:$F$200)</f>
        <v>0</v>
      </c>
      <c r="J67" s="3">
        <f>SUMIF(VENTAS!$B$6:$B$200,RESUMEN!C67,VENTAS!$F$6:$F$200)</f>
        <v>0</v>
      </c>
      <c r="K67" s="3">
        <f>SUMIF(VENTAS!$B$6:$B$200,RESUMEN!C67,VENTAS!$G$6:$G$200)</f>
        <v>0</v>
      </c>
      <c r="L67" s="97">
        <f t="shared" si="9"/>
        <v>1460</v>
      </c>
      <c r="M67" s="96"/>
      <c r="N67" s="99">
        <f t="shared" si="1"/>
        <v>11</v>
      </c>
      <c r="O67" s="11">
        <f t="shared" si="38"/>
        <v>43317</v>
      </c>
      <c r="P67" s="3">
        <f t="shared" si="38"/>
        <v>75</v>
      </c>
      <c r="Q67" s="3">
        <f>SUMIF(MORTALIDAD!$J:$J,RESUMEN!O67,MORTALIDAD!$N:$N)</f>
        <v>0</v>
      </c>
      <c r="R67" s="19">
        <f t="shared" si="11"/>
        <v>-680</v>
      </c>
      <c r="S67" s="3">
        <f>SUMIF(MORTALIDAD!$J:$J,RESUMEN!O67,MORTALIDAD!$O:$O)</f>
        <v>0</v>
      </c>
      <c r="T67" s="3">
        <f>SUMIF(TRASLADOS!$K:$K,RESUMEN!O67,TRASLADOS!$N:$N)</f>
        <v>0</v>
      </c>
      <c r="U67" s="3">
        <f>SUMIF(TRASLADOS!$K:$K,RESUMEN!O67,TRASLADOS!$O:$O)</f>
        <v>0</v>
      </c>
      <c r="V67" s="3">
        <f>SUMIF(VENTAS!$J:$J,RESUMEN!O67,VENTAS!$N:$N)</f>
        <v>0</v>
      </c>
      <c r="W67" s="3">
        <f>SUMIF(VENTAS!$J:$J,RESUMEN!O67,VENTAS!$O:$O)</f>
        <v>0</v>
      </c>
      <c r="X67" s="97">
        <f t="shared" si="12"/>
        <v>1520</v>
      </c>
      <c r="Y67" s="96"/>
      <c r="Z67" s="99">
        <f t="shared" si="2"/>
        <v>11</v>
      </c>
      <c r="AA67" s="11">
        <f t="shared" si="39"/>
        <v>43321</v>
      </c>
      <c r="AB67" s="3">
        <f t="shared" si="39"/>
        <v>74</v>
      </c>
      <c r="AC67" s="3">
        <f>SUMIF(MORTALIDAD!$R:$R,RESUMEN!AA67,MORTALIDAD!$V:$V)</f>
        <v>0</v>
      </c>
      <c r="AD67" s="19">
        <f t="shared" si="14"/>
        <v>-476</v>
      </c>
      <c r="AE67" s="3">
        <f>SUMIF(MORTALIDAD!$R:$R,RESUMEN!AA67,MORTALIDAD!$W:$W)</f>
        <v>0</v>
      </c>
      <c r="AF67" s="3">
        <f>SUMIF(TRASLADOS!$T:$T,RESUMEN!AA67,TRASLADOS!$W:$W)</f>
        <v>0</v>
      </c>
      <c r="AG67" s="3">
        <f>SUMIF(TRASLADOS!$T:$T,RESUMEN!AA67,TRASLADOS!$X:$X)</f>
        <v>0</v>
      </c>
      <c r="AH67" s="3">
        <f>SUMIF(VENTAS!$R:$R,RESUMEN!AA67,VENTAS!$V:$V)</f>
        <v>0</v>
      </c>
      <c r="AI67" s="3">
        <f>SUMIF(VENTAS!$R:$R,RESUMEN!AA67,VENTAS!$W:$W)</f>
        <v>0</v>
      </c>
      <c r="AJ67" s="97">
        <f t="shared" si="15"/>
        <v>1724</v>
      </c>
      <c r="AK67" s="96"/>
      <c r="AL67" s="99">
        <f t="shared" si="3"/>
        <v>11</v>
      </c>
      <c r="AM67" s="11">
        <f t="shared" si="40"/>
        <v>43328</v>
      </c>
      <c r="AN67" s="3">
        <f t="shared" si="40"/>
        <v>74</v>
      </c>
      <c r="AO67" s="3">
        <f>SUMIF(MORTALIDAD!$Z:$Z,RESUMEN!AM67,MORTALIDAD!$AD:$AD)</f>
        <v>0</v>
      </c>
      <c r="AP67" s="19">
        <f t="shared" si="17"/>
        <v>-124</v>
      </c>
      <c r="AQ67" s="3">
        <f>SUMIF(MORTALIDAD!$Z:$Z,RESUMEN!AM67,MORTALIDAD!$AE:$AE)</f>
        <v>0</v>
      </c>
      <c r="AR67" s="3">
        <f>SUMIF(TRASLADOS!$AC:$AC,RESUMEN!AM67,TRASLADOS!$AF:$AF)</f>
        <v>0</v>
      </c>
      <c r="AS67" s="3">
        <f>SUMIF(TRASLADOS!$AC:$AC,RESUMEN!AM67,TRASLADOS!$AG:$AG)</f>
        <v>0</v>
      </c>
      <c r="AT67" s="3">
        <f>SUMIF(VENTAS!$Z:$Z,RESUMEN!AM67,VENTAS!$AD:$AD)</f>
        <v>0</v>
      </c>
      <c r="AU67" s="3">
        <f>SUMIF(VENTAS!$Z:$Z,RESUMEN!AM67,VENTAS!$AE:$AE)</f>
        <v>0</v>
      </c>
      <c r="AV67" s="97">
        <f t="shared" si="18"/>
        <v>2076</v>
      </c>
      <c r="AW67" s="96"/>
      <c r="AX67" s="99">
        <f t="shared" si="4"/>
        <v>11</v>
      </c>
      <c r="AY67" s="11">
        <f t="shared" si="41"/>
        <v>43335</v>
      </c>
      <c r="AZ67" s="3">
        <f t="shared" si="41"/>
        <v>74</v>
      </c>
      <c r="BA67" s="3">
        <f>SUMIF(MORTALIDAD!$AH:$AH,RESUMEN!AY67,MORTALIDAD!$AL:$AL)</f>
        <v>0</v>
      </c>
      <c r="BB67" s="19">
        <f t="shared" si="20"/>
        <v>-119</v>
      </c>
      <c r="BC67" s="3">
        <f>SUMIF(MORTALIDAD!$AH:$AH,RESUMEN!AY67,MORTALIDAD!$AM:$AM)</f>
        <v>0</v>
      </c>
      <c r="BD67" s="3">
        <f>SUMIF(TRASLADOS!$AL:$AL,RESUMEN!AY67,TRASLADOS!$AO:$AO)</f>
        <v>0</v>
      </c>
      <c r="BE67" s="3">
        <f>SUMIF(TRASLADOS!$AL:$AL,RESUMEN!AY67,TRASLADOS!$AP:$AP)</f>
        <v>0</v>
      </c>
      <c r="BF67" s="3">
        <f>SUMIF(VENTAS!$AH:$AH,RESUMEN!AY67,VENTAS!$AL:$AL)</f>
        <v>0</v>
      </c>
      <c r="BG67" s="3">
        <f>SUMIF(VENTAS!$AH:$AH,RESUMEN!AY67,VENTAS!$AM:$AM)</f>
        <v>0</v>
      </c>
      <c r="BH67" s="97">
        <f t="shared" si="21"/>
        <v>2081</v>
      </c>
      <c r="BI67" s="96"/>
      <c r="BJ67" s="99">
        <f t="shared" si="5"/>
        <v>11</v>
      </c>
      <c r="BK67" s="11">
        <f t="shared" si="42"/>
        <v>43344</v>
      </c>
      <c r="BL67" s="3">
        <f t="shared" si="42"/>
        <v>77</v>
      </c>
      <c r="BM67" s="3">
        <f>SUMIF(MORTALIDAD!$AP:$AP,RESUMEN!BK67,MORTALIDAD!$AT:$AT)</f>
        <v>0</v>
      </c>
      <c r="BN67" s="19">
        <f t="shared" si="23"/>
        <v>-73</v>
      </c>
      <c r="BO67" s="3">
        <f>SUMIF(MORTALIDAD!$AP$6:$AP$200,RESUMEN!BK67,MORTALIDAD!$AU$6:$AU$200)</f>
        <v>0</v>
      </c>
      <c r="BP67" s="3">
        <f>SUMIF(TRASLADOS!$AU:$AU,RESUMEN!BK67,TRASLADOS!$AX:$AX)</f>
        <v>0</v>
      </c>
      <c r="BQ67" s="3">
        <f>SUMIF(TRASLADOS!$AU:$AU,RESUMEN!BK67,TRASLADOS!$AY:$AY)</f>
        <v>0</v>
      </c>
      <c r="BR67" s="3">
        <f>SUMIF(VENTAS!$AP:$AP,RESUMEN!BK67,VENTAS!$AT:$AT)</f>
        <v>0</v>
      </c>
      <c r="BS67" s="3">
        <f>SUMIF(VENTAS!$AP:$AP,RESUMEN!BK67,VENTAS!$AU:$AU)</f>
        <v>0</v>
      </c>
      <c r="BT67" s="36">
        <f t="shared" si="24"/>
        <v>2241</v>
      </c>
    </row>
    <row r="68" spans="2:72" x14ac:dyDescent="0.2">
      <c r="B68" s="3">
        <f t="shared" si="0"/>
        <v>11</v>
      </c>
      <c r="C68" s="11">
        <f t="shared" si="35"/>
        <v>43315</v>
      </c>
      <c r="D68" s="3">
        <f t="shared" si="36"/>
        <v>77</v>
      </c>
      <c r="E68" s="3">
        <f>SUMIF(MORTALIDAD!$B$6:$B$200,RESUMEN!C68,MORTALIDAD!$F$6:$F$200)</f>
        <v>0</v>
      </c>
      <c r="F68" s="17">
        <f t="shared" si="37"/>
        <v>-740</v>
      </c>
      <c r="G68" s="3">
        <f>SUMIF(MORTALIDAD!$B$6:$B$200,RESUMEN!C68,MORTALIDAD!$G$6:$G$200)</f>
        <v>0</v>
      </c>
      <c r="H68" s="3">
        <f>SUMIF(TRASLADOS!$B$6:$B$200,C68,TRASLADOS!$E$6:$E$200)</f>
        <v>0</v>
      </c>
      <c r="I68" s="3">
        <f>SUMIF(TRASLADOS!$B$6:$B$200,C68,TRASLADOS!$F$6:$F$200)</f>
        <v>0</v>
      </c>
      <c r="J68" s="3">
        <f>SUMIF(VENTAS!$B$6:$B$200,RESUMEN!C68,VENTAS!$F$6:$F$200)</f>
        <v>0</v>
      </c>
      <c r="K68" s="3">
        <f>SUMIF(VENTAS!$B$6:$B$200,RESUMEN!C68,VENTAS!$G$6:$G$200)</f>
        <v>0</v>
      </c>
      <c r="L68" s="97">
        <f t="shared" si="9"/>
        <v>1460</v>
      </c>
      <c r="M68" s="96"/>
      <c r="N68" s="99">
        <f t="shared" si="1"/>
        <v>11</v>
      </c>
      <c r="O68" s="11">
        <f t="shared" si="38"/>
        <v>43318</v>
      </c>
      <c r="P68" s="3">
        <f t="shared" si="38"/>
        <v>76</v>
      </c>
      <c r="Q68" s="3">
        <f>SUMIF(MORTALIDAD!$J:$J,RESUMEN!O68,MORTALIDAD!$N:$N)</f>
        <v>0</v>
      </c>
      <c r="R68" s="19">
        <f t="shared" si="11"/>
        <v>-680</v>
      </c>
      <c r="S68" s="3">
        <f>SUMIF(MORTALIDAD!$J:$J,RESUMEN!O68,MORTALIDAD!$O:$O)</f>
        <v>0</v>
      </c>
      <c r="T68" s="3">
        <f>SUMIF(TRASLADOS!$K:$K,RESUMEN!O68,TRASLADOS!$N:$N)</f>
        <v>0</v>
      </c>
      <c r="U68" s="3">
        <f>SUMIF(TRASLADOS!$K:$K,RESUMEN!O68,TRASLADOS!$O:$O)</f>
        <v>0</v>
      </c>
      <c r="V68" s="3">
        <f>SUMIF(VENTAS!$J:$J,RESUMEN!O68,VENTAS!$N:$N)</f>
        <v>0</v>
      </c>
      <c r="W68" s="3">
        <f>SUMIF(VENTAS!$J:$J,RESUMEN!O68,VENTAS!$O:$O)</f>
        <v>0</v>
      </c>
      <c r="X68" s="97">
        <f t="shared" si="12"/>
        <v>1520</v>
      </c>
      <c r="Y68" s="96"/>
      <c r="Z68" s="99">
        <f t="shared" si="2"/>
        <v>11</v>
      </c>
      <c r="AA68" s="11">
        <f t="shared" si="39"/>
        <v>43322</v>
      </c>
      <c r="AB68" s="3">
        <f t="shared" si="39"/>
        <v>75</v>
      </c>
      <c r="AC68" s="3">
        <f>SUMIF(MORTALIDAD!$R:$R,RESUMEN!AA68,MORTALIDAD!$V:$V)</f>
        <v>0</v>
      </c>
      <c r="AD68" s="19">
        <f t="shared" si="14"/>
        <v>-476</v>
      </c>
      <c r="AE68" s="3">
        <f>SUMIF(MORTALIDAD!$R:$R,RESUMEN!AA68,MORTALIDAD!$W:$W)</f>
        <v>0</v>
      </c>
      <c r="AF68" s="3">
        <f>SUMIF(TRASLADOS!$T:$T,RESUMEN!AA68,TRASLADOS!$W:$W)</f>
        <v>0</v>
      </c>
      <c r="AG68" s="3">
        <f>SUMIF(TRASLADOS!$T:$T,RESUMEN!AA68,TRASLADOS!$X:$X)</f>
        <v>0</v>
      </c>
      <c r="AH68" s="3">
        <f>SUMIF(VENTAS!$R:$R,RESUMEN!AA68,VENTAS!$V:$V)</f>
        <v>0</v>
      </c>
      <c r="AI68" s="3">
        <f>SUMIF(VENTAS!$R:$R,RESUMEN!AA68,VENTAS!$W:$W)</f>
        <v>0</v>
      </c>
      <c r="AJ68" s="97">
        <f t="shared" si="15"/>
        <v>1724</v>
      </c>
      <c r="AK68" s="96"/>
      <c r="AL68" s="99">
        <f t="shared" si="3"/>
        <v>11</v>
      </c>
      <c r="AM68" s="11">
        <f t="shared" si="40"/>
        <v>43329</v>
      </c>
      <c r="AN68" s="3">
        <f t="shared" si="40"/>
        <v>75</v>
      </c>
      <c r="AO68" s="3">
        <f>SUMIF(MORTALIDAD!$Z:$Z,RESUMEN!AM68,MORTALIDAD!$AD:$AD)</f>
        <v>0</v>
      </c>
      <c r="AP68" s="19">
        <f t="shared" si="17"/>
        <v>-124</v>
      </c>
      <c r="AQ68" s="3">
        <f>SUMIF(MORTALIDAD!$Z:$Z,RESUMEN!AM68,MORTALIDAD!$AE:$AE)</f>
        <v>0</v>
      </c>
      <c r="AR68" s="3">
        <f>SUMIF(TRASLADOS!$AC:$AC,RESUMEN!AM68,TRASLADOS!$AF:$AF)</f>
        <v>0</v>
      </c>
      <c r="AS68" s="3">
        <f>SUMIF(TRASLADOS!$AC:$AC,RESUMEN!AM68,TRASLADOS!$AG:$AG)</f>
        <v>0</v>
      </c>
      <c r="AT68" s="3">
        <f>SUMIF(VENTAS!$Z:$Z,RESUMEN!AM68,VENTAS!$AD:$AD)</f>
        <v>0</v>
      </c>
      <c r="AU68" s="3">
        <f>SUMIF(VENTAS!$Z:$Z,RESUMEN!AM68,VENTAS!$AE:$AE)</f>
        <v>0</v>
      </c>
      <c r="AV68" s="97">
        <f t="shared" si="18"/>
        <v>2076</v>
      </c>
      <c r="AW68" s="96"/>
      <c r="AX68" s="99">
        <f t="shared" si="4"/>
        <v>11</v>
      </c>
      <c r="AY68" s="11">
        <f t="shared" si="41"/>
        <v>43336</v>
      </c>
      <c r="AZ68" s="3">
        <f t="shared" si="41"/>
        <v>75</v>
      </c>
      <c r="BA68" s="3">
        <f>SUMIF(MORTALIDAD!$AH:$AH,RESUMEN!AY68,MORTALIDAD!$AL:$AL)</f>
        <v>0</v>
      </c>
      <c r="BB68" s="19">
        <f t="shared" si="20"/>
        <v>-119</v>
      </c>
      <c r="BC68" s="3">
        <f>SUMIF(MORTALIDAD!$AH:$AH,RESUMEN!AY68,MORTALIDAD!$AM:$AM)</f>
        <v>0</v>
      </c>
      <c r="BD68" s="3">
        <f>SUMIF(TRASLADOS!$AL:$AL,RESUMEN!AY68,TRASLADOS!$AO:$AO)</f>
        <v>0</v>
      </c>
      <c r="BE68" s="3">
        <f>SUMIF(TRASLADOS!$AL:$AL,RESUMEN!AY68,TRASLADOS!$AP:$AP)</f>
        <v>0</v>
      </c>
      <c r="BF68" s="3">
        <f>SUMIF(VENTAS!$AH:$AH,RESUMEN!AY68,VENTAS!$AL:$AL)</f>
        <v>0</v>
      </c>
      <c r="BG68" s="3">
        <f>SUMIF(VENTAS!$AH:$AH,RESUMEN!AY68,VENTAS!$AM:$AM)</f>
        <v>0</v>
      </c>
      <c r="BH68" s="97">
        <f t="shared" si="21"/>
        <v>2081</v>
      </c>
      <c r="BI68" s="96"/>
      <c r="BJ68" s="99">
        <f t="shared" si="5"/>
        <v>12</v>
      </c>
      <c r="BK68" s="11">
        <f t="shared" si="42"/>
        <v>43345</v>
      </c>
      <c r="BL68" s="3">
        <f t="shared" si="42"/>
        <v>78</v>
      </c>
      <c r="BM68" s="3">
        <f>SUMIF(MORTALIDAD!$AP:$AP,RESUMEN!BK68,MORTALIDAD!$AT:$AT)</f>
        <v>0</v>
      </c>
      <c r="BN68" s="19">
        <f t="shared" si="23"/>
        <v>-73</v>
      </c>
      <c r="BO68" s="3">
        <f>SUMIF(MORTALIDAD!$AP$6:$AP$200,RESUMEN!BK68,MORTALIDAD!$AU$6:$AU$200)</f>
        <v>0</v>
      </c>
      <c r="BP68" s="3">
        <f>SUMIF(TRASLADOS!$AU:$AU,RESUMEN!BK68,TRASLADOS!$AX:$AX)</f>
        <v>0</v>
      </c>
      <c r="BQ68" s="3">
        <f>SUMIF(TRASLADOS!$AU:$AU,RESUMEN!BK68,TRASLADOS!$AY:$AY)</f>
        <v>0</v>
      </c>
      <c r="BR68" s="3">
        <f>SUMIF(VENTAS!$AP:$AP,RESUMEN!BK68,VENTAS!$AT:$AT)</f>
        <v>0</v>
      </c>
      <c r="BS68" s="3">
        <f>SUMIF(VENTAS!$AP:$AP,RESUMEN!BK68,VENTAS!$AU:$AU)</f>
        <v>0</v>
      </c>
      <c r="BT68" s="36">
        <f t="shared" si="24"/>
        <v>2241</v>
      </c>
    </row>
    <row r="69" spans="2:72" x14ac:dyDescent="0.2">
      <c r="B69" s="3">
        <f t="shared" si="0"/>
        <v>12</v>
      </c>
      <c r="C69" s="11">
        <f t="shared" si="35"/>
        <v>43316</v>
      </c>
      <c r="D69" s="3">
        <f t="shared" si="36"/>
        <v>78</v>
      </c>
      <c r="E69" s="3">
        <f>SUMIF(MORTALIDAD!$B$6:$B$200,RESUMEN!C69,MORTALIDAD!$F$6:$F$200)</f>
        <v>0</v>
      </c>
      <c r="F69" s="17">
        <f t="shared" si="37"/>
        <v>-740</v>
      </c>
      <c r="G69" s="3">
        <f>SUMIF(MORTALIDAD!$B$6:$B$200,RESUMEN!C69,MORTALIDAD!$G$6:$G$200)</f>
        <v>0</v>
      </c>
      <c r="H69" s="3">
        <f>SUMIF(TRASLADOS!$B$6:$B$200,C69,TRASLADOS!$E$6:$E$200)</f>
        <v>0</v>
      </c>
      <c r="I69" s="3">
        <f>SUMIF(TRASLADOS!$B$6:$B$200,C69,TRASLADOS!$F$6:$F$200)</f>
        <v>0</v>
      </c>
      <c r="J69" s="3">
        <f>SUMIF(VENTAS!$B$6:$B$200,RESUMEN!C69,VENTAS!$F$6:$F$200)</f>
        <v>0</v>
      </c>
      <c r="K69" s="3">
        <f>SUMIF(VENTAS!$B$6:$B$200,RESUMEN!C69,VENTAS!$G$6:$G$200)</f>
        <v>0</v>
      </c>
      <c r="L69" s="97">
        <f t="shared" si="9"/>
        <v>1460</v>
      </c>
      <c r="M69" s="96"/>
      <c r="N69" s="99">
        <f t="shared" si="1"/>
        <v>11</v>
      </c>
      <c r="O69" s="11">
        <f t="shared" si="38"/>
        <v>43319</v>
      </c>
      <c r="P69" s="3">
        <f t="shared" si="38"/>
        <v>77</v>
      </c>
      <c r="Q69" s="3">
        <f>SUMIF(MORTALIDAD!$J:$J,RESUMEN!O69,MORTALIDAD!$N:$N)</f>
        <v>0</v>
      </c>
      <c r="R69" s="19">
        <f t="shared" si="11"/>
        <v>-680</v>
      </c>
      <c r="S69" s="3">
        <f>SUMIF(MORTALIDAD!$J:$J,RESUMEN!O69,MORTALIDAD!$O:$O)</f>
        <v>0</v>
      </c>
      <c r="T69" s="3">
        <f>SUMIF(TRASLADOS!$K:$K,RESUMEN!O69,TRASLADOS!$N:$N)</f>
        <v>0</v>
      </c>
      <c r="U69" s="3">
        <f>SUMIF(TRASLADOS!$K:$K,RESUMEN!O69,TRASLADOS!$O:$O)</f>
        <v>0</v>
      </c>
      <c r="V69" s="3">
        <f>SUMIF(VENTAS!$J:$J,RESUMEN!O69,VENTAS!$N:$N)</f>
        <v>0</v>
      </c>
      <c r="W69" s="3">
        <f>SUMIF(VENTAS!$J:$J,RESUMEN!O69,VENTAS!$O:$O)</f>
        <v>0</v>
      </c>
      <c r="X69" s="97">
        <f t="shared" si="12"/>
        <v>1520</v>
      </c>
      <c r="Y69" s="96"/>
      <c r="Z69" s="99">
        <f t="shared" si="2"/>
        <v>11</v>
      </c>
      <c r="AA69" s="11">
        <f t="shared" si="39"/>
        <v>43323</v>
      </c>
      <c r="AB69" s="3">
        <f t="shared" si="39"/>
        <v>76</v>
      </c>
      <c r="AC69" s="3">
        <f>SUMIF(MORTALIDAD!$R:$R,RESUMEN!AA69,MORTALIDAD!$V:$V)</f>
        <v>0</v>
      </c>
      <c r="AD69" s="19">
        <f t="shared" si="14"/>
        <v>-476</v>
      </c>
      <c r="AE69" s="3">
        <f>SUMIF(MORTALIDAD!$R:$R,RESUMEN!AA69,MORTALIDAD!$W:$W)</f>
        <v>0</v>
      </c>
      <c r="AF69" s="3">
        <f>SUMIF(TRASLADOS!$T:$T,RESUMEN!AA69,TRASLADOS!$W:$W)</f>
        <v>0</v>
      </c>
      <c r="AG69" s="3">
        <f>SUMIF(TRASLADOS!$T:$T,RESUMEN!AA69,TRASLADOS!$X:$X)</f>
        <v>0</v>
      </c>
      <c r="AH69" s="3">
        <f>SUMIF(VENTAS!$R:$R,RESUMEN!AA69,VENTAS!$V:$V)</f>
        <v>0</v>
      </c>
      <c r="AI69" s="3">
        <f>SUMIF(VENTAS!$R:$R,RESUMEN!AA69,VENTAS!$W:$W)</f>
        <v>0</v>
      </c>
      <c r="AJ69" s="97">
        <f t="shared" si="15"/>
        <v>1724</v>
      </c>
      <c r="AK69" s="96"/>
      <c r="AL69" s="99">
        <f t="shared" si="3"/>
        <v>11</v>
      </c>
      <c r="AM69" s="11">
        <f t="shared" si="40"/>
        <v>43330</v>
      </c>
      <c r="AN69" s="3">
        <f t="shared" si="40"/>
        <v>76</v>
      </c>
      <c r="AO69" s="3">
        <f>SUMIF(MORTALIDAD!$Z:$Z,RESUMEN!AM69,MORTALIDAD!$AD:$AD)</f>
        <v>0</v>
      </c>
      <c r="AP69" s="19">
        <f t="shared" si="17"/>
        <v>-124</v>
      </c>
      <c r="AQ69" s="3">
        <f>SUMIF(MORTALIDAD!$Z:$Z,RESUMEN!AM69,MORTALIDAD!$AE:$AE)</f>
        <v>0</v>
      </c>
      <c r="AR69" s="3">
        <f>SUMIF(TRASLADOS!$AC:$AC,RESUMEN!AM69,TRASLADOS!$AF:$AF)</f>
        <v>0</v>
      </c>
      <c r="AS69" s="3">
        <f>SUMIF(TRASLADOS!$AC:$AC,RESUMEN!AM69,TRASLADOS!$AG:$AG)</f>
        <v>0</v>
      </c>
      <c r="AT69" s="3">
        <f>SUMIF(VENTAS!$Z:$Z,RESUMEN!AM69,VENTAS!$AD:$AD)</f>
        <v>0</v>
      </c>
      <c r="AU69" s="3">
        <f>SUMIF(VENTAS!$Z:$Z,RESUMEN!AM69,VENTAS!$AE:$AE)</f>
        <v>0</v>
      </c>
      <c r="AV69" s="97">
        <f t="shared" si="18"/>
        <v>2076</v>
      </c>
      <c r="AW69" s="96"/>
      <c r="AX69" s="99">
        <f t="shared" si="4"/>
        <v>11</v>
      </c>
      <c r="AY69" s="11">
        <f t="shared" si="41"/>
        <v>43337</v>
      </c>
      <c r="AZ69" s="3">
        <f t="shared" si="41"/>
        <v>76</v>
      </c>
      <c r="BA69" s="3">
        <f>SUMIF(MORTALIDAD!$AH:$AH,RESUMEN!AY69,MORTALIDAD!$AL:$AL)</f>
        <v>0</v>
      </c>
      <c r="BB69" s="19">
        <f t="shared" si="20"/>
        <v>-119</v>
      </c>
      <c r="BC69" s="3">
        <f>SUMIF(MORTALIDAD!$AH:$AH,RESUMEN!AY69,MORTALIDAD!$AM:$AM)</f>
        <v>0</v>
      </c>
      <c r="BD69" s="3">
        <f>SUMIF(TRASLADOS!$AL:$AL,RESUMEN!AY69,TRASLADOS!$AO:$AO)</f>
        <v>0</v>
      </c>
      <c r="BE69" s="3">
        <f>SUMIF(TRASLADOS!$AL:$AL,RESUMEN!AY69,TRASLADOS!$AP:$AP)</f>
        <v>0</v>
      </c>
      <c r="BF69" s="3">
        <f>SUMIF(VENTAS!$AH:$AH,RESUMEN!AY69,VENTAS!$AL:$AL)</f>
        <v>0</v>
      </c>
      <c r="BG69" s="3">
        <f>SUMIF(VENTAS!$AH:$AH,RESUMEN!AY69,VENTAS!$AM:$AM)</f>
        <v>0</v>
      </c>
      <c r="BH69" s="97">
        <f t="shared" si="21"/>
        <v>2081</v>
      </c>
      <c r="BI69" s="96"/>
      <c r="BJ69" s="99">
        <f t="shared" si="5"/>
        <v>12</v>
      </c>
      <c r="BK69" s="11">
        <f t="shared" si="42"/>
        <v>43346</v>
      </c>
      <c r="BL69" s="3">
        <f t="shared" si="42"/>
        <v>79</v>
      </c>
      <c r="BM69" s="3">
        <f>SUMIF(MORTALIDAD!$AP:$AP,RESUMEN!BK69,MORTALIDAD!$AT:$AT)</f>
        <v>0</v>
      </c>
      <c r="BN69" s="19">
        <f t="shared" si="23"/>
        <v>-73</v>
      </c>
      <c r="BO69" s="3">
        <f>SUMIF(MORTALIDAD!$AP$6:$AP$200,RESUMEN!BK69,MORTALIDAD!$AU$6:$AU$200)</f>
        <v>0</v>
      </c>
      <c r="BP69" s="3">
        <f>SUMIF(TRASLADOS!$AU:$AU,RESUMEN!BK69,TRASLADOS!$AX:$AX)</f>
        <v>0</v>
      </c>
      <c r="BQ69" s="3">
        <f>SUMIF(TRASLADOS!$AU:$AU,RESUMEN!BK69,TRASLADOS!$AY:$AY)</f>
        <v>0</v>
      </c>
      <c r="BR69" s="3">
        <f>SUMIF(VENTAS!$AP:$AP,RESUMEN!BK69,VENTAS!$AT:$AT)</f>
        <v>0</v>
      </c>
      <c r="BS69" s="3">
        <f>SUMIF(VENTAS!$AP:$AP,RESUMEN!BK69,VENTAS!$AU:$AU)</f>
        <v>0</v>
      </c>
      <c r="BT69" s="36">
        <f t="shared" si="24"/>
        <v>2241</v>
      </c>
    </row>
    <row r="70" spans="2:72" x14ac:dyDescent="0.2">
      <c r="B70" s="3">
        <f t="shared" si="0"/>
        <v>12</v>
      </c>
      <c r="C70" s="11">
        <f t="shared" si="35"/>
        <v>43317</v>
      </c>
      <c r="D70" s="3">
        <f t="shared" si="36"/>
        <v>79</v>
      </c>
      <c r="E70" s="3">
        <f>SUMIF(MORTALIDAD!$B$6:$B$200,RESUMEN!C70,MORTALIDAD!$F$6:$F$200)</f>
        <v>0</v>
      </c>
      <c r="F70" s="17">
        <f t="shared" si="37"/>
        <v>-740</v>
      </c>
      <c r="G70" s="3">
        <f>SUMIF(MORTALIDAD!$B$6:$B$200,RESUMEN!C70,MORTALIDAD!$G$6:$G$200)</f>
        <v>0</v>
      </c>
      <c r="H70" s="3">
        <f>SUMIF(TRASLADOS!$B$6:$B$200,C70,TRASLADOS!$E$6:$E$200)</f>
        <v>0</v>
      </c>
      <c r="I70" s="3">
        <f>SUMIF(TRASLADOS!$B$6:$B$200,C70,TRASLADOS!$F$6:$F$200)</f>
        <v>0</v>
      </c>
      <c r="J70" s="3">
        <f>SUMIF(VENTAS!$B$6:$B$200,RESUMEN!C70,VENTAS!$F$6:$F$200)</f>
        <v>0</v>
      </c>
      <c r="K70" s="3">
        <f>SUMIF(VENTAS!$B$6:$B$200,RESUMEN!C70,VENTAS!$G$6:$G$200)</f>
        <v>0</v>
      </c>
      <c r="L70" s="97">
        <f t="shared" si="9"/>
        <v>1460</v>
      </c>
      <c r="M70" s="96"/>
      <c r="N70" s="99">
        <f t="shared" si="1"/>
        <v>12</v>
      </c>
      <c r="O70" s="11">
        <f t="shared" si="38"/>
        <v>43320</v>
      </c>
      <c r="P70" s="3">
        <f t="shared" si="38"/>
        <v>78</v>
      </c>
      <c r="Q70" s="3">
        <f>SUMIF(MORTALIDAD!$J:$J,RESUMEN!O70,MORTALIDAD!$N:$N)</f>
        <v>0</v>
      </c>
      <c r="R70" s="19">
        <f t="shared" si="11"/>
        <v>-680</v>
      </c>
      <c r="S70" s="3">
        <f>SUMIF(MORTALIDAD!$J:$J,RESUMEN!O70,MORTALIDAD!$O:$O)</f>
        <v>0</v>
      </c>
      <c r="T70" s="3">
        <f>SUMIF(TRASLADOS!$K:$K,RESUMEN!O70,TRASLADOS!$N:$N)</f>
        <v>0</v>
      </c>
      <c r="U70" s="3">
        <f>SUMIF(TRASLADOS!$K:$K,RESUMEN!O70,TRASLADOS!$O:$O)</f>
        <v>0</v>
      </c>
      <c r="V70" s="3">
        <f>SUMIF(VENTAS!$J:$J,RESUMEN!O70,VENTAS!$N:$N)</f>
        <v>0</v>
      </c>
      <c r="W70" s="3">
        <f>SUMIF(VENTAS!$J:$J,RESUMEN!O70,VENTAS!$O:$O)</f>
        <v>0</v>
      </c>
      <c r="X70" s="97">
        <f t="shared" si="12"/>
        <v>1520</v>
      </c>
      <c r="Y70" s="96"/>
      <c r="Z70" s="99">
        <f t="shared" si="2"/>
        <v>11</v>
      </c>
      <c r="AA70" s="11">
        <f t="shared" si="39"/>
        <v>43324</v>
      </c>
      <c r="AB70" s="3">
        <f t="shared" si="39"/>
        <v>77</v>
      </c>
      <c r="AC70" s="3">
        <f>SUMIF(MORTALIDAD!$R:$R,RESUMEN!AA70,MORTALIDAD!$V:$V)</f>
        <v>0</v>
      </c>
      <c r="AD70" s="19">
        <f t="shared" si="14"/>
        <v>-476</v>
      </c>
      <c r="AE70" s="3">
        <f>SUMIF(MORTALIDAD!$R:$R,RESUMEN!AA70,MORTALIDAD!$W:$W)</f>
        <v>0</v>
      </c>
      <c r="AF70" s="3">
        <f>SUMIF(TRASLADOS!$T:$T,RESUMEN!AA70,TRASLADOS!$W:$W)</f>
        <v>0</v>
      </c>
      <c r="AG70" s="3">
        <f>SUMIF(TRASLADOS!$T:$T,RESUMEN!AA70,TRASLADOS!$X:$X)</f>
        <v>0</v>
      </c>
      <c r="AH70" s="3">
        <f>SUMIF(VENTAS!$R:$R,RESUMEN!AA70,VENTAS!$V:$V)</f>
        <v>0</v>
      </c>
      <c r="AI70" s="3">
        <f>SUMIF(VENTAS!$R:$R,RESUMEN!AA70,VENTAS!$W:$W)</f>
        <v>0</v>
      </c>
      <c r="AJ70" s="97">
        <f t="shared" si="15"/>
        <v>1724</v>
      </c>
      <c r="AK70" s="96"/>
      <c r="AL70" s="99">
        <f t="shared" si="3"/>
        <v>11</v>
      </c>
      <c r="AM70" s="11">
        <f t="shared" si="40"/>
        <v>43331</v>
      </c>
      <c r="AN70" s="3">
        <f t="shared" si="40"/>
        <v>77</v>
      </c>
      <c r="AO70" s="3">
        <f>SUMIF(MORTALIDAD!$Z:$Z,RESUMEN!AM70,MORTALIDAD!$AD:$AD)</f>
        <v>0</v>
      </c>
      <c r="AP70" s="19">
        <f t="shared" si="17"/>
        <v>-124</v>
      </c>
      <c r="AQ70" s="3">
        <f>SUMIF(MORTALIDAD!$Z:$Z,RESUMEN!AM70,MORTALIDAD!$AE:$AE)</f>
        <v>0</v>
      </c>
      <c r="AR70" s="3">
        <f>SUMIF(TRASLADOS!$AC:$AC,RESUMEN!AM70,TRASLADOS!$AF:$AF)</f>
        <v>0</v>
      </c>
      <c r="AS70" s="3">
        <f>SUMIF(TRASLADOS!$AC:$AC,RESUMEN!AM70,TRASLADOS!$AG:$AG)</f>
        <v>0</v>
      </c>
      <c r="AT70" s="3">
        <f>SUMIF(VENTAS!$Z:$Z,RESUMEN!AM70,VENTAS!$AD:$AD)</f>
        <v>0</v>
      </c>
      <c r="AU70" s="3">
        <f>SUMIF(VENTAS!$Z:$Z,RESUMEN!AM70,VENTAS!$AE:$AE)</f>
        <v>0</v>
      </c>
      <c r="AV70" s="97">
        <f t="shared" si="18"/>
        <v>2076</v>
      </c>
      <c r="AW70" s="96"/>
      <c r="AX70" s="99">
        <f t="shared" si="4"/>
        <v>11</v>
      </c>
      <c r="AY70" s="11">
        <f t="shared" si="41"/>
        <v>43338</v>
      </c>
      <c r="AZ70" s="3">
        <f t="shared" si="41"/>
        <v>77</v>
      </c>
      <c r="BA70" s="3">
        <f>SUMIF(MORTALIDAD!$AH:$AH,RESUMEN!AY70,MORTALIDAD!$AL:$AL)</f>
        <v>0</v>
      </c>
      <c r="BB70" s="19">
        <f t="shared" si="20"/>
        <v>-119</v>
      </c>
      <c r="BC70" s="3">
        <f>SUMIF(MORTALIDAD!$AH:$AH,RESUMEN!AY70,MORTALIDAD!$AM:$AM)</f>
        <v>0</v>
      </c>
      <c r="BD70" s="3">
        <f>SUMIF(TRASLADOS!$AL:$AL,RESUMEN!AY70,TRASLADOS!$AO:$AO)</f>
        <v>0</v>
      </c>
      <c r="BE70" s="3">
        <f>SUMIF(TRASLADOS!$AL:$AL,RESUMEN!AY70,TRASLADOS!$AP:$AP)</f>
        <v>0</v>
      </c>
      <c r="BF70" s="3">
        <f>SUMIF(VENTAS!$AH:$AH,RESUMEN!AY70,VENTAS!$AL:$AL)</f>
        <v>0</v>
      </c>
      <c r="BG70" s="3">
        <f>SUMIF(VENTAS!$AH:$AH,RESUMEN!AY70,VENTAS!$AM:$AM)</f>
        <v>0</v>
      </c>
      <c r="BH70" s="97">
        <f t="shared" si="21"/>
        <v>2081</v>
      </c>
      <c r="BI70" s="96"/>
      <c r="BJ70" s="99">
        <f t="shared" si="5"/>
        <v>12</v>
      </c>
      <c r="BK70" s="11">
        <f t="shared" si="42"/>
        <v>43347</v>
      </c>
      <c r="BL70" s="3">
        <f t="shared" si="42"/>
        <v>80</v>
      </c>
      <c r="BM70" s="3">
        <f>SUMIF(MORTALIDAD!$AP:$AP,RESUMEN!BK70,MORTALIDAD!$AT:$AT)</f>
        <v>0</v>
      </c>
      <c r="BN70" s="19">
        <f t="shared" si="23"/>
        <v>-73</v>
      </c>
      <c r="BO70" s="3">
        <f>SUMIF(MORTALIDAD!$AP$6:$AP$200,RESUMEN!BK70,MORTALIDAD!$AU$6:$AU$200)</f>
        <v>0</v>
      </c>
      <c r="BP70" s="3">
        <f>SUMIF(TRASLADOS!$AU:$AU,RESUMEN!BK70,TRASLADOS!$AX:$AX)</f>
        <v>0</v>
      </c>
      <c r="BQ70" s="3">
        <f>SUMIF(TRASLADOS!$AU:$AU,RESUMEN!BK70,TRASLADOS!$AY:$AY)</f>
        <v>0</v>
      </c>
      <c r="BR70" s="3">
        <f>SUMIF(VENTAS!$AP:$AP,RESUMEN!BK70,VENTAS!$AT:$AT)</f>
        <v>0</v>
      </c>
      <c r="BS70" s="3">
        <f>SUMIF(VENTAS!$AP:$AP,RESUMEN!BK70,VENTAS!$AU:$AU)</f>
        <v>0</v>
      </c>
      <c r="BT70" s="36">
        <f t="shared" si="24"/>
        <v>2241</v>
      </c>
    </row>
    <row r="71" spans="2:72" x14ac:dyDescent="0.2">
      <c r="B71" s="3">
        <f t="shared" si="0"/>
        <v>12</v>
      </c>
      <c r="C71" s="11">
        <f t="shared" si="35"/>
        <v>43318</v>
      </c>
      <c r="D71" s="3">
        <f t="shared" si="36"/>
        <v>80</v>
      </c>
      <c r="E71" s="3">
        <f>SUMIF(MORTALIDAD!$B$6:$B$200,RESUMEN!C71,MORTALIDAD!$F$6:$F$200)</f>
        <v>0</v>
      </c>
      <c r="F71" s="17">
        <f t="shared" si="37"/>
        <v>-740</v>
      </c>
      <c r="G71" s="3">
        <f>SUMIF(MORTALIDAD!$B$6:$B$200,RESUMEN!C71,MORTALIDAD!$G$6:$G$200)</f>
        <v>0</v>
      </c>
      <c r="H71" s="3">
        <f>SUMIF(TRASLADOS!$B$6:$B$200,C71,TRASLADOS!$E$6:$E$200)</f>
        <v>0</v>
      </c>
      <c r="I71" s="3">
        <f>SUMIF(TRASLADOS!$B$6:$B$200,C71,TRASLADOS!$F$6:$F$200)</f>
        <v>0</v>
      </c>
      <c r="J71" s="3">
        <f>SUMIF(VENTAS!$B$6:$B$200,RESUMEN!C71,VENTAS!$F$6:$F$200)</f>
        <v>0</v>
      </c>
      <c r="K71" s="3">
        <f>SUMIF(VENTAS!$B$6:$B$200,RESUMEN!C71,VENTAS!$G$6:$G$200)</f>
        <v>0</v>
      </c>
      <c r="L71" s="97">
        <f t="shared" si="9"/>
        <v>1460</v>
      </c>
      <c r="M71" s="96"/>
      <c r="N71" s="99">
        <f t="shared" si="1"/>
        <v>12</v>
      </c>
      <c r="O71" s="11">
        <f t="shared" si="38"/>
        <v>43321</v>
      </c>
      <c r="P71" s="3">
        <f t="shared" si="38"/>
        <v>79</v>
      </c>
      <c r="Q71" s="3">
        <f>SUMIF(MORTALIDAD!$J:$J,RESUMEN!O71,MORTALIDAD!$N:$N)</f>
        <v>0</v>
      </c>
      <c r="R71" s="19">
        <f t="shared" si="11"/>
        <v>-680</v>
      </c>
      <c r="S71" s="3">
        <f>SUMIF(MORTALIDAD!$J:$J,RESUMEN!O71,MORTALIDAD!$O:$O)</f>
        <v>0</v>
      </c>
      <c r="T71" s="3">
        <f>SUMIF(TRASLADOS!$K:$K,RESUMEN!O71,TRASLADOS!$N:$N)</f>
        <v>0</v>
      </c>
      <c r="U71" s="3">
        <f>SUMIF(TRASLADOS!$K:$K,RESUMEN!O71,TRASLADOS!$O:$O)</f>
        <v>0</v>
      </c>
      <c r="V71" s="3">
        <f>SUMIF(VENTAS!$J:$J,RESUMEN!O71,VENTAS!$N:$N)</f>
        <v>0</v>
      </c>
      <c r="W71" s="3">
        <f>SUMIF(VENTAS!$J:$J,RESUMEN!O71,VENTAS!$O:$O)</f>
        <v>0</v>
      </c>
      <c r="X71" s="97">
        <f t="shared" si="12"/>
        <v>1520</v>
      </c>
      <c r="Y71" s="96"/>
      <c r="Z71" s="99">
        <f t="shared" si="2"/>
        <v>12</v>
      </c>
      <c r="AA71" s="11">
        <f t="shared" si="39"/>
        <v>43325</v>
      </c>
      <c r="AB71" s="3">
        <f t="shared" si="39"/>
        <v>78</v>
      </c>
      <c r="AC71" s="3">
        <f>SUMIF(MORTALIDAD!$R:$R,RESUMEN!AA71,MORTALIDAD!$V:$V)</f>
        <v>0</v>
      </c>
      <c r="AD71" s="19">
        <f t="shared" si="14"/>
        <v>-476</v>
      </c>
      <c r="AE71" s="3">
        <f>SUMIF(MORTALIDAD!$R:$R,RESUMEN!AA71,MORTALIDAD!$W:$W)</f>
        <v>0</v>
      </c>
      <c r="AF71" s="3">
        <f>SUMIF(TRASLADOS!$T:$T,RESUMEN!AA71,TRASLADOS!$W:$W)</f>
        <v>0</v>
      </c>
      <c r="AG71" s="3">
        <f>SUMIF(TRASLADOS!$T:$T,RESUMEN!AA71,TRASLADOS!$X:$X)</f>
        <v>0</v>
      </c>
      <c r="AH71" s="3">
        <f>SUMIF(VENTAS!$R:$R,RESUMEN!AA71,VENTAS!$V:$V)</f>
        <v>0</v>
      </c>
      <c r="AI71" s="3">
        <f>SUMIF(VENTAS!$R:$R,RESUMEN!AA71,VENTAS!$W:$W)</f>
        <v>0</v>
      </c>
      <c r="AJ71" s="97">
        <f t="shared" si="15"/>
        <v>1724</v>
      </c>
      <c r="AK71" s="96"/>
      <c r="AL71" s="99">
        <f t="shared" si="3"/>
        <v>12</v>
      </c>
      <c r="AM71" s="11">
        <f t="shared" si="40"/>
        <v>43332</v>
      </c>
      <c r="AN71" s="3">
        <f t="shared" si="40"/>
        <v>78</v>
      </c>
      <c r="AO71" s="3">
        <f>SUMIF(MORTALIDAD!$Z:$Z,RESUMEN!AM71,MORTALIDAD!$AD:$AD)</f>
        <v>0</v>
      </c>
      <c r="AP71" s="19">
        <f t="shared" si="17"/>
        <v>-124</v>
      </c>
      <c r="AQ71" s="3">
        <f>SUMIF(MORTALIDAD!$Z:$Z,RESUMEN!AM71,MORTALIDAD!$AE:$AE)</f>
        <v>0</v>
      </c>
      <c r="AR71" s="3">
        <f>SUMIF(TRASLADOS!$AC:$AC,RESUMEN!AM71,TRASLADOS!$AF:$AF)</f>
        <v>0</v>
      </c>
      <c r="AS71" s="3">
        <f>SUMIF(TRASLADOS!$AC:$AC,RESUMEN!AM71,TRASLADOS!$AG:$AG)</f>
        <v>0</v>
      </c>
      <c r="AT71" s="3">
        <f>SUMIF(VENTAS!$Z:$Z,RESUMEN!AM71,VENTAS!$AD:$AD)</f>
        <v>0</v>
      </c>
      <c r="AU71" s="3">
        <f>SUMIF(VENTAS!$Z:$Z,RESUMEN!AM71,VENTAS!$AE:$AE)</f>
        <v>0</v>
      </c>
      <c r="AV71" s="97">
        <f t="shared" si="18"/>
        <v>2076</v>
      </c>
      <c r="AW71" s="96"/>
      <c r="AX71" s="99">
        <f t="shared" si="4"/>
        <v>12</v>
      </c>
      <c r="AY71" s="11">
        <f t="shared" si="41"/>
        <v>43339</v>
      </c>
      <c r="AZ71" s="3">
        <f t="shared" si="41"/>
        <v>78</v>
      </c>
      <c r="BA71" s="3">
        <f>SUMIF(MORTALIDAD!$AH:$AH,RESUMEN!AY71,MORTALIDAD!$AL:$AL)</f>
        <v>0</v>
      </c>
      <c r="BB71" s="19">
        <f t="shared" si="20"/>
        <v>-119</v>
      </c>
      <c r="BC71" s="3">
        <f>SUMIF(MORTALIDAD!$AH:$AH,RESUMEN!AY71,MORTALIDAD!$AM:$AM)</f>
        <v>0</v>
      </c>
      <c r="BD71" s="3">
        <f>SUMIF(TRASLADOS!$AL:$AL,RESUMEN!AY71,TRASLADOS!$AO:$AO)</f>
        <v>0</v>
      </c>
      <c r="BE71" s="3">
        <f>SUMIF(TRASLADOS!$AL:$AL,RESUMEN!AY71,TRASLADOS!$AP:$AP)</f>
        <v>0</v>
      </c>
      <c r="BF71" s="3">
        <f>SUMIF(VENTAS!$AH:$AH,RESUMEN!AY71,VENTAS!$AL:$AL)</f>
        <v>0</v>
      </c>
      <c r="BG71" s="3">
        <f>SUMIF(VENTAS!$AH:$AH,RESUMEN!AY71,VENTAS!$AM:$AM)</f>
        <v>0</v>
      </c>
      <c r="BH71" s="97">
        <f t="shared" si="21"/>
        <v>2081</v>
      </c>
      <c r="BI71" s="96"/>
      <c r="BJ71" s="99">
        <f t="shared" si="5"/>
        <v>12</v>
      </c>
      <c r="BK71" s="11">
        <f t="shared" si="42"/>
        <v>43348</v>
      </c>
      <c r="BL71" s="3">
        <f t="shared" si="42"/>
        <v>81</v>
      </c>
      <c r="BM71" s="3">
        <f>SUMIF(MORTALIDAD!$AP:$AP,RESUMEN!BK71,MORTALIDAD!$AT:$AT)</f>
        <v>0</v>
      </c>
      <c r="BN71" s="19">
        <f t="shared" si="23"/>
        <v>-73</v>
      </c>
      <c r="BO71" s="3">
        <f>SUMIF(MORTALIDAD!$AP$6:$AP$200,RESUMEN!BK71,MORTALIDAD!$AU$6:$AU$200)</f>
        <v>0</v>
      </c>
      <c r="BP71" s="3">
        <f>SUMIF(TRASLADOS!$AU:$AU,RESUMEN!BK71,TRASLADOS!$AX:$AX)</f>
        <v>0</v>
      </c>
      <c r="BQ71" s="3">
        <f>SUMIF(TRASLADOS!$AU:$AU,RESUMEN!BK71,TRASLADOS!$AY:$AY)</f>
        <v>0</v>
      </c>
      <c r="BR71" s="3">
        <f>SUMIF(VENTAS!$AP:$AP,RESUMEN!BK71,VENTAS!$AT:$AT)</f>
        <v>0</v>
      </c>
      <c r="BS71" s="3">
        <f>SUMIF(VENTAS!$AP:$AP,RESUMEN!BK71,VENTAS!$AU:$AU)</f>
        <v>0</v>
      </c>
      <c r="BT71" s="36">
        <f t="shared" si="24"/>
        <v>2241</v>
      </c>
    </row>
    <row r="72" spans="2:72" x14ac:dyDescent="0.2">
      <c r="B72" s="3">
        <f t="shared" si="0"/>
        <v>12</v>
      </c>
      <c r="C72" s="11">
        <f t="shared" si="35"/>
        <v>43319</v>
      </c>
      <c r="D72" s="3">
        <f t="shared" si="36"/>
        <v>81</v>
      </c>
      <c r="E72" s="3">
        <f>SUMIF(MORTALIDAD!$B$6:$B$200,RESUMEN!C72,MORTALIDAD!$F$6:$F$200)</f>
        <v>0</v>
      </c>
      <c r="F72" s="17">
        <f t="shared" si="37"/>
        <v>-740</v>
      </c>
      <c r="G72" s="3">
        <f>SUMIF(MORTALIDAD!$B$6:$B$200,RESUMEN!C72,MORTALIDAD!$G$6:$G$200)</f>
        <v>0</v>
      </c>
      <c r="H72" s="3">
        <f>SUMIF(TRASLADOS!$B$6:$B$200,C72,TRASLADOS!$E$6:$E$200)</f>
        <v>0</v>
      </c>
      <c r="I72" s="3">
        <f>SUMIF(TRASLADOS!$B$6:$B$200,C72,TRASLADOS!$F$6:$F$200)</f>
        <v>0</v>
      </c>
      <c r="J72" s="3">
        <f>SUMIF(VENTAS!$B$6:$B$200,RESUMEN!C72,VENTAS!$F$6:$F$200)</f>
        <v>0</v>
      </c>
      <c r="K72" s="3">
        <f>SUMIF(VENTAS!$B$6:$B$200,RESUMEN!C72,VENTAS!$G$6:$G$200)</f>
        <v>0</v>
      </c>
      <c r="L72" s="97">
        <f t="shared" si="9"/>
        <v>1460</v>
      </c>
      <c r="M72" s="96"/>
      <c r="N72" s="99">
        <f t="shared" si="1"/>
        <v>12</v>
      </c>
      <c r="O72" s="11">
        <f t="shared" si="38"/>
        <v>43322</v>
      </c>
      <c r="P72" s="3">
        <f t="shared" si="38"/>
        <v>80</v>
      </c>
      <c r="Q72" s="3">
        <f>SUMIF(MORTALIDAD!$J:$J,RESUMEN!O72,MORTALIDAD!$N:$N)</f>
        <v>0</v>
      </c>
      <c r="R72" s="19">
        <f t="shared" si="11"/>
        <v>-680</v>
      </c>
      <c r="S72" s="3">
        <f>SUMIF(MORTALIDAD!$J:$J,RESUMEN!O72,MORTALIDAD!$O:$O)</f>
        <v>0</v>
      </c>
      <c r="T72" s="3">
        <f>SUMIF(TRASLADOS!$K:$K,RESUMEN!O72,TRASLADOS!$N:$N)</f>
        <v>0</v>
      </c>
      <c r="U72" s="3">
        <f>SUMIF(TRASLADOS!$K:$K,RESUMEN!O72,TRASLADOS!$O:$O)</f>
        <v>0</v>
      </c>
      <c r="V72" s="3">
        <f>SUMIF(VENTAS!$J:$J,RESUMEN!O72,VENTAS!$N:$N)</f>
        <v>0</v>
      </c>
      <c r="W72" s="3">
        <f>SUMIF(VENTAS!$J:$J,RESUMEN!O72,VENTAS!$O:$O)</f>
        <v>0</v>
      </c>
      <c r="X72" s="97">
        <f t="shared" si="12"/>
        <v>1520</v>
      </c>
      <c r="Y72" s="96"/>
      <c r="Z72" s="99">
        <f t="shared" si="2"/>
        <v>12</v>
      </c>
      <c r="AA72" s="11">
        <f t="shared" si="39"/>
        <v>43326</v>
      </c>
      <c r="AB72" s="3">
        <f t="shared" si="39"/>
        <v>79</v>
      </c>
      <c r="AC72" s="3">
        <f>SUMIF(MORTALIDAD!$R:$R,RESUMEN!AA72,MORTALIDAD!$V:$V)</f>
        <v>0</v>
      </c>
      <c r="AD72" s="19">
        <f t="shared" si="14"/>
        <v>-476</v>
      </c>
      <c r="AE72" s="3">
        <f>SUMIF(MORTALIDAD!$R:$R,RESUMEN!AA72,MORTALIDAD!$W:$W)</f>
        <v>0</v>
      </c>
      <c r="AF72" s="3">
        <f>SUMIF(TRASLADOS!$T:$T,RESUMEN!AA72,TRASLADOS!$W:$W)</f>
        <v>0</v>
      </c>
      <c r="AG72" s="3">
        <f>SUMIF(TRASLADOS!$T:$T,RESUMEN!AA72,TRASLADOS!$X:$X)</f>
        <v>0</v>
      </c>
      <c r="AH72" s="3">
        <f>SUMIF(VENTAS!$R:$R,RESUMEN!AA72,VENTAS!$V:$V)</f>
        <v>0</v>
      </c>
      <c r="AI72" s="3">
        <f>SUMIF(VENTAS!$R:$R,RESUMEN!AA72,VENTAS!$W:$W)</f>
        <v>0</v>
      </c>
      <c r="AJ72" s="97">
        <f t="shared" si="15"/>
        <v>1724</v>
      </c>
      <c r="AK72" s="96"/>
      <c r="AL72" s="99">
        <f t="shared" si="3"/>
        <v>12</v>
      </c>
      <c r="AM72" s="11">
        <f t="shared" si="40"/>
        <v>43333</v>
      </c>
      <c r="AN72" s="3">
        <f t="shared" si="40"/>
        <v>79</v>
      </c>
      <c r="AO72" s="3">
        <f>SUMIF(MORTALIDAD!$Z:$Z,RESUMEN!AM72,MORTALIDAD!$AD:$AD)</f>
        <v>0</v>
      </c>
      <c r="AP72" s="19">
        <f t="shared" si="17"/>
        <v>-124</v>
      </c>
      <c r="AQ72" s="3">
        <f>SUMIF(MORTALIDAD!$Z:$Z,RESUMEN!AM72,MORTALIDAD!$AE:$AE)</f>
        <v>0</v>
      </c>
      <c r="AR72" s="3">
        <f>SUMIF(TRASLADOS!$AC:$AC,RESUMEN!AM72,TRASLADOS!$AF:$AF)</f>
        <v>0</v>
      </c>
      <c r="AS72" s="3">
        <f>SUMIF(TRASLADOS!$AC:$AC,RESUMEN!AM72,TRASLADOS!$AG:$AG)</f>
        <v>0</v>
      </c>
      <c r="AT72" s="3">
        <f>SUMIF(VENTAS!$Z:$Z,RESUMEN!AM72,VENTAS!$AD:$AD)</f>
        <v>0</v>
      </c>
      <c r="AU72" s="3">
        <f>SUMIF(VENTAS!$Z:$Z,RESUMEN!AM72,VENTAS!$AE:$AE)</f>
        <v>0</v>
      </c>
      <c r="AV72" s="97">
        <f t="shared" si="18"/>
        <v>2076</v>
      </c>
      <c r="AW72" s="96"/>
      <c r="AX72" s="99">
        <f t="shared" si="4"/>
        <v>12</v>
      </c>
      <c r="AY72" s="11">
        <f t="shared" si="41"/>
        <v>43340</v>
      </c>
      <c r="AZ72" s="3">
        <f t="shared" si="41"/>
        <v>79</v>
      </c>
      <c r="BA72" s="3">
        <f>SUMIF(MORTALIDAD!$AH:$AH,RESUMEN!AY72,MORTALIDAD!$AL:$AL)</f>
        <v>0</v>
      </c>
      <c r="BB72" s="19">
        <f t="shared" si="20"/>
        <v>-119</v>
      </c>
      <c r="BC72" s="3">
        <f>SUMIF(MORTALIDAD!$AH:$AH,RESUMEN!AY72,MORTALIDAD!$AM:$AM)</f>
        <v>0</v>
      </c>
      <c r="BD72" s="3">
        <f>SUMIF(TRASLADOS!$AL:$AL,RESUMEN!AY72,TRASLADOS!$AO:$AO)</f>
        <v>0</v>
      </c>
      <c r="BE72" s="3">
        <f>SUMIF(TRASLADOS!$AL:$AL,RESUMEN!AY72,TRASLADOS!$AP:$AP)</f>
        <v>0</v>
      </c>
      <c r="BF72" s="3">
        <f>SUMIF(VENTAS!$AH:$AH,RESUMEN!AY72,VENTAS!$AL:$AL)</f>
        <v>0</v>
      </c>
      <c r="BG72" s="3">
        <f>SUMIF(VENTAS!$AH:$AH,RESUMEN!AY72,VENTAS!$AM:$AM)</f>
        <v>0</v>
      </c>
      <c r="BH72" s="97">
        <f t="shared" si="21"/>
        <v>2081</v>
      </c>
      <c r="BI72" s="96"/>
      <c r="BJ72" s="99">
        <f t="shared" si="5"/>
        <v>12</v>
      </c>
      <c r="BK72" s="11">
        <f t="shared" si="42"/>
        <v>43349</v>
      </c>
      <c r="BL72" s="3">
        <f t="shared" si="42"/>
        <v>82</v>
      </c>
      <c r="BM72" s="3">
        <f>SUMIF(MORTALIDAD!$AP:$AP,RESUMEN!BK72,MORTALIDAD!$AT:$AT)</f>
        <v>0</v>
      </c>
      <c r="BN72" s="19">
        <f t="shared" si="23"/>
        <v>-73</v>
      </c>
      <c r="BO72" s="3">
        <f>SUMIF(MORTALIDAD!$AP$6:$AP$200,RESUMEN!BK72,MORTALIDAD!$AU$6:$AU$200)</f>
        <v>0</v>
      </c>
      <c r="BP72" s="3">
        <f>SUMIF(TRASLADOS!$AU:$AU,RESUMEN!BK72,TRASLADOS!$AX:$AX)</f>
        <v>0</v>
      </c>
      <c r="BQ72" s="3">
        <f>SUMIF(TRASLADOS!$AU:$AU,RESUMEN!BK72,TRASLADOS!$AY:$AY)</f>
        <v>0</v>
      </c>
      <c r="BR72" s="3">
        <f>SUMIF(VENTAS!$AP:$AP,RESUMEN!BK72,VENTAS!$AT:$AT)</f>
        <v>0</v>
      </c>
      <c r="BS72" s="3">
        <f>SUMIF(VENTAS!$AP:$AP,RESUMEN!BK72,VENTAS!$AU:$AU)</f>
        <v>0</v>
      </c>
      <c r="BT72" s="36">
        <f t="shared" si="24"/>
        <v>2241</v>
      </c>
    </row>
    <row r="73" spans="2:72" x14ac:dyDescent="0.2">
      <c r="B73" s="3">
        <f t="shared" si="0"/>
        <v>12</v>
      </c>
      <c r="C73" s="11">
        <f t="shared" si="35"/>
        <v>43320</v>
      </c>
      <c r="D73" s="3">
        <f t="shared" si="36"/>
        <v>82</v>
      </c>
      <c r="E73" s="3">
        <f>SUMIF(MORTALIDAD!$B$6:$B$200,RESUMEN!C73,MORTALIDAD!$F$6:$F$200)</f>
        <v>0</v>
      </c>
      <c r="F73" s="17">
        <f t="shared" si="37"/>
        <v>-740</v>
      </c>
      <c r="G73" s="3">
        <f>SUMIF(MORTALIDAD!$B$6:$B$200,RESUMEN!C73,MORTALIDAD!$G$6:$G$200)</f>
        <v>0</v>
      </c>
      <c r="H73" s="3">
        <f>SUMIF(TRASLADOS!$B$6:$B$200,C73,TRASLADOS!$E$6:$E$200)</f>
        <v>0</v>
      </c>
      <c r="I73" s="3">
        <f>SUMIF(TRASLADOS!$B$6:$B$200,C73,TRASLADOS!$F$6:$F$200)</f>
        <v>0</v>
      </c>
      <c r="J73" s="3">
        <f>SUMIF(VENTAS!$B$6:$B$200,RESUMEN!C73,VENTAS!$F$6:$F$200)</f>
        <v>0</v>
      </c>
      <c r="K73" s="3">
        <f>SUMIF(VENTAS!$B$6:$B$200,RESUMEN!C73,VENTAS!$G$6:$G$200)</f>
        <v>0</v>
      </c>
      <c r="L73" s="97">
        <f t="shared" si="9"/>
        <v>1460</v>
      </c>
      <c r="M73" s="96"/>
      <c r="N73" s="99">
        <f t="shared" si="1"/>
        <v>12</v>
      </c>
      <c r="O73" s="11">
        <f t="shared" si="38"/>
        <v>43323</v>
      </c>
      <c r="P73" s="3">
        <f t="shared" si="38"/>
        <v>81</v>
      </c>
      <c r="Q73" s="3">
        <f>SUMIF(MORTALIDAD!$J:$J,RESUMEN!O73,MORTALIDAD!$N:$N)</f>
        <v>0</v>
      </c>
      <c r="R73" s="19">
        <f t="shared" si="11"/>
        <v>-680</v>
      </c>
      <c r="S73" s="3">
        <f>SUMIF(MORTALIDAD!$J:$J,RESUMEN!O73,MORTALIDAD!$O:$O)</f>
        <v>0</v>
      </c>
      <c r="T73" s="3">
        <f>SUMIF(TRASLADOS!$K:$K,RESUMEN!O73,TRASLADOS!$N:$N)</f>
        <v>0</v>
      </c>
      <c r="U73" s="3">
        <f>SUMIF(TRASLADOS!$K:$K,RESUMEN!O73,TRASLADOS!$O:$O)</f>
        <v>0</v>
      </c>
      <c r="V73" s="3">
        <f>SUMIF(VENTAS!$J:$J,RESUMEN!O73,VENTAS!$N:$N)</f>
        <v>0</v>
      </c>
      <c r="W73" s="3">
        <f>SUMIF(VENTAS!$J:$J,RESUMEN!O73,VENTAS!$O:$O)</f>
        <v>0</v>
      </c>
      <c r="X73" s="97">
        <f t="shared" si="12"/>
        <v>1520</v>
      </c>
      <c r="Y73" s="96"/>
      <c r="Z73" s="99">
        <f t="shared" si="2"/>
        <v>12</v>
      </c>
      <c r="AA73" s="11">
        <f t="shared" si="39"/>
        <v>43327</v>
      </c>
      <c r="AB73" s="3">
        <f t="shared" si="39"/>
        <v>80</v>
      </c>
      <c r="AC73" s="3">
        <f>SUMIF(MORTALIDAD!$R:$R,RESUMEN!AA73,MORTALIDAD!$V:$V)</f>
        <v>0</v>
      </c>
      <c r="AD73" s="19">
        <f t="shared" si="14"/>
        <v>-476</v>
      </c>
      <c r="AE73" s="3">
        <f>SUMIF(MORTALIDAD!$R:$R,RESUMEN!AA73,MORTALIDAD!$W:$W)</f>
        <v>0</v>
      </c>
      <c r="AF73" s="3">
        <f>SUMIF(TRASLADOS!$T:$T,RESUMEN!AA73,TRASLADOS!$W:$W)</f>
        <v>0</v>
      </c>
      <c r="AG73" s="3">
        <f>SUMIF(TRASLADOS!$T:$T,RESUMEN!AA73,TRASLADOS!$X:$X)</f>
        <v>0</v>
      </c>
      <c r="AH73" s="3">
        <f>SUMIF(VENTAS!$R:$R,RESUMEN!AA73,VENTAS!$V:$V)</f>
        <v>0</v>
      </c>
      <c r="AI73" s="3">
        <f>SUMIF(VENTAS!$R:$R,RESUMEN!AA73,VENTAS!$W:$W)</f>
        <v>0</v>
      </c>
      <c r="AJ73" s="97">
        <f t="shared" si="15"/>
        <v>1724</v>
      </c>
      <c r="AK73" s="96"/>
      <c r="AL73" s="99">
        <f t="shared" si="3"/>
        <v>12</v>
      </c>
      <c r="AM73" s="11">
        <f t="shared" si="40"/>
        <v>43334</v>
      </c>
      <c r="AN73" s="3">
        <f t="shared" si="40"/>
        <v>80</v>
      </c>
      <c r="AO73" s="3">
        <f>SUMIF(MORTALIDAD!$Z:$Z,RESUMEN!AM73,MORTALIDAD!$AD:$AD)</f>
        <v>0</v>
      </c>
      <c r="AP73" s="19">
        <f t="shared" si="17"/>
        <v>-124</v>
      </c>
      <c r="AQ73" s="3">
        <f>SUMIF(MORTALIDAD!$Z:$Z,RESUMEN!AM73,MORTALIDAD!$AE:$AE)</f>
        <v>0</v>
      </c>
      <c r="AR73" s="3">
        <f>SUMIF(TRASLADOS!$AC:$AC,RESUMEN!AM73,TRASLADOS!$AF:$AF)</f>
        <v>0</v>
      </c>
      <c r="AS73" s="3">
        <f>SUMIF(TRASLADOS!$AC:$AC,RESUMEN!AM73,TRASLADOS!$AG:$AG)</f>
        <v>0</v>
      </c>
      <c r="AT73" s="3">
        <f>SUMIF(VENTAS!$Z:$Z,RESUMEN!AM73,VENTAS!$AD:$AD)</f>
        <v>0</v>
      </c>
      <c r="AU73" s="3">
        <f>SUMIF(VENTAS!$Z:$Z,RESUMEN!AM73,VENTAS!$AE:$AE)</f>
        <v>0</v>
      </c>
      <c r="AV73" s="97">
        <f t="shared" si="18"/>
        <v>2076</v>
      </c>
      <c r="AW73" s="96"/>
      <c r="AX73" s="99">
        <f t="shared" si="4"/>
        <v>12</v>
      </c>
      <c r="AY73" s="11">
        <f t="shared" si="41"/>
        <v>43341</v>
      </c>
      <c r="AZ73" s="3">
        <f t="shared" si="41"/>
        <v>80</v>
      </c>
      <c r="BA73" s="3">
        <f>SUMIF(MORTALIDAD!$AH:$AH,RESUMEN!AY73,MORTALIDAD!$AL:$AL)</f>
        <v>0</v>
      </c>
      <c r="BB73" s="19">
        <f t="shared" si="20"/>
        <v>-119</v>
      </c>
      <c r="BC73" s="3">
        <f>SUMIF(MORTALIDAD!$AH:$AH,RESUMEN!AY73,MORTALIDAD!$AM:$AM)</f>
        <v>0</v>
      </c>
      <c r="BD73" s="3">
        <f>SUMIF(TRASLADOS!$AL:$AL,RESUMEN!AY73,TRASLADOS!$AO:$AO)</f>
        <v>0</v>
      </c>
      <c r="BE73" s="3">
        <f>SUMIF(TRASLADOS!$AL:$AL,RESUMEN!AY73,TRASLADOS!$AP:$AP)</f>
        <v>0</v>
      </c>
      <c r="BF73" s="3">
        <f>SUMIF(VENTAS!$AH:$AH,RESUMEN!AY73,VENTAS!$AL:$AL)</f>
        <v>0</v>
      </c>
      <c r="BG73" s="3">
        <f>SUMIF(VENTAS!$AH:$AH,RESUMEN!AY73,VENTAS!$AM:$AM)</f>
        <v>0</v>
      </c>
      <c r="BH73" s="97">
        <f t="shared" si="21"/>
        <v>2081</v>
      </c>
      <c r="BI73" s="96"/>
      <c r="BJ73" s="99">
        <f t="shared" si="5"/>
        <v>12</v>
      </c>
      <c r="BK73" s="11">
        <f t="shared" si="42"/>
        <v>43350</v>
      </c>
      <c r="BL73" s="3">
        <f t="shared" si="42"/>
        <v>83</v>
      </c>
      <c r="BM73" s="3">
        <f>SUMIF(MORTALIDAD!$AP:$AP,RESUMEN!BK73,MORTALIDAD!$AT:$AT)</f>
        <v>0</v>
      </c>
      <c r="BN73" s="19">
        <f t="shared" si="23"/>
        <v>-73</v>
      </c>
      <c r="BO73" s="3">
        <f>SUMIF(MORTALIDAD!$AP$6:$AP$200,RESUMEN!BK73,MORTALIDAD!$AU$6:$AU$200)</f>
        <v>0</v>
      </c>
      <c r="BP73" s="3">
        <f>SUMIF(TRASLADOS!$AU:$AU,RESUMEN!BK73,TRASLADOS!$AX:$AX)</f>
        <v>0</v>
      </c>
      <c r="BQ73" s="3">
        <f>SUMIF(TRASLADOS!$AU:$AU,RESUMEN!BK73,TRASLADOS!$AY:$AY)</f>
        <v>0</v>
      </c>
      <c r="BR73" s="3">
        <f>SUMIF(VENTAS!$AP:$AP,RESUMEN!BK73,VENTAS!$AT:$AT)</f>
        <v>0</v>
      </c>
      <c r="BS73" s="3">
        <f>SUMIF(VENTAS!$AP:$AP,RESUMEN!BK73,VENTAS!$AU:$AU)</f>
        <v>0</v>
      </c>
      <c r="BT73" s="36">
        <f t="shared" si="24"/>
        <v>2241</v>
      </c>
    </row>
    <row r="74" spans="2:72" x14ac:dyDescent="0.2">
      <c r="B74" s="3">
        <f t="shared" si="0"/>
        <v>12</v>
      </c>
      <c r="C74" s="11">
        <f t="shared" si="35"/>
        <v>43321</v>
      </c>
      <c r="D74" s="3">
        <f t="shared" si="36"/>
        <v>83</v>
      </c>
      <c r="E74" s="3">
        <f>SUMIF(MORTALIDAD!$B$6:$B$200,RESUMEN!C74,MORTALIDAD!$F$6:$F$200)</f>
        <v>0</v>
      </c>
      <c r="F74" s="17">
        <f t="shared" si="37"/>
        <v>-740</v>
      </c>
      <c r="G74" s="3">
        <f>SUMIF(MORTALIDAD!$B$6:$B$200,RESUMEN!C74,MORTALIDAD!$G$6:$G$200)</f>
        <v>0</v>
      </c>
      <c r="H74" s="3">
        <f>SUMIF(TRASLADOS!$B$6:$B$200,C74,TRASLADOS!$E$6:$E$200)</f>
        <v>0</v>
      </c>
      <c r="I74" s="3">
        <f>SUMIF(TRASLADOS!$B$6:$B$200,C74,TRASLADOS!$F$6:$F$200)</f>
        <v>0</v>
      </c>
      <c r="J74" s="3">
        <f>SUMIF(VENTAS!$B$6:$B$200,RESUMEN!C74,VENTAS!$F$6:$F$200)</f>
        <v>0</v>
      </c>
      <c r="K74" s="3">
        <f>SUMIF(VENTAS!$B$6:$B$200,RESUMEN!C74,VENTAS!$G$6:$G$200)</f>
        <v>0</v>
      </c>
      <c r="L74" s="97">
        <f t="shared" si="9"/>
        <v>1460</v>
      </c>
      <c r="M74" s="96"/>
      <c r="N74" s="99">
        <f t="shared" si="1"/>
        <v>12</v>
      </c>
      <c r="O74" s="11">
        <f t="shared" si="38"/>
        <v>43324</v>
      </c>
      <c r="P74" s="3">
        <f t="shared" si="38"/>
        <v>82</v>
      </c>
      <c r="Q74" s="3">
        <f>SUMIF(MORTALIDAD!$J:$J,RESUMEN!O74,MORTALIDAD!$N:$N)</f>
        <v>0</v>
      </c>
      <c r="R74" s="19">
        <f t="shared" si="11"/>
        <v>-680</v>
      </c>
      <c r="S74" s="3">
        <f>SUMIF(MORTALIDAD!$J:$J,RESUMEN!O74,MORTALIDAD!$O:$O)</f>
        <v>0</v>
      </c>
      <c r="T74" s="3">
        <f>SUMIF(TRASLADOS!$K:$K,RESUMEN!O74,TRASLADOS!$N:$N)</f>
        <v>0</v>
      </c>
      <c r="U74" s="3">
        <f>SUMIF(TRASLADOS!$K:$K,RESUMEN!O74,TRASLADOS!$O:$O)</f>
        <v>0</v>
      </c>
      <c r="V74" s="3">
        <f>SUMIF(VENTAS!$J:$J,RESUMEN!O74,VENTAS!$N:$N)</f>
        <v>0</v>
      </c>
      <c r="W74" s="3">
        <f>SUMIF(VENTAS!$J:$J,RESUMEN!O74,VENTAS!$O:$O)</f>
        <v>0</v>
      </c>
      <c r="X74" s="97">
        <f t="shared" si="12"/>
        <v>1520</v>
      </c>
      <c r="Y74" s="96"/>
      <c r="Z74" s="99">
        <f t="shared" si="2"/>
        <v>12</v>
      </c>
      <c r="AA74" s="11">
        <f t="shared" si="39"/>
        <v>43328</v>
      </c>
      <c r="AB74" s="3">
        <f t="shared" si="39"/>
        <v>81</v>
      </c>
      <c r="AC74" s="3">
        <f>SUMIF(MORTALIDAD!$R:$R,RESUMEN!AA74,MORTALIDAD!$V:$V)</f>
        <v>0</v>
      </c>
      <c r="AD74" s="19">
        <f t="shared" si="14"/>
        <v>-476</v>
      </c>
      <c r="AE74" s="3">
        <f>SUMIF(MORTALIDAD!$R:$R,RESUMEN!AA74,MORTALIDAD!$W:$W)</f>
        <v>0</v>
      </c>
      <c r="AF74" s="3">
        <f>SUMIF(TRASLADOS!$T:$T,RESUMEN!AA74,TRASLADOS!$W:$W)</f>
        <v>0</v>
      </c>
      <c r="AG74" s="3">
        <f>SUMIF(TRASLADOS!$T:$T,RESUMEN!AA74,TRASLADOS!$X:$X)</f>
        <v>0</v>
      </c>
      <c r="AH74" s="3">
        <f>SUMIF(VENTAS!$R:$R,RESUMEN!AA74,VENTAS!$V:$V)</f>
        <v>0</v>
      </c>
      <c r="AI74" s="3">
        <f>SUMIF(VENTAS!$R:$R,RESUMEN!AA74,VENTAS!$W:$W)</f>
        <v>0</v>
      </c>
      <c r="AJ74" s="97">
        <f t="shared" si="15"/>
        <v>1724</v>
      </c>
      <c r="AK74" s="96"/>
      <c r="AL74" s="99">
        <f t="shared" si="3"/>
        <v>12</v>
      </c>
      <c r="AM74" s="11">
        <f t="shared" si="40"/>
        <v>43335</v>
      </c>
      <c r="AN74" s="3">
        <f t="shared" si="40"/>
        <v>81</v>
      </c>
      <c r="AO74" s="3">
        <f>SUMIF(MORTALIDAD!$Z:$Z,RESUMEN!AM74,MORTALIDAD!$AD:$AD)</f>
        <v>0</v>
      </c>
      <c r="AP74" s="19">
        <f t="shared" si="17"/>
        <v>-124</v>
      </c>
      <c r="AQ74" s="3">
        <f>SUMIF(MORTALIDAD!$Z:$Z,RESUMEN!AM74,MORTALIDAD!$AE:$AE)</f>
        <v>0</v>
      </c>
      <c r="AR74" s="3">
        <f>SUMIF(TRASLADOS!$AC:$AC,RESUMEN!AM74,TRASLADOS!$AF:$AF)</f>
        <v>0</v>
      </c>
      <c r="AS74" s="3">
        <f>SUMIF(TRASLADOS!$AC:$AC,RESUMEN!AM74,TRASLADOS!$AG:$AG)</f>
        <v>0</v>
      </c>
      <c r="AT74" s="3">
        <f>SUMIF(VENTAS!$Z:$Z,RESUMEN!AM74,VENTAS!$AD:$AD)</f>
        <v>0</v>
      </c>
      <c r="AU74" s="3">
        <f>SUMIF(VENTAS!$Z:$Z,RESUMEN!AM74,VENTAS!$AE:$AE)</f>
        <v>0</v>
      </c>
      <c r="AV74" s="97">
        <f t="shared" si="18"/>
        <v>2076</v>
      </c>
      <c r="AW74" s="96"/>
      <c r="AX74" s="99">
        <f t="shared" si="4"/>
        <v>12</v>
      </c>
      <c r="AY74" s="11">
        <f t="shared" si="41"/>
        <v>43342</v>
      </c>
      <c r="AZ74" s="3">
        <f t="shared" si="41"/>
        <v>81</v>
      </c>
      <c r="BA74" s="3">
        <f>SUMIF(MORTALIDAD!$AH:$AH,RESUMEN!AY74,MORTALIDAD!$AL:$AL)</f>
        <v>0</v>
      </c>
      <c r="BB74" s="19">
        <f t="shared" si="20"/>
        <v>-119</v>
      </c>
      <c r="BC74" s="3">
        <f>SUMIF(MORTALIDAD!$AH:$AH,RESUMEN!AY74,MORTALIDAD!$AM:$AM)</f>
        <v>0</v>
      </c>
      <c r="BD74" s="3">
        <f>SUMIF(TRASLADOS!$AL:$AL,RESUMEN!AY74,TRASLADOS!$AO:$AO)</f>
        <v>0</v>
      </c>
      <c r="BE74" s="3">
        <f>SUMIF(TRASLADOS!$AL:$AL,RESUMEN!AY74,TRASLADOS!$AP:$AP)</f>
        <v>0</v>
      </c>
      <c r="BF74" s="3">
        <f>SUMIF(VENTAS!$AH:$AH,RESUMEN!AY74,VENTAS!$AL:$AL)</f>
        <v>0</v>
      </c>
      <c r="BG74" s="3">
        <f>SUMIF(VENTAS!$AH:$AH,RESUMEN!AY74,VENTAS!$AM:$AM)</f>
        <v>0</v>
      </c>
      <c r="BH74" s="97">
        <f t="shared" si="21"/>
        <v>2081</v>
      </c>
      <c r="BI74" s="96"/>
      <c r="BJ74" s="99">
        <f t="shared" si="5"/>
        <v>12</v>
      </c>
      <c r="BK74" s="11">
        <f t="shared" si="42"/>
        <v>43351</v>
      </c>
      <c r="BL74" s="3">
        <f t="shared" si="42"/>
        <v>84</v>
      </c>
      <c r="BM74" s="3">
        <f>SUMIF(MORTALIDAD!$AP:$AP,RESUMEN!BK74,MORTALIDAD!$AT:$AT)</f>
        <v>0</v>
      </c>
      <c r="BN74" s="19">
        <f t="shared" si="23"/>
        <v>-73</v>
      </c>
      <c r="BO74" s="3">
        <f>SUMIF(MORTALIDAD!$AP$6:$AP$200,RESUMEN!BK74,MORTALIDAD!$AU$6:$AU$200)</f>
        <v>0</v>
      </c>
      <c r="BP74" s="3">
        <f>SUMIF(TRASLADOS!$AU:$AU,RESUMEN!BK74,TRASLADOS!$AX:$AX)</f>
        <v>0</v>
      </c>
      <c r="BQ74" s="3">
        <f>SUMIF(TRASLADOS!$AU:$AU,RESUMEN!BK74,TRASLADOS!$AY:$AY)</f>
        <v>0</v>
      </c>
      <c r="BR74" s="3">
        <f>SUMIF(VENTAS!$AP:$AP,RESUMEN!BK74,VENTAS!$AT:$AT)</f>
        <v>0</v>
      </c>
      <c r="BS74" s="3">
        <f>SUMIF(VENTAS!$AP:$AP,RESUMEN!BK74,VENTAS!$AU:$AU)</f>
        <v>0</v>
      </c>
      <c r="BT74" s="36">
        <f t="shared" si="24"/>
        <v>2241</v>
      </c>
    </row>
    <row r="75" spans="2:72" x14ac:dyDescent="0.2">
      <c r="B75" s="3">
        <f t="shared" si="0"/>
        <v>12</v>
      </c>
      <c r="C75" s="11">
        <f t="shared" si="35"/>
        <v>43322</v>
      </c>
      <c r="D75" s="3">
        <f t="shared" si="36"/>
        <v>84</v>
      </c>
      <c r="E75" s="3">
        <f>SUMIF(MORTALIDAD!$B$6:$B$200,RESUMEN!C75,MORTALIDAD!$F$6:$F$200)</f>
        <v>0</v>
      </c>
      <c r="F75" s="17">
        <f t="shared" si="37"/>
        <v>-740</v>
      </c>
      <c r="G75" s="3">
        <f>SUMIF(MORTALIDAD!$B$6:$B$200,RESUMEN!C75,MORTALIDAD!$G$6:$G$200)</f>
        <v>0</v>
      </c>
      <c r="H75" s="3">
        <f>SUMIF(TRASLADOS!$B$6:$B$200,C75,TRASLADOS!$E$6:$E$200)</f>
        <v>0</v>
      </c>
      <c r="I75" s="3">
        <f>SUMIF(TRASLADOS!$B$6:$B$200,C75,TRASLADOS!$F$6:$F$200)</f>
        <v>0</v>
      </c>
      <c r="J75" s="3">
        <f>SUMIF(VENTAS!$B$6:$B$200,RESUMEN!C75,VENTAS!$F$6:$F$200)</f>
        <v>0</v>
      </c>
      <c r="K75" s="3">
        <f>SUMIF(VENTAS!$B$6:$B$200,RESUMEN!C75,VENTAS!$G$6:$G$200)</f>
        <v>0</v>
      </c>
      <c r="L75" s="97">
        <f t="shared" si="9"/>
        <v>1460</v>
      </c>
      <c r="M75" s="96"/>
      <c r="N75" s="99">
        <f t="shared" si="1"/>
        <v>12</v>
      </c>
      <c r="O75" s="11">
        <f t="shared" si="38"/>
        <v>43325</v>
      </c>
      <c r="P75" s="3">
        <f t="shared" si="38"/>
        <v>83</v>
      </c>
      <c r="Q75" s="3">
        <f>SUMIF(MORTALIDAD!$J:$J,RESUMEN!O75,MORTALIDAD!$N:$N)</f>
        <v>0</v>
      </c>
      <c r="R75" s="19">
        <f t="shared" si="11"/>
        <v>-680</v>
      </c>
      <c r="S75" s="3">
        <f>SUMIF(MORTALIDAD!$J:$J,RESUMEN!O75,MORTALIDAD!$O:$O)</f>
        <v>0</v>
      </c>
      <c r="T75" s="3">
        <f>SUMIF(TRASLADOS!$K:$K,RESUMEN!O75,TRASLADOS!$N:$N)</f>
        <v>0</v>
      </c>
      <c r="U75" s="3">
        <f>SUMIF(TRASLADOS!$K:$K,RESUMEN!O75,TRASLADOS!$O:$O)</f>
        <v>0</v>
      </c>
      <c r="V75" s="3">
        <f>SUMIF(VENTAS!$J:$J,RESUMEN!O75,VENTAS!$N:$N)</f>
        <v>0</v>
      </c>
      <c r="W75" s="3">
        <f>SUMIF(VENTAS!$J:$J,RESUMEN!O75,VENTAS!$O:$O)</f>
        <v>0</v>
      </c>
      <c r="X75" s="97">
        <f t="shared" si="12"/>
        <v>1520</v>
      </c>
      <c r="Y75" s="96"/>
      <c r="Z75" s="99">
        <f t="shared" si="2"/>
        <v>12</v>
      </c>
      <c r="AA75" s="11">
        <f t="shared" si="39"/>
        <v>43329</v>
      </c>
      <c r="AB75" s="3">
        <f t="shared" si="39"/>
        <v>82</v>
      </c>
      <c r="AC75" s="3">
        <f>SUMIF(MORTALIDAD!$R:$R,RESUMEN!AA75,MORTALIDAD!$V:$V)</f>
        <v>0</v>
      </c>
      <c r="AD75" s="19">
        <f t="shared" si="14"/>
        <v>-476</v>
      </c>
      <c r="AE75" s="3">
        <f>SUMIF(MORTALIDAD!$R:$R,RESUMEN!AA75,MORTALIDAD!$W:$W)</f>
        <v>0</v>
      </c>
      <c r="AF75" s="3">
        <f>SUMIF(TRASLADOS!$T:$T,RESUMEN!AA75,TRASLADOS!$W:$W)</f>
        <v>0</v>
      </c>
      <c r="AG75" s="3">
        <f>SUMIF(TRASLADOS!$T:$T,RESUMEN!AA75,TRASLADOS!$X:$X)</f>
        <v>0</v>
      </c>
      <c r="AH75" s="3">
        <f>SUMIF(VENTAS!$R:$R,RESUMEN!AA75,VENTAS!$V:$V)</f>
        <v>0</v>
      </c>
      <c r="AI75" s="3">
        <f>SUMIF(VENTAS!$R:$R,RESUMEN!AA75,VENTAS!$W:$W)</f>
        <v>0</v>
      </c>
      <c r="AJ75" s="97">
        <f t="shared" si="15"/>
        <v>1724</v>
      </c>
      <c r="AK75" s="96"/>
      <c r="AL75" s="99">
        <f t="shared" si="3"/>
        <v>12</v>
      </c>
      <c r="AM75" s="11">
        <f t="shared" si="40"/>
        <v>43336</v>
      </c>
      <c r="AN75" s="3">
        <f t="shared" si="40"/>
        <v>82</v>
      </c>
      <c r="AO75" s="3">
        <f>SUMIF(MORTALIDAD!$Z:$Z,RESUMEN!AM75,MORTALIDAD!$AD:$AD)</f>
        <v>0</v>
      </c>
      <c r="AP75" s="19">
        <f t="shared" si="17"/>
        <v>-124</v>
      </c>
      <c r="AQ75" s="3">
        <f>SUMIF(MORTALIDAD!$Z:$Z,RESUMEN!AM75,MORTALIDAD!$AE:$AE)</f>
        <v>0</v>
      </c>
      <c r="AR75" s="3">
        <f>SUMIF(TRASLADOS!$AC:$AC,RESUMEN!AM75,TRASLADOS!$AF:$AF)</f>
        <v>0</v>
      </c>
      <c r="AS75" s="3">
        <f>SUMIF(TRASLADOS!$AC:$AC,RESUMEN!AM75,TRASLADOS!$AG:$AG)</f>
        <v>0</v>
      </c>
      <c r="AT75" s="3">
        <f>SUMIF(VENTAS!$Z:$Z,RESUMEN!AM75,VENTAS!$AD:$AD)</f>
        <v>0</v>
      </c>
      <c r="AU75" s="3">
        <f>SUMIF(VENTAS!$Z:$Z,RESUMEN!AM75,VENTAS!$AE:$AE)</f>
        <v>0</v>
      </c>
      <c r="AV75" s="97">
        <f t="shared" si="18"/>
        <v>2076</v>
      </c>
      <c r="AW75" s="96"/>
      <c r="AX75" s="99">
        <f t="shared" si="4"/>
        <v>12</v>
      </c>
      <c r="AY75" s="11">
        <f t="shared" si="41"/>
        <v>43343</v>
      </c>
      <c r="AZ75" s="3">
        <f t="shared" si="41"/>
        <v>82</v>
      </c>
      <c r="BA75" s="3">
        <f>SUMIF(MORTALIDAD!$AH:$AH,RESUMEN!AY75,MORTALIDAD!$AL:$AL)</f>
        <v>0</v>
      </c>
      <c r="BB75" s="19">
        <f t="shared" si="20"/>
        <v>-119</v>
      </c>
      <c r="BC75" s="3">
        <f>SUMIF(MORTALIDAD!$AH:$AH,RESUMEN!AY75,MORTALIDAD!$AM:$AM)</f>
        <v>0</v>
      </c>
      <c r="BD75" s="3">
        <f>SUMIF(TRASLADOS!$AL:$AL,RESUMEN!AY75,TRASLADOS!$AO:$AO)</f>
        <v>0</v>
      </c>
      <c r="BE75" s="3">
        <f>SUMIF(TRASLADOS!$AL:$AL,RESUMEN!AY75,TRASLADOS!$AP:$AP)</f>
        <v>0</v>
      </c>
      <c r="BF75" s="3">
        <f>SUMIF(VENTAS!$AH:$AH,RESUMEN!AY75,VENTAS!$AL:$AL)</f>
        <v>0</v>
      </c>
      <c r="BG75" s="3">
        <f>SUMIF(VENTAS!$AH:$AH,RESUMEN!AY75,VENTAS!$AM:$AM)</f>
        <v>0</v>
      </c>
      <c r="BH75" s="97">
        <f t="shared" si="21"/>
        <v>2081</v>
      </c>
      <c r="BI75" s="96"/>
      <c r="BJ75" s="99">
        <f t="shared" si="5"/>
        <v>13</v>
      </c>
      <c r="BK75" s="11">
        <f t="shared" si="42"/>
        <v>43352</v>
      </c>
      <c r="BL75" s="3">
        <f t="shared" si="42"/>
        <v>85</v>
      </c>
      <c r="BM75" s="3">
        <f>SUMIF(MORTALIDAD!$AP:$AP,RESUMEN!BK75,MORTALIDAD!$AT:$AT)</f>
        <v>0</v>
      </c>
      <c r="BN75" s="19">
        <f t="shared" si="23"/>
        <v>-73</v>
      </c>
      <c r="BO75" s="3">
        <f>SUMIF(MORTALIDAD!$AP$6:$AP$200,RESUMEN!BK75,MORTALIDAD!$AU$6:$AU$200)</f>
        <v>0</v>
      </c>
      <c r="BP75" s="3">
        <f>SUMIF(TRASLADOS!$AU:$AU,RESUMEN!BK75,TRASLADOS!$AX:$AX)</f>
        <v>0</v>
      </c>
      <c r="BQ75" s="3">
        <f>SUMIF(TRASLADOS!$AU:$AU,RESUMEN!BK75,TRASLADOS!$AY:$AY)</f>
        <v>0</v>
      </c>
      <c r="BR75" s="3">
        <f>SUMIF(VENTAS!$AP:$AP,RESUMEN!BK75,VENTAS!$AT:$AT)</f>
        <v>0</v>
      </c>
      <c r="BS75" s="3">
        <f>SUMIF(VENTAS!$AP:$AP,RESUMEN!BK75,VENTAS!$AU:$AU)</f>
        <v>0</v>
      </c>
      <c r="BT75" s="36">
        <f t="shared" si="24"/>
        <v>2241</v>
      </c>
    </row>
    <row r="76" spans="2:72" x14ac:dyDescent="0.2">
      <c r="B76" s="3">
        <f t="shared" si="0"/>
        <v>13</v>
      </c>
      <c r="C76" s="11">
        <f t="shared" si="35"/>
        <v>43323</v>
      </c>
      <c r="D76" s="3">
        <f t="shared" si="36"/>
        <v>85</v>
      </c>
      <c r="E76" s="3">
        <f>SUMIF(MORTALIDAD!$B$6:$B$200,RESUMEN!C76,MORTALIDAD!$F$6:$F$200)</f>
        <v>0</v>
      </c>
      <c r="F76" s="17">
        <f t="shared" si="37"/>
        <v>-740</v>
      </c>
      <c r="G76" s="3">
        <f>SUMIF(MORTALIDAD!$B$6:$B$200,RESUMEN!C76,MORTALIDAD!$G$6:$G$200)</f>
        <v>0</v>
      </c>
      <c r="H76" s="3">
        <f>SUMIF(TRASLADOS!$B$6:$B$200,C76,TRASLADOS!$E$6:$E$200)</f>
        <v>0</v>
      </c>
      <c r="I76" s="3">
        <f>SUMIF(TRASLADOS!$B$6:$B$200,C76,TRASLADOS!$F$6:$F$200)</f>
        <v>0</v>
      </c>
      <c r="J76" s="3">
        <f>SUMIF(VENTAS!$B$6:$B$200,RESUMEN!C76,VENTAS!$F$6:$F$200)</f>
        <v>0</v>
      </c>
      <c r="K76" s="3">
        <f>SUMIF(VENTAS!$B$6:$B$200,RESUMEN!C76,VENTAS!$G$6:$G$200)</f>
        <v>0</v>
      </c>
      <c r="L76" s="97">
        <f t="shared" si="9"/>
        <v>1460</v>
      </c>
      <c r="M76" s="96"/>
      <c r="N76" s="99">
        <f t="shared" si="1"/>
        <v>12</v>
      </c>
      <c r="O76" s="11">
        <f t="shared" si="38"/>
        <v>43326</v>
      </c>
      <c r="P76" s="3">
        <f t="shared" si="38"/>
        <v>84</v>
      </c>
      <c r="Q76" s="3">
        <f>SUMIF(MORTALIDAD!$J:$J,RESUMEN!O76,MORTALIDAD!$N:$N)</f>
        <v>0</v>
      </c>
      <c r="R76" s="19">
        <f t="shared" si="11"/>
        <v>-680</v>
      </c>
      <c r="S76" s="3">
        <f>SUMIF(MORTALIDAD!$J:$J,RESUMEN!O76,MORTALIDAD!$O:$O)</f>
        <v>0</v>
      </c>
      <c r="T76" s="3">
        <f>SUMIF(TRASLADOS!$K:$K,RESUMEN!O76,TRASLADOS!$N:$N)</f>
        <v>0</v>
      </c>
      <c r="U76" s="3">
        <f>SUMIF(TRASLADOS!$K:$K,RESUMEN!O76,TRASLADOS!$O:$O)</f>
        <v>0</v>
      </c>
      <c r="V76" s="3">
        <f>SUMIF(VENTAS!$J:$J,RESUMEN!O76,VENTAS!$N:$N)</f>
        <v>0</v>
      </c>
      <c r="W76" s="3">
        <f>SUMIF(VENTAS!$J:$J,RESUMEN!O76,VENTAS!$O:$O)</f>
        <v>0</v>
      </c>
      <c r="X76" s="97">
        <f t="shared" si="12"/>
        <v>1520</v>
      </c>
      <c r="Y76" s="96"/>
      <c r="Z76" s="99">
        <f t="shared" si="2"/>
        <v>12</v>
      </c>
      <c r="AA76" s="11">
        <f t="shared" si="39"/>
        <v>43330</v>
      </c>
      <c r="AB76" s="3">
        <f t="shared" si="39"/>
        <v>83</v>
      </c>
      <c r="AC76" s="3">
        <f>SUMIF(MORTALIDAD!$R:$R,RESUMEN!AA76,MORTALIDAD!$V:$V)</f>
        <v>0</v>
      </c>
      <c r="AD76" s="19">
        <f t="shared" si="14"/>
        <v>-476</v>
      </c>
      <c r="AE76" s="3">
        <f>SUMIF(MORTALIDAD!$R:$R,RESUMEN!AA76,MORTALIDAD!$W:$W)</f>
        <v>0</v>
      </c>
      <c r="AF76" s="3">
        <f>SUMIF(TRASLADOS!$T:$T,RESUMEN!AA76,TRASLADOS!$W:$W)</f>
        <v>0</v>
      </c>
      <c r="AG76" s="3">
        <f>SUMIF(TRASLADOS!$T:$T,RESUMEN!AA76,TRASLADOS!$X:$X)</f>
        <v>0</v>
      </c>
      <c r="AH76" s="3">
        <f>SUMIF(VENTAS!$R:$R,RESUMEN!AA76,VENTAS!$V:$V)</f>
        <v>0</v>
      </c>
      <c r="AI76" s="3">
        <f>SUMIF(VENTAS!$R:$R,RESUMEN!AA76,VENTAS!$W:$W)</f>
        <v>0</v>
      </c>
      <c r="AJ76" s="97">
        <f t="shared" si="15"/>
        <v>1724</v>
      </c>
      <c r="AK76" s="96"/>
      <c r="AL76" s="99">
        <f t="shared" si="3"/>
        <v>12</v>
      </c>
      <c r="AM76" s="11">
        <f t="shared" si="40"/>
        <v>43337</v>
      </c>
      <c r="AN76" s="3">
        <f t="shared" si="40"/>
        <v>83</v>
      </c>
      <c r="AO76" s="3">
        <f>SUMIF(MORTALIDAD!$Z:$Z,RESUMEN!AM76,MORTALIDAD!$AD:$AD)</f>
        <v>0</v>
      </c>
      <c r="AP76" s="19">
        <f t="shared" si="17"/>
        <v>-124</v>
      </c>
      <c r="AQ76" s="3">
        <f>SUMIF(MORTALIDAD!$Z:$Z,RESUMEN!AM76,MORTALIDAD!$AE:$AE)</f>
        <v>0</v>
      </c>
      <c r="AR76" s="3">
        <f>SUMIF(TRASLADOS!$AC:$AC,RESUMEN!AM76,TRASLADOS!$AF:$AF)</f>
        <v>0</v>
      </c>
      <c r="AS76" s="3">
        <f>SUMIF(TRASLADOS!$AC:$AC,RESUMEN!AM76,TRASLADOS!$AG:$AG)</f>
        <v>0</v>
      </c>
      <c r="AT76" s="3">
        <f>SUMIF(VENTAS!$Z:$Z,RESUMEN!AM76,VENTAS!$AD:$AD)</f>
        <v>0</v>
      </c>
      <c r="AU76" s="3">
        <f>SUMIF(VENTAS!$Z:$Z,RESUMEN!AM76,VENTAS!$AE:$AE)</f>
        <v>0</v>
      </c>
      <c r="AV76" s="97">
        <f t="shared" si="18"/>
        <v>2076</v>
      </c>
      <c r="AW76" s="96"/>
      <c r="AX76" s="99">
        <f t="shared" si="4"/>
        <v>12</v>
      </c>
      <c r="AY76" s="11">
        <f t="shared" si="41"/>
        <v>43344</v>
      </c>
      <c r="AZ76" s="3">
        <f t="shared" si="41"/>
        <v>83</v>
      </c>
      <c r="BA76" s="3">
        <f>SUMIF(MORTALIDAD!$AH:$AH,RESUMEN!AY76,MORTALIDAD!$AL:$AL)</f>
        <v>0</v>
      </c>
      <c r="BB76" s="19">
        <f t="shared" si="20"/>
        <v>-119</v>
      </c>
      <c r="BC76" s="3">
        <f>SUMIF(MORTALIDAD!$AH:$AH,RESUMEN!AY76,MORTALIDAD!$AM:$AM)</f>
        <v>0</v>
      </c>
      <c r="BD76" s="3">
        <f>SUMIF(TRASLADOS!$AL:$AL,RESUMEN!AY76,TRASLADOS!$AO:$AO)</f>
        <v>0</v>
      </c>
      <c r="BE76" s="3">
        <f>SUMIF(TRASLADOS!$AL:$AL,RESUMEN!AY76,TRASLADOS!$AP:$AP)</f>
        <v>0</v>
      </c>
      <c r="BF76" s="3">
        <f>SUMIF(VENTAS!$AH:$AH,RESUMEN!AY76,VENTAS!$AL:$AL)</f>
        <v>0</v>
      </c>
      <c r="BG76" s="3">
        <f>SUMIF(VENTAS!$AH:$AH,RESUMEN!AY76,VENTAS!$AM:$AM)</f>
        <v>0</v>
      </c>
      <c r="BH76" s="97">
        <f t="shared" si="21"/>
        <v>2081</v>
      </c>
      <c r="BI76" s="96"/>
      <c r="BJ76" s="99">
        <f t="shared" si="5"/>
        <v>13</v>
      </c>
      <c r="BK76" s="11">
        <f t="shared" si="42"/>
        <v>43353</v>
      </c>
      <c r="BL76" s="3">
        <f t="shared" si="42"/>
        <v>86</v>
      </c>
      <c r="BM76" s="3">
        <f>SUMIF(MORTALIDAD!$AP:$AP,RESUMEN!BK76,MORTALIDAD!$AT:$AT)</f>
        <v>0</v>
      </c>
      <c r="BN76" s="19">
        <f t="shared" si="23"/>
        <v>-73</v>
      </c>
      <c r="BO76" s="3">
        <f>SUMIF(MORTALIDAD!$AP$6:$AP$200,RESUMEN!BK76,MORTALIDAD!$AU$6:$AU$200)</f>
        <v>0</v>
      </c>
      <c r="BP76" s="3">
        <f>SUMIF(TRASLADOS!$AU:$AU,RESUMEN!BK76,TRASLADOS!$AX:$AX)</f>
        <v>0</v>
      </c>
      <c r="BQ76" s="3">
        <f>SUMIF(TRASLADOS!$AU:$AU,RESUMEN!BK76,TRASLADOS!$AY:$AY)</f>
        <v>0</v>
      </c>
      <c r="BR76" s="3">
        <f>SUMIF(VENTAS!$AP:$AP,RESUMEN!BK76,VENTAS!$AT:$AT)</f>
        <v>0</v>
      </c>
      <c r="BS76" s="3">
        <f>SUMIF(VENTAS!$AP:$AP,RESUMEN!BK76,VENTAS!$AU:$AU)</f>
        <v>0</v>
      </c>
      <c r="BT76" s="36">
        <f t="shared" si="24"/>
        <v>2241</v>
      </c>
    </row>
    <row r="77" spans="2:72" x14ac:dyDescent="0.2">
      <c r="B77" s="3">
        <f t="shared" si="0"/>
        <v>13</v>
      </c>
      <c r="C77" s="11">
        <f t="shared" si="35"/>
        <v>43324</v>
      </c>
      <c r="D77" s="3">
        <f t="shared" si="36"/>
        <v>86</v>
      </c>
      <c r="E77" s="3">
        <f>SUMIF(MORTALIDAD!$B$6:$B$200,RESUMEN!C77,MORTALIDAD!$F$6:$F$200)</f>
        <v>0</v>
      </c>
      <c r="F77" s="17">
        <f t="shared" si="37"/>
        <v>-740</v>
      </c>
      <c r="G77" s="3">
        <f>SUMIF(MORTALIDAD!$B$6:$B$200,RESUMEN!C77,MORTALIDAD!$G$6:$G$200)</f>
        <v>0</v>
      </c>
      <c r="H77" s="3">
        <f>SUMIF(TRASLADOS!$B$6:$B$200,C77,TRASLADOS!$E$6:$E$200)</f>
        <v>0</v>
      </c>
      <c r="I77" s="3">
        <f>SUMIF(TRASLADOS!$B$6:$B$200,C77,TRASLADOS!$F$6:$F$200)</f>
        <v>0</v>
      </c>
      <c r="J77" s="3">
        <f>SUMIF(VENTAS!$B$6:$B$200,RESUMEN!C77,VENTAS!$F$6:$F$200)</f>
        <v>0</v>
      </c>
      <c r="K77" s="3">
        <f>SUMIF(VENTAS!$B$6:$B$200,RESUMEN!C77,VENTAS!$G$6:$G$200)</f>
        <v>0</v>
      </c>
      <c r="L77" s="97">
        <f t="shared" si="9"/>
        <v>1460</v>
      </c>
      <c r="M77" s="96"/>
      <c r="N77" s="99">
        <f t="shared" si="1"/>
        <v>13</v>
      </c>
      <c r="O77" s="11">
        <f t="shared" si="38"/>
        <v>43327</v>
      </c>
      <c r="P77" s="3">
        <f t="shared" si="38"/>
        <v>85</v>
      </c>
      <c r="Q77" s="3">
        <f>SUMIF(MORTALIDAD!$J:$J,RESUMEN!O77,MORTALIDAD!$N:$N)</f>
        <v>0</v>
      </c>
      <c r="R77" s="19">
        <f t="shared" si="11"/>
        <v>-680</v>
      </c>
      <c r="S77" s="3">
        <f>SUMIF(MORTALIDAD!$J:$J,RESUMEN!O77,MORTALIDAD!$O:$O)</f>
        <v>0</v>
      </c>
      <c r="T77" s="3">
        <f>SUMIF(TRASLADOS!$K:$K,RESUMEN!O77,TRASLADOS!$N:$N)</f>
        <v>0</v>
      </c>
      <c r="U77" s="3">
        <f>SUMIF(TRASLADOS!$K:$K,RESUMEN!O77,TRASLADOS!$O:$O)</f>
        <v>0</v>
      </c>
      <c r="V77" s="3">
        <f>SUMIF(VENTAS!$J:$J,RESUMEN!O77,VENTAS!$N:$N)</f>
        <v>0</v>
      </c>
      <c r="W77" s="3">
        <f>SUMIF(VENTAS!$J:$J,RESUMEN!O77,VENTAS!$O:$O)</f>
        <v>0</v>
      </c>
      <c r="X77" s="97">
        <f t="shared" si="12"/>
        <v>1520</v>
      </c>
      <c r="Y77" s="96"/>
      <c r="Z77" s="99">
        <f t="shared" si="2"/>
        <v>12</v>
      </c>
      <c r="AA77" s="11">
        <f t="shared" si="39"/>
        <v>43331</v>
      </c>
      <c r="AB77" s="3">
        <f t="shared" si="39"/>
        <v>84</v>
      </c>
      <c r="AC77" s="3">
        <f>SUMIF(MORTALIDAD!$R:$R,RESUMEN!AA77,MORTALIDAD!$V:$V)</f>
        <v>0</v>
      </c>
      <c r="AD77" s="19">
        <f t="shared" si="14"/>
        <v>-476</v>
      </c>
      <c r="AE77" s="3">
        <f>SUMIF(MORTALIDAD!$R:$R,RESUMEN!AA77,MORTALIDAD!$W:$W)</f>
        <v>0</v>
      </c>
      <c r="AF77" s="3">
        <f>SUMIF(TRASLADOS!$T:$T,RESUMEN!AA77,TRASLADOS!$W:$W)</f>
        <v>0</v>
      </c>
      <c r="AG77" s="3">
        <f>SUMIF(TRASLADOS!$T:$T,RESUMEN!AA77,TRASLADOS!$X:$X)</f>
        <v>0</v>
      </c>
      <c r="AH77" s="3">
        <f>SUMIF(VENTAS!$R:$R,RESUMEN!AA77,VENTAS!$V:$V)</f>
        <v>0</v>
      </c>
      <c r="AI77" s="3">
        <f>SUMIF(VENTAS!$R:$R,RESUMEN!AA77,VENTAS!$W:$W)</f>
        <v>0</v>
      </c>
      <c r="AJ77" s="97">
        <f t="shared" si="15"/>
        <v>1724</v>
      </c>
      <c r="AK77" s="96"/>
      <c r="AL77" s="99">
        <f t="shared" si="3"/>
        <v>12</v>
      </c>
      <c r="AM77" s="11">
        <f t="shared" si="40"/>
        <v>43338</v>
      </c>
      <c r="AN77" s="3">
        <f t="shared" si="40"/>
        <v>84</v>
      </c>
      <c r="AO77" s="3">
        <f>SUMIF(MORTALIDAD!$Z:$Z,RESUMEN!AM77,MORTALIDAD!$AD:$AD)</f>
        <v>0</v>
      </c>
      <c r="AP77" s="19">
        <f t="shared" si="17"/>
        <v>-124</v>
      </c>
      <c r="AQ77" s="3">
        <f>SUMIF(MORTALIDAD!$Z:$Z,RESUMEN!AM77,MORTALIDAD!$AE:$AE)</f>
        <v>0</v>
      </c>
      <c r="AR77" s="3">
        <f>SUMIF(TRASLADOS!$AC:$AC,RESUMEN!AM77,TRASLADOS!$AF:$AF)</f>
        <v>0</v>
      </c>
      <c r="AS77" s="3">
        <f>SUMIF(TRASLADOS!$AC:$AC,RESUMEN!AM77,TRASLADOS!$AG:$AG)</f>
        <v>0</v>
      </c>
      <c r="AT77" s="3">
        <f>SUMIF(VENTAS!$Z:$Z,RESUMEN!AM77,VENTAS!$AD:$AD)</f>
        <v>0</v>
      </c>
      <c r="AU77" s="3">
        <f>SUMIF(VENTAS!$Z:$Z,RESUMEN!AM77,VENTAS!$AE:$AE)</f>
        <v>0</v>
      </c>
      <c r="AV77" s="97">
        <f t="shared" si="18"/>
        <v>2076</v>
      </c>
      <c r="AW77" s="96"/>
      <c r="AX77" s="99">
        <f t="shared" si="4"/>
        <v>12</v>
      </c>
      <c r="AY77" s="11">
        <f t="shared" si="41"/>
        <v>43345</v>
      </c>
      <c r="AZ77" s="3">
        <f t="shared" si="41"/>
        <v>84</v>
      </c>
      <c r="BA77" s="3">
        <f>SUMIF(MORTALIDAD!$AH:$AH,RESUMEN!AY77,MORTALIDAD!$AL:$AL)</f>
        <v>0</v>
      </c>
      <c r="BB77" s="19">
        <f t="shared" si="20"/>
        <v>-119</v>
      </c>
      <c r="BC77" s="3">
        <f>SUMIF(MORTALIDAD!$AH:$AH,RESUMEN!AY77,MORTALIDAD!$AM:$AM)</f>
        <v>0</v>
      </c>
      <c r="BD77" s="3">
        <f>SUMIF(TRASLADOS!$AL:$AL,RESUMEN!AY77,TRASLADOS!$AO:$AO)</f>
        <v>0</v>
      </c>
      <c r="BE77" s="3">
        <f>SUMIF(TRASLADOS!$AL:$AL,RESUMEN!AY77,TRASLADOS!$AP:$AP)</f>
        <v>0</v>
      </c>
      <c r="BF77" s="3">
        <f>SUMIF(VENTAS!$AH:$AH,RESUMEN!AY77,VENTAS!$AL:$AL)</f>
        <v>0</v>
      </c>
      <c r="BG77" s="3">
        <f>SUMIF(VENTAS!$AH:$AH,RESUMEN!AY77,VENTAS!$AM:$AM)</f>
        <v>0</v>
      </c>
      <c r="BH77" s="97">
        <f t="shared" si="21"/>
        <v>2081</v>
      </c>
      <c r="BI77" s="96"/>
      <c r="BJ77" s="99">
        <f t="shared" si="5"/>
        <v>13</v>
      </c>
      <c r="BK77" s="11">
        <f t="shared" si="42"/>
        <v>43354</v>
      </c>
      <c r="BL77" s="3">
        <f t="shared" si="42"/>
        <v>87</v>
      </c>
      <c r="BM77" s="3">
        <f>SUMIF(MORTALIDAD!$AP:$AP,RESUMEN!BK77,MORTALIDAD!$AT:$AT)</f>
        <v>0</v>
      </c>
      <c r="BN77" s="19">
        <f t="shared" si="23"/>
        <v>-73</v>
      </c>
      <c r="BO77" s="3">
        <f>SUMIF(MORTALIDAD!$AP$6:$AP$200,RESUMEN!BK77,MORTALIDAD!$AU$6:$AU$200)</f>
        <v>0</v>
      </c>
      <c r="BP77" s="3">
        <f>SUMIF(TRASLADOS!$AU:$AU,RESUMEN!BK77,TRASLADOS!$AX:$AX)</f>
        <v>0</v>
      </c>
      <c r="BQ77" s="3">
        <f>SUMIF(TRASLADOS!$AU:$AU,RESUMEN!BK77,TRASLADOS!$AY:$AY)</f>
        <v>0</v>
      </c>
      <c r="BR77" s="3">
        <f>SUMIF(VENTAS!$AP:$AP,RESUMEN!BK77,VENTAS!$AT:$AT)</f>
        <v>0</v>
      </c>
      <c r="BS77" s="3">
        <f>SUMIF(VENTAS!$AP:$AP,RESUMEN!BK77,VENTAS!$AU:$AU)</f>
        <v>0</v>
      </c>
      <c r="BT77" s="36">
        <f t="shared" si="24"/>
        <v>2241</v>
      </c>
    </row>
    <row r="78" spans="2:72" x14ac:dyDescent="0.2">
      <c r="B78" s="3">
        <f t="shared" si="0"/>
        <v>13</v>
      </c>
      <c r="C78" s="11">
        <f t="shared" si="35"/>
        <v>43325</v>
      </c>
      <c r="D78" s="3">
        <f t="shared" si="36"/>
        <v>87</v>
      </c>
      <c r="E78" s="3">
        <f>SUMIF(MORTALIDAD!$B$6:$B$200,RESUMEN!C78,MORTALIDAD!$F$6:$F$200)</f>
        <v>0</v>
      </c>
      <c r="F78" s="17">
        <f t="shared" si="37"/>
        <v>-740</v>
      </c>
      <c r="G78" s="3">
        <f>SUMIF(MORTALIDAD!$B$6:$B$200,RESUMEN!C78,MORTALIDAD!$G$6:$G$200)</f>
        <v>0</v>
      </c>
      <c r="H78" s="3">
        <f>SUMIF(TRASLADOS!$B$6:$B$200,C78,TRASLADOS!$E$6:$E$200)</f>
        <v>0</v>
      </c>
      <c r="I78" s="3">
        <f>SUMIF(TRASLADOS!$B$6:$B$200,C78,TRASLADOS!$F$6:$F$200)</f>
        <v>0</v>
      </c>
      <c r="J78" s="3">
        <f>SUMIF(VENTAS!$B$6:$B$200,RESUMEN!C78,VENTAS!$F$6:$F$200)</f>
        <v>0</v>
      </c>
      <c r="K78" s="3">
        <f>SUMIF(VENTAS!$B$6:$B$200,RESUMEN!C78,VENTAS!$G$6:$G$200)</f>
        <v>0</v>
      </c>
      <c r="L78" s="97">
        <f t="shared" si="9"/>
        <v>1460</v>
      </c>
      <c r="M78" s="96"/>
      <c r="N78" s="99">
        <f t="shared" si="1"/>
        <v>13</v>
      </c>
      <c r="O78" s="11">
        <f t="shared" si="38"/>
        <v>43328</v>
      </c>
      <c r="P78" s="3">
        <f t="shared" si="38"/>
        <v>86</v>
      </c>
      <c r="Q78" s="3">
        <f>SUMIF(MORTALIDAD!$J:$J,RESUMEN!O78,MORTALIDAD!$N:$N)</f>
        <v>0</v>
      </c>
      <c r="R78" s="19">
        <f t="shared" si="11"/>
        <v>-680</v>
      </c>
      <c r="S78" s="3">
        <f>SUMIF(MORTALIDAD!$J:$J,RESUMEN!O78,MORTALIDAD!$O:$O)</f>
        <v>0</v>
      </c>
      <c r="T78" s="3">
        <f>SUMIF(TRASLADOS!$K:$K,RESUMEN!O78,TRASLADOS!$N:$N)</f>
        <v>0</v>
      </c>
      <c r="U78" s="3">
        <f>SUMIF(TRASLADOS!$K:$K,RESUMEN!O78,TRASLADOS!$O:$O)</f>
        <v>0</v>
      </c>
      <c r="V78" s="3">
        <f>SUMIF(VENTAS!$J:$J,RESUMEN!O78,VENTAS!$N:$N)</f>
        <v>0</v>
      </c>
      <c r="W78" s="3">
        <f>SUMIF(VENTAS!$J:$J,RESUMEN!O78,VENTAS!$O:$O)</f>
        <v>0</v>
      </c>
      <c r="X78" s="97">
        <f t="shared" si="12"/>
        <v>1520</v>
      </c>
      <c r="Y78" s="96"/>
      <c r="Z78" s="99">
        <f t="shared" si="2"/>
        <v>13</v>
      </c>
      <c r="AA78" s="11">
        <f t="shared" si="39"/>
        <v>43332</v>
      </c>
      <c r="AB78" s="3">
        <f t="shared" si="39"/>
        <v>85</v>
      </c>
      <c r="AC78" s="3">
        <f>SUMIF(MORTALIDAD!$R:$R,RESUMEN!AA78,MORTALIDAD!$V:$V)</f>
        <v>0</v>
      </c>
      <c r="AD78" s="19">
        <f t="shared" si="14"/>
        <v>-476</v>
      </c>
      <c r="AE78" s="3">
        <f>SUMIF(MORTALIDAD!$R:$R,RESUMEN!AA78,MORTALIDAD!$W:$W)</f>
        <v>0</v>
      </c>
      <c r="AF78" s="3">
        <f>SUMIF(TRASLADOS!$T:$T,RESUMEN!AA78,TRASLADOS!$W:$W)</f>
        <v>0</v>
      </c>
      <c r="AG78" s="3">
        <f>SUMIF(TRASLADOS!$T:$T,RESUMEN!AA78,TRASLADOS!$X:$X)</f>
        <v>0</v>
      </c>
      <c r="AH78" s="3">
        <f>SUMIF(VENTAS!$R:$R,RESUMEN!AA78,VENTAS!$V:$V)</f>
        <v>0</v>
      </c>
      <c r="AI78" s="3">
        <f>SUMIF(VENTAS!$R:$R,RESUMEN!AA78,VENTAS!$W:$W)</f>
        <v>0</v>
      </c>
      <c r="AJ78" s="97">
        <f t="shared" si="15"/>
        <v>1724</v>
      </c>
      <c r="AK78" s="96"/>
      <c r="AL78" s="99">
        <f t="shared" si="3"/>
        <v>13</v>
      </c>
      <c r="AM78" s="11">
        <f t="shared" si="40"/>
        <v>43339</v>
      </c>
      <c r="AN78" s="3">
        <f t="shared" si="40"/>
        <v>85</v>
      </c>
      <c r="AO78" s="3">
        <f>SUMIF(MORTALIDAD!$Z:$Z,RESUMEN!AM78,MORTALIDAD!$AD:$AD)</f>
        <v>0</v>
      </c>
      <c r="AP78" s="19">
        <f t="shared" si="17"/>
        <v>-124</v>
      </c>
      <c r="AQ78" s="3">
        <f>SUMIF(MORTALIDAD!$Z:$Z,RESUMEN!AM78,MORTALIDAD!$AE:$AE)</f>
        <v>0</v>
      </c>
      <c r="AR78" s="3">
        <f>SUMIF(TRASLADOS!$AC:$AC,RESUMEN!AM78,TRASLADOS!$AF:$AF)</f>
        <v>0</v>
      </c>
      <c r="AS78" s="3">
        <f>SUMIF(TRASLADOS!$AC:$AC,RESUMEN!AM78,TRASLADOS!$AG:$AG)</f>
        <v>0</v>
      </c>
      <c r="AT78" s="3">
        <f>SUMIF(VENTAS!$Z:$Z,RESUMEN!AM78,VENTAS!$AD:$AD)</f>
        <v>0</v>
      </c>
      <c r="AU78" s="3">
        <f>SUMIF(VENTAS!$Z:$Z,RESUMEN!AM78,VENTAS!$AE:$AE)</f>
        <v>0</v>
      </c>
      <c r="AV78" s="97">
        <f t="shared" si="18"/>
        <v>2076</v>
      </c>
      <c r="AW78" s="96"/>
      <c r="AX78" s="99">
        <f t="shared" si="4"/>
        <v>13</v>
      </c>
      <c r="AY78" s="11">
        <f t="shared" si="41"/>
        <v>43346</v>
      </c>
      <c r="AZ78" s="3">
        <f t="shared" si="41"/>
        <v>85</v>
      </c>
      <c r="BA78" s="3">
        <f>SUMIF(MORTALIDAD!$AH:$AH,RESUMEN!AY78,MORTALIDAD!$AL:$AL)</f>
        <v>0</v>
      </c>
      <c r="BB78" s="19">
        <f t="shared" si="20"/>
        <v>-119</v>
      </c>
      <c r="BC78" s="3">
        <f>SUMIF(MORTALIDAD!$AH:$AH,RESUMEN!AY78,MORTALIDAD!$AM:$AM)</f>
        <v>0</v>
      </c>
      <c r="BD78" s="3">
        <f>SUMIF(TRASLADOS!$AL:$AL,RESUMEN!AY78,TRASLADOS!$AO:$AO)</f>
        <v>0</v>
      </c>
      <c r="BE78" s="3">
        <f>SUMIF(TRASLADOS!$AL:$AL,RESUMEN!AY78,TRASLADOS!$AP:$AP)</f>
        <v>0</v>
      </c>
      <c r="BF78" s="3">
        <f>SUMIF(VENTAS!$AH:$AH,RESUMEN!AY78,VENTAS!$AL:$AL)</f>
        <v>0</v>
      </c>
      <c r="BG78" s="3">
        <f>SUMIF(VENTAS!$AH:$AH,RESUMEN!AY78,VENTAS!$AM:$AM)</f>
        <v>0</v>
      </c>
      <c r="BH78" s="97">
        <f t="shared" si="21"/>
        <v>2081</v>
      </c>
      <c r="BI78" s="96"/>
      <c r="BJ78" s="99">
        <f t="shared" si="5"/>
        <v>13</v>
      </c>
      <c r="BK78" s="11">
        <f t="shared" si="42"/>
        <v>43355</v>
      </c>
      <c r="BL78" s="3">
        <f t="shared" si="42"/>
        <v>88</v>
      </c>
      <c r="BM78" s="3">
        <f>SUMIF(MORTALIDAD!$AP:$AP,RESUMEN!BK78,MORTALIDAD!$AT:$AT)</f>
        <v>0</v>
      </c>
      <c r="BN78" s="19">
        <f t="shared" si="23"/>
        <v>-73</v>
      </c>
      <c r="BO78" s="3">
        <f>SUMIF(MORTALIDAD!$AP$6:$AP$200,RESUMEN!BK78,MORTALIDAD!$AU$6:$AU$200)</f>
        <v>0</v>
      </c>
      <c r="BP78" s="3">
        <f>SUMIF(TRASLADOS!$AU:$AU,RESUMEN!BK78,TRASLADOS!$AX:$AX)</f>
        <v>0</v>
      </c>
      <c r="BQ78" s="3">
        <f>SUMIF(TRASLADOS!$AU:$AU,RESUMEN!BK78,TRASLADOS!$AY:$AY)</f>
        <v>0</v>
      </c>
      <c r="BR78" s="3">
        <f>SUMIF(VENTAS!$AP:$AP,RESUMEN!BK78,VENTAS!$AT:$AT)</f>
        <v>0</v>
      </c>
      <c r="BS78" s="3">
        <f>SUMIF(VENTAS!$AP:$AP,RESUMEN!BK78,VENTAS!$AU:$AU)</f>
        <v>0</v>
      </c>
      <c r="BT78" s="36">
        <f t="shared" si="24"/>
        <v>2241</v>
      </c>
    </row>
    <row r="79" spans="2:72" x14ac:dyDescent="0.2">
      <c r="B79" s="3">
        <f t="shared" si="0"/>
        <v>13</v>
      </c>
      <c r="C79" s="11">
        <f t="shared" si="35"/>
        <v>43326</v>
      </c>
      <c r="D79" s="3">
        <f t="shared" si="36"/>
        <v>88</v>
      </c>
      <c r="E79" s="3">
        <f>SUMIF(MORTALIDAD!$B$6:$B$200,RESUMEN!C79,MORTALIDAD!$F$6:$F$200)</f>
        <v>0</v>
      </c>
      <c r="F79" s="17">
        <f t="shared" si="37"/>
        <v>-740</v>
      </c>
      <c r="G79" s="3">
        <f>SUMIF(MORTALIDAD!$B$6:$B$200,RESUMEN!C79,MORTALIDAD!$G$6:$G$200)</f>
        <v>0</v>
      </c>
      <c r="H79" s="3">
        <f>SUMIF(TRASLADOS!$B$6:$B$200,C79,TRASLADOS!$E$6:$E$200)</f>
        <v>0</v>
      </c>
      <c r="I79" s="3">
        <f>SUMIF(TRASLADOS!$B$6:$B$200,C79,TRASLADOS!$F$6:$F$200)</f>
        <v>0</v>
      </c>
      <c r="J79" s="3">
        <f>SUMIF(VENTAS!$B$6:$B$200,RESUMEN!C79,VENTAS!$F$6:$F$200)</f>
        <v>0</v>
      </c>
      <c r="K79" s="3">
        <f>SUMIF(VENTAS!$B$6:$B$200,RESUMEN!C79,VENTAS!$G$6:$G$200)</f>
        <v>0</v>
      </c>
      <c r="L79" s="97">
        <f t="shared" si="9"/>
        <v>1460</v>
      </c>
      <c r="M79" s="96"/>
      <c r="N79" s="99">
        <f t="shared" si="1"/>
        <v>13</v>
      </c>
      <c r="O79" s="11">
        <f t="shared" si="38"/>
        <v>43329</v>
      </c>
      <c r="P79" s="3">
        <f t="shared" si="38"/>
        <v>87</v>
      </c>
      <c r="Q79" s="3">
        <f>SUMIF(MORTALIDAD!$J:$J,RESUMEN!O79,MORTALIDAD!$N:$N)</f>
        <v>0</v>
      </c>
      <c r="R79" s="19">
        <f t="shared" si="11"/>
        <v>-680</v>
      </c>
      <c r="S79" s="3">
        <f>SUMIF(MORTALIDAD!$J:$J,RESUMEN!O79,MORTALIDAD!$O:$O)</f>
        <v>0</v>
      </c>
      <c r="T79" s="3">
        <f>SUMIF(TRASLADOS!$K:$K,RESUMEN!O79,TRASLADOS!$N:$N)</f>
        <v>0</v>
      </c>
      <c r="U79" s="3">
        <f>SUMIF(TRASLADOS!$K:$K,RESUMEN!O79,TRASLADOS!$O:$O)</f>
        <v>0</v>
      </c>
      <c r="V79" s="3">
        <f>SUMIF(VENTAS!$J:$J,RESUMEN!O79,VENTAS!$N:$N)</f>
        <v>0</v>
      </c>
      <c r="W79" s="3">
        <f>SUMIF(VENTAS!$J:$J,RESUMEN!O79,VENTAS!$O:$O)</f>
        <v>0</v>
      </c>
      <c r="X79" s="97">
        <f t="shared" si="12"/>
        <v>1520</v>
      </c>
      <c r="Y79" s="96"/>
      <c r="Z79" s="99">
        <f t="shared" si="2"/>
        <v>13</v>
      </c>
      <c r="AA79" s="11">
        <f t="shared" si="39"/>
        <v>43333</v>
      </c>
      <c r="AB79" s="3">
        <f t="shared" si="39"/>
        <v>86</v>
      </c>
      <c r="AC79" s="3">
        <f>SUMIF(MORTALIDAD!$R:$R,RESUMEN!AA79,MORTALIDAD!$V:$V)</f>
        <v>0</v>
      </c>
      <c r="AD79" s="19">
        <f t="shared" si="14"/>
        <v>-476</v>
      </c>
      <c r="AE79" s="3">
        <f>SUMIF(MORTALIDAD!$R:$R,RESUMEN!AA79,MORTALIDAD!$W:$W)</f>
        <v>0</v>
      </c>
      <c r="AF79" s="3">
        <f>SUMIF(TRASLADOS!$T:$T,RESUMEN!AA79,TRASLADOS!$W:$W)</f>
        <v>0</v>
      </c>
      <c r="AG79" s="3">
        <f>SUMIF(TRASLADOS!$T:$T,RESUMEN!AA79,TRASLADOS!$X:$X)</f>
        <v>0</v>
      </c>
      <c r="AH79" s="3">
        <f>SUMIF(VENTAS!$R:$R,RESUMEN!AA79,VENTAS!$V:$V)</f>
        <v>0</v>
      </c>
      <c r="AI79" s="3">
        <f>SUMIF(VENTAS!$R:$R,RESUMEN!AA79,VENTAS!$W:$W)</f>
        <v>0</v>
      </c>
      <c r="AJ79" s="97">
        <f t="shared" si="15"/>
        <v>1724</v>
      </c>
      <c r="AK79" s="96"/>
      <c r="AL79" s="99">
        <f t="shared" si="3"/>
        <v>13</v>
      </c>
      <c r="AM79" s="11">
        <f t="shared" si="40"/>
        <v>43340</v>
      </c>
      <c r="AN79" s="3">
        <f t="shared" si="40"/>
        <v>86</v>
      </c>
      <c r="AO79" s="3">
        <f>SUMIF(MORTALIDAD!$Z:$Z,RESUMEN!AM79,MORTALIDAD!$AD:$AD)</f>
        <v>0</v>
      </c>
      <c r="AP79" s="19">
        <f t="shared" si="17"/>
        <v>-124</v>
      </c>
      <c r="AQ79" s="3">
        <f>SUMIF(MORTALIDAD!$Z:$Z,RESUMEN!AM79,MORTALIDAD!$AE:$AE)</f>
        <v>0</v>
      </c>
      <c r="AR79" s="3">
        <f>SUMIF(TRASLADOS!$AC:$AC,RESUMEN!AM79,TRASLADOS!$AF:$AF)</f>
        <v>0</v>
      </c>
      <c r="AS79" s="3">
        <f>SUMIF(TRASLADOS!$AC:$AC,RESUMEN!AM79,TRASLADOS!$AG:$AG)</f>
        <v>0</v>
      </c>
      <c r="AT79" s="3">
        <f>SUMIF(VENTAS!$Z:$Z,RESUMEN!AM79,VENTAS!$AD:$AD)</f>
        <v>0</v>
      </c>
      <c r="AU79" s="3">
        <f>SUMIF(VENTAS!$Z:$Z,RESUMEN!AM79,VENTAS!$AE:$AE)</f>
        <v>0</v>
      </c>
      <c r="AV79" s="97">
        <f t="shared" si="18"/>
        <v>2076</v>
      </c>
      <c r="AW79" s="96"/>
      <c r="AX79" s="99">
        <f t="shared" si="4"/>
        <v>13</v>
      </c>
      <c r="AY79" s="11">
        <f t="shared" si="41"/>
        <v>43347</v>
      </c>
      <c r="AZ79" s="3">
        <f t="shared" si="41"/>
        <v>86</v>
      </c>
      <c r="BA79" s="3">
        <f>SUMIF(MORTALIDAD!$AH:$AH,RESUMEN!AY79,MORTALIDAD!$AL:$AL)</f>
        <v>0</v>
      </c>
      <c r="BB79" s="19">
        <f t="shared" si="20"/>
        <v>-119</v>
      </c>
      <c r="BC79" s="3">
        <f>SUMIF(MORTALIDAD!$AH:$AH,RESUMEN!AY79,MORTALIDAD!$AM:$AM)</f>
        <v>0</v>
      </c>
      <c r="BD79" s="3">
        <f>SUMIF(TRASLADOS!$AL:$AL,RESUMEN!AY79,TRASLADOS!$AO:$AO)</f>
        <v>0</v>
      </c>
      <c r="BE79" s="3">
        <f>SUMIF(TRASLADOS!$AL:$AL,RESUMEN!AY79,TRASLADOS!$AP:$AP)</f>
        <v>0</v>
      </c>
      <c r="BF79" s="3">
        <f>SUMIF(VENTAS!$AH:$AH,RESUMEN!AY79,VENTAS!$AL:$AL)</f>
        <v>0</v>
      </c>
      <c r="BG79" s="3">
        <f>SUMIF(VENTAS!$AH:$AH,RESUMEN!AY79,VENTAS!$AM:$AM)</f>
        <v>0</v>
      </c>
      <c r="BH79" s="97">
        <f t="shared" si="21"/>
        <v>2081</v>
      </c>
      <c r="BI79" s="96"/>
      <c r="BJ79" s="99">
        <f t="shared" si="5"/>
        <v>13</v>
      </c>
      <c r="BK79" s="11">
        <f t="shared" si="42"/>
        <v>43356</v>
      </c>
      <c r="BL79" s="3">
        <f t="shared" si="42"/>
        <v>89</v>
      </c>
      <c r="BM79" s="3">
        <f>SUMIF(MORTALIDAD!$AP:$AP,RESUMEN!BK79,MORTALIDAD!$AT:$AT)</f>
        <v>0</v>
      </c>
      <c r="BN79" s="19">
        <f t="shared" si="23"/>
        <v>-73</v>
      </c>
      <c r="BO79" s="3">
        <f>SUMIF(MORTALIDAD!$AP$6:$AP$200,RESUMEN!BK79,MORTALIDAD!$AU$6:$AU$200)</f>
        <v>0</v>
      </c>
      <c r="BP79" s="3">
        <f>SUMIF(TRASLADOS!$AU:$AU,RESUMEN!BK79,TRASLADOS!$AX:$AX)</f>
        <v>0</v>
      </c>
      <c r="BQ79" s="3">
        <f>SUMIF(TRASLADOS!$AU:$AU,RESUMEN!BK79,TRASLADOS!$AY:$AY)</f>
        <v>0</v>
      </c>
      <c r="BR79" s="3">
        <f>SUMIF(VENTAS!$AP:$AP,RESUMEN!BK79,VENTAS!$AT:$AT)</f>
        <v>0</v>
      </c>
      <c r="BS79" s="3">
        <f>SUMIF(VENTAS!$AP:$AP,RESUMEN!BK79,VENTAS!$AU:$AU)</f>
        <v>0</v>
      </c>
      <c r="BT79" s="36">
        <f t="shared" si="24"/>
        <v>2241</v>
      </c>
    </row>
    <row r="80" spans="2:72" x14ac:dyDescent="0.2">
      <c r="B80" s="3">
        <f t="shared" ref="B80:B143" si="43">WEEKNUM(C80-$D$7)</f>
        <v>13</v>
      </c>
      <c r="C80" s="11">
        <f t="shared" si="35"/>
        <v>43327</v>
      </c>
      <c r="D80" s="3">
        <f t="shared" si="36"/>
        <v>89</v>
      </c>
      <c r="E80" s="3">
        <f>SUMIF(MORTALIDAD!$B$6:$B$200,RESUMEN!C80,MORTALIDAD!$F$6:$F$200)</f>
        <v>0</v>
      </c>
      <c r="F80" s="17">
        <f t="shared" si="37"/>
        <v>-740</v>
      </c>
      <c r="G80" s="3">
        <f>SUMIF(MORTALIDAD!$B$6:$B$200,RESUMEN!C80,MORTALIDAD!$G$6:$G$200)</f>
        <v>0</v>
      </c>
      <c r="H80" s="3">
        <f>SUMIF(TRASLADOS!$B$6:$B$200,C80,TRASLADOS!$E$6:$E$200)</f>
        <v>0</v>
      </c>
      <c r="I80" s="3">
        <f>SUMIF(TRASLADOS!$B$6:$B$200,C80,TRASLADOS!$F$6:$F$200)</f>
        <v>0</v>
      </c>
      <c r="J80" s="3">
        <f>SUMIF(VENTAS!$B$6:$B$200,RESUMEN!C80,VENTAS!$F$6:$F$200)</f>
        <v>0</v>
      </c>
      <c r="K80" s="3">
        <f>SUMIF(VENTAS!$B$6:$B$200,RESUMEN!C80,VENTAS!$G$6:$G$200)</f>
        <v>0</v>
      </c>
      <c r="L80" s="97">
        <f t="shared" si="9"/>
        <v>1460</v>
      </c>
      <c r="M80" s="96"/>
      <c r="N80" s="99">
        <f t="shared" ref="N80:N143" si="44">WEEKNUM(O80-$P$7)</f>
        <v>13</v>
      </c>
      <c r="O80" s="11">
        <f t="shared" si="38"/>
        <v>43330</v>
      </c>
      <c r="P80" s="3">
        <f t="shared" si="38"/>
        <v>88</v>
      </c>
      <c r="Q80" s="3">
        <f>SUMIF(MORTALIDAD!$J:$J,RESUMEN!O80,MORTALIDAD!$N:$N)</f>
        <v>0</v>
      </c>
      <c r="R80" s="19">
        <f t="shared" si="11"/>
        <v>-680</v>
      </c>
      <c r="S80" s="3">
        <f>SUMIF(MORTALIDAD!$J:$J,RESUMEN!O80,MORTALIDAD!$O:$O)</f>
        <v>0</v>
      </c>
      <c r="T80" s="3">
        <f>SUMIF(TRASLADOS!$K:$K,RESUMEN!O80,TRASLADOS!$N:$N)</f>
        <v>0</v>
      </c>
      <c r="U80" s="3">
        <f>SUMIF(TRASLADOS!$K:$K,RESUMEN!O80,TRASLADOS!$O:$O)</f>
        <v>0</v>
      </c>
      <c r="V80" s="3">
        <f>SUMIF(VENTAS!$J:$J,RESUMEN!O80,VENTAS!$N:$N)</f>
        <v>0</v>
      </c>
      <c r="W80" s="3">
        <f>SUMIF(VENTAS!$J:$J,RESUMEN!O80,VENTAS!$O:$O)</f>
        <v>0</v>
      </c>
      <c r="X80" s="97">
        <f t="shared" si="12"/>
        <v>1520</v>
      </c>
      <c r="Y80" s="96"/>
      <c r="Z80" s="99">
        <f t="shared" ref="Z80:Z143" si="45">WEEKNUM(AA80-$AB$7)</f>
        <v>13</v>
      </c>
      <c r="AA80" s="11">
        <f t="shared" si="39"/>
        <v>43334</v>
      </c>
      <c r="AB80" s="3">
        <f t="shared" si="39"/>
        <v>87</v>
      </c>
      <c r="AC80" s="3">
        <f>SUMIF(MORTALIDAD!$R:$R,RESUMEN!AA80,MORTALIDAD!$V:$V)</f>
        <v>0</v>
      </c>
      <c r="AD80" s="19">
        <f t="shared" si="14"/>
        <v>-476</v>
      </c>
      <c r="AE80" s="3">
        <f>SUMIF(MORTALIDAD!$R:$R,RESUMEN!AA80,MORTALIDAD!$W:$W)</f>
        <v>0</v>
      </c>
      <c r="AF80" s="3">
        <f>SUMIF(TRASLADOS!$T:$T,RESUMEN!AA80,TRASLADOS!$W:$W)</f>
        <v>0</v>
      </c>
      <c r="AG80" s="3">
        <f>SUMIF(TRASLADOS!$T:$T,RESUMEN!AA80,TRASLADOS!$X:$X)</f>
        <v>0</v>
      </c>
      <c r="AH80" s="3">
        <f>SUMIF(VENTAS!$R:$R,RESUMEN!AA80,VENTAS!$V:$V)</f>
        <v>0</v>
      </c>
      <c r="AI80" s="3">
        <f>SUMIF(VENTAS!$R:$R,RESUMEN!AA80,VENTAS!$W:$W)</f>
        <v>0</v>
      </c>
      <c r="AJ80" s="97">
        <f t="shared" si="15"/>
        <v>1724</v>
      </c>
      <c r="AK80" s="96"/>
      <c r="AL80" s="99">
        <f t="shared" ref="AL80:AL143" si="46">WEEKNUM(AM80-$AN$7)</f>
        <v>13</v>
      </c>
      <c r="AM80" s="11">
        <f t="shared" si="40"/>
        <v>43341</v>
      </c>
      <c r="AN80" s="3">
        <f t="shared" si="40"/>
        <v>87</v>
      </c>
      <c r="AO80" s="3">
        <f>SUMIF(MORTALIDAD!$Z:$Z,RESUMEN!AM80,MORTALIDAD!$AD:$AD)</f>
        <v>0</v>
      </c>
      <c r="AP80" s="19">
        <f t="shared" si="17"/>
        <v>-124</v>
      </c>
      <c r="AQ80" s="3">
        <f>SUMIF(MORTALIDAD!$Z:$Z,RESUMEN!AM80,MORTALIDAD!$AE:$AE)</f>
        <v>0</v>
      </c>
      <c r="AR80" s="3">
        <f>SUMIF(TRASLADOS!$AC:$AC,RESUMEN!AM80,TRASLADOS!$AF:$AF)</f>
        <v>0</v>
      </c>
      <c r="AS80" s="3">
        <f>SUMIF(TRASLADOS!$AC:$AC,RESUMEN!AM80,TRASLADOS!$AG:$AG)</f>
        <v>0</v>
      </c>
      <c r="AT80" s="3">
        <f>SUMIF(VENTAS!$Z:$Z,RESUMEN!AM80,VENTAS!$AD:$AD)</f>
        <v>0</v>
      </c>
      <c r="AU80" s="3">
        <f>SUMIF(VENTAS!$Z:$Z,RESUMEN!AM80,VENTAS!$AE:$AE)</f>
        <v>0</v>
      </c>
      <c r="AV80" s="97">
        <f t="shared" si="18"/>
        <v>2076</v>
      </c>
      <c r="AW80" s="96"/>
      <c r="AX80" s="99">
        <f t="shared" ref="AX80:AX143" si="47">WEEKNUM(AY80-$AZ$7)</f>
        <v>13</v>
      </c>
      <c r="AY80" s="11">
        <f t="shared" si="41"/>
        <v>43348</v>
      </c>
      <c r="AZ80" s="3">
        <f t="shared" si="41"/>
        <v>87</v>
      </c>
      <c r="BA80" s="3">
        <f>SUMIF(MORTALIDAD!$AH:$AH,RESUMEN!AY80,MORTALIDAD!$AL:$AL)</f>
        <v>0</v>
      </c>
      <c r="BB80" s="19">
        <f t="shared" si="20"/>
        <v>-119</v>
      </c>
      <c r="BC80" s="3">
        <f>SUMIF(MORTALIDAD!$AH:$AH,RESUMEN!AY80,MORTALIDAD!$AM:$AM)</f>
        <v>0</v>
      </c>
      <c r="BD80" s="3">
        <f>SUMIF(TRASLADOS!$AL:$AL,RESUMEN!AY80,TRASLADOS!$AO:$AO)</f>
        <v>0</v>
      </c>
      <c r="BE80" s="3">
        <f>SUMIF(TRASLADOS!$AL:$AL,RESUMEN!AY80,TRASLADOS!$AP:$AP)</f>
        <v>0</v>
      </c>
      <c r="BF80" s="3">
        <f>SUMIF(VENTAS!$AH:$AH,RESUMEN!AY80,VENTAS!$AL:$AL)</f>
        <v>0</v>
      </c>
      <c r="BG80" s="3">
        <f>SUMIF(VENTAS!$AH:$AH,RESUMEN!AY80,VENTAS!$AM:$AM)</f>
        <v>0</v>
      </c>
      <c r="BH80" s="97">
        <f t="shared" si="21"/>
        <v>2081</v>
      </c>
      <c r="BI80" s="96"/>
      <c r="BJ80" s="99">
        <f t="shared" ref="BJ80:BJ143" si="48">WEEKNUM(BK80-$BL$7)</f>
        <v>13</v>
      </c>
      <c r="BK80" s="11">
        <f t="shared" si="42"/>
        <v>43357</v>
      </c>
      <c r="BL80" s="3">
        <f t="shared" si="42"/>
        <v>90</v>
      </c>
      <c r="BM80" s="3">
        <f>SUMIF(MORTALIDAD!$AP:$AP,RESUMEN!BK80,MORTALIDAD!$AT:$AT)</f>
        <v>0</v>
      </c>
      <c r="BN80" s="19">
        <f t="shared" si="23"/>
        <v>-73</v>
      </c>
      <c r="BO80" s="3">
        <f>SUMIF(MORTALIDAD!$AP$6:$AP$200,RESUMEN!BK80,MORTALIDAD!$AU$6:$AU$200)</f>
        <v>0</v>
      </c>
      <c r="BP80" s="3">
        <f>SUMIF(TRASLADOS!$AU:$AU,RESUMEN!BK80,TRASLADOS!$AX:$AX)</f>
        <v>0</v>
      </c>
      <c r="BQ80" s="3">
        <f>SUMIF(TRASLADOS!$AU:$AU,RESUMEN!BK80,TRASLADOS!$AY:$AY)</f>
        <v>0</v>
      </c>
      <c r="BR80" s="3">
        <f>SUMIF(VENTAS!$AP:$AP,RESUMEN!BK80,VENTAS!$AT:$AT)</f>
        <v>0</v>
      </c>
      <c r="BS80" s="3">
        <f>SUMIF(VENTAS!$AP:$AP,RESUMEN!BK80,VENTAS!$AU:$AU)</f>
        <v>0</v>
      </c>
      <c r="BT80" s="36">
        <f t="shared" si="24"/>
        <v>2241</v>
      </c>
    </row>
    <row r="81" spans="2:72" x14ac:dyDescent="0.2">
      <c r="B81" s="3">
        <f t="shared" si="43"/>
        <v>13</v>
      </c>
      <c r="C81" s="11">
        <f t="shared" si="35"/>
        <v>43328</v>
      </c>
      <c r="D81" s="3">
        <f t="shared" si="36"/>
        <v>90</v>
      </c>
      <c r="E81" s="3">
        <f>SUMIF(MORTALIDAD!$B$6:$B$200,RESUMEN!C81,MORTALIDAD!$F$6:$F$200)</f>
        <v>0</v>
      </c>
      <c r="F81" s="17">
        <f t="shared" si="37"/>
        <v>-740</v>
      </c>
      <c r="G81" s="3">
        <f>SUMIF(MORTALIDAD!$B$6:$B$200,RESUMEN!C81,MORTALIDAD!$G$6:$G$200)</f>
        <v>0</v>
      </c>
      <c r="H81" s="3">
        <f>SUMIF(TRASLADOS!$B$6:$B$200,C81,TRASLADOS!$E$6:$E$200)</f>
        <v>0</v>
      </c>
      <c r="I81" s="3">
        <f>SUMIF(TRASLADOS!$B$6:$B$200,C81,TRASLADOS!$F$6:$F$200)</f>
        <v>0</v>
      </c>
      <c r="J81" s="3">
        <f>SUMIF(VENTAS!$B$6:$B$200,RESUMEN!C81,VENTAS!$F$6:$F$200)</f>
        <v>0</v>
      </c>
      <c r="K81" s="3">
        <f>SUMIF(VENTAS!$B$6:$B$200,RESUMEN!C81,VENTAS!$G$6:$G$200)</f>
        <v>0</v>
      </c>
      <c r="L81" s="97">
        <f t="shared" ref="L81:L144" si="49">L80+E81+H81+I81+J81</f>
        <v>1460</v>
      </c>
      <c r="M81" s="96"/>
      <c r="N81" s="99">
        <f t="shared" si="44"/>
        <v>13</v>
      </c>
      <c r="O81" s="11">
        <f t="shared" ref="O81:P96" si="50">O80+1</f>
        <v>43331</v>
      </c>
      <c r="P81" s="3">
        <f t="shared" si="50"/>
        <v>89</v>
      </c>
      <c r="Q81" s="3">
        <f>SUMIF(MORTALIDAD!$J:$J,RESUMEN!O81,MORTALIDAD!$N:$N)</f>
        <v>0</v>
      </c>
      <c r="R81" s="19">
        <f t="shared" ref="R81:R144" si="51">R80+Q81</f>
        <v>-680</v>
      </c>
      <c r="S81" s="3">
        <f>SUMIF(MORTALIDAD!$J:$J,RESUMEN!O81,MORTALIDAD!$O:$O)</f>
        <v>0</v>
      </c>
      <c r="T81" s="3">
        <f>SUMIF(TRASLADOS!$K:$K,RESUMEN!O81,TRASLADOS!$N:$N)</f>
        <v>0</v>
      </c>
      <c r="U81" s="3">
        <f>SUMIF(TRASLADOS!$K:$K,RESUMEN!O81,TRASLADOS!$O:$O)</f>
        <v>0</v>
      </c>
      <c r="V81" s="3">
        <f>SUMIF(VENTAS!$J:$J,RESUMEN!O81,VENTAS!$N:$N)</f>
        <v>0</v>
      </c>
      <c r="W81" s="3">
        <f>SUMIF(VENTAS!$J:$J,RESUMEN!O81,VENTAS!$O:$O)</f>
        <v>0</v>
      </c>
      <c r="X81" s="97">
        <f t="shared" ref="X81:X144" si="52">X80+Q81+T81+U81+V81</f>
        <v>1520</v>
      </c>
      <c r="Y81" s="96"/>
      <c r="Z81" s="99">
        <f t="shared" si="45"/>
        <v>13</v>
      </c>
      <c r="AA81" s="11">
        <f t="shared" ref="AA81:AB96" si="53">AA80+1</f>
        <v>43335</v>
      </c>
      <c r="AB81" s="3">
        <f t="shared" si="53"/>
        <v>88</v>
      </c>
      <c r="AC81" s="3">
        <f>SUMIF(MORTALIDAD!$R:$R,RESUMEN!AA81,MORTALIDAD!$V:$V)</f>
        <v>0</v>
      </c>
      <c r="AD81" s="19">
        <f t="shared" ref="AD81:AD144" si="54">AD80+AC81</f>
        <v>-476</v>
      </c>
      <c r="AE81" s="3">
        <f>SUMIF(MORTALIDAD!$R:$R,RESUMEN!AA81,MORTALIDAD!$W:$W)</f>
        <v>0</v>
      </c>
      <c r="AF81" s="3">
        <f>SUMIF(TRASLADOS!$T:$T,RESUMEN!AA81,TRASLADOS!$W:$W)</f>
        <v>0</v>
      </c>
      <c r="AG81" s="3">
        <f>SUMIF(TRASLADOS!$T:$T,RESUMEN!AA81,TRASLADOS!$X:$X)</f>
        <v>0</v>
      </c>
      <c r="AH81" s="3">
        <f>SUMIF(VENTAS!$R:$R,RESUMEN!AA81,VENTAS!$V:$V)</f>
        <v>0</v>
      </c>
      <c r="AI81" s="3">
        <f>SUMIF(VENTAS!$R:$R,RESUMEN!AA81,VENTAS!$W:$W)</f>
        <v>0</v>
      </c>
      <c r="AJ81" s="97">
        <f t="shared" ref="AJ81:AJ144" si="55">AJ80+AC81+AF81+AG81+AH81</f>
        <v>1724</v>
      </c>
      <c r="AK81" s="96"/>
      <c r="AL81" s="99">
        <f t="shared" si="46"/>
        <v>13</v>
      </c>
      <c r="AM81" s="11">
        <f t="shared" ref="AM81:AN96" si="56">AM80+1</f>
        <v>43342</v>
      </c>
      <c r="AN81" s="3">
        <f t="shared" si="56"/>
        <v>88</v>
      </c>
      <c r="AO81" s="3">
        <f>SUMIF(MORTALIDAD!$Z:$Z,RESUMEN!AM81,MORTALIDAD!$AD:$AD)</f>
        <v>0</v>
      </c>
      <c r="AP81" s="19">
        <f t="shared" ref="AP81:AP144" si="57">AP80+AO81</f>
        <v>-124</v>
      </c>
      <c r="AQ81" s="3">
        <f>SUMIF(MORTALIDAD!$Z:$Z,RESUMEN!AM81,MORTALIDAD!$AE:$AE)</f>
        <v>0</v>
      </c>
      <c r="AR81" s="3">
        <f>SUMIF(TRASLADOS!$AC:$AC,RESUMEN!AM81,TRASLADOS!$AF:$AF)</f>
        <v>0</v>
      </c>
      <c r="AS81" s="3">
        <f>SUMIF(TRASLADOS!$AC:$AC,RESUMEN!AM81,TRASLADOS!$AG:$AG)</f>
        <v>0</v>
      </c>
      <c r="AT81" s="3">
        <f>SUMIF(VENTAS!$Z:$Z,RESUMEN!AM81,VENTAS!$AD:$AD)</f>
        <v>0</v>
      </c>
      <c r="AU81" s="3">
        <f>SUMIF(VENTAS!$Z:$Z,RESUMEN!AM81,VENTAS!$AE:$AE)</f>
        <v>0</v>
      </c>
      <c r="AV81" s="97">
        <f t="shared" ref="AV81:AV144" si="58">AV80+AO81+AR81+AS81+AT81</f>
        <v>2076</v>
      </c>
      <c r="AW81" s="96"/>
      <c r="AX81" s="99">
        <f t="shared" si="47"/>
        <v>13</v>
      </c>
      <c r="AY81" s="11">
        <f t="shared" ref="AY81:AZ96" si="59">AY80+1</f>
        <v>43349</v>
      </c>
      <c r="AZ81" s="3">
        <f t="shared" si="59"/>
        <v>88</v>
      </c>
      <c r="BA81" s="3">
        <f>SUMIF(MORTALIDAD!$AH:$AH,RESUMEN!AY81,MORTALIDAD!$AL:$AL)</f>
        <v>0</v>
      </c>
      <c r="BB81" s="19">
        <f t="shared" ref="BB81:BB144" si="60">BB80+BA81</f>
        <v>-119</v>
      </c>
      <c r="BC81" s="3">
        <f>SUMIF(MORTALIDAD!$AH:$AH,RESUMEN!AY81,MORTALIDAD!$AM:$AM)</f>
        <v>0</v>
      </c>
      <c r="BD81" s="3">
        <f>SUMIF(TRASLADOS!$AL:$AL,RESUMEN!AY81,TRASLADOS!$AO:$AO)</f>
        <v>0</v>
      </c>
      <c r="BE81" s="3">
        <f>SUMIF(TRASLADOS!$AL:$AL,RESUMEN!AY81,TRASLADOS!$AP:$AP)</f>
        <v>0</v>
      </c>
      <c r="BF81" s="3">
        <f>SUMIF(VENTAS!$AH:$AH,RESUMEN!AY81,VENTAS!$AL:$AL)</f>
        <v>0</v>
      </c>
      <c r="BG81" s="3">
        <f>SUMIF(VENTAS!$AH:$AH,RESUMEN!AY81,VENTAS!$AM:$AM)</f>
        <v>0</v>
      </c>
      <c r="BH81" s="97">
        <f t="shared" ref="BH81:BH144" si="61">BH80+BA81+BD81+BE81+BF81</f>
        <v>2081</v>
      </c>
      <c r="BI81" s="96"/>
      <c r="BJ81" s="99">
        <f t="shared" si="48"/>
        <v>13</v>
      </c>
      <c r="BK81" s="11">
        <f t="shared" ref="BK81:BL96" si="62">BK80+1</f>
        <v>43358</v>
      </c>
      <c r="BL81" s="3">
        <f t="shared" si="62"/>
        <v>91</v>
      </c>
      <c r="BM81" s="3">
        <f>SUMIF(MORTALIDAD!$AP:$AP,RESUMEN!BK81,MORTALIDAD!$AT:$AT)</f>
        <v>0</v>
      </c>
      <c r="BN81" s="19">
        <f t="shared" ref="BN81:BN144" si="63">BN80+BM81</f>
        <v>-73</v>
      </c>
      <c r="BO81" s="3">
        <f>SUMIF(MORTALIDAD!$AP$6:$AP$200,RESUMEN!BK81,MORTALIDAD!$AU$6:$AU$200)</f>
        <v>0</v>
      </c>
      <c r="BP81" s="3">
        <f>SUMIF(TRASLADOS!$AU:$AU,RESUMEN!BK81,TRASLADOS!$AX:$AX)</f>
        <v>0</v>
      </c>
      <c r="BQ81" s="3">
        <f>SUMIF(TRASLADOS!$AU:$AU,RESUMEN!BK81,TRASLADOS!$AY:$AY)</f>
        <v>0</v>
      </c>
      <c r="BR81" s="3">
        <f>SUMIF(VENTAS!$AP:$AP,RESUMEN!BK81,VENTAS!$AT:$AT)</f>
        <v>0</v>
      </c>
      <c r="BS81" s="3">
        <f>SUMIF(VENTAS!$AP:$AP,RESUMEN!BK81,VENTAS!$AU:$AU)</f>
        <v>0</v>
      </c>
      <c r="BT81" s="36">
        <f t="shared" ref="BT81:BT144" si="64">BT80+BM81+BP81+BQ81+BR81</f>
        <v>2241</v>
      </c>
    </row>
    <row r="82" spans="2:72" x14ac:dyDescent="0.2">
      <c r="B82" s="3">
        <f t="shared" si="43"/>
        <v>13</v>
      </c>
      <c r="C82" s="11">
        <f t="shared" si="35"/>
        <v>43329</v>
      </c>
      <c r="D82" s="3">
        <f t="shared" si="36"/>
        <v>91</v>
      </c>
      <c r="E82" s="3">
        <f>SUMIF(MORTALIDAD!$B$6:$B$200,RESUMEN!C82,MORTALIDAD!$F$6:$F$200)</f>
        <v>0</v>
      </c>
      <c r="F82" s="17">
        <f t="shared" si="37"/>
        <v>-740</v>
      </c>
      <c r="G82" s="3">
        <f>SUMIF(MORTALIDAD!$B$6:$B$200,RESUMEN!C82,MORTALIDAD!$G$6:$G$200)</f>
        <v>0</v>
      </c>
      <c r="H82" s="3">
        <f>SUMIF(TRASLADOS!$B$6:$B$200,C82,TRASLADOS!$E$6:$E$200)</f>
        <v>0</v>
      </c>
      <c r="I82" s="3">
        <f>SUMIF(TRASLADOS!$B$6:$B$200,C82,TRASLADOS!$F$6:$F$200)</f>
        <v>0</v>
      </c>
      <c r="J82" s="3">
        <f>SUMIF(VENTAS!$B$6:$B$200,RESUMEN!C82,VENTAS!$F$6:$F$200)</f>
        <v>0</v>
      </c>
      <c r="K82" s="3">
        <f>SUMIF(VENTAS!$B$6:$B$200,RESUMEN!C82,VENTAS!$G$6:$G$200)</f>
        <v>0</v>
      </c>
      <c r="L82" s="97">
        <f t="shared" si="49"/>
        <v>1460</v>
      </c>
      <c r="M82" s="96"/>
      <c r="N82" s="99">
        <f t="shared" si="44"/>
        <v>13</v>
      </c>
      <c r="O82" s="11">
        <f t="shared" si="50"/>
        <v>43332</v>
      </c>
      <c r="P82" s="3">
        <f t="shared" si="50"/>
        <v>90</v>
      </c>
      <c r="Q82" s="3">
        <f>SUMIF(MORTALIDAD!$J:$J,RESUMEN!O82,MORTALIDAD!$N:$N)</f>
        <v>0</v>
      </c>
      <c r="R82" s="19">
        <f t="shared" si="51"/>
        <v>-680</v>
      </c>
      <c r="S82" s="3">
        <f>SUMIF(MORTALIDAD!$J:$J,RESUMEN!O82,MORTALIDAD!$O:$O)</f>
        <v>0</v>
      </c>
      <c r="T82" s="3">
        <f>SUMIF(TRASLADOS!$K:$K,RESUMEN!O82,TRASLADOS!$N:$N)</f>
        <v>0</v>
      </c>
      <c r="U82" s="3">
        <f>SUMIF(TRASLADOS!$K:$K,RESUMEN!O82,TRASLADOS!$O:$O)</f>
        <v>0</v>
      </c>
      <c r="V82" s="3">
        <f>SUMIF(VENTAS!$J:$J,RESUMEN!O82,VENTAS!$N:$N)</f>
        <v>0</v>
      </c>
      <c r="W82" s="3">
        <f>SUMIF(VENTAS!$J:$J,RESUMEN!O82,VENTAS!$O:$O)</f>
        <v>0</v>
      </c>
      <c r="X82" s="97">
        <f t="shared" si="52"/>
        <v>1520</v>
      </c>
      <c r="Y82" s="96"/>
      <c r="Z82" s="99">
        <f t="shared" si="45"/>
        <v>13</v>
      </c>
      <c r="AA82" s="11">
        <f t="shared" si="53"/>
        <v>43336</v>
      </c>
      <c r="AB82" s="3">
        <f t="shared" si="53"/>
        <v>89</v>
      </c>
      <c r="AC82" s="3">
        <f>SUMIF(MORTALIDAD!$R:$R,RESUMEN!AA82,MORTALIDAD!$V:$V)</f>
        <v>0</v>
      </c>
      <c r="AD82" s="19">
        <f t="shared" si="54"/>
        <v>-476</v>
      </c>
      <c r="AE82" s="3">
        <f>SUMIF(MORTALIDAD!$R:$R,RESUMEN!AA82,MORTALIDAD!$W:$W)</f>
        <v>0</v>
      </c>
      <c r="AF82" s="3">
        <f>SUMIF(TRASLADOS!$T:$T,RESUMEN!AA82,TRASLADOS!$W:$W)</f>
        <v>0</v>
      </c>
      <c r="AG82" s="3">
        <f>SUMIF(TRASLADOS!$T:$T,RESUMEN!AA82,TRASLADOS!$X:$X)</f>
        <v>0</v>
      </c>
      <c r="AH82" s="3">
        <f>SUMIF(VENTAS!$R:$R,RESUMEN!AA82,VENTAS!$V:$V)</f>
        <v>0</v>
      </c>
      <c r="AI82" s="3">
        <f>SUMIF(VENTAS!$R:$R,RESUMEN!AA82,VENTAS!$W:$W)</f>
        <v>0</v>
      </c>
      <c r="AJ82" s="97">
        <f t="shared" si="55"/>
        <v>1724</v>
      </c>
      <c r="AK82" s="96"/>
      <c r="AL82" s="99">
        <f t="shared" si="46"/>
        <v>13</v>
      </c>
      <c r="AM82" s="11">
        <f t="shared" si="56"/>
        <v>43343</v>
      </c>
      <c r="AN82" s="3">
        <f t="shared" si="56"/>
        <v>89</v>
      </c>
      <c r="AO82" s="3">
        <f>SUMIF(MORTALIDAD!$Z:$Z,RESUMEN!AM82,MORTALIDAD!$AD:$AD)</f>
        <v>0</v>
      </c>
      <c r="AP82" s="19">
        <f t="shared" si="57"/>
        <v>-124</v>
      </c>
      <c r="AQ82" s="3">
        <f>SUMIF(MORTALIDAD!$Z:$Z,RESUMEN!AM82,MORTALIDAD!$AE:$AE)</f>
        <v>0</v>
      </c>
      <c r="AR82" s="3">
        <f>SUMIF(TRASLADOS!$AC:$AC,RESUMEN!AM82,TRASLADOS!$AF:$AF)</f>
        <v>0</v>
      </c>
      <c r="AS82" s="3">
        <f>SUMIF(TRASLADOS!$AC:$AC,RESUMEN!AM82,TRASLADOS!$AG:$AG)</f>
        <v>0</v>
      </c>
      <c r="AT82" s="3">
        <f>SUMIF(VENTAS!$Z:$Z,RESUMEN!AM82,VENTAS!$AD:$AD)</f>
        <v>0</v>
      </c>
      <c r="AU82" s="3">
        <f>SUMIF(VENTAS!$Z:$Z,RESUMEN!AM82,VENTAS!$AE:$AE)</f>
        <v>0</v>
      </c>
      <c r="AV82" s="97">
        <f t="shared" si="58"/>
        <v>2076</v>
      </c>
      <c r="AW82" s="96"/>
      <c r="AX82" s="99">
        <f t="shared" si="47"/>
        <v>13</v>
      </c>
      <c r="AY82" s="11">
        <f t="shared" si="59"/>
        <v>43350</v>
      </c>
      <c r="AZ82" s="3">
        <f t="shared" si="59"/>
        <v>89</v>
      </c>
      <c r="BA82" s="3">
        <f>SUMIF(MORTALIDAD!$AH:$AH,RESUMEN!AY82,MORTALIDAD!$AL:$AL)</f>
        <v>0</v>
      </c>
      <c r="BB82" s="19">
        <f t="shared" si="60"/>
        <v>-119</v>
      </c>
      <c r="BC82" s="3">
        <f>SUMIF(MORTALIDAD!$AH:$AH,RESUMEN!AY82,MORTALIDAD!$AM:$AM)</f>
        <v>0</v>
      </c>
      <c r="BD82" s="3">
        <f>SUMIF(TRASLADOS!$AL:$AL,RESUMEN!AY82,TRASLADOS!$AO:$AO)</f>
        <v>0</v>
      </c>
      <c r="BE82" s="3">
        <f>SUMIF(TRASLADOS!$AL:$AL,RESUMEN!AY82,TRASLADOS!$AP:$AP)</f>
        <v>0</v>
      </c>
      <c r="BF82" s="3">
        <f>SUMIF(VENTAS!$AH:$AH,RESUMEN!AY82,VENTAS!$AL:$AL)</f>
        <v>0</v>
      </c>
      <c r="BG82" s="3">
        <f>SUMIF(VENTAS!$AH:$AH,RESUMEN!AY82,VENTAS!$AM:$AM)</f>
        <v>0</v>
      </c>
      <c r="BH82" s="97">
        <f t="shared" si="61"/>
        <v>2081</v>
      </c>
      <c r="BI82" s="96"/>
      <c r="BJ82" s="99">
        <f t="shared" si="48"/>
        <v>14</v>
      </c>
      <c r="BK82" s="11">
        <f t="shared" si="62"/>
        <v>43359</v>
      </c>
      <c r="BL82" s="3">
        <f t="shared" si="62"/>
        <v>92</v>
      </c>
      <c r="BM82" s="3">
        <f>SUMIF(MORTALIDAD!$AP:$AP,RESUMEN!BK82,MORTALIDAD!$AT:$AT)</f>
        <v>0</v>
      </c>
      <c r="BN82" s="19">
        <f t="shared" si="63"/>
        <v>-73</v>
      </c>
      <c r="BO82" s="3">
        <f>SUMIF(MORTALIDAD!$AP$6:$AP$200,RESUMEN!BK82,MORTALIDAD!$AU$6:$AU$200)</f>
        <v>0</v>
      </c>
      <c r="BP82" s="3">
        <f>SUMIF(TRASLADOS!$AU:$AU,RESUMEN!BK82,TRASLADOS!$AX:$AX)</f>
        <v>0</v>
      </c>
      <c r="BQ82" s="3">
        <f>SUMIF(TRASLADOS!$AU:$AU,RESUMEN!BK82,TRASLADOS!$AY:$AY)</f>
        <v>0</v>
      </c>
      <c r="BR82" s="3">
        <f>SUMIF(VENTAS!$AP:$AP,RESUMEN!BK82,VENTAS!$AT:$AT)</f>
        <v>0</v>
      </c>
      <c r="BS82" s="3">
        <f>SUMIF(VENTAS!$AP:$AP,RESUMEN!BK82,VENTAS!$AU:$AU)</f>
        <v>0</v>
      </c>
      <c r="BT82" s="36">
        <f t="shared" si="64"/>
        <v>2241</v>
      </c>
    </row>
    <row r="83" spans="2:72" x14ac:dyDescent="0.2">
      <c r="B83" s="3">
        <f t="shared" si="43"/>
        <v>14</v>
      </c>
      <c r="C83" s="11">
        <f t="shared" si="35"/>
        <v>43330</v>
      </c>
      <c r="D83" s="3">
        <f t="shared" si="36"/>
        <v>92</v>
      </c>
      <c r="E83" s="3">
        <f>SUMIF(MORTALIDAD!$B$6:$B$200,RESUMEN!C83,MORTALIDAD!$F$6:$F$200)</f>
        <v>0</v>
      </c>
      <c r="F83" s="17">
        <f t="shared" si="37"/>
        <v>-740</v>
      </c>
      <c r="G83" s="3">
        <f>SUMIF(MORTALIDAD!$B$6:$B$200,RESUMEN!C83,MORTALIDAD!$G$6:$G$200)</f>
        <v>0</v>
      </c>
      <c r="H83" s="3">
        <f>SUMIF(TRASLADOS!$B$6:$B$200,C83,TRASLADOS!$E$6:$E$200)</f>
        <v>0</v>
      </c>
      <c r="I83" s="3">
        <f>SUMIF(TRASLADOS!$B$6:$B$200,C83,TRASLADOS!$F$6:$F$200)</f>
        <v>0</v>
      </c>
      <c r="J83" s="3">
        <f>SUMIF(VENTAS!$B$6:$B$200,RESUMEN!C83,VENTAS!$F$6:$F$200)</f>
        <v>0</v>
      </c>
      <c r="K83" s="3">
        <f>SUMIF(VENTAS!$B$6:$B$200,RESUMEN!C83,VENTAS!$G$6:$G$200)</f>
        <v>0</v>
      </c>
      <c r="L83" s="97">
        <f t="shared" si="49"/>
        <v>1460</v>
      </c>
      <c r="M83" s="96"/>
      <c r="N83" s="99">
        <f t="shared" si="44"/>
        <v>13</v>
      </c>
      <c r="O83" s="11">
        <f t="shared" si="50"/>
        <v>43333</v>
      </c>
      <c r="P83" s="3">
        <f t="shared" si="50"/>
        <v>91</v>
      </c>
      <c r="Q83" s="3">
        <f>SUMIF(MORTALIDAD!$J:$J,RESUMEN!O83,MORTALIDAD!$N:$N)</f>
        <v>0</v>
      </c>
      <c r="R83" s="19">
        <f t="shared" si="51"/>
        <v>-680</v>
      </c>
      <c r="S83" s="3">
        <f>SUMIF(MORTALIDAD!$J:$J,RESUMEN!O83,MORTALIDAD!$O:$O)</f>
        <v>0</v>
      </c>
      <c r="T83" s="3">
        <f>SUMIF(TRASLADOS!$K:$K,RESUMEN!O83,TRASLADOS!$N:$N)</f>
        <v>0</v>
      </c>
      <c r="U83" s="3">
        <f>SUMIF(TRASLADOS!$K:$K,RESUMEN!O83,TRASLADOS!$O:$O)</f>
        <v>0</v>
      </c>
      <c r="V83" s="3">
        <f>SUMIF(VENTAS!$J:$J,RESUMEN!O83,VENTAS!$N:$N)</f>
        <v>0</v>
      </c>
      <c r="W83" s="3">
        <f>SUMIF(VENTAS!$J:$J,RESUMEN!O83,VENTAS!$O:$O)</f>
        <v>0</v>
      </c>
      <c r="X83" s="97">
        <f t="shared" si="52"/>
        <v>1520</v>
      </c>
      <c r="Y83" s="96"/>
      <c r="Z83" s="99">
        <f t="shared" si="45"/>
        <v>13</v>
      </c>
      <c r="AA83" s="11">
        <f t="shared" si="53"/>
        <v>43337</v>
      </c>
      <c r="AB83" s="3">
        <f t="shared" si="53"/>
        <v>90</v>
      </c>
      <c r="AC83" s="3">
        <f>SUMIF(MORTALIDAD!$R:$R,RESUMEN!AA83,MORTALIDAD!$V:$V)</f>
        <v>0</v>
      </c>
      <c r="AD83" s="19">
        <f t="shared" si="54"/>
        <v>-476</v>
      </c>
      <c r="AE83" s="3">
        <f>SUMIF(MORTALIDAD!$R:$R,RESUMEN!AA83,MORTALIDAD!$W:$W)</f>
        <v>0</v>
      </c>
      <c r="AF83" s="3">
        <f>SUMIF(TRASLADOS!$T:$T,RESUMEN!AA83,TRASLADOS!$W:$W)</f>
        <v>0</v>
      </c>
      <c r="AG83" s="3">
        <f>SUMIF(TRASLADOS!$T:$T,RESUMEN!AA83,TRASLADOS!$X:$X)</f>
        <v>0</v>
      </c>
      <c r="AH83" s="3">
        <f>SUMIF(VENTAS!$R:$R,RESUMEN!AA83,VENTAS!$V:$V)</f>
        <v>0</v>
      </c>
      <c r="AI83" s="3">
        <f>SUMIF(VENTAS!$R:$R,RESUMEN!AA83,VENTAS!$W:$W)</f>
        <v>0</v>
      </c>
      <c r="AJ83" s="97">
        <f t="shared" si="55"/>
        <v>1724</v>
      </c>
      <c r="AK83" s="96"/>
      <c r="AL83" s="99">
        <f t="shared" si="46"/>
        <v>13</v>
      </c>
      <c r="AM83" s="11">
        <f t="shared" si="56"/>
        <v>43344</v>
      </c>
      <c r="AN83" s="3">
        <f t="shared" si="56"/>
        <v>90</v>
      </c>
      <c r="AO83" s="3">
        <f>SUMIF(MORTALIDAD!$Z:$Z,RESUMEN!AM83,MORTALIDAD!$AD:$AD)</f>
        <v>0</v>
      </c>
      <c r="AP83" s="19">
        <f t="shared" si="57"/>
        <v>-124</v>
      </c>
      <c r="AQ83" s="3">
        <f>SUMIF(MORTALIDAD!$Z:$Z,RESUMEN!AM83,MORTALIDAD!$AE:$AE)</f>
        <v>0</v>
      </c>
      <c r="AR83" s="3">
        <f>SUMIF(TRASLADOS!$AC:$AC,RESUMEN!AM83,TRASLADOS!$AF:$AF)</f>
        <v>0</v>
      </c>
      <c r="AS83" s="3">
        <f>SUMIF(TRASLADOS!$AC:$AC,RESUMEN!AM83,TRASLADOS!$AG:$AG)</f>
        <v>0</v>
      </c>
      <c r="AT83" s="3">
        <f>SUMIF(VENTAS!$Z:$Z,RESUMEN!AM83,VENTAS!$AD:$AD)</f>
        <v>0</v>
      </c>
      <c r="AU83" s="3">
        <f>SUMIF(VENTAS!$Z:$Z,RESUMEN!AM83,VENTAS!$AE:$AE)</f>
        <v>0</v>
      </c>
      <c r="AV83" s="97">
        <f t="shared" si="58"/>
        <v>2076</v>
      </c>
      <c r="AW83" s="96"/>
      <c r="AX83" s="99">
        <f t="shared" si="47"/>
        <v>13</v>
      </c>
      <c r="AY83" s="11">
        <f t="shared" si="59"/>
        <v>43351</v>
      </c>
      <c r="AZ83" s="3">
        <f t="shared" si="59"/>
        <v>90</v>
      </c>
      <c r="BA83" s="3">
        <f>SUMIF(MORTALIDAD!$AH:$AH,RESUMEN!AY83,MORTALIDAD!$AL:$AL)</f>
        <v>0</v>
      </c>
      <c r="BB83" s="19">
        <f t="shared" si="60"/>
        <v>-119</v>
      </c>
      <c r="BC83" s="3">
        <f>SUMIF(MORTALIDAD!$AH:$AH,RESUMEN!AY83,MORTALIDAD!$AM:$AM)</f>
        <v>0</v>
      </c>
      <c r="BD83" s="3">
        <f>SUMIF(TRASLADOS!$AL:$AL,RESUMEN!AY83,TRASLADOS!$AO:$AO)</f>
        <v>0</v>
      </c>
      <c r="BE83" s="3">
        <f>SUMIF(TRASLADOS!$AL:$AL,RESUMEN!AY83,TRASLADOS!$AP:$AP)</f>
        <v>0</v>
      </c>
      <c r="BF83" s="3">
        <f>SUMIF(VENTAS!$AH:$AH,RESUMEN!AY83,VENTAS!$AL:$AL)</f>
        <v>0</v>
      </c>
      <c r="BG83" s="3">
        <f>SUMIF(VENTAS!$AH:$AH,RESUMEN!AY83,VENTAS!$AM:$AM)</f>
        <v>0</v>
      </c>
      <c r="BH83" s="97">
        <f t="shared" si="61"/>
        <v>2081</v>
      </c>
      <c r="BI83" s="96"/>
      <c r="BJ83" s="99">
        <f t="shared" si="48"/>
        <v>14</v>
      </c>
      <c r="BK83" s="11">
        <f t="shared" si="62"/>
        <v>43360</v>
      </c>
      <c r="BL83" s="3">
        <f t="shared" si="62"/>
        <v>93</v>
      </c>
      <c r="BM83" s="3">
        <f>SUMIF(MORTALIDAD!$AP:$AP,RESUMEN!BK83,MORTALIDAD!$AT:$AT)</f>
        <v>0</v>
      </c>
      <c r="BN83" s="19">
        <f t="shared" si="63"/>
        <v>-73</v>
      </c>
      <c r="BO83" s="3">
        <f>SUMIF(MORTALIDAD!$AP$6:$AP$200,RESUMEN!BK83,MORTALIDAD!$AU$6:$AU$200)</f>
        <v>0</v>
      </c>
      <c r="BP83" s="3">
        <f>SUMIF(TRASLADOS!$AU:$AU,RESUMEN!BK83,TRASLADOS!$AX:$AX)</f>
        <v>0</v>
      </c>
      <c r="BQ83" s="3">
        <f>SUMIF(TRASLADOS!$AU:$AU,RESUMEN!BK83,TRASLADOS!$AY:$AY)</f>
        <v>0</v>
      </c>
      <c r="BR83" s="3">
        <f>SUMIF(VENTAS!$AP:$AP,RESUMEN!BK83,VENTAS!$AT:$AT)</f>
        <v>0</v>
      </c>
      <c r="BS83" s="3">
        <f>SUMIF(VENTAS!$AP:$AP,RESUMEN!BK83,VENTAS!$AU:$AU)</f>
        <v>0</v>
      </c>
      <c r="BT83" s="36">
        <f t="shared" si="64"/>
        <v>2241</v>
      </c>
    </row>
    <row r="84" spans="2:72" x14ac:dyDescent="0.2">
      <c r="B84" s="3">
        <f t="shared" si="43"/>
        <v>14</v>
      </c>
      <c r="C84" s="11">
        <f t="shared" si="35"/>
        <v>43331</v>
      </c>
      <c r="D84" s="3">
        <f t="shared" si="36"/>
        <v>93</v>
      </c>
      <c r="E84" s="3">
        <f>SUMIF(MORTALIDAD!$B$6:$B$200,RESUMEN!C84,MORTALIDAD!$F$6:$F$200)</f>
        <v>0</v>
      </c>
      <c r="F84" s="17">
        <f t="shared" si="37"/>
        <v>-740</v>
      </c>
      <c r="G84" s="3">
        <f>SUMIF(MORTALIDAD!$B$6:$B$200,RESUMEN!C84,MORTALIDAD!$G$6:$G$200)</f>
        <v>0</v>
      </c>
      <c r="H84" s="3">
        <f>SUMIF(TRASLADOS!$B$6:$B$200,C84,TRASLADOS!$E$6:$E$200)</f>
        <v>0</v>
      </c>
      <c r="I84" s="3">
        <f>SUMIF(TRASLADOS!$B$6:$B$200,C84,TRASLADOS!$F$6:$F$200)</f>
        <v>0</v>
      </c>
      <c r="J84" s="3">
        <f>SUMIF(VENTAS!$B$6:$B$200,RESUMEN!C84,VENTAS!$F$6:$F$200)</f>
        <v>0</v>
      </c>
      <c r="K84" s="3">
        <f>SUMIF(VENTAS!$B$6:$B$200,RESUMEN!C84,VENTAS!$G$6:$G$200)</f>
        <v>0</v>
      </c>
      <c r="L84" s="97">
        <f t="shared" si="49"/>
        <v>1460</v>
      </c>
      <c r="M84" s="96"/>
      <c r="N84" s="99">
        <f t="shared" si="44"/>
        <v>14</v>
      </c>
      <c r="O84" s="11">
        <f t="shared" si="50"/>
        <v>43334</v>
      </c>
      <c r="P84" s="3">
        <f t="shared" si="50"/>
        <v>92</v>
      </c>
      <c r="Q84" s="3">
        <f>SUMIF(MORTALIDAD!$J:$J,RESUMEN!O84,MORTALIDAD!$N:$N)</f>
        <v>0</v>
      </c>
      <c r="R84" s="19">
        <f t="shared" si="51"/>
        <v>-680</v>
      </c>
      <c r="S84" s="3">
        <f>SUMIF(MORTALIDAD!$J:$J,RESUMEN!O84,MORTALIDAD!$O:$O)</f>
        <v>0</v>
      </c>
      <c r="T84" s="3">
        <f>SUMIF(TRASLADOS!$K:$K,RESUMEN!O84,TRASLADOS!$N:$N)</f>
        <v>0</v>
      </c>
      <c r="U84" s="3">
        <f>SUMIF(TRASLADOS!$K:$K,RESUMEN!O84,TRASLADOS!$O:$O)</f>
        <v>0</v>
      </c>
      <c r="V84" s="3">
        <f>SUMIF(VENTAS!$J:$J,RESUMEN!O84,VENTAS!$N:$N)</f>
        <v>0</v>
      </c>
      <c r="W84" s="3">
        <f>SUMIF(VENTAS!$J:$J,RESUMEN!O84,VENTAS!$O:$O)</f>
        <v>0</v>
      </c>
      <c r="X84" s="97">
        <f t="shared" si="52"/>
        <v>1520</v>
      </c>
      <c r="Y84" s="96"/>
      <c r="Z84" s="99">
        <f t="shared" si="45"/>
        <v>13</v>
      </c>
      <c r="AA84" s="11">
        <f t="shared" si="53"/>
        <v>43338</v>
      </c>
      <c r="AB84" s="3">
        <f t="shared" si="53"/>
        <v>91</v>
      </c>
      <c r="AC84" s="3">
        <f>SUMIF(MORTALIDAD!$R:$R,RESUMEN!AA84,MORTALIDAD!$V:$V)</f>
        <v>0</v>
      </c>
      <c r="AD84" s="19">
        <f t="shared" si="54"/>
        <v>-476</v>
      </c>
      <c r="AE84" s="3">
        <f>SUMIF(MORTALIDAD!$R:$R,RESUMEN!AA84,MORTALIDAD!$W:$W)</f>
        <v>0</v>
      </c>
      <c r="AF84" s="3">
        <f>SUMIF(TRASLADOS!$T:$T,RESUMEN!AA84,TRASLADOS!$W:$W)</f>
        <v>0</v>
      </c>
      <c r="AG84" s="3">
        <f>SUMIF(TRASLADOS!$T:$T,RESUMEN!AA84,TRASLADOS!$X:$X)</f>
        <v>0</v>
      </c>
      <c r="AH84" s="3">
        <f>SUMIF(VENTAS!$R:$R,RESUMEN!AA84,VENTAS!$V:$V)</f>
        <v>0</v>
      </c>
      <c r="AI84" s="3">
        <f>SUMIF(VENTAS!$R:$R,RESUMEN!AA84,VENTAS!$W:$W)</f>
        <v>0</v>
      </c>
      <c r="AJ84" s="97">
        <f t="shared" si="55"/>
        <v>1724</v>
      </c>
      <c r="AK84" s="96"/>
      <c r="AL84" s="99">
        <f t="shared" si="46"/>
        <v>13</v>
      </c>
      <c r="AM84" s="11">
        <f t="shared" si="56"/>
        <v>43345</v>
      </c>
      <c r="AN84" s="3">
        <f t="shared" si="56"/>
        <v>91</v>
      </c>
      <c r="AO84" s="3">
        <f>SUMIF(MORTALIDAD!$Z:$Z,RESUMEN!AM84,MORTALIDAD!$AD:$AD)</f>
        <v>0</v>
      </c>
      <c r="AP84" s="19">
        <f t="shared" si="57"/>
        <v>-124</v>
      </c>
      <c r="AQ84" s="3">
        <f>SUMIF(MORTALIDAD!$Z:$Z,RESUMEN!AM84,MORTALIDAD!$AE:$AE)</f>
        <v>0</v>
      </c>
      <c r="AR84" s="3">
        <f>SUMIF(TRASLADOS!$AC:$AC,RESUMEN!AM84,TRASLADOS!$AF:$AF)</f>
        <v>0</v>
      </c>
      <c r="AS84" s="3">
        <f>SUMIF(TRASLADOS!$AC:$AC,RESUMEN!AM84,TRASLADOS!$AG:$AG)</f>
        <v>0</v>
      </c>
      <c r="AT84" s="3">
        <f>SUMIF(VENTAS!$Z:$Z,RESUMEN!AM84,VENTAS!$AD:$AD)</f>
        <v>0</v>
      </c>
      <c r="AU84" s="3">
        <f>SUMIF(VENTAS!$Z:$Z,RESUMEN!AM84,VENTAS!$AE:$AE)</f>
        <v>0</v>
      </c>
      <c r="AV84" s="97">
        <f t="shared" si="58"/>
        <v>2076</v>
      </c>
      <c r="AW84" s="96"/>
      <c r="AX84" s="99">
        <f t="shared" si="47"/>
        <v>13</v>
      </c>
      <c r="AY84" s="11">
        <f t="shared" si="59"/>
        <v>43352</v>
      </c>
      <c r="AZ84" s="3">
        <f t="shared" si="59"/>
        <v>91</v>
      </c>
      <c r="BA84" s="3">
        <f>SUMIF(MORTALIDAD!$AH:$AH,RESUMEN!AY84,MORTALIDAD!$AL:$AL)</f>
        <v>0</v>
      </c>
      <c r="BB84" s="19">
        <f t="shared" si="60"/>
        <v>-119</v>
      </c>
      <c r="BC84" s="3">
        <f>SUMIF(MORTALIDAD!$AH:$AH,RESUMEN!AY84,MORTALIDAD!$AM:$AM)</f>
        <v>0</v>
      </c>
      <c r="BD84" s="3">
        <f>SUMIF(TRASLADOS!$AL:$AL,RESUMEN!AY84,TRASLADOS!$AO:$AO)</f>
        <v>0</v>
      </c>
      <c r="BE84" s="3">
        <f>SUMIF(TRASLADOS!$AL:$AL,RESUMEN!AY84,TRASLADOS!$AP:$AP)</f>
        <v>0</v>
      </c>
      <c r="BF84" s="3">
        <f>SUMIF(VENTAS!$AH:$AH,RESUMEN!AY84,VENTAS!$AL:$AL)</f>
        <v>0</v>
      </c>
      <c r="BG84" s="3">
        <f>SUMIF(VENTAS!$AH:$AH,RESUMEN!AY84,VENTAS!$AM:$AM)</f>
        <v>0</v>
      </c>
      <c r="BH84" s="97">
        <f t="shared" si="61"/>
        <v>2081</v>
      </c>
      <c r="BI84" s="96"/>
      <c r="BJ84" s="99">
        <f t="shared" si="48"/>
        <v>14</v>
      </c>
      <c r="BK84" s="11">
        <f t="shared" si="62"/>
        <v>43361</v>
      </c>
      <c r="BL84" s="3">
        <f t="shared" si="62"/>
        <v>94</v>
      </c>
      <c r="BM84" s="3">
        <f>SUMIF(MORTALIDAD!$AP:$AP,RESUMEN!BK84,MORTALIDAD!$AT:$AT)</f>
        <v>0</v>
      </c>
      <c r="BN84" s="19">
        <f t="shared" si="63"/>
        <v>-73</v>
      </c>
      <c r="BO84" s="3">
        <f>SUMIF(MORTALIDAD!$AP$6:$AP$200,RESUMEN!BK84,MORTALIDAD!$AU$6:$AU$200)</f>
        <v>0</v>
      </c>
      <c r="BP84" s="3">
        <f>SUMIF(TRASLADOS!$AU:$AU,RESUMEN!BK84,TRASLADOS!$AX:$AX)</f>
        <v>0</v>
      </c>
      <c r="BQ84" s="3">
        <f>SUMIF(TRASLADOS!$AU:$AU,RESUMEN!BK84,TRASLADOS!$AY:$AY)</f>
        <v>0</v>
      </c>
      <c r="BR84" s="3">
        <f>SUMIF(VENTAS!$AP:$AP,RESUMEN!BK84,VENTAS!$AT:$AT)</f>
        <v>0</v>
      </c>
      <c r="BS84" s="3">
        <f>SUMIF(VENTAS!$AP:$AP,RESUMEN!BK84,VENTAS!$AU:$AU)</f>
        <v>0</v>
      </c>
      <c r="BT84" s="36">
        <f t="shared" si="64"/>
        <v>2241</v>
      </c>
    </row>
    <row r="85" spans="2:72" x14ac:dyDescent="0.2">
      <c r="B85" s="3">
        <f t="shared" si="43"/>
        <v>14</v>
      </c>
      <c r="C85" s="11">
        <f t="shared" si="35"/>
        <v>43332</v>
      </c>
      <c r="D85" s="3">
        <f t="shared" si="36"/>
        <v>94</v>
      </c>
      <c r="E85" s="3">
        <f>SUMIF(MORTALIDAD!$B$6:$B$200,RESUMEN!C85,MORTALIDAD!$F$6:$F$200)</f>
        <v>0</v>
      </c>
      <c r="F85" s="17">
        <f t="shared" si="37"/>
        <v>-740</v>
      </c>
      <c r="G85" s="3">
        <f>SUMIF(MORTALIDAD!$B$6:$B$200,RESUMEN!C85,MORTALIDAD!$G$6:$G$200)</f>
        <v>0</v>
      </c>
      <c r="H85" s="3">
        <f>SUMIF(TRASLADOS!$B$6:$B$200,C85,TRASLADOS!$E$6:$E$200)</f>
        <v>0</v>
      </c>
      <c r="I85" s="3">
        <f>SUMIF(TRASLADOS!$B$6:$B$200,C85,TRASLADOS!$F$6:$F$200)</f>
        <v>0</v>
      </c>
      <c r="J85" s="3">
        <f>SUMIF(VENTAS!$B$6:$B$200,RESUMEN!C85,VENTAS!$F$6:$F$200)</f>
        <v>0</v>
      </c>
      <c r="K85" s="3">
        <f>SUMIF(VENTAS!$B$6:$B$200,RESUMEN!C85,VENTAS!$G$6:$G$200)</f>
        <v>0</v>
      </c>
      <c r="L85" s="97">
        <f t="shared" si="49"/>
        <v>1460</v>
      </c>
      <c r="M85" s="96"/>
      <c r="N85" s="99">
        <f t="shared" si="44"/>
        <v>14</v>
      </c>
      <c r="O85" s="11">
        <f t="shared" si="50"/>
        <v>43335</v>
      </c>
      <c r="P85" s="3">
        <f t="shared" si="50"/>
        <v>93</v>
      </c>
      <c r="Q85" s="3">
        <f>SUMIF(MORTALIDAD!$J:$J,RESUMEN!O85,MORTALIDAD!$N:$N)</f>
        <v>0</v>
      </c>
      <c r="R85" s="19">
        <f t="shared" si="51"/>
        <v>-680</v>
      </c>
      <c r="S85" s="3">
        <f>SUMIF(MORTALIDAD!$J:$J,RESUMEN!O85,MORTALIDAD!$O:$O)</f>
        <v>0</v>
      </c>
      <c r="T85" s="3">
        <f>SUMIF(TRASLADOS!$K:$K,RESUMEN!O85,TRASLADOS!$N:$N)</f>
        <v>0</v>
      </c>
      <c r="U85" s="3">
        <f>SUMIF(TRASLADOS!$K:$K,RESUMEN!O85,TRASLADOS!$O:$O)</f>
        <v>0</v>
      </c>
      <c r="V85" s="3">
        <f>SUMIF(VENTAS!$J:$J,RESUMEN!O85,VENTAS!$N:$N)</f>
        <v>0</v>
      </c>
      <c r="W85" s="3">
        <f>SUMIF(VENTAS!$J:$J,RESUMEN!O85,VENTAS!$O:$O)</f>
        <v>0</v>
      </c>
      <c r="X85" s="97">
        <f t="shared" si="52"/>
        <v>1520</v>
      </c>
      <c r="Y85" s="96"/>
      <c r="Z85" s="99">
        <f t="shared" si="45"/>
        <v>14</v>
      </c>
      <c r="AA85" s="11">
        <f t="shared" si="53"/>
        <v>43339</v>
      </c>
      <c r="AB85" s="3">
        <f t="shared" si="53"/>
        <v>92</v>
      </c>
      <c r="AC85" s="3">
        <f>SUMIF(MORTALIDAD!$R:$R,RESUMEN!AA85,MORTALIDAD!$V:$V)</f>
        <v>0</v>
      </c>
      <c r="AD85" s="19">
        <f t="shared" si="54"/>
        <v>-476</v>
      </c>
      <c r="AE85" s="3">
        <f>SUMIF(MORTALIDAD!$R:$R,RESUMEN!AA85,MORTALIDAD!$W:$W)</f>
        <v>0</v>
      </c>
      <c r="AF85" s="3">
        <f>SUMIF(TRASLADOS!$T:$T,RESUMEN!AA85,TRASLADOS!$W:$W)</f>
        <v>0</v>
      </c>
      <c r="AG85" s="3">
        <f>SUMIF(TRASLADOS!$T:$T,RESUMEN!AA85,TRASLADOS!$X:$X)</f>
        <v>0</v>
      </c>
      <c r="AH85" s="3">
        <f>SUMIF(VENTAS!$R:$R,RESUMEN!AA85,VENTAS!$V:$V)</f>
        <v>0</v>
      </c>
      <c r="AI85" s="3">
        <f>SUMIF(VENTAS!$R:$R,RESUMEN!AA85,VENTAS!$W:$W)</f>
        <v>0</v>
      </c>
      <c r="AJ85" s="97">
        <f t="shared" si="55"/>
        <v>1724</v>
      </c>
      <c r="AK85" s="96"/>
      <c r="AL85" s="99">
        <f t="shared" si="46"/>
        <v>14</v>
      </c>
      <c r="AM85" s="11">
        <f t="shared" si="56"/>
        <v>43346</v>
      </c>
      <c r="AN85" s="3">
        <f t="shared" si="56"/>
        <v>92</v>
      </c>
      <c r="AO85" s="3">
        <f>SUMIF(MORTALIDAD!$Z:$Z,RESUMEN!AM85,MORTALIDAD!$AD:$AD)</f>
        <v>0</v>
      </c>
      <c r="AP85" s="19">
        <f t="shared" si="57"/>
        <v>-124</v>
      </c>
      <c r="AQ85" s="3">
        <f>SUMIF(MORTALIDAD!$Z:$Z,RESUMEN!AM85,MORTALIDAD!$AE:$AE)</f>
        <v>0</v>
      </c>
      <c r="AR85" s="3">
        <f>SUMIF(TRASLADOS!$AC:$AC,RESUMEN!AM85,TRASLADOS!$AF:$AF)</f>
        <v>0</v>
      </c>
      <c r="AS85" s="3">
        <f>SUMIF(TRASLADOS!$AC:$AC,RESUMEN!AM85,TRASLADOS!$AG:$AG)</f>
        <v>0</v>
      </c>
      <c r="AT85" s="3">
        <f>SUMIF(VENTAS!$Z:$Z,RESUMEN!AM85,VENTAS!$AD:$AD)</f>
        <v>0</v>
      </c>
      <c r="AU85" s="3">
        <f>SUMIF(VENTAS!$Z:$Z,RESUMEN!AM85,VENTAS!$AE:$AE)</f>
        <v>0</v>
      </c>
      <c r="AV85" s="97">
        <f t="shared" si="58"/>
        <v>2076</v>
      </c>
      <c r="AW85" s="96"/>
      <c r="AX85" s="99">
        <f t="shared" si="47"/>
        <v>14</v>
      </c>
      <c r="AY85" s="11">
        <f t="shared" si="59"/>
        <v>43353</v>
      </c>
      <c r="AZ85" s="3">
        <f t="shared" si="59"/>
        <v>92</v>
      </c>
      <c r="BA85" s="3">
        <f>SUMIF(MORTALIDAD!$AH:$AH,RESUMEN!AY85,MORTALIDAD!$AL:$AL)</f>
        <v>0</v>
      </c>
      <c r="BB85" s="19">
        <f t="shared" si="60"/>
        <v>-119</v>
      </c>
      <c r="BC85" s="3">
        <f>SUMIF(MORTALIDAD!$AH:$AH,RESUMEN!AY85,MORTALIDAD!$AM:$AM)</f>
        <v>0</v>
      </c>
      <c r="BD85" s="3">
        <f>SUMIF(TRASLADOS!$AL:$AL,RESUMEN!AY85,TRASLADOS!$AO:$AO)</f>
        <v>0</v>
      </c>
      <c r="BE85" s="3">
        <f>SUMIF(TRASLADOS!$AL:$AL,RESUMEN!AY85,TRASLADOS!$AP:$AP)</f>
        <v>0</v>
      </c>
      <c r="BF85" s="3">
        <f>SUMIF(VENTAS!$AH:$AH,RESUMEN!AY85,VENTAS!$AL:$AL)</f>
        <v>0</v>
      </c>
      <c r="BG85" s="3">
        <f>SUMIF(VENTAS!$AH:$AH,RESUMEN!AY85,VENTAS!$AM:$AM)</f>
        <v>0</v>
      </c>
      <c r="BH85" s="97">
        <f t="shared" si="61"/>
        <v>2081</v>
      </c>
      <c r="BI85" s="96"/>
      <c r="BJ85" s="99">
        <f t="shared" si="48"/>
        <v>14</v>
      </c>
      <c r="BK85" s="11">
        <f t="shared" si="62"/>
        <v>43362</v>
      </c>
      <c r="BL85" s="3">
        <f t="shared" si="62"/>
        <v>95</v>
      </c>
      <c r="BM85" s="3">
        <f>SUMIF(MORTALIDAD!$AP:$AP,RESUMEN!BK85,MORTALIDAD!$AT:$AT)</f>
        <v>0</v>
      </c>
      <c r="BN85" s="19">
        <f t="shared" si="63"/>
        <v>-73</v>
      </c>
      <c r="BO85" s="3">
        <f>SUMIF(MORTALIDAD!$AP$6:$AP$200,RESUMEN!BK85,MORTALIDAD!$AU$6:$AU$200)</f>
        <v>0</v>
      </c>
      <c r="BP85" s="3">
        <f>SUMIF(TRASLADOS!$AU:$AU,RESUMEN!BK85,TRASLADOS!$AX:$AX)</f>
        <v>0</v>
      </c>
      <c r="BQ85" s="3">
        <f>SUMIF(TRASLADOS!$AU:$AU,RESUMEN!BK85,TRASLADOS!$AY:$AY)</f>
        <v>0</v>
      </c>
      <c r="BR85" s="3">
        <f>SUMIF(VENTAS!$AP:$AP,RESUMEN!BK85,VENTAS!$AT:$AT)</f>
        <v>0</v>
      </c>
      <c r="BS85" s="3">
        <f>SUMIF(VENTAS!$AP:$AP,RESUMEN!BK85,VENTAS!$AU:$AU)</f>
        <v>0</v>
      </c>
      <c r="BT85" s="36">
        <f t="shared" si="64"/>
        <v>2241</v>
      </c>
    </row>
    <row r="86" spans="2:72" x14ac:dyDescent="0.2">
      <c r="B86" s="3">
        <f t="shared" si="43"/>
        <v>14</v>
      </c>
      <c r="C86" s="11">
        <f t="shared" si="35"/>
        <v>43333</v>
      </c>
      <c r="D86" s="3">
        <f t="shared" si="36"/>
        <v>95</v>
      </c>
      <c r="E86" s="3">
        <f>SUMIF(MORTALIDAD!$B$6:$B$200,RESUMEN!C86,MORTALIDAD!$F$6:$F$200)</f>
        <v>0</v>
      </c>
      <c r="F86" s="17">
        <f t="shared" si="37"/>
        <v>-740</v>
      </c>
      <c r="G86" s="3">
        <f>SUMIF(MORTALIDAD!$B$6:$B$200,RESUMEN!C86,MORTALIDAD!$G$6:$G$200)</f>
        <v>0</v>
      </c>
      <c r="H86" s="3">
        <f>SUMIF(TRASLADOS!$B$6:$B$200,C86,TRASLADOS!$E$6:$E$200)</f>
        <v>0</v>
      </c>
      <c r="I86" s="3">
        <f>SUMIF(TRASLADOS!$B$6:$B$200,C86,TRASLADOS!$F$6:$F$200)</f>
        <v>0</v>
      </c>
      <c r="J86" s="3">
        <f>SUMIF(VENTAS!$B$6:$B$200,RESUMEN!C86,VENTAS!$F$6:$F$200)</f>
        <v>0</v>
      </c>
      <c r="K86" s="3">
        <f>SUMIF(VENTAS!$B$6:$B$200,RESUMEN!C86,VENTAS!$G$6:$G$200)</f>
        <v>0</v>
      </c>
      <c r="L86" s="97">
        <f t="shared" si="49"/>
        <v>1460</v>
      </c>
      <c r="M86" s="96"/>
      <c r="N86" s="99">
        <f t="shared" si="44"/>
        <v>14</v>
      </c>
      <c r="O86" s="11">
        <f t="shared" si="50"/>
        <v>43336</v>
      </c>
      <c r="P86" s="3">
        <f t="shared" si="50"/>
        <v>94</v>
      </c>
      <c r="Q86" s="3">
        <f>SUMIF(MORTALIDAD!$J:$J,RESUMEN!O86,MORTALIDAD!$N:$N)</f>
        <v>0</v>
      </c>
      <c r="R86" s="19">
        <f t="shared" si="51"/>
        <v>-680</v>
      </c>
      <c r="S86" s="3">
        <f>SUMIF(MORTALIDAD!$J:$J,RESUMEN!O86,MORTALIDAD!$O:$O)</f>
        <v>0</v>
      </c>
      <c r="T86" s="3">
        <f>SUMIF(TRASLADOS!$K:$K,RESUMEN!O86,TRASLADOS!$N:$N)</f>
        <v>0</v>
      </c>
      <c r="U86" s="3">
        <f>SUMIF(TRASLADOS!$K:$K,RESUMEN!O86,TRASLADOS!$O:$O)</f>
        <v>0</v>
      </c>
      <c r="V86" s="3">
        <f>SUMIF(VENTAS!$J:$J,RESUMEN!O86,VENTAS!$N:$N)</f>
        <v>0</v>
      </c>
      <c r="W86" s="3">
        <f>SUMIF(VENTAS!$J:$J,RESUMEN!O86,VENTAS!$O:$O)</f>
        <v>0</v>
      </c>
      <c r="X86" s="97">
        <f t="shared" si="52"/>
        <v>1520</v>
      </c>
      <c r="Y86" s="96"/>
      <c r="Z86" s="99">
        <f t="shared" si="45"/>
        <v>14</v>
      </c>
      <c r="AA86" s="11">
        <f t="shared" si="53"/>
        <v>43340</v>
      </c>
      <c r="AB86" s="3">
        <f t="shared" si="53"/>
        <v>93</v>
      </c>
      <c r="AC86" s="3">
        <f>SUMIF(MORTALIDAD!$R:$R,RESUMEN!AA86,MORTALIDAD!$V:$V)</f>
        <v>0</v>
      </c>
      <c r="AD86" s="19">
        <f t="shared" si="54"/>
        <v>-476</v>
      </c>
      <c r="AE86" s="3">
        <f>SUMIF(MORTALIDAD!$R:$R,RESUMEN!AA86,MORTALIDAD!$W:$W)</f>
        <v>0</v>
      </c>
      <c r="AF86" s="3">
        <f>SUMIF(TRASLADOS!$T:$T,RESUMEN!AA86,TRASLADOS!$W:$W)</f>
        <v>0</v>
      </c>
      <c r="AG86" s="3">
        <f>SUMIF(TRASLADOS!$T:$T,RESUMEN!AA86,TRASLADOS!$X:$X)</f>
        <v>0</v>
      </c>
      <c r="AH86" s="3">
        <f>SUMIF(VENTAS!$R:$R,RESUMEN!AA86,VENTAS!$V:$V)</f>
        <v>0</v>
      </c>
      <c r="AI86" s="3">
        <f>SUMIF(VENTAS!$R:$R,RESUMEN!AA86,VENTAS!$W:$W)</f>
        <v>0</v>
      </c>
      <c r="AJ86" s="97">
        <f t="shared" si="55"/>
        <v>1724</v>
      </c>
      <c r="AK86" s="96"/>
      <c r="AL86" s="99">
        <f t="shared" si="46"/>
        <v>14</v>
      </c>
      <c r="AM86" s="11">
        <f t="shared" si="56"/>
        <v>43347</v>
      </c>
      <c r="AN86" s="3">
        <f t="shared" si="56"/>
        <v>93</v>
      </c>
      <c r="AO86" s="3">
        <f>SUMIF(MORTALIDAD!$Z:$Z,RESUMEN!AM86,MORTALIDAD!$AD:$AD)</f>
        <v>0</v>
      </c>
      <c r="AP86" s="19">
        <f t="shared" si="57"/>
        <v>-124</v>
      </c>
      <c r="AQ86" s="3">
        <f>SUMIF(MORTALIDAD!$Z:$Z,RESUMEN!AM86,MORTALIDAD!$AE:$AE)</f>
        <v>0</v>
      </c>
      <c r="AR86" s="3">
        <f>SUMIF(TRASLADOS!$AC:$AC,RESUMEN!AM86,TRASLADOS!$AF:$AF)</f>
        <v>0</v>
      </c>
      <c r="AS86" s="3">
        <f>SUMIF(TRASLADOS!$AC:$AC,RESUMEN!AM86,TRASLADOS!$AG:$AG)</f>
        <v>0</v>
      </c>
      <c r="AT86" s="3">
        <f>SUMIF(VENTAS!$Z:$Z,RESUMEN!AM86,VENTAS!$AD:$AD)</f>
        <v>0</v>
      </c>
      <c r="AU86" s="3">
        <f>SUMIF(VENTAS!$Z:$Z,RESUMEN!AM86,VENTAS!$AE:$AE)</f>
        <v>0</v>
      </c>
      <c r="AV86" s="97">
        <f t="shared" si="58"/>
        <v>2076</v>
      </c>
      <c r="AW86" s="96"/>
      <c r="AX86" s="99">
        <f t="shared" si="47"/>
        <v>14</v>
      </c>
      <c r="AY86" s="11">
        <f t="shared" si="59"/>
        <v>43354</v>
      </c>
      <c r="AZ86" s="3">
        <f t="shared" si="59"/>
        <v>93</v>
      </c>
      <c r="BA86" s="3">
        <f>SUMIF(MORTALIDAD!$AH:$AH,RESUMEN!AY86,MORTALIDAD!$AL:$AL)</f>
        <v>0</v>
      </c>
      <c r="BB86" s="19">
        <f t="shared" si="60"/>
        <v>-119</v>
      </c>
      <c r="BC86" s="3">
        <f>SUMIF(MORTALIDAD!$AH:$AH,RESUMEN!AY86,MORTALIDAD!$AM:$AM)</f>
        <v>0</v>
      </c>
      <c r="BD86" s="3">
        <f>SUMIF(TRASLADOS!$AL:$AL,RESUMEN!AY86,TRASLADOS!$AO:$AO)</f>
        <v>0</v>
      </c>
      <c r="BE86" s="3">
        <f>SUMIF(TRASLADOS!$AL:$AL,RESUMEN!AY86,TRASLADOS!$AP:$AP)</f>
        <v>0</v>
      </c>
      <c r="BF86" s="3">
        <f>SUMIF(VENTAS!$AH:$AH,RESUMEN!AY86,VENTAS!$AL:$AL)</f>
        <v>0</v>
      </c>
      <c r="BG86" s="3">
        <f>SUMIF(VENTAS!$AH:$AH,RESUMEN!AY86,VENTAS!$AM:$AM)</f>
        <v>0</v>
      </c>
      <c r="BH86" s="97">
        <f t="shared" si="61"/>
        <v>2081</v>
      </c>
      <c r="BI86" s="96"/>
      <c r="BJ86" s="99">
        <f t="shared" si="48"/>
        <v>14</v>
      </c>
      <c r="BK86" s="11">
        <f t="shared" si="62"/>
        <v>43363</v>
      </c>
      <c r="BL86" s="3">
        <f t="shared" si="62"/>
        <v>96</v>
      </c>
      <c r="BM86" s="3">
        <f>SUMIF(MORTALIDAD!$AP:$AP,RESUMEN!BK86,MORTALIDAD!$AT:$AT)</f>
        <v>0</v>
      </c>
      <c r="BN86" s="19">
        <f t="shared" si="63"/>
        <v>-73</v>
      </c>
      <c r="BO86" s="3">
        <f>SUMIF(MORTALIDAD!$AP$6:$AP$200,RESUMEN!BK86,MORTALIDAD!$AU$6:$AU$200)</f>
        <v>0</v>
      </c>
      <c r="BP86" s="3">
        <f>SUMIF(TRASLADOS!$AU:$AU,RESUMEN!BK86,TRASLADOS!$AX:$AX)</f>
        <v>0</v>
      </c>
      <c r="BQ86" s="3">
        <f>SUMIF(TRASLADOS!$AU:$AU,RESUMEN!BK86,TRASLADOS!$AY:$AY)</f>
        <v>0</v>
      </c>
      <c r="BR86" s="3">
        <f>SUMIF(VENTAS!$AP:$AP,RESUMEN!BK86,VENTAS!$AT:$AT)</f>
        <v>0</v>
      </c>
      <c r="BS86" s="3">
        <f>SUMIF(VENTAS!$AP:$AP,RESUMEN!BK86,VENTAS!$AU:$AU)</f>
        <v>0</v>
      </c>
      <c r="BT86" s="36">
        <f t="shared" si="64"/>
        <v>2241</v>
      </c>
    </row>
    <row r="87" spans="2:72" x14ac:dyDescent="0.2">
      <c r="B87" s="3">
        <f t="shared" si="43"/>
        <v>14</v>
      </c>
      <c r="C87" s="11">
        <f t="shared" si="35"/>
        <v>43334</v>
      </c>
      <c r="D87" s="3">
        <f t="shared" si="36"/>
        <v>96</v>
      </c>
      <c r="E87" s="3">
        <f>SUMIF(MORTALIDAD!$B$6:$B$200,RESUMEN!C87,MORTALIDAD!$F$6:$F$200)</f>
        <v>0</v>
      </c>
      <c r="F87" s="17">
        <f t="shared" si="37"/>
        <v>-740</v>
      </c>
      <c r="G87" s="3">
        <f>SUMIF(MORTALIDAD!$B$6:$B$200,RESUMEN!C87,MORTALIDAD!$G$6:$G$200)</f>
        <v>0</v>
      </c>
      <c r="H87" s="3">
        <f>SUMIF(TRASLADOS!$B$6:$B$200,C87,TRASLADOS!$E$6:$E$200)</f>
        <v>0</v>
      </c>
      <c r="I87" s="3">
        <f>SUMIF(TRASLADOS!$B$6:$B$200,C87,TRASLADOS!$F$6:$F$200)</f>
        <v>0</v>
      </c>
      <c r="J87" s="3">
        <f>SUMIF(VENTAS!$B$6:$B$200,RESUMEN!C87,VENTAS!$F$6:$F$200)</f>
        <v>0</v>
      </c>
      <c r="K87" s="3">
        <f>SUMIF(VENTAS!$B$6:$B$200,RESUMEN!C87,VENTAS!$G$6:$G$200)</f>
        <v>0</v>
      </c>
      <c r="L87" s="97">
        <f t="shared" si="49"/>
        <v>1460</v>
      </c>
      <c r="M87" s="96"/>
      <c r="N87" s="99">
        <f t="shared" si="44"/>
        <v>14</v>
      </c>
      <c r="O87" s="11">
        <f t="shared" si="50"/>
        <v>43337</v>
      </c>
      <c r="P87" s="3">
        <f t="shared" si="50"/>
        <v>95</v>
      </c>
      <c r="Q87" s="3">
        <f>SUMIF(MORTALIDAD!$J:$J,RESUMEN!O87,MORTALIDAD!$N:$N)</f>
        <v>0</v>
      </c>
      <c r="R87" s="19">
        <f t="shared" si="51"/>
        <v>-680</v>
      </c>
      <c r="S87" s="3">
        <f>SUMIF(MORTALIDAD!$J:$J,RESUMEN!O87,MORTALIDAD!$O:$O)</f>
        <v>0</v>
      </c>
      <c r="T87" s="3">
        <f>SUMIF(TRASLADOS!$K:$K,RESUMEN!O87,TRASLADOS!$N:$N)</f>
        <v>0</v>
      </c>
      <c r="U87" s="3">
        <f>SUMIF(TRASLADOS!$K:$K,RESUMEN!O87,TRASLADOS!$O:$O)</f>
        <v>0</v>
      </c>
      <c r="V87" s="3">
        <f>SUMIF(VENTAS!$J:$J,RESUMEN!O87,VENTAS!$N:$N)</f>
        <v>0</v>
      </c>
      <c r="W87" s="3">
        <f>SUMIF(VENTAS!$J:$J,RESUMEN!O87,VENTAS!$O:$O)</f>
        <v>0</v>
      </c>
      <c r="X87" s="97">
        <f t="shared" si="52"/>
        <v>1520</v>
      </c>
      <c r="Y87" s="96"/>
      <c r="Z87" s="99">
        <f t="shared" si="45"/>
        <v>14</v>
      </c>
      <c r="AA87" s="11">
        <f t="shared" si="53"/>
        <v>43341</v>
      </c>
      <c r="AB87" s="3">
        <f t="shared" si="53"/>
        <v>94</v>
      </c>
      <c r="AC87" s="3">
        <f>SUMIF(MORTALIDAD!$R:$R,RESUMEN!AA87,MORTALIDAD!$V:$V)</f>
        <v>0</v>
      </c>
      <c r="AD87" s="19">
        <f t="shared" si="54"/>
        <v>-476</v>
      </c>
      <c r="AE87" s="3">
        <f>SUMIF(MORTALIDAD!$R:$R,RESUMEN!AA87,MORTALIDAD!$W:$W)</f>
        <v>0</v>
      </c>
      <c r="AF87" s="3">
        <f>SUMIF(TRASLADOS!$T:$T,RESUMEN!AA87,TRASLADOS!$W:$W)</f>
        <v>0</v>
      </c>
      <c r="AG87" s="3">
        <f>SUMIF(TRASLADOS!$T:$T,RESUMEN!AA87,TRASLADOS!$X:$X)</f>
        <v>0</v>
      </c>
      <c r="AH87" s="3">
        <f>SUMIF(VENTAS!$R:$R,RESUMEN!AA87,VENTAS!$V:$V)</f>
        <v>0</v>
      </c>
      <c r="AI87" s="3">
        <f>SUMIF(VENTAS!$R:$R,RESUMEN!AA87,VENTAS!$W:$W)</f>
        <v>0</v>
      </c>
      <c r="AJ87" s="97">
        <f t="shared" si="55"/>
        <v>1724</v>
      </c>
      <c r="AK87" s="96"/>
      <c r="AL87" s="99">
        <f t="shared" si="46"/>
        <v>14</v>
      </c>
      <c r="AM87" s="11">
        <f t="shared" si="56"/>
        <v>43348</v>
      </c>
      <c r="AN87" s="3">
        <f t="shared" si="56"/>
        <v>94</v>
      </c>
      <c r="AO87" s="3">
        <f>SUMIF(MORTALIDAD!$Z:$Z,RESUMEN!AM87,MORTALIDAD!$AD:$AD)</f>
        <v>0</v>
      </c>
      <c r="AP87" s="19">
        <f t="shared" si="57"/>
        <v>-124</v>
      </c>
      <c r="AQ87" s="3">
        <f>SUMIF(MORTALIDAD!$Z:$Z,RESUMEN!AM87,MORTALIDAD!$AE:$AE)</f>
        <v>0</v>
      </c>
      <c r="AR87" s="3">
        <f>SUMIF(TRASLADOS!$AC:$AC,RESUMEN!AM87,TRASLADOS!$AF:$AF)</f>
        <v>0</v>
      </c>
      <c r="AS87" s="3">
        <f>SUMIF(TRASLADOS!$AC:$AC,RESUMEN!AM87,TRASLADOS!$AG:$AG)</f>
        <v>0</v>
      </c>
      <c r="AT87" s="3">
        <f>SUMIF(VENTAS!$Z:$Z,RESUMEN!AM87,VENTAS!$AD:$AD)</f>
        <v>0</v>
      </c>
      <c r="AU87" s="3">
        <f>SUMIF(VENTAS!$Z:$Z,RESUMEN!AM87,VENTAS!$AE:$AE)</f>
        <v>0</v>
      </c>
      <c r="AV87" s="97">
        <f t="shared" si="58"/>
        <v>2076</v>
      </c>
      <c r="AW87" s="96"/>
      <c r="AX87" s="99">
        <f t="shared" si="47"/>
        <v>14</v>
      </c>
      <c r="AY87" s="11">
        <f t="shared" si="59"/>
        <v>43355</v>
      </c>
      <c r="AZ87" s="3">
        <f t="shared" si="59"/>
        <v>94</v>
      </c>
      <c r="BA87" s="3">
        <f>SUMIF(MORTALIDAD!$AH:$AH,RESUMEN!AY87,MORTALIDAD!$AL:$AL)</f>
        <v>0</v>
      </c>
      <c r="BB87" s="19">
        <f t="shared" si="60"/>
        <v>-119</v>
      </c>
      <c r="BC87" s="3">
        <f>SUMIF(MORTALIDAD!$AH:$AH,RESUMEN!AY87,MORTALIDAD!$AM:$AM)</f>
        <v>0</v>
      </c>
      <c r="BD87" s="3">
        <f>SUMIF(TRASLADOS!$AL:$AL,RESUMEN!AY87,TRASLADOS!$AO:$AO)</f>
        <v>0</v>
      </c>
      <c r="BE87" s="3">
        <f>SUMIF(TRASLADOS!$AL:$AL,RESUMEN!AY87,TRASLADOS!$AP:$AP)</f>
        <v>0</v>
      </c>
      <c r="BF87" s="3">
        <f>SUMIF(VENTAS!$AH:$AH,RESUMEN!AY87,VENTAS!$AL:$AL)</f>
        <v>0</v>
      </c>
      <c r="BG87" s="3">
        <f>SUMIF(VENTAS!$AH:$AH,RESUMEN!AY87,VENTAS!$AM:$AM)</f>
        <v>0</v>
      </c>
      <c r="BH87" s="97">
        <f t="shared" si="61"/>
        <v>2081</v>
      </c>
      <c r="BI87" s="96"/>
      <c r="BJ87" s="99">
        <f t="shared" si="48"/>
        <v>14</v>
      </c>
      <c r="BK87" s="11">
        <f t="shared" si="62"/>
        <v>43364</v>
      </c>
      <c r="BL87" s="3">
        <f t="shared" si="62"/>
        <v>97</v>
      </c>
      <c r="BM87" s="3">
        <f>SUMIF(MORTALIDAD!$AP:$AP,RESUMEN!BK87,MORTALIDAD!$AT:$AT)</f>
        <v>0</v>
      </c>
      <c r="BN87" s="19">
        <f t="shared" si="63"/>
        <v>-73</v>
      </c>
      <c r="BO87" s="3">
        <f>SUMIF(MORTALIDAD!$AP$6:$AP$200,RESUMEN!BK87,MORTALIDAD!$AU$6:$AU$200)</f>
        <v>0</v>
      </c>
      <c r="BP87" s="3">
        <f>SUMIF(TRASLADOS!$AU:$AU,RESUMEN!BK87,TRASLADOS!$AX:$AX)</f>
        <v>0</v>
      </c>
      <c r="BQ87" s="3">
        <f>SUMIF(TRASLADOS!$AU:$AU,RESUMEN!BK87,TRASLADOS!$AY:$AY)</f>
        <v>0</v>
      </c>
      <c r="BR87" s="3">
        <f>SUMIF(VENTAS!$AP:$AP,RESUMEN!BK87,VENTAS!$AT:$AT)</f>
        <v>0</v>
      </c>
      <c r="BS87" s="3">
        <f>SUMIF(VENTAS!$AP:$AP,RESUMEN!BK87,VENTAS!$AU:$AU)</f>
        <v>0</v>
      </c>
      <c r="BT87" s="36">
        <f t="shared" si="64"/>
        <v>2241</v>
      </c>
    </row>
    <row r="88" spans="2:72" x14ac:dyDescent="0.2">
      <c r="B88" s="3">
        <f t="shared" si="43"/>
        <v>14</v>
      </c>
      <c r="C88" s="11">
        <f t="shared" si="35"/>
        <v>43335</v>
      </c>
      <c r="D88" s="3">
        <f t="shared" si="36"/>
        <v>97</v>
      </c>
      <c r="E88" s="3">
        <f>SUMIF(MORTALIDAD!$B$6:$B$200,RESUMEN!C88,MORTALIDAD!$F$6:$F$200)</f>
        <v>0</v>
      </c>
      <c r="F88" s="17">
        <f t="shared" si="37"/>
        <v>-740</v>
      </c>
      <c r="G88" s="3">
        <f>SUMIF(MORTALIDAD!$B$6:$B$200,RESUMEN!C88,MORTALIDAD!$G$6:$G$200)</f>
        <v>0</v>
      </c>
      <c r="H88" s="3">
        <f>SUMIF(TRASLADOS!$B$6:$B$200,C88,TRASLADOS!$E$6:$E$200)</f>
        <v>0</v>
      </c>
      <c r="I88" s="3">
        <f>SUMIF(TRASLADOS!$B$6:$B$200,C88,TRASLADOS!$F$6:$F$200)</f>
        <v>0</v>
      </c>
      <c r="J88" s="3">
        <f>SUMIF(VENTAS!$B$6:$B$200,RESUMEN!C88,VENTAS!$F$6:$F$200)</f>
        <v>0</v>
      </c>
      <c r="K88" s="3">
        <f>SUMIF(VENTAS!$B$6:$B$200,RESUMEN!C88,VENTAS!$G$6:$G$200)</f>
        <v>0</v>
      </c>
      <c r="L88" s="97">
        <f t="shared" si="49"/>
        <v>1460</v>
      </c>
      <c r="M88" s="96"/>
      <c r="N88" s="99">
        <f t="shared" si="44"/>
        <v>14</v>
      </c>
      <c r="O88" s="11">
        <f t="shared" si="50"/>
        <v>43338</v>
      </c>
      <c r="P88" s="3">
        <f t="shared" si="50"/>
        <v>96</v>
      </c>
      <c r="Q88" s="3">
        <f>SUMIF(MORTALIDAD!$J:$J,RESUMEN!O88,MORTALIDAD!$N:$N)</f>
        <v>0</v>
      </c>
      <c r="R88" s="19">
        <f t="shared" si="51"/>
        <v>-680</v>
      </c>
      <c r="S88" s="3">
        <f>SUMIF(MORTALIDAD!$J:$J,RESUMEN!O88,MORTALIDAD!$O:$O)</f>
        <v>0</v>
      </c>
      <c r="T88" s="3">
        <f>SUMIF(TRASLADOS!$K:$K,RESUMEN!O88,TRASLADOS!$N:$N)</f>
        <v>0</v>
      </c>
      <c r="U88" s="3">
        <f>SUMIF(TRASLADOS!$K:$K,RESUMEN!O88,TRASLADOS!$O:$O)</f>
        <v>0</v>
      </c>
      <c r="V88" s="3">
        <f>SUMIF(VENTAS!$J:$J,RESUMEN!O88,VENTAS!$N:$N)</f>
        <v>0</v>
      </c>
      <c r="W88" s="3">
        <f>SUMIF(VENTAS!$J:$J,RESUMEN!O88,VENTAS!$O:$O)</f>
        <v>0</v>
      </c>
      <c r="X88" s="97">
        <f t="shared" si="52"/>
        <v>1520</v>
      </c>
      <c r="Y88" s="96"/>
      <c r="Z88" s="99">
        <f t="shared" si="45"/>
        <v>14</v>
      </c>
      <c r="AA88" s="11">
        <f t="shared" si="53"/>
        <v>43342</v>
      </c>
      <c r="AB88" s="3">
        <f t="shared" si="53"/>
        <v>95</v>
      </c>
      <c r="AC88" s="3">
        <f>SUMIF(MORTALIDAD!$R:$R,RESUMEN!AA88,MORTALIDAD!$V:$V)</f>
        <v>0</v>
      </c>
      <c r="AD88" s="19">
        <f t="shared" si="54"/>
        <v>-476</v>
      </c>
      <c r="AE88" s="3">
        <f>SUMIF(MORTALIDAD!$R:$R,RESUMEN!AA88,MORTALIDAD!$W:$W)</f>
        <v>0</v>
      </c>
      <c r="AF88" s="3">
        <f>SUMIF(TRASLADOS!$T:$T,RESUMEN!AA88,TRASLADOS!$W:$W)</f>
        <v>0</v>
      </c>
      <c r="AG88" s="3">
        <f>SUMIF(TRASLADOS!$T:$T,RESUMEN!AA88,TRASLADOS!$X:$X)</f>
        <v>0</v>
      </c>
      <c r="AH88" s="3">
        <f>SUMIF(VENTAS!$R:$R,RESUMEN!AA88,VENTAS!$V:$V)</f>
        <v>0</v>
      </c>
      <c r="AI88" s="3">
        <f>SUMIF(VENTAS!$R:$R,RESUMEN!AA88,VENTAS!$W:$W)</f>
        <v>0</v>
      </c>
      <c r="AJ88" s="97">
        <f t="shared" si="55"/>
        <v>1724</v>
      </c>
      <c r="AK88" s="96"/>
      <c r="AL88" s="99">
        <f t="shared" si="46"/>
        <v>14</v>
      </c>
      <c r="AM88" s="11">
        <f t="shared" si="56"/>
        <v>43349</v>
      </c>
      <c r="AN88" s="3">
        <f t="shared" si="56"/>
        <v>95</v>
      </c>
      <c r="AO88" s="3">
        <f>SUMIF(MORTALIDAD!$Z:$Z,RESUMEN!AM88,MORTALIDAD!$AD:$AD)</f>
        <v>0</v>
      </c>
      <c r="AP88" s="19">
        <f t="shared" si="57"/>
        <v>-124</v>
      </c>
      <c r="AQ88" s="3">
        <f>SUMIF(MORTALIDAD!$Z:$Z,RESUMEN!AM88,MORTALIDAD!$AE:$AE)</f>
        <v>0</v>
      </c>
      <c r="AR88" s="3">
        <f>SUMIF(TRASLADOS!$AC:$AC,RESUMEN!AM88,TRASLADOS!$AF:$AF)</f>
        <v>0</v>
      </c>
      <c r="AS88" s="3">
        <f>SUMIF(TRASLADOS!$AC:$AC,RESUMEN!AM88,TRASLADOS!$AG:$AG)</f>
        <v>0</v>
      </c>
      <c r="AT88" s="3">
        <f>SUMIF(VENTAS!$Z:$Z,RESUMEN!AM88,VENTAS!$AD:$AD)</f>
        <v>0</v>
      </c>
      <c r="AU88" s="3">
        <f>SUMIF(VENTAS!$Z:$Z,RESUMEN!AM88,VENTAS!$AE:$AE)</f>
        <v>0</v>
      </c>
      <c r="AV88" s="97">
        <f t="shared" si="58"/>
        <v>2076</v>
      </c>
      <c r="AW88" s="96"/>
      <c r="AX88" s="99">
        <f t="shared" si="47"/>
        <v>14</v>
      </c>
      <c r="AY88" s="11">
        <f t="shared" si="59"/>
        <v>43356</v>
      </c>
      <c r="AZ88" s="3">
        <f t="shared" si="59"/>
        <v>95</v>
      </c>
      <c r="BA88" s="3">
        <f>SUMIF(MORTALIDAD!$AH:$AH,RESUMEN!AY88,MORTALIDAD!$AL:$AL)</f>
        <v>0</v>
      </c>
      <c r="BB88" s="19">
        <f t="shared" si="60"/>
        <v>-119</v>
      </c>
      <c r="BC88" s="3">
        <f>SUMIF(MORTALIDAD!$AH:$AH,RESUMEN!AY88,MORTALIDAD!$AM:$AM)</f>
        <v>0</v>
      </c>
      <c r="BD88" s="3">
        <f>SUMIF(TRASLADOS!$AL:$AL,RESUMEN!AY88,TRASLADOS!$AO:$AO)</f>
        <v>0</v>
      </c>
      <c r="BE88" s="3">
        <f>SUMIF(TRASLADOS!$AL:$AL,RESUMEN!AY88,TRASLADOS!$AP:$AP)</f>
        <v>0</v>
      </c>
      <c r="BF88" s="3">
        <f>SUMIF(VENTAS!$AH:$AH,RESUMEN!AY88,VENTAS!$AL:$AL)</f>
        <v>0</v>
      </c>
      <c r="BG88" s="3">
        <f>SUMIF(VENTAS!$AH:$AH,RESUMEN!AY88,VENTAS!$AM:$AM)</f>
        <v>0</v>
      </c>
      <c r="BH88" s="97">
        <f t="shared" si="61"/>
        <v>2081</v>
      </c>
      <c r="BI88" s="96"/>
      <c r="BJ88" s="99">
        <f t="shared" si="48"/>
        <v>14</v>
      </c>
      <c r="BK88" s="11">
        <f t="shared" si="62"/>
        <v>43365</v>
      </c>
      <c r="BL88" s="3">
        <f t="shared" si="62"/>
        <v>98</v>
      </c>
      <c r="BM88" s="3">
        <f>SUMIF(MORTALIDAD!$AP:$AP,RESUMEN!BK88,MORTALIDAD!$AT:$AT)</f>
        <v>0</v>
      </c>
      <c r="BN88" s="19">
        <f t="shared" si="63"/>
        <v>-73</v>
      </c>
      <c r="BO88" s="3">
        <f>SUMIF(MORTALIDAD!$AP$6:$AP$200,RESUMEN!BK88,MORTALIDAD!$AU$6:$AU$200)</f>
        <v>0</v>
      </c>
      <c r="BP88" s="3">
        <f>SUMIF(TRASLADOS!$AU:$AU,RESUMEN!BK88,TRASLADOS!$AX:$AX)</f>
        <v>0</v>
      </c>
      <c r="BQ88" s="3">
        <f>SUMIF(TRASLADOS!$AU:$AU,RESUMEN!BK88,TRASLADOS!$AY:$AY)</f>
        <v>0</v>
      </c>
      <c r="BR88" s="3">
        <f>SUMIF(VENTAS!$AP:$AP,RESUMEN!BK88,VENTAS!$AT:$AT)</f>
        <v>0</v>
      </c>
      <c r="BS88" s="3">
        <f>SUMIF(VENTAS!$AP:$AP,RESUMEN!BK88,VENTAS!$AU:$AU)</f>
        <v>0</v>
      </c>
      <c r="BT88" s="36">
        <f t="shared" si="64"/>
        <v>2241</v>
      </c>
    </row>
    <row r="89" spans="2:72" x14ac:dyDescent="0.2">
      <c r="B89" s="3">
        <f t="shared" si="43"/>
        <v>14</v>
      </c>
      <c r="C89" s="11">
        <f t="shared" si="35"/>
        <v>43336</v>
      </c>
      <c r="D89" s="3">
        <f t="shared" si="36"/>
        <v>98</v>
      </c>
      <c r="E89" s="3">
        <f>SUMIF(MORTALIDAD!$B$6:$B$200,RESUMEN!C89,MORTALIDAD!$F$6:$F$200)</f>
        <v>0</v>
      </c>
      <c r="F89" s="17">
        <f t="shared" si="37"/>
        <v>-740</v>
      </c>
      <c r="G89" s="3">
        <f>SUMIF(MORTALIDAD!$B$6:$B$200,RESUMEN!C89,MORTALIDAD!$G$6:$G$200)</f>
        <v>0</v>
      </c>
      <c r="H89" s="3">
        <f>SUMIF(TRASLADOS!$B$6:$B$200,C89,TRASLADOS!$E$6:$E$200)</f>
        <v>0</v>
      </c>
      <c r="I89" s="3">
        <f>SUMIF(TRASLADOS!$B$6:$B$200,C89,TRASLADOS!$F$6:$F$200)</f>
        <v>0</v>
      </c>
      <c r="J89" s="3">
        <f>SUMIF(VENTAS!$B$6:$B$200,RESUMEN!C89,VENTAS!$F$6:$F$200)</f>
        <v>0</v>
      </c>
      <c r="K89" s="3">
        <f>SUMIF(VENTAS!$B$6:$B$200,RESUMEN!C89,VENTAS!$G$6:$G$200)</f>
        <v>0</v>
      </c>
      <c r="L89" s="97">
        <f t="shared" si="49"/>
        <v>1460</v>
      </c>
      <c r="M89" s="96"/>
      <c r="N89" s="99">
        <f t="shared" si="44"/>
        <v>14</v>
      </c>
      <c r="O89" s="11">
        <f t="shared" si="50"/>
        <v>43339</v>
      </c>
      <c r="P89" s="3">
        <f t="shared" si="50"/>
        <v>97</v>
      </c>
      <c r="Q89" s="3">
        <f>SUMIF(MORTALIDAD!$J:$J,RESUMEN!O89,MORTALIDAD!$N:$N)</f>
        <v>0</v>
      </c>
      <c r="R89" s="19">
        <f t="shared" si="51"/>
        <v>-680</v>
      </c>
      <c r="S89" s="3">
        <f>SUMIF(MORTALIDAD!$J:$J,RESUMEN!O89,MORTALIDAD!$O:$O)</f>
        <v>0</v>
      </c>
      <c r="T89" s="3">
        <f>SUMIF(TRASLADOS!$K:$K,RESUMEN!O89,TRASLADOS!$N:$N)</f>
        <v>0</v>
      </c>
      <c r="U89" s="3">
        <f>SUMIF(TRASLADOS!$K:$K,RESUMEN!O89,TRASLADOS!$O:$O)</f>
        <v>0</v>
      </c>
      <c r="V89" s="3">
        <f>SUMIF(VENTAS!$J:$J,RESUMEN!O89,VENTAS!$N:$N)</f>
        <v>0</v>
      </c>
      <c r="W89" s="3">
        <f>SUMIF(VENTAS!$J:$J,RESUMEN!O89,VENTAS!$O:$O)</f>
        <v>0</v>
      </c>
      <c r="X89" s="97">
        <f t="shared" si="52"/>
        <v>1520</v>
      </c>
      <c r="Y89" s="96"/>
      <c r="Z89" s="99">
        <f t="shared" si="45"/>
        <v>14</v>
      </c>
      <c r="AA89" s="11">
        <f t="shared" si="53"/>
        <v>43343</v>
      </c>
      <c r="AB89" s="3">
        <f t="shared" si="53"/>
        <v>96</v>
      </c>
      <c r="AC89" s="3">
        <f>SUMIF(MORTALIDAD!$R:$R,RESUMEN!AA89,MORTALIDAD!$V:$V)</f>
        <v>0</v>
      </c>
      <c r="AD89" s="19">
        <f t="shared" si="54"/>
        <v>-476</v>
      </c>
      <c r="AE89" s="3">
        <f>SUMIF(MORTALIDAD!$R:$R,RESUMEN!AA89,MORTALIDAD!$W:$W)</f>
        <v>0</v>
      </c>
      <c r="AF89" s="3">
        <f>SUMIF(TRASLADOS!$T:$T,RESUMEN!AA89,TRASLADOS!$W:$W)</f>
        <v>0</v>
      </c>
      <c r="AG89" s="3">
        <f>SUMIF(TRASLADOS!$T:$T,RESUMEN!AA89,TRASLADOS!$X:$X)</f>
        <v>0</v>
      </c>
      <c r="AH89" s="3">
        <f>SUMIF(VENTAS!$R:$R,RESUMEN!AA89,VENTAS!$V:$V)</f>
        <v>0</v>
      </c>
      <c r="AI89" s="3">
        <f>SUMIF(VENTAS!$R:$R,RESUMEN!AA89,VENTAS!$W:$W)</f>
        <v>0</v>
      </c>
      <c r="AJ89" s="97">
        <f t="shared" si="55"/>
        <v>1724</v>
      </c>
      <c r="AK89" s="96"/>
      <c r="AL89" s="99">
        <f t="shared" si="46"/>
        <v>14</v>
      </c>
      <c r="AM89" s="11">
        <f t="shared" si="56"/>
        <v>43350</v>
      </c>
      <c r="AN89" s="3">
        <f t="shared" si="56"/>
        <v>96</v>
      </c>
      <c r="AO89" s="3">
        <f>SUMIF(MORTALIDAD!$Z:$Z,RESUMEN!AM89,MORTALIDAD!$AD:$AD)</f>
        <v>0</v>
      </c>
      <c r="AP89" s="19">
        <f t="shared" si="57"/>
        <v>-124</v>
      </c>
      <c r="AQ89" s="3">
        <f>SUMIF(MORTALIDAD!$Z:$Z,RESUMEN!AM89,MORTALIDAD!$AE:$AE)</f>
        <v>0</v>
      </c>
      <c r="AR89" s="3">
        <f>SUMIF(TRASLADOS!$AC:$AC,RESUMEN!AM89,TRASLADOS!$AF:$AF)</f>
        <v>0</v>
      </c>
      <c r="AS89" s="3">
        <f>SUMIF(TRASLADOS!$AC:$AC,RESUMEN!AM89,TRASLADOS!$AG:$AG)</f>
        <v>0</v>
      </c>
      <c r="AT89" s="3">
        <f>SUMIF(VENTAS!$Z:$Z,RESUMEN!AM89,VENTAS!$AD:$AD)</f>
        <v>0</v>
      </c>
      <c r="AU89" s="3">
        <f>SUMIF(VENTAS!$Z:$Z,RESUMEN!AM89,VENTAS!$AE:$AE)</f>
        <v>0</v>
      </c>
      <c r="AV89" s="97">
        <f t="shared" si="58"/>
        <v>2076</v>
      </c>
      <c r="AW89" s="96"/>
      <c r="AX89" s="99">
        <f t="shared" si="47"/>
        <v>14</v>
      </c>
      <c r="AY89" s="11">
        <f t="shared" si="59"/>
        <v>43357</v>
      </c>
      <c r="AZ89" s="3">
        <f t="shared" si="59"/>
        <v>96</v>
      </c>
      <c r="BA89" s="3">
        <f>SUMIF(MORTALIDAD!$AH:$AH,RESUMEN!AY89,MORTALIDAD!$AL:$AL)</f>
        <v>0</v>
      </c>
      <c r="BB89" s="19">
        <f t="shared" si="60"/>
        <v>-119</v>
      </c>
      <c r="BC89" s="3">
        <f>SUMIF(MORTALIDAD!$AH:$AH,RESUMEN!AY89,MORTALIDAD!$AM:$AM)</f>
        <v>0</v>
      </c>
      <c r="BD89" s="3">
        <f>SUMIF(TRASLADOS!$AL:$AL,RESUMEN!AY89,TRASLADOS!$AO:$AO)</f>
        <v>0</v>
      </c>
      <c r="BE89" s="3">
        <f>SUMIF(TRASLADOS!$AL:$AL,RESUMEN!AY89,TRASLADOS!$AP:$AP)</f>
        <v>0</v>
      </c>
      <c r="BF89" s="3">
        <f>SUMIF(VENTAS!$AH:$AH,RESUMEN!AY89,VENTAS!$AL:$AL)</f>
        <v>0</v>
      </c>
      <c r="BG89" s="3">
        <f>SUMIF(VENTAS!$AH:$AH,RESUMEN!AY89,VENTAS!$AM:$AM)</f>
        <v>0</v>
      </c>
      <c r="BH89" s="97">
        <f t="shared" si="61"/>
        <v>2081</v>
      </c>
      <c r="BI89" s="96"/>
      <c r="BJ89" s="99">
        <f t="shared" si="48"/>
        <v>15</v>
      </c>
      <c r="BK89" s="11">
        <f t="shared" si="62"/>
        <v>43366</v>
      </c>
      <c r="BL89" s="3">
        <f t="shared" si="62"/>
        <v>99</v>
      </c>
      <c r="BM89" s="3">
        <f>SUMIF(MORTALIDAD!$AP:$AP,RESUMEN!BK89,MORTALIDAD!$AT:$AT)</f>
        <v>0</v>
      </c>
      <c r="BN89" s="19">
        <f t="shared" si="63"/>
        <v>-73</v>
      </c>
      <c r="BO89" s="3">
        <f>SUMIF(MORTALIDAD!$AP$6:$AP$200,RESUMEN!BK89,MORTALIDAD!$AU$6:$AU$200)</f>
        <v>0</v>
      </c>
      <c r="BP89" s="3">
        <f>SUMIF(TRASLADOS!$AU:$AU,RESUMEN!BK89,TRASLADOS!$AX:$AX)</f>
        <v>0</v>
      </c>
      <c r="BQ89" s="3">
        <f>SUMIF(TRASLADOS!$AU:$AU,RESUMEN!BK89,TRASLADOS!$AY:$AY)</f>
        <v>0</v>
      </c>
      <c r="BR89" s="3">
        <f>SUMIF(VENTAS!$AP:$AP,RESUMEN!BK89,VENTAS!$AT:$AT)</f>
        <v>0</v>
      </c>
      <c r="BS89" s="3">
        <f>SUMIF(VENTAS!$AP:$AP,RESUMEN!BK89,VENTAS!$AU:$AU)</f>
        <v>0</v>
      </c>
      <c r="BT89" s="36">
        <f t="shared" si="64"/>
        <v>2241</v>
      </c>
    </row>
    <row r="90" spans="2:72" x14ac:dyDescent="0.2">
      <c r="B90" s="3">
        <f t="shared" si="43"/>
        <v>15</v>
      </c>
      <c r="C90" s="11">
        <f t="shared" si="35"/>
        <v>43337</v>
      </c>
      <c r="D90" s="3">
        <f t="shared" si="36"/>
        <v>99</v>
      </c>
      <c r="E90" s="3">
        <f>SUMIF(MORTALIDAD!$B$6:$B$200,RESUMEN!C90,MORTALIDAD!$F$6:$F$200)</f>
        <v>0</v>
      </c>
      <c r="F90" s="17">
        <f t="shared" si="37"/>
        <v>-740</v>
      </c>
      <c r="G90" s="3">
        <f>SUMIF(MORTALIDAD!$B$6:$B$200,RESUMEN!C90,MORTALIDAD!$G$6:$G$200)</f>
        <v>0</v>
      </c>
      <c r="H90" s="3">
        <f>SUMIF(TRASLADOS!$B$6:$B$200,C90,TRASLADOS!$E$6:$E$200)</f>
        <v>0</v>
      </c>
      <c r="I90" s="3">
        <f>SUMIF(TRASLADOS!$B$6:$B$200,C90,TRASLADOS!$F$6:$F$200)</f>
        <v>0</v>
      </c>
      <c r="J90" s="3">
        <f>SUMIF(VENTAS!$B$6:$B$200,RESUMEN!C90,VENTAS!$F$6:$F$200)</f>
        <v>0</v>
      </c>
      <c r="K90" s="3">
        <f>SUMIF(VENTAS!$B$6:$B$200,RESUMEN!C90,VENTAS!$G$6:$G$200)</f>
        <v>0</v>
      </c>
      <c r="L90" s="97">
        <f t="shared" si="49"/>
        <v>1460</v>
      </c>
      <c r="M90" s="96"/>
      <c r="N90" s="99">
        <f t="shared" si="44"/>
        <v>14</v>
      </c>
      <c r="O90" s="11">
        <f t="shared" si="50"/>
        <v>43340</v>
      </c>
      <c r="P90" s="3">
        <f t="shared" si="50"/>
        <v>98</v>
      </c>
      <c r="Q90" s="3">
        <f>SUMIF(MORTALIDAD!$J:$J,RESUMEN!O90,MORTALIDAD!$N:$N)</f>
        <v>0</v>
      </c>
      <c r="R90" s="19">
        <f t="shared" si="51"/>
        <v>-680</v>
      </c>
      <c r="S90" s="3">
        <f>SUMIF(MORTALIDAD!$J:$J,RESUMEN!O90,MORTALIDAD!$O:$O)</f>
        <v>0</v>
      </c>
      <c r="T90" s="3">
        <f>SUMIF(TRASLADOS!$K:$K,RESUMEN!O90,TRASLADOS!$N:$N)</f>
        <v>0</v>
      </c>
      <c r="U90" s="3">
        <f>SUMIF(TRASLADOS!$K:$K,RESUMEN!O90,TRASLADOS!$O:$O)</f>
        <v>0</v>
      </c>
      <c r="V90" s="3">
        <f>SUMIF(VENTAS!$J:$J,RESUMEN!O90,VENTAS!$N:$N)</f>
        <v>0</v>
      </c>
      <c r="W90" s="3">
        <f>SUMIF(VENTAS!$J:$J,RESUMEN!O90,VENTAS!$O:$O)</f>
        <v>0</v>
      </c>
      <c r="X90" s="97">
        <f t="shared" si="52"/>
        <v>1520</v>
      </c>
      <c r="Y90" s="96"/>
      <c r="Z90" s="99">
        <f t="shared" si="45"/>
        <v>14</v>
      </c>
      <c r="AA90" s="11">
        <f t="shared" si="53"/>
        <v>43344</v>
      </c>
      <c r="AB90" s="3">
        <f t="shared" si="53"/>
        <v>97</v>
      </c>
      <c r="AC90" s="3">
        <f>SUMIF(MORTALIDAD!$R:$R,RESUMEN!AA90,MORTALIDAD!$V:$V)</f>
        <v>0</v>
      </c>
      <c r="AD90" s="19">
        <f t="shared" si="54"/>
        <v>-476</v>
      </c>
      <c r="AE90" s="3">
        <f>SUMIF(MORTALIDAD!$R:$R,RESUMEN!AA90,MORTALIDAD!$W:$W)</f>
        <v>0</v>
      </c>
      <c r="AF90" s="3">
        <f>SUMIF(TRASLADOS!$T:$T,RESUMEN!AA90,TRASLADOS!$W:$W)</f>
        <v>0</v>
      </c>
      <c r="AG90" s="3">
        <f>SUMIF(TRASLADOS!$T:$T,RESUMEN!AA90,TRASLADOS!$X:$X)</f>
        <v>0</v>
      </c>
      <c r="AH90" s="3">
        <f>SUMIF(VENTAS!$R:$R,RESUMEN!AA90,VENTAS!$V:$V)</f>
        <v>0</v>
      </c>
      <c r="AI90" s="3">
        <f>SUMIF(VENTAS!$R:$R,RESUMEN!AA90,VENTAS!$W:$W)</f>
        <v>0</v>
      </c>
      <c r="AJ90" s="97">
        <f t="shared" si="55"/>
        <v>1724</v>
      </c>
      <c r="AK90" s="96"/>
      <c r="AL90" s="99">
        <f t="shared" si="46"/>
        <v>14</v>
      </c>
      <c r="AM90" s="11">
        <f t="shared" si="56"/>
        <v>43351</v>
      </c>
      <c r="AN90" s="3">
        <f t="shared" si="56"/>
        <v>97</v>
      </c>
      <c r="AO90" s="3">
        <f>SUMIF(MORTALIDAD!$Z:$Z,RESUMEN!AM90,MORTALIDAD!$AD:$AD)</f>
        <v>0</v>
      </c>
      <c r="AP90" s="19">
        <f t="shared" si="57"/>
        <v>-124</v>
      </c>
      <c r="AQ90" s="3">
        <f>SUMIF(MORTALIDAD!$Z:$Z,RESUMEN!AM90,MORTALIDAD!$AE:$AE)</f>
        <v>0</v>
      </c>
      <c r="AR90" s="3">
        <f>SUMIF(TRASLADOS!$AC:$AC,RESUMEN!AM90,TRASLADOS!$AF:$AF)</f>
        <v>0</v>
      </c>
      <c r="AS90" s="3">
        <f>SUMIF(TRASLADOS!$AC:$AC,RESUMEN!AM90,TRASLADOS!$AG:$AG)</f>
        <v>0</v>
      </c>
      <c r="AT90" s="3">
        <f>SUMIF(VENTAS!$Z:$Z,RESUMEN!AM90,VENTAS!$AD:$AD)</f>
        <v>0</v>
      </c>
      <c r="AU90" s="3">
        <f>SUMIF(VENTAS!$Z:$Z,RESUMEN!AM90,VENTAS!$AE:$AE)</f>
        <v>0</v>
      </c>
      <c r="AV90" s="97">
        <f t="shared" si="58"/>
        <v>2076</v>
      </c>
      <c r="AW90" s="96"/>
      <c r="AX90" s="99">
        <f t="shared" si="47"/>
        <v>14</v>
      </c>
      <c r="AY90" s="11">
        <f t="shared" si="59"/>
        <v>43358</v>
      </c>
      <c r="AZ90" s="3">
        <f t="shared" si="59"/>
        <v>97</v>
      </c>
      <c r="BA90" s="3">
        <f>SUMIF(MORTALIDAD!$AH:$AH,RESUMEN!AY90,MORTALIDAD!$AL:$AL)</f>
        <v>0</v>
      </c>
      <c r="BB90" s="19">
        <f t="shared" si="60"/>
        <v>-119</v>
      </c>
      <c r="BC90" s="3">
        <f>SUMIF(MORTALIDAD!$AH:$AH,RESUMEN!AY90,MORTALIDAD!$AM:$AM)</f>
        <v>0</v>
      </c>
      <c r="BD90" s="3">
        <f>SUMIF(TRASLADOS!$AL:$AL,RESUMEN!AY90,TRASLADOS!$AO:$AO)</f>
        <v>0</v>
      </c>
      <c r="BE90" s="3">
        <f>SUMIF(TRASLADOS!$AL:$AL,RESUMEN!AY90,TRASLADOS!$AP:$AP)</f>
        <v>0</v>
      </c>
      <c r="BF90" s="3">
        <f>SUMIF(VENTAS!$AH:$AH,RESUMEN!AY90,VENTAS!$AL:$AL)</f>
        <v>0</v>
      </c>
      <c r="BG90" s="3">
        <f>SUMIF(VENTAS!$AH:$AH,RESUMEN!AY90,VENTAS!$AM:$AM)</f>
        <v>0</v>
      </c>
      <c r="BH90" s="97">
        <f t="shared" si="61"/>
        <v>2081</v>
      </c>
      <c r="BI90" s="96"/>
      <c r="BJ90" s="99">
        <f t="shared" si="48"/>
        <v>15</v>
      </c>
      <c r="BK90" s="11">
        <f t="shared" si="62"/>
        <v>43367</v>
      </c>
      <c r="BL90" s="3">
        <f t="shared" si="62"/>
        <v>100</v>
      </c>
      <c r="BM90" s="3">
        <f>SUMIF(MORTALIDAD!$AP:$AP,RESUMEN!BK90,MORTALIDAD!$AT:$AT)</f>
        <v>0</v>
      </c>
      <c r="BN90" s="19">
        <f t="shared" si="63"/>
        <v>-73</v>
      </c>
      <c r="BO90" s="3">
        <f>SUMIF(MORTALIDAD!$AP$6:$AP$200,RESUMEN!BK90,MORTALIDAD!$AU$6:$AU$200)</f>
        <v>0</v>
      </c>
      <c r="BP90" s="3">
        <f>SUMIF(TRASLADOS!$AU:$AU,RESUMEN!BK90,TRASLADOS!$AX:$AX)</f>
        <v>0</v>
      </c>
      <c r="BQ90" s="3">
        <f>SUMIF(TRASLADOS!$AU:$AU,RESUMEN!BK90,TRASLADOS!$AY:$AY)</f>
        <v>0</v>
      </c>
      <c r="BR90" s="3">
        <f>SUMIF(VENTAS!$AP:$AP,RESUMEN!BK90,VENTAS!$AT:$AT)</f>
        <v>0</v>
      </c>
      <c r="BS90" s="3">
        <f>SUMIF(VENTAS!$AP:$AP,RESUMEN!BK90,VENTAS!$AU:$AU)</f>
        <v>0</v>
      </c>
      <c r="BT90" s="36">
        <f t="shared" si="64"/>
        <v>2241</v>
      </c>
    </row>
    <row r="91" spans="2:72" x14ac:dyDescent="0.2">
      <c r="B91" s="3">
        <f t="shared" si="43"/>
        <v>15</v>
      </c>
      <c r="C91" s="11">
        <f t="shared" si="35"/>
        <v>43338</v>
      </c>
      <c r="D91" s="3">
        <f t="shared" si="36"/>
        <v>100</v>
      </c>
      <c r="E91" s="3">
        <f>SUMIF(MORTALIDAD!$B$6:$B$200,RESUMEN!C91,MORTALIDAD!$F$6:$F$200)</f>
        <v>0</v>
      </c>
      <c r="F91" s="17">
        <f t="shared" si="37"/>
        <v>-740</v>
      </c>
      <c r="G91" s="3">
        <f>SUMIF(MORTALIDAD!$B$6:$B$200,RESUMEN!C91,MORTALIDAD!$G$6:$G$200)</f>
        <v>0</v>
      </c>
      <c r="H91" s="3">
        <f>SUMIF(TRASLADOS!$B$6:$B$200,C91,TRASLADOS!$E$6:$E$200)</f>
        <v>0</v>
      </c>
      <c r="I91" s="3">
        <f>SUMIF(TRASLADOS!$B$6:$B$200,C91,TRASLADOS!$F$6:$F$200)</f>
        <v>0</v>
      </c>
      <c r="J91" s="3">
        <f>SUMIF(VENTAS!$B$6:$B$200,RESUMEN!C91,VENTAS!$F$6:$F$200)</f>
        <v>0</v>
      </c>
      <c r="K91" s="3">
        <f>SUMIF(VENTAS!$B$6:$B$200,RESUMEN!C91,VENTAS!$G$6:$G$200)</f>
        <v>0</v>
      </c>
      <c r="L91" s="97">
        <f t="shared" si="49"/>
        <v>1460</v>
      </c>
      <c r="M91" s="96"/>
      <c r="N91" s="99">
        <f t="shared" si="44"/>
        <v>15</v>
      </c>
      <c r="O91" s="11">
        <f t="shared" si="50"/>
        <v>43341</v>
      </c>
      <c r="P91" s="3">
        <f t="shared" si="50"/>
        <v>99</v>
      </c>
      <c r="Q91" s="3">
        <f>SUMIF(MORTALIDAD!$J:$J,RESUMEN!O91,MORTALIDAD!$N:$N)</f>
        <v>0</v>
      </c>
      <c r="R91" s="19">
        <f t="shared" si="51"/>
        <v>-680</v>
      </c>
      <c r="S91" s="3">
        <f>SUMIF(MORTALIDAD!$J:$J,RESUMEN!O91,MORTALIDAD!$O:$O)</f>
        <v>0</v>
      </c>
      <c r="T91" s="3">
        <f>SUMIF(TRASLADOS!$K:$K,RESUMEN!O91,TRASLADOS!$N:$N)</f>
        <v>0</v>
      </c>
      <c r="U91" s="3">
        <f>SUMIF(TRASLADOS!$K:$K,RESUMEN!O91,TRASLADOS!$O:$O)</f>
        <v>0</v>
      </c>
      <c r="V91" s="3">
        <f>SUMIF(VENTAS!$J:$J,RESUMEN!O91,VENTAS!$N:$N)</f>
        <v>0</v>
      </c>
      <c r="W91" s="3">
        <f>SUMIF(VENTAS!$J:$J,RESUMEN!O91,VENTAS!$O:$O)</f>
        <v>0</v>
      </c>
      <c r="X91" s="97">
        <f t="shared" si="52"/>
        <v>1520</v>
      </c>
      <c r="Y91" s="96"/>
      <c r="Z91" s="99">
        <f t="shared" si="45"/>
        <v>14</v>
      </c>
      <c r="AA91" s="11">
        <f t="shared" si="53"/>
        <v>43345</v>
      </c>
      <c r="AB91" s="3">
        <f t="shared" si="53"/>
        <v>98</v>
      </c>
      <c r="AC91" s="3">
        <f>SUMIF(MORTALIDAD!$R:$R,RESUMEN!AA91,MORTALIDAD!$V:$V)</f>
        <v>0</v>
      </c>
      <c r="AD91" s="19">
        <f t="shared" si="54"/>
        <v>-476</v>
      </c>
      <c r="AE91" s="3">
        <f>SUMIF(MORTALIDAD!$R:$R,RESUMEN!AA91,MORTALIDAD!$W:$W)</f>
        <v>0</v>
      </c>
      <c r="AF91" s="3">
        <f>SUMIF(TRASLADOS!$T:$T,RESUMEN!AA91,TRASLADOS!$W:$W)</f>
        <v>0</v>
      </c>
      <c r="AG91" s="3">
        <f>SUMIF(TRASLADOS!$T:$T,RESUMEN!AA91,TRASLADOS!$X:$X)</f>
        <v>0</v>
      </c>
      <c r="AH91" s="3">
        <f>SUMIF(VENTAS!$R:$R,RESUMEN!AA91,VENTAS!$V:$V)</f>
        <v>0</v>
      </c>
      <c r="AI91" s="3">
        <f>SUMIF(VENTAS!$R:$R,RESUMEN!AA91,VENTAS!$W:$W)</f>
        <v>0</v>
      </c>
      <c r="AJ91" s="97">
        <f t="shared" si="55"/>
        <v>1724</v>
      </c>
      <c r="AK91" s="96"/>
      <c r="AL91" s="99">
        <f t="shared" si="46"/>
        <v>14</v>
      </c>
      <c r="AM91" s="11">
        <f t="shared" si="56"/>
        <v>43352</v>
      </c>
      <c r="AN91" s="3">
        <f t="shared" si="56"/>
        <v>98</v>
      </c>
      <c r="AO91" s="3">
        <f>SUMIF(MORTALIDAD!$Z:$Z,RESUMEN!AM91,MORTALIDAD!$AD:$AD)</f>
        <v>0</v>
      </c>
      <c r="AP91" s="19">
        <f t="shared" si="57"/>
        <v>-124</v>
      </c>
      <c r="AQ91" s="3">
        <f>SUMIF(MORTALIDAD!$Z:$Z,RESUMEN!AM91,MORTALIDAD!$AE:$AE)</f>
        <v>0</v>
      </c>
      <c r="AR91" s="3">
        <f>SUMIF(TRASLADOS!$AC:$AC,RESUMEN!AM91,TRASLADOS!$AF:$AF)</f>
        <v>0</v>
      </c>
      <c r="AS91" s="3">
        <f>SUMIF(TRASLADOS!$AC:$AC,RESUMEN!AM91,TRASLADOS!$AG:$AG)</f>
        <v>0</v>
      </c>
      <c r="AT91" s="3">
        <f>SUMIF(VENTAS!$Z:$Z,RESUMEN!AM91,VENTAS!$AD:$AD)</f>
        <v>0</v>
      </c>
      <c r="AU91" s="3">
        <f>SUMIF(VENTAS!$Z:$Z,RESUMEN!AM91,VENTAS!$AE:$AE)</f>
        <v>0</v>
      </c>
      <c r="AV91" s="97">
        <f t="shared" si="58"/>
        <v>2076</v>
      </c>
      <c r="AW91" s="96"/>
      <c r="AX91" s="99">
        <f t="shared" si="47"/>
        <v>14</v>
      </c>
      <c r="AY91" s="11">
        <f t="shared" si="59"/>
        <v>43359</v>
      </c>
      <c r="AZ91" s="3">
        <f t="shared" si="59"/>
        <v>98</v>
      </c>
      <c r="BA91" s="3">
        <f>SUMIF(MORTALIDAD!$AH:$AH,RESUMEN!AY91,MORTALIDAD!$AL:$AL)</f>
        <v>0</v>
      </c>
      <c r="BB91" s="19">
        <f t="shared" si="60"/>
        <v>-119</v>
      </c>
      <c r="BC91" s="3">
        <f>SUMIF(MORTALIDAD!$AH:$AH,RESUMEN!AY91,MORTALIDAD!$AM:$AM)</f>
        <v>0</v>
      </c>
      <c r="BD91" s="3">
        <f>SUMIF(TRASLADOS!$AL:$AL,RESUMEN!AY91,TRASLADOS!$AO:$AO)</f>
        <v>0</v>
      </c>
      <c r="BE91" s="3">
        <f>SUMIF(TRASLADOS!$AL:$AL,RESUMEN!AY91,TRASLADOS!$AP:$AP)</f>
        <v>0</v>
      </c>
      <c r="BF91" s="3">
        <f>SUMIF(VENTAS!$AH:$AH,RESUMEN!AY91,VENTAS!$AL:$AL)</f>
        <v>0</v>
      </c>
      <c r="BG91" s="3">
        <f>SUMIF(VENTAS!$AH:$AH,RESUMEN!AY91,VENTAS!$AM:$AM)</f>
        <v>0</v>
      </c>
      <c r="BH91" s="97">
        <f t="shared" si="61"/>
        <v>2081</v>
      </c>
      <c r="BI91" s="96"/>
      <c r="BJ91" s="99">
        <f t="shared" si="48"/>
        <v>15</v>
      </c>
      <c r="BK91" s="11">
        <f t="shared" si="62"/>
        <v>43368</v>
      </c>
      <c r="BL91" s="3">
        <f t="shared" si="62"/>
        <v>101</v>
      </c>
      <c r="BM91" s="3">
        <f>SUMIF(MORTALIDAD!$AP:$AP,RESUMEN!BK91,MORTALIDAD!$AT:$AT)</f>
        <v>0</v>
      </c>
      <c r="BN91" s="19">
        <f t="shared" si="63"/>
        <v>-73</v>
      </c>
      <c r="BO91" s="3">
        <f>SUMIF(MORTALIDAD!$AP$6:$AP$200,RESUMEN!BK91,MORTALIDAD!$AU$6:$AU$200)</f>
        <v>0</v>
      </c>
      <c r="BP91" s="3">
        <f>SUMIF(TRASLADOS!$AU:$AU,RESUMEN!BK91,TRASLADOS!$AX:$AX)</f>
        <v>0</v>
      </c>
      <c r="BQ91" s="3">
        <f>SUMIF(TRASLADOS!$AU:$AU,RESUMEN!BK91,TRASLADOS!$AY:$AY)</f>
        <v>0</v>
      </c>
      <c r="BR91" s="3">
        <f>SUMIF(VENTAS!$AP:$AP,RESUMEN!BK91,VENTAS!$AT:$AT)</f>
        <v>0</v>
      </c>
      <c r="BS91" s="3">
        <f>SUMIF(VENTAS!$AP:$AP,RESUMEN!BK91,VENTAS!$AU:$AU)</f>
        <v>0</v>
      </c>
      <c r="BT91" s="36">
        <f t="shared" si="64"/>
        <v>2241</v>
      </c>
    </row>
    <row r="92" spans="2:72" x14ac:dyDescent="0.2">
      <c r="B92" s="3">
        <f t="shared" si="43"/>
        <v>15</v>
      </c>
      <c r="C92" s="11">
        <f t="shared" si="35"/>
        <v>43339</v>
      </c>
      <c r="D92" s="3">
        <f t="shared" si="36"/>
        <v>101</v>
      </c>
      <c r="E92" s="3">
        <f>SUMIF(MORTALIDAD!$B$6:$B$200,RESUMEN!C92,MORTALIDAD!$F$6:$F$200)</f>
        <v>0</v>
      </c>
      <c r="F92" s="17">
        <f t="shared" si="37"/>
        <v>-740</v>
      </c>
      <c r="G92" s="3">
        <f>SUMIF(MORTALIDAD!$B$6:$B$200,RESUMEN!C92,MORTALIDAD!$G$6:$G$200)</f>
        <v>0</v>
      </c>
      <c r="H92" s="3">
        <f>SUMIF(TRASLADOS!$B$6:$B$200,C92,TRASLADOS!$E$6:$E$200)</f>
        <v>0</v>
      </c>
      <c r="I92" s="3">
        <f>SUMIF(TRASLADOS!$B$6:$B$200,C92,TRASLADOS!$F$6:$F$200)</f>
        <v>0</v>
      </c>
      <c r="J92" s="3">
        <f>SUMIF(VENTAS!$B$6:$B$200,RESUMEN!C92,VENTAS!$F$6:$F$200)</f>
        <v>0</v>
      </c>
      <c r="K92" s="3">
        <f>SUMIF(VENTAS!$B$6:$B$200,RESUMEN!C92,VENTAS!$G$6:$G$200)</f>
        <v>0</v>
      </c>
      <c r="L92" s="97">
        <f t="shared" si="49"/>
        <v>1460</v>
      </c>
      <c r="M92" s="96"/>
      <c r="N92" s="99">
        <f t="shared" si="44"/>
        <v>15</v>
      </c>
      <c r="O92" s="11">
        <f t="shared" si="50"/>
        <v>43342</v>
      </c>
      <c r="P92" s="3">
        <f t="shared" si="50"/>
        <v>100</v>
      </c>
      <c r="Q92" s="3">
        <f>SUMIF(MORTALIDAD!$J:$J,RESUMEN!O92,MORTALIDAD!$N:$N)</f>
        <v>0</v>
      </c>
      <c r="R92" s="19">
        <f t="shared" si="51"/>
        <v>-680</v>
      </c>
      <c r="S92" s="3">
        <f>SUMIF(MORTALIDAD!$J:$J,RESUMEN!O92,MORTALIDAD!$O:$O)</f>
        <v>0</v>
      </c>
      <c r="T92" s="3">
        <f>SUMIF(TRASLADOS!$K:$K,RESUMEN!O92,TRASLADOS!$N:$N)</f>
        <v>0</v>
      </c>
      <c r="U92" s="3">
        <f>SUMIF(TRASLADOS!$K:$K,RESUMEN!O92,TRASLADOS!$O:$O)</f>
        <v>0</v>
      </c>
      <c r="V92" s="3">
        <f>SUMIF(VENTAS!$J:$J,RESUMEN!O92,VENTAS!$N:$N)</f>
        <v>0</v>
      </c>
      <c r="W92" s="3">
        <f>SUMIF(VENTAS!$J:$J,RESUMEN!O92,VENTAS!$O:$O)</f>
        <v>0</v>
      </c>
      <c r="X92" s="97">
        <f t="shared" si="52"/>
        <v>1520</v>
      </c>
      <c r="Y92" s="96"/>
      <c r="Z92" s="99">
        <f t="shared" si="45"/>
        <v>15</v>
      </c>
      <c r="AA92" s="11">
        <f t="shared" si="53"/>
        <v>43346</v>
      </c>
      <c r="AB92" s="3">
        <f t="shared" si="53"/>
        <v>99</v>
      </c>
      <c r="AC92" s="3">
        <f>SUMIF(MORTALIDAD!$R:$R,RESUMEN!AA92,MORTALIDAD!$V:$V)</f>
        <v>0</v>
      </c>
      <c r="AD92" s="19">
        <f t="shared" si="54"/>
        <v>-476</v>
      </c>
      <c r="AE92" s="3">
        <f>SUMIF(MORTALIDAD!$R:$R,RESUMEN!AA92,MORTALIDAD!$W:$W)</f>
        <v>0</v>
      </c>
      <c r="AF92" s="3">
        <f>SUMIF(TRASLADOS!$T:$T,RESUMEN!AA92,TRASLADOS!$W:$W)</f>
        <v>0</v>
      </c>
      <c r="AG92" s="3">
        <f>SUMIF(TRASLADOS!$T:$T,RESUMEN!AA92,TRASLADOS!$X:$X)</f>
        <v>0</v>
      </c>
      <c r="AH92" s="3">
        <f>SUMIF(VENTAS!$R:$R,RESUMEN!AA92,VENTAS!$V:$V)</f>
        <v>0</v>
      </c>
      <c r="AI92" s="3">
        <f>SUMIF(VENTAS!$R:$R,RESUMEN!AA92,VENTAS!$W:$W)</f>
        <v>0</v>
      </c>
      <c r="AJ92" s="97">
        <f t="shared" si="55"/>
        <v>1724</v>
      </c>
      <c r="AK92" s="96"/>
      <c r="AL92" s="99">
        <f t="shared" si="46"/>
        <v>15</v>
      </c>
      <c r="AM92" s="11">
        <f t="shared" si="56"/>
        <v>43353</v>
      </c>
      <c r="AN92" s="3">
        <f t="shared" si="56"/>
        <v>99</v>
      </c>
      <c r="AO92" s="3">
        <f>SUMIF(MORTALIDAD!$Z:$Z,RESUMEN!AM92,MORTALIDAD!$AD:$AD)</f>
        <v>0</v>
      </c>
      <c r="AP92" s="19">
        <f t="shared" si="57"/>
        <v>-124</v>
      </c>
      <c r="AQ92" s="3">
        <f>SUMIF(MORTALIDAD!$Z:$Z,RESUMEN!AM92,MORTALIDAD!$AE:$AE)</f>
        <v>0</v>
      </c>
      <c r="AR92" s="3">
        <f>SUMIF(TRASLADOS!$AC:$AC,RESUMEN!AM92,TRASLADOS!$AF:$AF)</f>
        <v>0</v>
      </c>
      <c r="AS92" s="3">
        <f>SUMIF(TRASLADOS!$AC:$AC,RESUMEN!AM92,TRASLADOS!$AG:$AG)</f>
        <v>0</v>
      </c>
      <c r="AT92" s="3">
        <f>SUMIF(VENTAS!$Z:$Z,RESUMEN!AM92,VENTAS!$AD:$AD)</f>
        <v>0</v>
      </c>
      <c r="AU92" s="3">
        <f>SUMIF(VENTAS!$Z:$Z,RESUMEN!AM92,VENTAS!$AE:$AE)</f>
        <v>0</v>
      </c>
      <c r="AV92" s="97">
        <f t="shared" si="58"/>
        <v>2076</v>
      </c>
      <c r="AW92" s="96"/>
      <c r="AX92" s="99">
        <f t="shared" si="47"/>
        <v>15</v>
      </c>
      <c r="AY92" s="11">
        <f t="shared" si="59"/>
        <v>43360</v>
      </c>
      <c r="AZ92" s="3">
        <f t="shared" si="59"/>
        <v>99</v>
      </c>
      <c r="BA92" s="3">
        <f>SUMIF(MORTALIDAD!$AH:$AH,RESUMEN!AY92,MORTALIDAD!$AL:$AL)</f>
        <v>0</v>
      </c>
      <c r="BB92" s="19">
        <f t="shared" si="60"/>
        <v>-119</v>
      </c>
      <c r="BC92" s="3">
        <f>SUMIF(MORTALIDAD!$AH:$AH,RESUMEN!AY92,MORTALIDAD!$AM:$AM)</f>
        <v>0</v>
      </c>
      <c r="BD92" s="3">
        <f>SUMIF(TRASLADOS!$AL:$AL,RESUMEN!AY92,TRASLADOS!$AO:$AO)</f>
        <v>0</v>
      </c>
      <c r="BE92" s="3">
        <f>SUMIF(TRASLADOS!$AL:$AL,RESUMEN!AY92,TRASLADOS!$AP:$AP)</f>
        <v>0</v>
      </c>
      <c r="BF92" s="3">
        <f>SUMIF(VENTAS!$AH:$AH,RESUMEN!AY92,VENTAS!$AL:$AL)</f>
        <v>0</v>
      </c>
      <c r="BG92" s="3">
        <f>SUMIF(VENTAS!$AH:$AH,RESUMEN!AY92,VENTAS!$AM:$AM)</f>
        <v>0</v>
      </c>
      <c r="BH92" s="97">
        <f t="shared" si="61"/>
        <v>2081</v>
      </c>
      <c r="BI92" s="96"/>
      <c r="BJ92" s="99">
        <f t="shared" si="48"/>
        <v>15</v>
      </c>
      <c r="BK92" s="11">
        <f t="shared" si="62"/>
        <v>43369</v>
      </c>
      <c r="BL92" s="3">
        <f t="shared" si="62"/>
        <v>102</v>
      </c>
      <c r="BM92" s="3">
        <f>SUMIF(MORTALIDAD!$AP:$AP,RESUMEN!BK92,MORTALIDAD!$AT:$AT)</f>
        <v>0</v>
      </c>
      <c r="BN92" s="19">
        <f t="shared" si="63"/>
        <v>-73</v>
      </c>
      <c r="BO92" s="3">
        <f>SUMIF(MORTALIDAD!$AP$6:$AP$200,RESUMEN!BK92,MORTALIDAD!$AU$6:$AU$200)</f>
        <v>0</v>
      </c>
      <c r="BP92" s="3">
        <f>SUMIF(TRASLADOS!$AU:$AU,RESUMEN!BK92,TRASLADOS!$AX:$AX)</f>
        <v>0</v>
      </c>
      <c r="BQ92" s="3">
        <f>SUMIF(TRASLADOS!$AU:$AU,RESUMEN!BK92,TRASLADOS!$AY:$AY)</f>
        <v>0</v>
      </c>
      <c r="BR92" s="3">
        <f>SUMIF(VENTAS!$AP:$AP,RESUMEN!BK92,VENTAS!$AT:$AT)</f>
        <v>0</v>
      </c>
      <c r="BS92" s="3">
        <f>SUMIF(VENTAS!$AP:$AP,RESUMEN!BK92,VENTAS!$AU:$AU)</f>
        <v>0</v>
      </c>
      <c r="BT92" s="36">
        <f t="shared" si="64"/>
        <v>2241</v>
      </c>
    </row>
    <row r="93" spans="2:72" x14ac:dyDescent="0.2">
      <c r="B93" s="3">
        <f t="shared" si="43"/>
        <v>15</v>
      </c>
      <c r="C93" s="11">
        <f t="shared" si="35"/>
        <v>43340</v>
      </c>
      <c r="D93" s="3">
        <f t="shared" si="36"/>
        <v>102</v>
      </c>
      <c r="E93" s="3">
        <f>SUMIF(MORTALIDAD!$B$6:$B$200,RESUMEN!C93,MORTALIDAD!$F$6:$F$200)</f>
        <v>0</v>
      </c>
      <c r="F93" s="17">
        <f t="shared" si="37"/>
        <v>-740</v>
      </c>
      <c r="G93" s="3">
        <f>SUMIF(MORTALIDAD!$B$6:$B$200,RESUMEN!C93,MORTALIDAD!$G$6:$G$200)</f>
        <v>0</v>
      </c>
      <c r="H93" s="3">
        <f>SUMIF(TRASLADOS!$B$6:$B$200,C93,TRASLADOS!$E$6:$E$200)</f>
        <v>0</v>
      </c>
      <c r="I93" s="3">
        <f>SUMIF(TRASLADOS!$B$6:$B$200,C93,TRASLADOS!$F$6:$F$200)</f>
        <v>0</v>
      </c>
      <c r="J93" s="3">
        <f>SUMIF(VENTAS!$B$6:$B$200,RESUMEN!C93,VENTAS!$F$6:$F$200)</f>
        <v>0</v>
      </c>
      <c r="K93" s="3">
        <f>SUMIF(VENTAS!$B$6:$B$200,RESUMEN!C93,VENTAS!$G$6:$G$200)</f>
        <v>0</v>
      </c>
      <c r="L93" s="97">
        <f t="shared" si="49"/>
        <v>1460</v>
      </c>
      <c r="M93" s="96"/>
      <c r="N93" s="99">
        <f t="shared" si="44"/>
        <v>15</v>
      </c>
      <c r="O93" s="11">
        <f t="shared" si="50"/>
        <v>43343</v>
      </c>
      <c r="P93" s="3">
        <f t="shared" si="50"/>
        <v>101</v>
      </c>
      <c r="Q93" s="3">
        <f>SUMIF(MORTALIDAD!$J:$J,RESUMEN!O93,MORTALIDAD!$N:$N)</f>
        <v>0</v>
      </c>
      <c r="R93" s="19">
        <f t="shared" si="51"/>
        <v>-680</v>
      </c>
      <c r="S93" s="3">
        <f>SUMIF(MORTALIDAD!$J:$J,RESUMEN!O93,MORTALIDAD!$O:$O)</f>
        <v>0</v>
      </c>
      <c r="T93" s="3">
        <f>SUMIF(TRASLADOS!$K:$K,RESUMEN!O93,TRASLADOS!$N:$N)</f>
        <v>0</v>
      </c>
      <c r="U93" s="3">
        <f>SUMIF(TRASLADOS!$K:$K,RESUMEN!O93,TRASLADOS!$O:$O)</f>
        <v>0</v>
      </c>
      <c r="V93" s="3">
        <f>SUMIF(VENTAS!$J:$J,RESUMEN!O93,VENTAS!$N:$N)</f>
        <v>0</v>
      </c>
      <c r="W93" s="3">
        <f>SUMIF(VENTAS!$J:$J,RESUMEN!O93,VENTAS!$O:$O)</f>
        <v>0</v>
      </c>
      <c r="X93" s="97">
        <f t="shared" si="52"/>
        <v>1520</v>
      </c>
      <c r="Y93" s="96"/>
      <c r="Z93" s="99">
        <f t="shared" si="45"/>
        <v>15</v>
      </c>
      <c r="AA93" s="11">
        <f t="shared" si="53"/>
        <v>43347</v>
      </c>
      <c r="AB93" s="3">
        <f t="shared" si="53"/>
        <v>100</v>
      </c>
      <c r="AC93" s="3">
        <f>SUMIF(MORTALIDAD!$R:$R,RESUMEN!AA93,MORTALIDAD!$V:$V)</f>
        <v>0</v>
      </c>
      <c r="AD93" s="19">
        <f t="shared" si="54"/>
        <v>-476</v>
      </c>
      <c r="AE93" s="3">
        <f>SUMIF(MORTALIDAD!$R:$R,RESUMEN!AA93,MORTALIDAD!$W:$W)</f>
        <v>0</v>
      </c>
      <c r="AF93" s="3">
        <f>SUMIF(TRASLADOS!$T:$T,RESUMEN!AA93,TRASLADOS!$W:$W)</f>
        <v>0</v>
      </c>
      <c r="AG93" s="3">
        <f>SUMIF(TRASLADOS!$T:$T,RESUMEN!AA93,TRASLADOS!$X:$X)</f>
        <v>0</v>
      </c>
      <c r="AH93" s="3">
        <f>SUMIF(VENTAS!$R:$R,RESUMEN!AA93,VENTAS!$V:$V)</f>
        <v>0</v>
      </c>
      <c r="AI93" s="3">
        <f>SUMIF(VENTAS!$R:$R,RESUMEN!AA93,VENTAS!$W:$W)</f>
        <v>0</v>
      </c>
      <c r="AJ93" s="97">
        <f t="shared" si="55"/>
        <v>1724</v>
      </c>
      <c r="AK93" s="96"/>
      <c r="AL93" s="99">
        <f t="shared" si="46"/>
        <v>15</v>
      </c>
      <c r="AM93" s="11">
        <f t="shared" si="56"/>
        <v>43354</v>
      </c>
      <c r="AN93" s="3">
        <f t="shared" si="56"/>
        <v>100</v>
      </c>
      <c r="AO93" s="3">
        <f>SUMIF(MORTALIDAD!$Z:$Z,RESUMEN!AM93,MORTALIDAD!$AD:$AD)</f>
        <v>0</v>
      </c>
      <c r="AP93" s="19">
        <f t="shared" si="57"/>
        <v>-124</v>
      </c>
      <c r="AQ93" s="3">
        <f>SUMIF(MORTALIDAD!$Z:$Z,RESUMEN!AM93,MORTALIDAD!$AE:$AE)</f>
        <v>0</v>
      </c>
      <c r="AR93" s="3">
        <f>SUMIF(TRASLADOS!$AC:$AC,RESUMEN!AM93,TRASLADOS!$AF:$AF)</f>
        <v>0</v>
      </c>
      <c r="AS93" s="3">
        <f>SUMIF(TRASLADOS!$AC:$AC,RESUMEN!AM93,TRASLADOS!$AG:$AG)</f>
        <v>0</v>
      </c>
      <c r="AT93" s="3">
        <f>SUMIF(VENTAS!$Z:$Z,RESUMEN!AM93,VENTAS!$AD:$AD)</f>
        <v>0</v>
      </c>
      <c r="AU93" s="3">
        <f>SUMIF(VENTAS!$Z:$Z,RESUMEN!AM93,VENTAS!$AE:$AE)</f>
        <v>0</v>
      </c>
      <c r="AV93" s="97">
        <f t="shared" si="58"/>
        <v>2076</v>
      </c>
      <c r="AW93" s="96"/>
      <c r="AX93" s="99">
        <f t="shared" si="47"/>
        <v>15</v>
      </c>
      <c r="AY93" s="11">
        <f t="shared" si="59"/>
        <v>43361</v>
      </c>
      <c r="AZ93" s="3">
        <f t="shared" si="59"/>
        <v>100</v>
      </c>
      <c r="BA93" s="3">
        <f>SUMIF(MORTALIDAD!$AH:$AH,RESUMEN!AY93,MORTALIDAD!$AL:$AL)</f>
        <v>0</v>
      </c>
      <c r="BB93" s="19">
        <f t="shared" si="60"/>
        <v>-119</v>
      </c>
      <c r="BC93" s="3">
        <f>SUMIF(MORTALIDAD!$AH:$AH,RESUMEN!AY93,MORTALIDAD!$AM:$AM)</f>
        <v>0</v>
      </c>
      <c r="BD93" s="3">
        <f>SUMIF(TRASLADOS!$AL:$AL,RESUMEN!AY93,TRASLADOS!$AO:$AO)</f>
        <v>0</v>
      </c>
      <c r="BE93" s="3">
        <f>SUMIF(TRASLADOS!$AL:$AL,RESUMEN!AY93,TRASLADOS!$AP:$AP)</f>
        <v>0</v>
      </c>
      <c r="BF93" s="3">
        <f>SUMIF(VENTAS!$AH:$AH,RESUMEN!AY93,VENTAS!$AL:$AL)</f>
        <v>0</v>
      </c>
      <c r="BG93" s="3">
        <f>SUMIF(VENTAS!$AH:$AH,RESUMEN!AY93,VENTAS!$AM:$AM)</f>
        <v>0</v>
      </c>
      <c r="BH93" s="97">
        <f t="shared" si="61"/>
        <v>2081</v>
      </c>
      <c r="BI93" s="96"/>
      <c r="BJ93" s="99">
        <f t="shared" si="48"/>
        <v>15</v>
      </c>
      <c r="BK93" s="11">
        <f t="shared" si="62"/>
        <v>43370</v>
      </c>
      <c r="BL93" s="3">
        <f t="shared" si="62"/>
        <v>103</v>
      </c>
      <c r="BM93" s="3">
        <f>SUMIF(MORTALIDAD!$AP:$AP,RESUMEN!BK93,MORTALIDAD!$AT:$AT)</f>
        <v>0</v>
      </c>
      <c r="BN93" s="19">
        <f t="shared" si="63"/>
        <v>-73</v>
      </c>
      <c r="BO93" s="3">
        <f>SUMIF(MORTALIDAD!$AP$6:$AP$200,RESUMEN!BK93,MORTALIDAD!$AU$6:$AU$200)</f>
        <v>0</v>
      </c>
      <c r="BP93" s="3">
        <f>SUMIF(TRASLADOS!$AU:$AU,RESUMEN!BK93,TRASLADOS!$AX:$AX)</f>
        <v>0</v>
      </c>
      <c r="BQ93" s="3">
        <f>SUMIF(TRASLADOS!$AU:$AU,RESUMEN!BK93,TRASLADOS!$AY:$AY)</f>
        <v>0</v>
      </c>
      <c r="BR93" s="3">
        <f>SUMIF(VENTAS!$AP:$AP,RESUMEN!BK93,VENTAS!$AT:$AT)</f>
        <v>0</v>
      </c>
      <c r="BS93" s="3">
        <f>SUMIF(VENTAS!$AP:$AP,RESUMEN!BK93,VENTAS!$AU:$AU)</f>
        <v>0</v>
      </c>
      <c r="BT93" s="36">
        <f t="shared" si="64"/>
        <v>2241</v>
      </c>
    </row>
    <row r="94" spans="2:72" x14ac:dyDescent="0.2">
      <c r="B94" s="3">
        <f t="shared" si="43"/>
        <v>15</v>
      </c>
      <c r="C94" s="11">
        <f t="shared" si="35"/>
        <v>43341</v>
      </c>
      <c r="D94" s="3">
        <f t="shared" si="36"/>
        <v>103</v>
      </c>
      <c r="E94" s="3">
        <f>SUMIF(MORTALIDAD!$B$6:$B$200,RESUMEN!C94,MORTALIDAD!$F$6:$F$200)</f>
        <v>0</v>
      </c>
      <c r="F94" s="17">
        <f t="shared" si="37"/>
        <v>-740</v>
      </c>
      <c r="G94" s="3">
        <f>SUMIF(MORTALIDAD!$B$6:$B$200,RESUMEN!C94,MORTALIDAD!$G$6:$G$200)</f>
        <v>0</v>
      </c>
      <c r="H94" s="3">
        <f>SUMIF(TRASLADOS!$B$6:$B$200,C94,TRASLADOS!$E$6:$E$200)</f>
        <v>0</v>
      </c>
      <c r="I94" s="3">
        <f>SUMIF(TRASLADOS!$B$6:$B$200,C94,TRASLADOS!$F$6:$F$200)</f>
        <v>0</v>
      </c>
      <c r="J94" s="3">
        <f>SUMIF(VENTAS!$B$6:$B$200,RESUMEN!C94,VENTAS!$F$6:$F$200)</f>
        <v>0</v>
      </c>
      <c r="K94" s="3">
        <f>SUMIF(VENTAS!$B$6:$B$200,RESUMEN!C94,VENTAS!$G$6:$G$200)</f>
        <v>0</v>
      </c>
      <c r="L94" s="97">
        <f t="shared" si="49"/>
        <v>1460</v>
      </c>
      <c r="M94" s="96"/>
      <c r="N94" s="99">
        <f t="shared" si="44"/>
        <v>15</v>
      </c>
      <c r="O94" s="11">
        <f t="shared" si="50"/>
        <v>43344</v>
      </c>
      <c r="P94" s="3">
        <f t="shared" si="50"/>
        <v>102</v>
      </c>
      <c r="Q94" s="3">
        <f>SUMIF(MORTALIDAD!$J:$J,RESUMEN!O94,MORTALIDAD!$N:$N)</f>
        <v>0</v>
      </c>
      <c r="R94" s="19">
        <f t="shared" si="51"/>
        <v>-680</v>
      </c>
      <c r="S94" s="3">
        <f>SUMIF(MORTALIDAD!$J:$J,RESUMEN!O94,MORTALIDAD!$O:$O)</f>
        <v>0</v>
      </c>
      <c r="T94" s="3">
        <f>SUMIF(TRASLADOS!$K:$K,RESUMEN!O94,TRASLADOS!$N:$N)</f>
        <v>0</v>
      </c>
      <c r="U94" s="3">
        <f>SUMIF(TRASLADOS!$K:$K,RESUMEN!O94,TRASLADOS!$O:$O)</f>
        <v>0</v>
      </c>
      <c r="V94" s="3">
        <f>SUMIF(VENTAS!$J:$J,RESUMEN!O94,VENTAS!$N:$N)</f>
        <v>0</v>
      </c>
      <c r="W94" s="3">
        <f>SUMIF(VENTAS!$J:$J,RESUMEN!O94,VENTAS!$O:$O)</f>
        <v>0</v>
      </c>
      <c r="X94" s="97">
        <f t="shared" si="52"/>
        <v>1520</v>
      </c>
      <c r="Y94" s="96"/>
      <c r="Z94" s="99">
        <f t="shared" si="45"/>
        <v>15</v>
      </c>
      <c r="AA94" s="11">
        <f t="shared" si="53"/>
        <v>43348</v>
      </c>
      <c r="AB94" s="3">
        <f t="shared" si="53"/>
        <v>101</v>
      </c>
      <c r="AC94" s="3">
        <f>SUMIF(MORTALIDAD!$R:$R,RESUMEN!AA94,MORTALIDAD!$V:$V)</f>
        <v>0</v>
      </c>
      <c r="AD94" s="19">
        <f t="shared" si="54"/>
        <v>-476</v>
      </c>
      <c r="AE94" s="3">
        <f>SUMIF(MORTALIDAD!$R:$R,RESUMEN!AA94,MORTALIDAD!$W:$W)</f>
        <v>0</v>
      </c>
      <c r="AF94" s="3">
        <f>SUMIF(TRASLADOS!$T:$T,RESUMEN!AA94,TRASLADOS!$W:$W)</f>
        <v>0</v>
      </c>
      <c r="AG94" s="3">
        <f>SUMIF(TRASLADOS!$T:$T,RESUMEN!AA94,TRASLADOS!$X:$X)</f>
        <v>0</v>
      </c>
      <c r="AH94" s="3">
        <f>SUMIF(VENTAS!$R:$R,RESUMEN!AA94,VENTAS!$V:$V)</f>
        <v>0</v>
      </c>
      <c r="AI94" s="3">
        <f>SUMIF(VENTAS!$R:$R,RESUMEN!AA94,VENTAS!$W:$W)</f>
        <v>0</v>
      </c>
      <c r="AJ94" s="97">
        <f t="shared" si="55"/>
        <v>1724</v>
      </c>
      <c r="AK94" s="96"/>
      <c r="AL94" s="99">
        <f t="shared" si="46"/>
        <v>15</v>
      </c>
      <c r="AM94" s="11">
        <f t="shared" si="56"/>
        <v>43355</v>
      </c>
      <c r="AN94" s="3">
        <f t="shared" si="56"/>
        <v>101</v>
      </c>
      <c r="AO94" s="3">
        <f>SUMIF(MORTALIDAD!$Z:$Z,RESUMEN!AM94,MORTALIDAD!$AD:$AD)</f>
        <v>0</v>
      </c>
      <c r="AP94" s="19">
        <f t="shared" si="57"/>
        <v>-124</v>
      </c>
      <c r="AQ94" s="3">
        <f>SUMIF(MORTALIDAD!$Z:$Z,RESUMEN!AM94,MORTALIDAD!$AE:$AE)</f>
        <v>0</v>
      </c>
      <c r="AR94" s="3">
        <f>SUMIF(TRASLADOS!$AC:$AC,RESUMEN!AM94,TRASLADOS!$AF:$AF)</f>
        <v>0</v>
      </c>
      <c r="AS94" s="3">
        <f>SUMIF(TRASLADOS!$AC:$AC,RESUMEN!AM94,TRASLADOS!$AG:$AG)</f>
        <v>0</v>
      </c>
      <c r="AT94" s="3">
        <f>SUMIF(VENTAS!$Z:$Z,RESUMEN!AM94,VENTAS!$AD:$AD)</f>
        <v>0</v>
      </c>
      <c r="AU94" s="3">
        <f>SUMIF(VENTAS!$Z:$Z,RESUMEN!AM94,VENTAS!$AE:$AE)</f>
        <v>0</v>
      </c>
      <c r="AV94" s="97">
        <f t="shared" si="58"/>
        <v>2076</v>
      </c>
      <c r="AW94" s="96"/>
      <c r="AX94" s="99">
        <f t="shared" si="47"/>
        <v>15</v>
      </c>
      <c r="AY94" s="11">
        <f t="shared" si="59"/>
        <v>43362</v>
      </c>
      <c r="AZ94" s="3">
        <f t="shared" si="59"/>
        <v>101</v>
      </c>
      <c r="BA94" s="3">
        <f>SUMIF(MORTALIDAD!$AH:$AH,RESUMEN!AY94,MORTALIDAD!$AL:$AL)</f>
        <v>0</v>
      </c>
      <c r="BB94" s="19">
        <f t="shared" si="60"/>
        <v>-119</v>
      </c>
      <c r="BC94" s="3">
        <f>SUMIF(MORTALIDAD!$AH:$AH,RESUMEN!AY94,MORTALIDAD!$AM:$AM)</f>
        <v>0</v>
      </c>
      <c r="BD94" s="3">
        <f>SUMIF(TRASLADOS!$AL:$AL,RESUMEN!AY94,TRASLADOS!$AO:$AO)</f>
        <v>0</v>
      </c>
      <c r="BE94" s="3">
        <f>SUMIF(TRASLADOS!$AL:$AL,RESUMEN!AY94,TRASLADOS!$AP:$AP)</f>
        <v>0</v>
      </c>
      <c r="BF94" s="3">
        <f>SUMIF(VENTAS!$AH:$AH,RESUMEN!AY94,VENTAS!$AL:$AL)</f>
        <v>0</v>
      </c>
      <c r="BG94" s="3">
        <f>SUMIF(VENTAS!$AH:$AH,RESUMEN!AY94,VENTAS!$AM:$AM)</f>
        <v>0</v>
      </c>
      <c r="BH94" s="97">
        <f t="shared" si="61"/>
        <v>2081</v>
      </c>
      <c r="BI94" s="96"/>
      <c r="BJ94" s="99">
        <f t="shared" si="48"/>
        <v>15</v>
      </c>
      <c r="BK94" s="11">
        <f t="shared" si="62"/>
        <v>43371</v>
      </c>
      <c r="BL94" s="3">
        <f t="shared" si="62"/>
        <v>104</v>
      </c>
      <c r="BM94" s="3">
        <f>SUMIF(MORTALIDAD!$AP:$AP,RESUMEN!BK94,MORTALIDAD!$AT:$AT)</f>
        <v>0</v>
      </c>
      <c r="BN94" s="19">
        <f t="shared" si="63"/>
        <v>-73</v>
      </c>
      <c r="BO94" s="3">
        <f>SUMIF(MORTALIDAD!$AP$6:$AP$200,RESUMEN!BK94,MORTALIDAD!$AU$6:$AU$200)</f>
        <v>0</v>
      </c>
      <c r="BP94" s="3">
        <f>SUMIF(TRASLADOS!$AU:$AU,RESUMEN!BK94,TRASLADOS!$AX:$AX)</f>
        <v>0</v>
      </c>
      <c r="BQ94" s="3">
        <f>SUMIF(TRASLADOS!$AU:$AU,RESUMEN!BK94,TRASLADOS!$AY:$AY)</f>
        <v>0</v>
      </c>
      <c r="BR94" s="3">
        <f>SUMIF(VENTAS!$AP:$AP,RESUMEN!BK94,VENTAS!$AT:$AT)</f>
        <v>0</v>
      </c>
      <c r="BS94" s="3">
        <f>SUMIF(VENTAS!$AP:$AP,RESUMEN!BK94,VENTAS!$AU:$AU)</f>
        <v>0</v>
      </c>
      <c r="BT94" s="36">
        <f t="shared" si="64"/>
        <v>2241</v>
      </c>
    </row>
    <row r="95" spans="2:72" x14ac:dyDescent="0.2">
      <c r="B95" s="3">
        <f t="shared" si="43"/>
        <v>15</v>
      </c>
      <c r="C95" s="11">
        <f t="shared" si="35"/>
        <v>43342</v>
      </c>
      <c r="D95" s="3">
        <f t="shared" si="36"/>
        <v>104</v>
      </c>
      <c r="E95" s="3">
        <f>SUMIF(MORTALIDAD!$B$6:$B$200,RESUMEN!C95,MORTALIDAD!$F$6:$F$200)</f>
        <v>0</v>
      </c>
      <c r="F95" s="17">
        <f t="shared" si="37"/>
        <v>-740</v>
      </c>
      <c r="G95" s="3">
        <f>SUMIF(MORTALIDAD!$B$6:$B$200,RESUMEN!C95,MORTALIDAD!$G$6:$G$200)</f>
        <v>0</v>
      </c>
      <c r="H95" s="3">
        <f>SUMIF(TRASLADOS!$B$6:$B$200,C95,TRASLADOS!$E$6:$E$200)</f>
        <v>0</v>
      </c>
      <c r="I95" s="3">
        <f>SUMIF(TRASLADOS!$B$6:$B$200,C95,TRASLADOS!$F$6:$F$200)</f>
        <v>0</v>
      </c>
      <c r="J95" s="3">
        <f>SUMIF(VENTAS!$B$6:$B$200,RESUMEN!C95,VENTAS!$F$6:$F$200)</f>
        <v>0</v>
      </c>
      <c r="K95" s="3">
        <f>SUMIF(VENTAS!$B$6:$B$200,RESUMEN!C95,VENTAS!$G$6:$G$200)</f>
        <v>0</v>
      </c>
      <c r="L95" s="97">
        <f t="shared" si="49"/>
        <v>1460</v>
      </c>
      <c r="M95" s="96"/>
      <c r="N95" s="99">
        <f t="shared" si="44"/>
        <v>15</v>
      </c>
      <c r="O95" s="11">
        <f t="shared" si="50"/>
        <v>43345</v>
      </c>
      <c r="P95" s="3">
        <f t="shared" si="50"/>
        <v>103</v>
      </c>
      <c r="Q95" s="3">
        <f>SUMIF(MORTALIDAD!$J:$J,RESUMEN!O95,MORTALIDAD!$N:$N)</f>
        <v>0</v>
      </c>
      <c r="R95" s="19">
        <f t="shared" si="51"/>
        <v>-680</v>
      </c>
      <c r="S95" s="3">
        <f>SUMIF(MORTALIDAD!$J:$J,RESUMEN!O95,MORTALIDAD!$O:$O)</f>
        <v>0</v>
      </c>
      <c r="T95" s="3">
        <f>SUMIF(TRASLADOS!$K:$K,RESUMEN!O95,TRASLADOS!$N:$N)</f>
        <v>0</v>
      </c>
      <c r="U95" s="3">
        <f>SUMIF(TRASLADOS!$K:$K,RESUMEN!O95,TRASLADOS!$O:$O)</f>
        <v>0</v>
      </c>
      <c r="V95" s="3">
        <f>SUMIF(VENTAS!$J:$J,RESUMEN!O95,VENTAS!$N:$N)</f>
        <v>0</v>
      </c>
      <c r="W95" s="3">
        <f>SUMIF(VENTAS!$J:$J,RESUMEN!O95,VENTAS!$O:$O)</f>
        <v>0</v>
      </c>
      <c r="X95" s="97">
        <f t="shared" si="52"/>
        <v>1520</v>
      </c>
      <c r="Y95" s="96"/>
      <c r="Z95" s="99">
        <f t="shared" si="45"/>
        <v>15</v>
      </c>
      <c r="AA95" s="11">
        <f t="shared" si="53"/>
        <v>43349</v>
      </c>
      <c r="AB95" s="3">
        <f t="shared" si="53"/>
        <v>102</v>
      </c>
      <c r="AC95" s="3">
        <f>SUMIF(MORTALIDAD!$R:$R,RESUMEN!AA95,MORTALIDAD!$V:$V)</f>
        <v>0</v>
      </c>
      <c r="AD95" s="19">
        <f t="shared" si="54"/>
        <v>-476</v>
      </c>
      <c r="AE95" s="3">
        <f>SUMIF(MORTALIDAD!$R:$R,RESUMEN!AA95,MORTALIDAD!$W:$W)</f>
        <v>0</v>
      </c>
      <c r="AF95" s="3">
        <f>SUMIF(TRASLADOS!$T:$T,RESUMEN!AA95,TRASLADOS!$W:$W)</f>
        <v>0</v>
      </c>
      <c r="AG95" s="3">
        <f>SUMIF(TRASLADOS!$T:$T,RESUMEN!AA95,TRASLADOS!$X:$X)</f>
        <v>0</v>
      </c>
      <c r="AH95" s="3">
        <f>SUMIF(VENTAS!$R:$R,RESUMEN!AA95,VENTAS!$V:$V)</f>
        <v>0</v>
      </c>
      <c r="AI95" s="3">
        <f>SUMIF(VENTAS!$R:$R,RESUMEN!AA95,VENTAS!$W:$W)</f>
        <v>0</v>
      </c>
      <c r="AJ95" s="97">
        <f t="shared" si="55"/>
        <v>1724</v>
      </c>
      <c r="AK95" s="96"/>
      <c r="AL95" s="99">
        <f t="shared" si="46"/>
        <v>15</v>
      </c>
      <c r="AM95" s="11">
        <f t="shared" si="56"/>
        <v>43356</v>
      </c>
      <c r="AN95" s="3">
        <f t="shared" si="56"/>
        <v>102</v>
      </c>
      <c r="AO95" s="3">
        <f>SUMIF(MORTALIDAD!$Z:$Z,RESUMEN!AM95,MORTALIDAD!$AD:$AD)</f>
        <v>0</v>
      </c>
      <c r="AP95" s="19">
        <f t="shared" si="57"/>
        <v>-124</v>
      </c>
      <c r="AQ95" s="3">
        <f>SUMIF(MORTALIDAD!$Z:$Z,RESUMEN!AM95,MORTALIDAD!$AE:$AE)</f>
        <v>0</v>
      </c>
      <c r="AR95" s="3">
        <f>SUMIF(TRASLADOS!$AC:$AC,RESUMEN!AM95,TRASLADOS!$AF:$AF)</f>
        <v>0</v>
      </c>
      <c r="AS95" s="3">
        <f>SUMIF(TRASLADOS!$AC:$AC,RESUMEN!AM95,TRASLADOS!$AG:$AG)</f>
        <v>0</v>
      </c>
      <c r="AT95" s="3">
        <f>SUMIF(VENTAS!$Z:$Z,RESUMEN!AM95,VENTAS!$AD:$AD)</f>
        <v>0</v>
      </c>
      <c r="AU95" s="3">
        <f>SUMIF(VENTAS!$Z:$Z,RESUMEN!AM95,VENTAS!$AE:$AE)</f>
        <v>0</v>
      </c>
      <c r="AV95" s="97">
        <f t="shared" si="58"/>
        <v>2076</v>
      </c>
      <c r="AW95" s="96"/>
      <c r="AX95" s="99">
        <f t="shared" si="47"/>
        <v>15</v>
      </c>
      <c r="AY95" s="11">
        <f t="shared" si="59"/>
        <v>43363</v>
      </c>
      <c r="AZ95" s="3">
        <f t="shared" si="59"/>
        <v>102</v>
      </c>
      <c r="BA95" s="3">
        <f>SUMIF(MORTALIDAD!$AH:$AH,RESUMEN!AY95,MORTALIDAD!$AL:$AL)</f>
        <v>0</v>
      </c>
      <c r="BB95" s="19">
        <f t="shared" si="60"/>
        <v>-119</v>
      </c>
      <c r="BC95" s="3">
        <f>SUMIF(MORTALIDAD!$AH:$AH,RESUMEN!AY95,MORTALIDAD!$AM:$AM)</f>
        <v>0</v>
      </c>
      <c r="BD95" s="3">
        <f>SUMIF(TRASLADOS!$AL:$AL,RESUMEN!AY95,TRASLADOS!$AO:$AO)</f>
        <v>0</v>
      </c>
      <c r="BE95" s="3">
        <f>SUMIF(TRASLADOS!$AL:$AL,RESUMEN!AY95,TRASLADOS!$AP:$AP)</f>
        <v>0</v>
      </c>
      <c r="BF95" s="3">
        <f>SUMIF(VENTAS!$AH:$AH,RESUMEN!AY95,VENTAS!$AL:$AL)</f>
        <v>0</v>
      </c>
      <c r="BG95" s="3">
        <f>SUMIF(VENTAS!$AH:$AH,RESUMEN!AY95,VENTAS!$AM:$AM)</f>
        <v>0</v>
      </c>
      <c r="BH95" s="97">
        <f t="shared" si="61"/>
        <v>2081</v>
      </c>
      <c r="BI95" s="96"/>
      <c r="BJ95" s="99">
        <f t="shared" si="48"/>
        <v>15</v>
      </c>
      <c r="BK95" s="11">
        <f t="shared" si="62"/>
        <v>43372</v>
      </c>
      <c r="BL95" s="3">
        <f t="shared" si="62"/>
        <v>105</v>
      </c>
      <c r="BM95" s="3">
        <f>SUMIF(MORTALIDAD!$AP:$AP,RESUMEN!BK95,MORTALIDAD!$AT:$AT)</f>
        <v>0</v>
      </c>
      <c r="BN95" s="19">
        <f t="shared" si="63"/>
        <v>-73</v>
      </c>
      <c r="BO95" s="3">
        <f>SUMIF(MORTALIDAD!$AP$6:$AP$200,RESUMEN!BK95,MORTALIDAD!$AU$6:$AU$200)</f>
        <v>0</v>
      </c>
      <c r="BP95" s="3">
        <f>SUMIF(TRASLADOS!$AU:$AU,RESUMEN!BK95,TRASLADOS!$AX:$AX)</f>
        <v>0</v>
      </c>
      <c r="BQ95" s="3">
        <f>SUMIF(TRASLADOS!$AU:$AU,RESUMEN!BK95,TRASLADOS!$AY:$AY)</f>
        <v>0</v>
      </c>
      <c r="BR95" s="3">
        <f>SUMIF(VENTAS!$AP:$AP,RESUMEN!BK95,VENTAS!$AT:$AT)</f>
        <v>0</v>
      </c>
      <c r="BS95" s="3">
        <f>SUMIF(VENTAS!$AP:$AP,RESUMEN!BK95,VENTAS!$AU:$AU)</f>
        <v>0</v>
      </c>
      <c r="BT95" s="36">
        <f t="shared" si="64"/>
        <v>2241</v>
      </c>
    </row>
    <row r="96" spans="2:72" x14ac:dyDescent="0.2">
      <c r="B96" s="3">
        <f t="shared" si="43"/>
        <v>15</v>
      </c>
      <c r="C96" s="11">
        <f t="shared" si="35"/>
        <v>43343</v>
      </c>
      <c r="D96" s="3">
        <f t="shared" si="36"/>
        <v>105</v>
      </c>
      <c r="E96" s="3">
        <f>SUMIF(MORTALIDAD!$B$6:$B$200,RESUMEN!C96,MORTALIDAD!$F$6:$F$200)</f>
        <v>0</v>
      </c>
      <c r="F96" s="17">
        <f t="shared" si="37"/>
        <v>-740</v>
      </c>
      <c r="G96" s="3">
        <f>SUMIF(MORTALIDAD!$B$6:$B$200,RESUMEN!C96,MORTALIDAD!$G$6:$G$200)</f>
        <v>0</v>
      </c>
      <c r="H96" s="3">
        <f>SUMIF(TRASLADOS!$B$6:$B$200,C96,TRASLADOS!$E$6:$E$200)</f>
        <v>0</v>
      </c>
      <c r="I96" s="3">
        <f>SUMIF(TRASLADOS!$B$6:$B$200,C96,TRASLADOS!$F$6:$F$200)</f>
        <v>0</v>
      </c>
      <c r="J96" s="3">
        <f>SUMIF(VENTAS!$B$6:$B$200,RESUMEN!C96,VENTAS!$F$6:$F$200)</f>
        <v>0</v>
      </c>
      <c r="K96" s="3">
        <f>SUMIF(VENTAS!$B$6:$B$200,RESUMEN!C96,VENTAS!$G$6:$G$200)</f>
        <v>0</v>
      </c>
      <c r="L96" s="97">
        <f t="shared" si="49"/>
        <v>1460</v>
      </c>
      <c r="M96" s="96"/>
      <c r="N96" s="99">
        <f t="shared" si="44"/>
        <v>15</v>
      </c>
      <c r="O96" s="11">
        <f t="shared" si="50"/>
        <v>43346</v>
      </c>
      <c r="P96" s="3">
        <f t="shared" si="50"/>
        <v>104</v>
      </c>
      <c r="Q96" s="3">
        <f>SUMIF(MORTALIDAD!$J:$J,RESUMEN!O96,MORTALIDAD!$N:$N)</f>
        <v>0</v>
      </c>
      <c r="R96" s="19">
        <f t="shared" si="51"/>
        <v>-680</v>
      </c>
      <c r="S96" s="3">
        <f>SUMIF(MORTALIDAD!$J:$J,RESUMEN!O96,MORTALIDAD!$O:$O)</f>
        <v>0</v>
      </c>
      <c r="T96" s="3">
        <f>SUMIF(TRASLADOS!$K:$K,RESUMEN!O96,TRASLADOS!$N:$N)</f>
        <v>0</v>
      </c>
      <c r="U96" s="3">
        <f>SUMIF(TRASLADOS!$K:$K,RESUMEN!O96,TRASLADOS!$O:$O)</f>
        <v>0</v>
      </c>
      <c r="V96" s="3">
        <f>SUMIF(VENTAS!$J:$J,RESUMEN!O96,VENTAS!$N:$N)</f>
        <v>0</v>
      </c>
      <c r="W96" s="3">
        <f>SUMIF(VENTAS!$J:$J,RESUMEN!O96,VENTAS!$O:$O)</f>
        <v>0</v>
      </c>
      <c r="X96" s="97">
        <f t="shared" si="52"/>
        <v>1520</v>
      </c>
      <c r="Y96" s="96"/>
      <c r="Z96" s="99">
        <f t="shared" si="45"/>
        <v>15</v>
      </c>
      <c r="AA96" s="11">
        <f t="shared" si="53"/>
        <v>43350</v>
      </c>
      <c r="AB96" s="3">
        <f t="shared" si="53"/>
        <v>103</v>
      </c>
      <c r="AC96" s="3">
        <f>SUMIF(MORTALIDAD!$R:$R,RESUMEN!AA96,MORTALIDAD!$V:$V)</f>
        <v>0</v>
      </c>
      <c r="AD96" s="19">
        <f t="shared" si="54"/>
        <v>-476</v>
      </c>
      <c r="AE96" s="3">
        <f>SUMIF(MORTALIDAD!$R:$R,RESUMEN!AA96,MORTALIDAD!$W:$W)</f>
        <v>0</v>
      </c>
      <c r="AF96" s="3">
        <f>SUMIF(TRASLADOS!$T:$T,RESUMEN!AA96,TRASLADOS!$W:$W)</f>
        <v>0</v>
      </c>
      <c r="AG96" s="3">
        <f>SUMIF(TRASLADOS!$T:$T,RESUMEN!AA96,TRASLADOS!$X:$X)</f>
        <v>0</v>
      </c>
      <c r="AH96" s="3">
        <f>SUMIF(VENTAS!$R:$R,RESUMEN!AA96,VENTAS!$V:$V)</f>
        <v>0</v>
      </c>
      <c r="AI96" s="3">
        <f>SUMIF(VENTAS!$R:$R,RESUMEN!AA96,VENTAS!$W:$W)</f>
        <v>0</v>
      </c>
      <c r="AJ96" s="97">
        <f t="shared" si="55"/>
        <v>1724</v>
      </c>
      <c r="AK96" s="96"/>
      <c r="AL96" s="99">
        <f t="shared" si="46"/>
        <v>15</v>
      </c>
      <c r="AM96" s="11">
        <f t="shared" si="56"/>
        <v>43357</v>
      </c>
      <c r="AN96" s="3">
        <f t="shared" si="56"/>
        <v>103</v>
      </c>
      <c r="AO96" s="3">
        <f>SUMIF(MORTALIDAD!$Z:$Z,RESUMEN!AM96,MORTALIDAD!$AD:$AD)</f>
        <v>0</v>
      </c>
      <c r="AP96" s="19">
        <f t="shared" si="57"/>
        <v>-124</v>
      </c>
      <c r="AQ96" s="3">
        <f>SUMIF(MORTALIDAD!$Z:$Z,RESUMEN!AM96,MORTALIDAD!$AE:$AE)</f>
        <v>0</v>
      </c>
      <c r="AR96" s="3">
        <f>SUMIF(TRASLADOS!$AC:$AC,RESUMEN!AM96,TRASLADOS!$AF:$AF)</f>
        <v>0</v>
      </c>
      <c r="AS96" s="3">
        <f>SUMIF(TRASLADOS!$AC:$AC,RESUMEN!AM96,TRASLADOS!$AG:$AG)</f>
        <v>0</v>
      </c>
      <c r="AT96" s="3">
        <f>SUMIF(VENTAS!$Z:$Z,RESUMEN!AM96,VENTAS!$AD:$AD)</f>
        <v>0</v>
      </c>
      <c r="AU96" s="3">
        <f>SUMIF(VENTAS!$Z:$Z,RESUMEN!AM96,VENTAS!$AE:$AE)</f>
        <v>0</v>
      </c>
      <c r="AV96" s="97">
        <f t="shared" si="58"/>
        <v>2076</v>
      </c>
      <c r="AW96" s="96"/>
      <c r="AX96" s="99">
        <f t="shared" si="47"/>
        <v>15</v>
      </c>
      <c r="AY96" s="11">
        <f t="shared" si="59"/>
        <v>43364</v>
      </c>
      <c r="AZ96" s="3">
        <f t="shared" si="59"/>
        <v>103</v>
      </c>
      <c r="BA96" s="3">
        <f>SUMIF(MORTALIDAD!$AH:$AH,RESUMEN!AY96,MORTALIDAD!$AL:$AL)</f>
        <v>0</v>
      </c>
      <c r="BB96" s="19">
        <f t="shared" si="60"/>
        <v>-119</v>
      </c>
      <c r="BC96" s="3">
        <f>SUMIF(MORTALIDAD!$AH:$AH,RESUMEN!AY96,MORTALIDAD!$AM:$AM)</f>
        <v>0</v>
      </c>
      <c r="BD96" s="3">
        <f>SUMIF(TRASLADOS!$AL:$AL,RESUMEN!AY96,TRASLADOS!$AO:$AO)</f>
        <v>0</v>
      </c>
      <c r="BE96" s="3">
        <f>SUMIF(TRASLADOS!$AL:$AL,RESUMEN!AY96,TRASLADOS!$AP:$AP)</f>
        <v>0</v>
      </c>
      <c r="BF96" s="3">
        <f>SUMIF(VENTAS!$AH:$AH,RESUMEN!AY96,VENTAS!$AL:$AL)</f>
        <v>0</v>
      </c>
      <c r="BG96" s="3">
        <f>SUMIF(VENTAS!$AH:$AH,RESUMEN!AY96,VENTAS!$AM:$AM)</f>
        <v>0</v>
      </c>
      <c r="BH96" s="97">
        <f t="shared" si="61"/>
        <v>2081</v>
      </c>
      <c r="BI96" s="96"/>
      <c r="BJ96" s="99">
        <f t="shared" si="48"/>
        <v>16</v>
      </c>
      <c r="BK96" s="11">
        <f t="shared" si="62"/>
        <v>43373</v>
      </c>
      <c r="BL96" s="3">
        <f t="shared" si="62"/>
        <v>106</v>
      </c>
      <c r="BM96" s="3">
        <f>SUMIF(MORTALIDAD!$AP:$AP,RESUMEN!BK96,MORTALIDAD!$AT:$AT)</f>
        <v>0</v>
      </c>
      <c r="BN96" s="19">
        <f t="shared" si="63"/>
        <v>-73</v>
      </c>
      <c r="BO96" s="3">
        <f>SUMIF(MORTALIDAD!$AP$6:$AP$200,RESUMEN!BK96,MORTALIDAD!$AU$6:$AU$200)</f>
        <v>0</v>
      </c>
      <c r="BP96" s="3">
        <f>SUMIF(TRASLADOS!$AU:$AU,RESUMEN!BK96,TRASLADOS!$AX:$AX)</f>
        <v>0</v>
      </c>
      <c r="BQ96" s="3">
        <f>SUMIF(TRASLADOS!$AU:$AU,RESUMEN!BK96,TRASLADOS!$AY:$AY)</f>
        <v>0</v>
      </c>
      <c r="BR96" s="3">
        <f>SUMIF(VENTAS!$AP:$AP,RESUMEN!BK96,VENTAS!$AT:$AT)</f>
        <v>0</v>
      </c>
      <c r="BS96" s="3">
        <f>SUMIF(VENTAS!$AP:$AP,RESUMEN!BK96,VENTAS!$AU:$AU)</f>
        <v>0</v>
      </c>
      <c r="BT96" s="36">
        <f t="shared" si="64"/>
        <v>2241</v>
      </c>
    </row>
    <row r="97" spans="2:72" x14ac:dyDescent="0.2">
      <c r="B97" s="3">
        <f t="shared" si="43"/>
        <v>16</v>
      </c>
      <c r="C97" s="11">
        <f t="shared" si="35"/>
        <v>43344</v>
      </c>
      <c r="D97" s="3">
        <f t="shared" si="36"/>
        <v>106</v>
      </c>
      <c r="E97" s="3">
        <f>SUMIF(MORTALIDAD!$B$6:$B$200,RESUMEN!C97,MORTALIDAD!$F$6:$F$200)</f>
        <v>0</v>
      </c>
      <c r="F97" s="17">
        <f t="shared" si="37"/>
        <v>-740</v>
      </c>
      <c r="G97" s="3">
        <f>SUMIF(MORTALIDAD!$B$6:$B$200,RESUMEN!C97,MORTALIDAD!$G$6:$G$200)</f>
        <v>0</v>
      </c>
      <c r="H97" s="3">
        <f>SUMIF(TRASLADOS!$B$6:$B$200,C97,TRASLADOS!$E$6:$E$200)</f>
        <v>0</v>
      </c>
      <c r="I97" s="3">
        <f>SUMIF(TRASLADOS!$B$6:$B$200,C97,TRASLADOS!$F$6:$F$200)</f>
        <v>0</v>
      </c>
      <c r="J97" s="3">
        <f>SUMIF(VENTAS!$B$6:$B$200,RESUMEN!C97,VENTAS!$F$6:$F$200)</f>
        <v>0</v>
      </c>
      <c r="K97" s="3">
        <f>SUMIF(VENTAS!$B$6:$B$200,RESUMEN!C97,VENTAS!$G$6:$G$200)</f>
        <v>0</v>
      </c>
      <c r="L97" s="97">
        <f t="shared" si="49"/>
        <v>1460</v>
      </c>
      <c r="M97" s="96"/>
      <c r="N97" s="99">
        <f t="shared" si="44"/>
        <v>15</v>
      </c>
      <c r="O97" s="11">
        <f t="shared" ref="O97:P112" si="65">O96+1</f>
        <v>43347</v>
      </c>
      <c r="P97" s="3">
        <f t="shared" si="65"/>
        <v>105</v>
      </c>
      <c r="Q97" s="3">
        <f>SUMIF(MORTALIDAD!$J:$J,RESUMEN!O97,MORTALIDAD!$N:$N)</f>
        <v>0</v>
      </c>
      <c r="R97" s="19">
        <f t="shared" si="51"/>
        <v>-680</v>
      </c>
      <c r="S97" s="3">
        <f>SUMIF(MORTALIDAD!$J:$J,RESUMEN!O97,MORTALIDAD!$O:$O)</f>
        <v>0</v>
      </c>
      <c r="T97" s="3">
        <f>SUMIF(TRASLADOS!$K:$K,RESUMEN!O97,TRASLADOS!$N:$N)</f>
        <v>0</v>
      </c>
      <c r="U97" s="3">
        <f>SUMIF(TRASLADOS!$K:$K,RESUMEN!O97,TRASLADOS!$O:$O)</f>
        <v>0</v>
      </c>
      <c r="V97" s="3">
        <f>SUMIF(VENTAS!$J:$J,RESUMEN!O97,VENTAS!$N:$N)</f>
        <v>0</v>
      </c>
      <c r="W97" s="3">
        <f>SUMIF(VENTAS!$J:$J,RESUMEN!O97,VENTAS!$O:$O)</f>
        <v>0</v>
      </c>
      <c r="X97" s="97">
        <f t="shared" si="52"/>
        <v>1520</v>
      </c>
      <c r="Y97" s="96"/>
      <c r="Z97" s="99">
        <f t="shared" si="45"/>
        <v>15</v>
      </c>
      <c r="AA97" s="11">
        <f t="shared" ref="AA97:AB112" si="66">AA96+1</f>
        <v>43351</v>
      </c>
      <c r="AB97" s="3">
        <f t="shared" si="66"/>
        <v>104</v>
      </c>
      <c r="AC97" s="3">
        <f>SUMIF(MORTALIDAD!$R:$R,RESUMEN!AA97,MORTALIDAD!$V:$V)</f>
        <v>0</v>
      </c>
      <c r="AD97" s="19">
        <f t="shared" si="54"/>
        <v>-476</v>
      </c>
      <c r="AE97" s="3">
        <f>SUMIF(MORTALIDAD!$R:$R,RESUMEN!AA97,MORTALIDAD!$W:$W)</f>
        <v>0</v>
      </c>
      <c r="AF97" s="3">
        <f>SUMIF(TRASLADOS!$T:$T,RESUMEN!AA97,TRASLADOS!$W:$W)</f>
        <v>0</v>
      </c>
      <c r="AG97" s="3">
        <f>SUMIF(TRASLADOS!$T:$T,RESUMEN!AA97,TRASLADOS!$X:$X)</f>
        <v>0</v>
      </c>
      <c r="AH97" s="3">
        <f>SUMIF(VENTAS!$R:$R,RESUMEN!AA97,VENTAS!$V:$V)</f>
        <v>0</v>
      </c>
      <c r="AI97" s="3">
        <f>SUMIF(VENTAS!$R:$R,RESUMEN!AA97,VENTAS!$W:$W)</f>
        <v>0</v>
      </c>
      <c r="AJ97" s="97">
        <f t="shared" si="55"/>
        <v>1724</v>
      </c>
      <c r="AK97" s="96"/>
      <c r="AL97" s="99">
        <f t="shared" si="46"/>
        <v>15</v>
      </c>
      <c r="AM97" s="11">
        <f t="shared" ref="AM97:AN112" si="67">AM96+1</f>
        <v>43358</v>
      </c>
      <c r="AN97" s="3">
        <f t="shared" si="67"/>
        <v>104</v>
      </c>
      <c r="AO97" s="3">
        <f>SUMIF(MORTALIDAD!$Z:$Z,RESUMEN!AM97,MORTALIDAD!$AD:$AD)</f>
        <v>0</v>
      </c>
      <c r="AP97" s="19">
        <f t="shared" si="57"/>
        <v>-124</v>
      </c>
      <c r="AQ97" s="3">
        <f>SUMIF(MORTALIDAD!$Z:$Z,RESUMEN!AM97,MORTALIDAD!$AE:$AE)</f>
        <v>0</v>
      </c>
      <c r="AR97" s="3">
        <f>SUMIF(TRASLADOS!$AC:$AC,RESUMEN!AM97,TRASLADOS!$AF:$AF)</f>
        <v>0</v>
      </c>
      <c r="AS97" s="3">
        <f>SUMIF(TRASLADOS!$AC:$AC,RESUMEN!AM97,TRASLADOS!$AG:$AG)</f>
        <v>0</v>
      </c>
      <c r="AT97" s="3">
        <f>SUMIF(VENTAS!$Z:$Z,RESUMEN!AM97,VENTAS!$AD:$AD)</f>
        <v>0</v>
      </c>
      <c r="AU97" s="3">
        <f>SUMIF(VENTAS!$Z:$Z,RESUMEN!AM97,VENTAS!$AE:$AE)</f>
        <v>0</v>
      </c>
      <c r="AV97" s="97">
        <f t="shared" si="58"/>
        <v>2076</v>
      </c>
      <c r="AW97" s="96"/>
      <c r="AX97" s="99">
        <f t="shared" si="47"/>
        <v>15</v>
      </c>
      <c r="AY97" s="11">
        <f t="shared" ref="AY97:AZ112" si="68">AY96+1</f>
        <v>43365</v>
      </c>
      <c r="AZ97" s="3">
        <f t="shared" si="68"/>
        <v>104</v>
      </c>
      <c r="BA97" s="3">
        <f>SUMIF(MORTALIDAD!$AH:$AH,RESUMEN!AY97,MORTALIDAD!$AL:$AL)</f>
        <v>0</v>
      </c>
      <c r="BB97" s="19">
        <f t="shared" si="60"/>
        <v>-119</v>
      </c>
      <c r="BC97" s="3">
        <f>SUMIF(MORTALIDAD!$AH:$AH,RESUMEN!AY97,MORTALIDAD!$AM:$AM)</f>
        <v>0</v>
      </c>
      <c r="BD97" s="3">
        <f>SUMIF(TRASLADOS!$AL:$AL,RESUMEN!AY97,TRASLADOS!$AO:$AO)</f>
        <v>0</v>
      </c>
      <c r="BE97" s="3">
        <f>SUMIF(TRASLADOS!$AL:$AL,RESUMEN!AY97,TRASLADOS!$AP:$AP)</f>
        <v>0</v>
      </c>
      <c r="BF97" s="3">
        <f>SUMIF(VENTAS!$AH:$AH,RESUMEN!AY97,VENTAS!$AL:$AL)</f>
        <v>0</v>
      </c>
      <c r="BG97" s="3">
        <f>SUMIF(VENTAS!$AH:$AH,RESUMEN!AY97,VENTAS!$AM:$AM)</f>
        <v>0</v>
      </c>
      <c r="BH97" s="97">
        <f t="shared" si="61"/>
        <v>2081</v>
      </c>
      <c r="BI97" s="96"/>
      <c r="BJ97" s="99">
        <f t="shared" si="48"/>
        <v>16</v>
      </c>
      <c r="BK97" s="11">
        <f t="shared" ref="BK97:BL112" si="69">BK96+1</f>
        <v>43374</v>
      </c>
      <c r="BL97" s="3">
        <f t="shared" si="69"/>
        <v>107</v>
      </c>
      <c r="BM97" s="3">
        <f>SUMIF(MORTALIDAD!$AP:$AP,RESUMEN!BK97,MORTALIDAD!$AT:$AT)</f>
        <v>0</v>
      </c>
      <c r="BN97" s="19">
        <f t="shared" si="63"/>
        <v>-73</v>
      </c>
      <c r="BO97" s="3">
        <f>SUMIF(MORTALIDAD!$AP$6:$AP$200,RESUMEN!BK97,MORTALIDAD!$AU$6:$AU$200)</f>
        <v>0</v>
      </c>
      <c r="BP97" s="3">
        <f>SUMIF(TRASLADOS!$AU:$AU,RESUMEN!BK97,TRASLADOS!$AX:$AX)</f>
        <v>0</v>
      </c>
      <c r="BQ97" s="3">
        <f>SUMIF(TRASLADOS!$AU:$AU,RESUMEN!BK97,TRASLADOS!$AY:$AY)</f>
        <v>0</v>
      </c>
      <c r="BR97" s="3">
        <f>SUMIF(VENTAS!$AP:$AP,RESUMEN!BK97,VENTAS!$AT:$AT)</f>
        <v>0</v>
      </c>
      <c r="BS97" s="3">
        <f>SUMIF(VENTAS!$AP:$AP,RESUMEN!BK97,VENTAS!$AU:$AU)</f>
        <v>0</v>
      </c>
      <c r="BT97" s="36">
        <f t="shared" si="64"/>
        <v>2241</v>
      </c>
    </row>
    <row r="98" spans="2:72" x14ac:dyDescent="0.2">
      <c r="B98" s="3">
        <f t="shared" si="43"/>
        <v>16</v>
      </c>
      <c r="C98" s="11">
        <f t="shared" si="35"/>
        <v>43345</v>
      </c>
      <c r="D98" s="3">
        <f t="shared" si="36"/>
        <v>107</v>
      </c>
      <c r="E98" s="3">
        <f>SUMIF(MORTALIDAD!$B$6:$B$200,RESUMEN!C98,MORTALIDAD!$F$6:$F$200)</f>
        <v>0</v>
      </c>
      <c r="F98" s="17">
        <f t="shared" si="37"/>
        <v>-740</v>
      </c>
      <c r="G98" s="3">
        <f>SUMIF(MORTALIDAD!$B$6:$B$200,RESUMEN!C98,MORTALIDAD!$G$6:$G$200)</f>
        <v>0</v>
      </c>
      <c r="H98" s="3">
        <f>SUMIF(TRASLADOS!$B$6:$B$200,C98,TRASLADOS!$E$6:$E$200)</f>
        <v>0</v>
      </c>
      <c r="I98" s="3">
        <f>SUMIF(TRASLADOS!$B$6:$B$200,C98,TRASLADOS!$F$6:$F$200)</f>
        <v>0</v>
      </c>
      <c r="J98" s="3">
        <f>SUMIF(VENTAS!$B$6:$B$200,RESUMEN!C98,VENTAS!$F$6:$F$200)</f>
        <v>0</v>
      </c>
      <c r="K98" s="3">
        <f>SUMIF(VENTAS!$B$6:$B$200,RESUMEN!C98,VENTAS!$G$6:$G$200)</f>
        <v>0</v>
      </c>
      <c r="L98" s="97">
        <f t="shared" si="49"/>
        <v>1460</v>
      </c>
      <c r="M98" s="96"/>
      <c r="N98" s="99">
        <f t="shared" si="44"/>
        <v>16</v>
      </c>
      <c r="O98" s="11">
        <f t="shared" si="65"/>
        <v>43348</v>
      </c>
      <c r="P98" s="3">
        <f t="shared" si="65"/>
        <v>106</v>
      </c>
      <c r="Q98" s="3">
        <f>SUMIF(MORTALIDAD!$J:$J,RESUMEN!O98,MORTALIDAD!$N:$N)</f>
        <v>0</v>
      </c>
      <c r="R98" s="19">
        <f t="shared" si="51"/>
        <v>-680</v>
      </c>
      <c r="S98" s="3">
        <f>SUMIF(MORTALIDAD!$J:$J,RESUMEN!O98,MORTALIDAD!$O:$O)</f>
        <v>0</v>
      </c>
      <c r="T98" s="3">
        <f>SUMIF(TRASLADOS!$K:$K,RESUMEN!O98,TRASLADOS!$N:$N)</f>
        <v>0</v>
      </c>
      <c r="U98" s="3">
        <f>SUMIF(TRASLADOS!$K:$K,RESUMEN!O98,TRASLADOS!$O:$O)</f>
        <v>0</v>
      </c>
      <c r="V98" s="3">
        <f>SUMIF(VENTAS!$J:$J,RESUMEN!O98,VENTAS!$N:$N)</f>
        <v>0</v>
      </c>
      <c r="W98" s="3">
        <f>SUMIF(VENTAS!$J:$J,RESUMEN!O98,VENTAS!$O:$O)</f>
        <v>0</v>
      </c>
      <c r="X98" s="97">
        <f t="shared" si="52"/>
        <v>1520</v>
      </c>
      <c r="Y98" s="96"/>
      <c r="Z98" s="99">
        <f t="shared" si="45"/>
        <v>15</v>
      </c>
      <c r="AA98" s="11">
        <f t="shared" si="66"/>
        <v>43352</v>
      </c>
      <c r="AB98" s="3">
        <f t="shared" si="66"/>
        <v>105</v>
      </c>
      <c r="AC98" s="3">
        <f>SUMIF(MORTALIDAD!$R:$R,RESUMEN!AA98,MORTALIDAD!$V:$V)</f>
        <v>0</v>
      </c>
      <c r="AD98" s="19">
        <f t="shared" si="54"/>
        <v>-476</v>
      </c>
      <c r="AE98" s="3">
        <f>SUMIF(MORTALIDAD!$R:$R,RESUMEN!AA98,MORTALIDAD!$W:$W)</f>
        <v>0</v>
      </c>
      <c r="AF98" s="3">
        <f>SUMIF(TRASLADOS!$T:$T,RESUMEN!AA98,TRASLADOS!$W:$W)</f>
        <v>0</v>
      </c>
      <c r="AG98" s="3">
        <f>SUMIF(TRASLADOS!$T:$T,RESUMEN!AA98,TRASLADOS!$X:$X)</f>
        <v>0</v>
      </c>
      <c r="AH98" s="3">
        <f>SUMIF(VENTAS!$R:$R,RESUMEN!AA98,VENTAS!$V:$V)</f>
        <v>0</v>
      </c>
      <c r="AI98" s="3">
        <f>SUMIF(VENTAS!$R:$R,RESUMEN!AA98,VENTAS!$W:$W)</f>
        <v>0</v>
      </c>
      <c r="AJ98" s="97">
        <f t="shared" si="55"/>
        <v>1724</v>
      </c>
      <c r="AK98" s="96"/>
      <c r="AL98" s="99">
        <f t="shared" si="46"/>
        <v>15</v>
      </c>
      <c r="AM98" s="11">
        <f t="shared" si="67"/>
        <v>43359</v>
      </c>
      <c r="AN98" s="3">
        <f t="shared" si="67"/>
        <v>105</v>
      </c>
      <c r="AO98" s="3">
        <f>SUMIF(MORTALIDAD!$Z:$Z,RESUMEN!AM98,MORTALIDAD!$AD:$AD)</f>
        <v>0</v>
      </c>
      <c r="AP98" s="19">
        <f t="shared" si="57"/>
        <v>-124</v>
      </c>
      <c r="AQ98" s="3">
        <f>SUMIF(MORTALIDAD!$Z:$Z,RESUMEN!AM98,MORTALIDAD!$AE:$AE)</f>
        <v>0</v>
      </c>
      <c r="AR98" s="3">
        <f>SUMIF(TRASLADOS!$AC:$AC,RESUMEN!AM98,TRASLADOS!$AF:$AF)</f>
        <v>0</v>
      </c>
      <c r="AS98" s="3">
        <f>SUMIF(TRASLADOS!$AC:$AC,RESUMEN!AM98,TRASLADOS!$AG:$AG)</f>
        <v>0</v>
      </c>
      <c r="AT98" s="3">
        <f>SUMIF(VENTAS!$Z:$Z,RESUMEN!AM98,VENTAS!$AD:$AD)</f>
        <v>0</v>
      </c>
      <c r="AU98" s="3">
        <f>SUMIF(VENTAS!$Z:$Z,RESUMEN!AM98,VENTAS!$AE:$AE)</f>
        <v>0</v>
      </c>
      <c r="AV98" s="97">
        <f t="shared" si="58"/>
        <v>2076</v>
      </c>
      <c r="AW98" s="96"/>
      <c r="AX98" s="99">
        <f t="shared" si="47"/>
        <v>15</v>
      </c>
      <c r="AY98" s="11">
        <f t="shared" si="68"/>
        <v>43366</v>
      </c>
      <c r="AZ98" s="3">
        <f t="shared" si="68"/>
        <v>105</v>
      </c>
      <c r="BA98" s="3">
        <f>SUMIF(MORTALIDAD!$AH:$AH,RESUMEN!AY98,MORTALIDAD!$AL:$AL)</f>
        <v>0</v>
      </c>
      <c r="BB98" s="19">
        <f t="shared" si="60"/>
        <v>-119</v>
      </c>
      <c r="BC98" s="3">
        <f>SUMIF(MORTALIDAD!$AH:$AH,RESUMEN!AY98,MORTALIDAD!$AM:$AM)</f>
        <v>0</v>
      </c>
      <c r="BD98" s="3">
        <f>SUMIF(TRASLADOS!$AL:$AL,RESUMEN!AY98,TRASLADOS!$AO:$AO)</f>
        <v>0</v>
      </c>
      <c r="BE98" s="3">
        <f>SUMIF(TRASLADOS!$AL:$AL,RESUMEN!AY98,TRASLADOS!$AP:$AP)</f>
        <v>0</v>
      </c>
      <c r="BF98" s="3">
        <f>SUMIF(VENTAS!$AH:$AH,RESUMEN!AY98,VENTAS!$AL:$AL)</f>
        <v>0</v>
      </c>
      <c r="BG98" s="3">
        <f>SUMIF(VENTAS!$AH:$AH,RESUMEN!AY98,VENTAS!$AM:$AM)</f>
        <v>0</v>
      </c>
      <c r="BH98" s="97">
        <f t="shared" si="61"/>
        <v>2081</v>
      </c>
      <c r="BI98" s="96"/>
      <c r="BJ98" s="99">
        <f t="shared" si="48"/>
        <v>16</v>
      </c>
      <c r="BK98" s="11">
        <f t="shared" si="69"/>
        <v>43375</v>
      </c>
      <c r="BL98" s="3">
        <f t="shared" si="69"/>
        <v>108</v>
      </c>
      <c r="BM98" s="3">
        <f>SUMIF(MORTALIDAD!$AP:$AP,RESUMEN!BK98,MORTALIDAD!$AT:$AT)</f>
        <v>0</v>
      </c>
      <c r="BN98" s="19">
        <f t="shared" si="63"/>
        <v>-73</v>
      </c>
      <c r="BO98" s="3">
        <f>SUMIF(MORTALIDAD!$AP$6:$AP$200,RESUMEN!BK98,MORTALIDAD!$AU$6:$AU$200)</f>
        <v>0</v>
      </c>
      <c r="BP98" s="3">
        <f>SUMIF(TRASLADOS!$AU:$AU,RESUMEN!BK98,TRASLADOS!$AX:$AX)</f>
        <v>0</v>
      </c>
      <c r="BQ98" s="3">
        <f>SUMIF(TRASLADOS!$AU:$AU,RESUMEN!BK98,TRASLADOS!$AY:$AY)</f>
        <v>0</v>
      </c>
      <c r="BR98" s="3">
        <f>SUMIF(VENTAS!$AP:$AP,RESUMEN!BK98,VENTAS!$AT:$AT)</f>
        <v>0</v>
      </c>
      <c r="BS98" s="3">
        <f>SUMIF(VENTAS!$AP:$AP,RESUMEN!BK98,VENTAS!$AU:$AU)</f>
        <v>0</v>
      </c>
      <c r="BT98" s="36">
        <f t="shared" si="64"/>
        <v>2241</v>
      </c>
    </row>
    <row r="99" spans="2:72" x14ac:dyDescent="0.2">
      <c r="B99" s="3">
        <f t="shared" si="43"/>
        <v>16</v>
      </c>
      <c r="C99" s="11">
        <f t="shared" si="35"/>
        <v>43346</v>
      </c>
      <c r="D99" s="3">
        <f t="shared" si="36"/>
        <v>108</v>
      </c>
      <c r="E99" s="3">
        <f>SUMIF(MORTALIDAD!$B$6:$B$200,RESUMEN!C99,MORTALIDAD!$F$6:$F$200)</f>
        <v>0</v>
      </c>
      <c r="F99" s="17">
        <f t="shared" si="37"/>
        <v>-740</v>
      </c>
      <c r="G99" s="3">
        <f>SUMIF(MORTALIDAD!$B$6:$B$200,RESUMEN!C99,MORTALIDAD!$G$6:$G$200)</f>
        <v>0</v>
      </c>
      <c r="H99" s="3">
        <f>SUMIF(TRASLADOS!$B$6:$B$200,C99,TRASLADOS!$E$6:$E$200)</f>
        <v>0</v>
      </c>
      <c r="I99" s="3">
        <f>SUMIF(TRASLADOS!$B$6:$B$200,C99,TRASLADOS!$F$6:$F$200)</f>
        <v>0</v>
      </c>
      <c r="J99" s="3">
        <f>SUMIF(VENTAS!$B$6:$B$200,RESUMEN!C99,VENTAS!$F$6:$F$200)</f>
        <v>0</v>
      </c>
      <c r="K99" s="3">
        <f>SUMIF(VENTAS!$B$6:$B$200,RESUMEN!C99,VENTAS!$G$6:$G$200)</f>
        <v>0</v>
      </c>
      <c r="L99" s="97">
        <f t="shared" si="49"/>
        <v>1460</v>
      </c>
      <c r="M99" s="96"/>
      <c r="N99" s="99">
        <f t="shared" si="44"/>
        <v>16</v>
      </c>
      <c r="O99" s="11">
        <f t="shared" si="65"/>
        <v>43349</v>
      </c>
      <c r="P99" s="3">
        <f t="shared" si="65"/>
        <v>107</v>
      </c>
      <c r="Q99" s="3">
        <f>SUMIF(MORTALIDAD!$J:$J,RESUMEN!O99,MORTALIDAD!$N:$N)</f>
        <v>0</v>
      </c>
      <c r="R99" s="19">
        <f t="shared" si="51"/>
        <v>-680</v>
      </c>
      <c r="S99" s="3">
        <f>SUMIF(MORTALIDAD!$J:$J,RESUMEN!O99,MORTALIDAD!$O:$O)</f>
        <v>0</v>
      </c>
      <c r="T99" s="3">
        <f>SUMIF(TRASLADOS!$K:$K,RESUMEN!O99,TRASLADOS!$N:$N)</f>
        <v>0</v>
      </c>
      <c r="U99" s="3">
        <f>SUMIF(TRASLADOS!$K:$K,RESUMEN!O99,TRASLADOS!$O:$O)</f>
        <v>0</v>
      </c>
      <c r="V99" s="3">
        <f>SUMIF(VENTAS!$J:$J,RESUMEN!O99,VENTAS!$N:$N)</f>
        <v>0</v>
      </c>
      <c r="W99" s="3">
        <f>SUMIF(VENTAS!$J:$J,RESUMEN!O99,VENTAS!$O:$O)</f>
        <v>0</v>
      </c>
      <c r="X99" s="97">
        <f t="shared" si="52"/>
        <v>1520</v>
      </c>
      <c r="Y99" s="96"/>
      <c r="Z99" s="99">
        <f t="shared" si="45"/>
        <v>16</v>
      </c>
      <c r="AA99" s="11">
        <f t="shared" si="66"/>
        <v>43353</v>
      </c>
      <c r="AB99" s="3">
        <f t="shared" si="66"/>
        <v>106</v>
      </c>
      <c r="AC99" s="3">
        <f>SUMIF(MORTALIDAD!$R:$R,RESUMEN!AA99,MORTALIDAD!$V:$V)</f>
        <v>0</v>
      </c>
      <c r="AD99" s="19">
        <f t="shared" si="54"/>
        <v>-476</v>
      </c>
      <c r="AE99" s="3">
        <f>SUMIF(MORTALIDAD!$R:$R,RESUMEN!AA99,MORTALIDAD!$W:$W)</f>
        <v>0</v>
      </c>
      <c r="AF99" s="3">
        <f>SUMIF(TRASLADOS!$T:$T,RESUMEN!AA99,TRASLADOS!$W:$W)</f>
        <v>0</v>
      </c>
      <c r="AG99" s="3">
        <f>SUMIF(TRASLADOS!$T:$T,RESUMEN!AA99,TRASLADOS!$X:$X)</f>
        <v>0</v>
      </c>
      <c r="AH99" s="3">
        <f>SUMIF(VENTAS!$R:$R,RESUMEN!AA99,VENTAS!$V:$V)</f>
        <v>0</v>
      </c>
      <c r="AI99" s="3">
        <f>SUMIF(VENTAS!$R:$R,RESUMEN!AA99,VENTAS!$W:$W)</f>
        <v>0</v>
      </c>
      <c r="AJ99" s="97">
        <f t="shared" si="55"/>
        <v>1724</v>
      </c>
      <c r="AK99" s="96"/>
      <c r="AL99" s="99">
        <f t="shared" si="46"/>
        <v>16</v>
      </c>
      <c r="AM99" s="11">
        <f t="shared" si="67"/>
        <v>43360</v>
      </c>
      <c r="AN99" s="3">
        <f t="shared" si="67"/>
        <v>106</v>
      </c>
      <c r="AO99" s="3">
        <f>SUMIF(MORTALIDAD!$Z:$Z,RESUMEN!AM99,MORTALIDAD!$AD:$AD)</f>
        <v>0</v>
      </c>
      <c r="AP99" s="19">
        <f t="shared" si="57"/>
        <v>-124</v>
      </c>
      <c r="AQ99" s="3">
        <f>SUMIF(MORTALIDAD!$Z:$Z,RESUMEN!AM99,MORTALIDAD!$AE:$AE)</f>
        <v>0</v>
      </c>
      <c r="AR99" s="3">
        <f>SUMIF(TRASLADOS!$AC:$AC,RESUMEN!AM99,TRASLADOS!$AF:$AF)</f>
        <v>0</v>
      </c>
      <c r="AS99" s="3">
        <f>SUMIF(TRASLADOS!$AC:$AC,RESUMEN!AM99,TRASLADOS!$AG:$AG)</f>
        <v>0</v>
      </c>
      <c r="AT99" s="3">
        <f>SUMIF(VENTAS!$Z:$Z,RESUMEN!AM99,VENTAS!$AD:$AD)</f>
        <v>0</v>
      </c>
      <c r="AU99" s="3">
        <f>SUMIF(VENTAS!$Z:$Z,RESUMEN!AM99,VENTAS!$AE:$AE)</f>
        <v>0</v>
      </c>
      <c r="AV99" s="97">
        <f t="shared" si="58"/>
        <v>2076</v>
      </c>
      <c r="AW99" s="96"/>
      <c r="AX99" s="99">
        <f t="shared" si="47"/>
        <v>16</v>
      </c>
      <c r="AY99" s="11">
        <f t="shared" si="68"/>
        <v>43367</v>
      </c>
      <c r="AZ99" s="3">
        <f t="shared" si="68"/>
        <v>106</v>
      </c>
      <c r="BA99" s="3">
        <f>SUMIF(MORTALIDAD!$AH:$AH,RESUMEN!AY99,MORTALIDAD!$AL:$AL)</f>
        <v>0</v>
      </c>
      <c r="BB99" s="19">
        <f t="shared" si="60"/>
        <v>-119</v>
      </c>
      <c r="BC99" s="3">
        <f>SUMIF(MORTALIDAD!$AH:$AH,RESUMEN!AY99,MORTALIDAD!$AM:$AM)</f>
        <v>0</v>
      </c>
      <c r="BD99" s="3">
        <f>SUMIF(TRASLADOS!$AL:$AL,RESUMEN!AY99,TRASLADOS!$AO:$AO)</f>
        <v>0</v>
      </c>
      <c r="BE99" s="3">
        <f>SUMIF(TRASLADOS!$AL:$AL,RESUMEN!AY99,TRASLADOS!$AP:$AP)</f>
        <v>0</v>
      </c>
      <c r="BF99" s="3">
        <f>SUMIF(VENTAS!$AH:$AH,RESUMEN!AY99,VENTAS!$AL:$AL)</f>
        <v>0</v>
      </c>
      <c r="BG99" s="3">
        <f>SUMIF(VENTAS!$AH:$AH,RESUMEN!AY99,VENTAS!$AM:$AM)</f>
        <v>0</v>
      </c>
      <c r="BH99" s="97">
        <f t="shared" si="61"/>
        <v>2081</v>
      </c>
      <c r="BI99" s="96"/>
      <c r="BJ99" s="99">
        <f t="shared" si="48"/>
        <v>16</v>
      </c>
      <c r="BK99" s="11">
        <f t="shared" si="69"/>
        <v>43376</v>
      </c>
      <c r="BL99" s="3">
        <f t="shared" si="69"/>
        <v>109</v>
      </c>
      <c r="BM99" s="3">
        <f>SUMIF(MORTALIDAD!$AP:$AP,RESUMEN!BK99,MORTALIDAD!$AT:$AT)</f>
        <v>0</v>
      </c>
      <c r="BN99" s="19">
        <f t="shared" si="63"/>
        <v>-73</v>
      </c>
      <c r="BO99" s="3">
        <f>SUMIF(MORTALIDAD!$AP$6:$AP$200,RESUMEN!BK99,MORTALIDAD!$AU$6:$AU$200)</f>
        <v>0</v>
      </c>
      <c r="BP99" s="3">
        <f>SUMIF(TRASLADOS!$AU:$AU,RESUMEN!BK99,TRASLADOS!$AX:$AX)</f>
        <v>0</v>
      </c>
      <c r="BQ99" s="3">
        <f>SUMIF(TRASLADOS!$AU:$AU,RESUMEN!BK99,TRASLADOS!$AY:$AY)</f>
        <v>0</v>
      </c>
      <c r="BR99" s="3">
        <f>SUMIF(VENTAS!$AP:$AP,RESUMEN!BK99,VENTAS!$AT:$AT)</f>
        <v>0</v>
      </c>
      <c r="BS99" s="3">
        <f>SUMIF(VENTAS!$AP:$AP,RESUMEN!BK99,VENTAS!$AU:$AU)</f>
        <v>0</v>
      </c>
      <c r="BT99" s="36">
        <f t="shared" si="64"/>
        <v>2241</v>
      </c>
    </row>
    <row r="100" spans="2:72" x14ac:dyDescent="0.2">
      <c r="B100" s="3">
        <f t="shared" si="43"/>
        <v>16</v>
      </c>
      <c r="C100" s="11">
        <f t="shared" si="35"/>
        <v>43347</v>
      </c>
      <c r="D100" s="3">
        <f t="shared" si="36"/>
        <v>109</v>
      </c>
      <c r="E100" s="3">
        <f>SUMIF(MORTALIDAD!$B$6:$B$200,RESUMEN!C100,MORTALIDAD!$F$6:$F$200)</f>
        <v>0</v>
      </c>
      <c r="F100" s="17">
        <f t="shared" si="37"/>
        <v>-740</v>
      </c>
      <c r="G100" s="3">
        <f>SUMIF(MORTALIDAD!$B$6:$B$200,RESUMEN!C100,MORTALIDAD!$G$6:$G$200)</f>
        <v>0</v>
      </c>
      <c r="H100" s="3">
        <f>SUMIF(TRASLADOS!$B$6:$B$200,C100,TRASLADOS!$E$6:$E$200)</f>
        <v>0</v>
      </c>
      <c r="I100" s="3">
        <f>SUMIF(TRASLADOS!$B$6:$B$200,C100,TRASLADOS!$F$6:$F$200)</f>
        <v>0</v>
      </c>
      <c r="J100" s="3">
        <f>SUMIF(VENTAS!$B$6:$B$200,RESUMEN!C100,VENTAS!$F$6:$F$200)</f>
        <v>0</v>
      </c>
      <c r="K100" s="3">
        <f>SUMIF(VENTAS!$B$6:$B$200,RESUMEN!C100,VENTAS!$G$6:$G$200)</f>
        <v>0</v>
      </c>
      <c r="L100" s="97">
        <f t="shared" si="49"/>
        <v>1460</v>
      </c>
      <c r="M100" s="96"/>
      <c r="N100" s="99">
        <f t="shared" si="44"/>
        <v>16</v>
      </c>
      <c r="O100" s="11">
        <f t="shared" si="65"/>
        <v>43350</v>
      </c>
      <c r="P100" s="3">
        <f t="shared" si="65"/>
        <v>108</v>
      </c>
      <c r="Q100" s="3">
        <f>SUMIF(MORTALIDAD!$J:$J,RESUMEN!O100,MORTALIDAD!$N:$N)</f>
        <v>0</v>
      </c>
      <c r="R100" s="19">
        <f t="shared" si="51"/>
        <v>-680</v>
      </c>
      <c r="S100" s="3">
        <f>SUMIF(MORTALIDAD!$J:$J,RESUMEN!O100,MORTALIDAD!$O:$O)</f>
        <v>0</v>
      </c>
      <c r="T100" s="3">
        <f>SUMIF(TRASLADOS!$K:$K,RESUMEN!O100,TRASLADOS!$N:$N)</f>
        <v>0</v>
      </c>
      <c r="U100" s="3">
        <f>SUMIF(TRASLADOS!$K:$K,RESUMEN!O100,TRASLADOS!$O:$O)</f>
        <v>0</v>
      </c>
      <c r="V100" s="3">
        <f>SUMIF(VENTAS!$J:$J,RESUMEN!O100,VENTAS!$N:$N)</f>
        <v>0</v>
      </c>
      <c r="W100" s="3">
        <f>SUMIF(VENTAS!$J:$J,RESUMEN!O100,VENTAS!$O:$O)</f>
        <v>0</v>
      </c>
      <c r="X100" s="97">
        <f t="shared" si="52"/>
        <v>1520</v>
      </c>
      <c r="Y100" s="96"/>
      <c r="Z100" s="99">
        <f t="shared" si="45"/>
        <v>16</v>
      </c>
      <c r="AA100" s="11">
        <f t="shared" si="66"/>
        <v>43354</v>
      </c>
      <c r="AB100" s="3">
        <f t="shared" si="66"/>
        <v>107</v>
      </c>
      <c r="AC100" s="3">
        <f>SUMIF(MORTALIDAD!$R:$R,RESUMEN!AA100,MORTALIDAD!$V:$V)</f>
        <v>0</v>
      </c>
      <c r="AD100" s="19">
        <f t="shared" si="54"/>
        <v>-476</v>
      </c>
      <c r="AE100" s="3">
        <f>SUMIF(MORTALIDAD!$R:$R,RESUMEN!AA100,MORTALIDAD!$W:$W)</f>
        <v>0</v>
      </c>
      <c r="AF100" s="3">
        <f>SUMIF(TRASLADOS!$T:$T,RESUMEN!AA100,TRASLADOS!$W:$W)</f>
        <v>0</v>
      </c>
      <c r="AG100" s="3">
        <f>SUMIF(TRASLADOS!$T:$T,RESUMEN!AA100,TRASLADOS!$X:$X)</f>
        <v>0</v>
      </c>
      <c r="AH100" s="3">
        <f>SUMIF(VENTAS!$R:$R,RESUMEN!AA100,VENTAS!$V:$V)</f>
        <v>0</v>
      </c>
      <c r="AI100" s="3">
        <f>SUMIF(VENTAS!$R:$R,RESUMEN!AA100,VENTAS!$W:$W)</f>
        <v>0</v>
      </c>
      <c r="AJ100" s="97">
        <f t="shared" si="55"/>
        <v>1724</v>
      </c>
      <c r="AK100" s="96"/>
      <c r="AL100" s="99">
        <f t="shared" si="46"/>
        <v>16</v>
      </c>
      <c r="AM100" s="11">
        <f t="shared" si="67"/>
        <v>43361</v>
      </c>
      <c r="AN100" s="3">
        <f t="shared" si="67"/>
        <v>107</v>
      </c>
      <c r="AO100" s="3">
        <f>SUMIF(MORTALIDAD!$Z:$Z,RESUMEN!AM100,MORTALIDAD!$AD:$AD)</f>
        <v>0</v>
      </c>
      <c r="AP100" s="19">
        <f t="shared" si="57"/>
        <v>-124</v>
      </c>
      <c r="AQ100" s="3">
        <f>SUMIF(MORTALIDAD!$Z:$Z,RESUMEN!AM100,MORTALIDAD!$AE:$AE)</f>
        <v>0</v>
      </c>
      <c r="AR100" s="3">
        <f>SUMIF(TRASLADOS!$AC:$AC,RESUMEN!AM100,TRASLADOS!$AF:$AF)</f>
        <v>0</v>
      </c>
      <c r="AS100" s="3">
        <f>SUMIF(TRASLADOS!$AC:$AC,RESUMEN!AM100,TRASLADOS!$AG:$AG)</f>
        <v>0</v>
      </c>
      <c r="AT100" s="3">
        <f>SUMIF(VENTAS!$Z:$Z,RESUMEN!AM100,VENTAS!$AD:$AD)</f>
        <v>0</v>
      </c>
      <c r="AU100" s="3">
        <f>SUMIF(VENTAS!$Z:$Z,RESUMEN!AM100,VENTAS!$AE:$AE)</f>
        <v>0</v>
      </c>
      <c r="AV100" s="97">
        <f t="shared" si="58"/>
        <v>2076</v>
      </c>
      <c r="AW100" s="96"/>
      <c r="AX100" s="99">
        <f t="shared" si="47"/>
        <v>16</v>
      </c>
      <c r="AY100" s="11">
        <f t="shared" si="68"/>
        <v>43368</v>
      </c>
      <c r="AZ100" s="3">
        <f t="shared" si="68"/>
        <v>107</v>
      </c>
      <c r="BA100" s="3">
        <f>SUMIF(MORTALIDAD!$AH:$AH,RESUMEN!AY100,MORTALIDAD!$AL:$AL)</f>
        <v>0</v>
      </c>
      <c r="BB100" s="19">
        <f t="shared" si="60"/>
        <v>-119</v>
      </c>
      <c r="BC100" s="3">
        <f>SUMIF(MORTALIDAD!$AH:$AH,RESUMEN!AY100,MORTALIDAD!$AM:$AM)</f>
        <v>0</v>
      </c>
      <c r="BD100" s="3">
        <f>SUMIF(TRASLADOS!$AL:$AL,RESUMEN!AY100,TRASLADOS!$AO:$AO)</f>
        <v>0</v>
      </c>
      <c r="BE100" s="3">
        <f>SUMIF(TRASLADOS!$AL:$AL,RESUMEN!AY100,TRASLADOS!$AP:$AP)</f>
        <v>0</v>
      </c>
      <c r="BF100" s="3">
        <f>SUMIF(VENTAS!$AH:$AH,RESUMEN!AY100,VENTAS!$AL:$AL)</f>
        <v>0</v>
      </c>
      <c r="BG100" s="3">
        <f>SUMIF(VENTAS!$AH:$AH,RESUMEN!AY100,VENTAS!$AM:$AM)</f>
        <v>0</v>
      </c>
      <c r="BH100" s="97">
        <f t="shared" si="61"/>
        <v>2081</v>
      </c>
      <c r="BI100" s="96"/>
      <c r="BJ100" s="99">
        <f t="shared" si="48"/>
        <v>16</v>
      </c>
      <c r="BK100" s="11">
        <f t="shared" si="69"/>
        <v>43377</v>
      </c>
      <c r="BL100" s="3">
        <f t="shared" si="69"/>
        <v>110</v>
      </c>
      <c r="BM100" s="3">
        <f>SUMIF(MORTALIDAD!$AP:$AP,RESUMEN!BK100,MORTALIDAD!$AT:$AT)</f>
        <v>0</v>
      </c>
      <c r="BN100" s="19">
        <f t="shared" si="63"/>
        <v>-73</v>
      </c>
      <c r="BO100" s="3">
        <f>SUMIF(MORTALIDAD!$AP$6:$AP$200,RESUMEN!BK100,MORTALIDAD!$AU$6:$AU$200)</f>
        <v>0</v>
      </c>
      <c r="BP100" s="3">
        <f>SUMIF(TRASLADOS!$AU:$AU,RESUMEN!BK100,TRASLADOS!$AX:$AX)</f>
        <v>0</v>
      </c>
      <c r="BQ100" s="3">
        <f>SUMIF(TRASLADOS!$AU:$AU,RESUMEN!BK100,TRASLADOS!$AY:$AY)</f>
        <v>0</v>
      </c>
      <c r="BR100" s="3">
        <f>SUMIF(VENTAS!$AP:$AP,RESUMEN!BK100,VENTAS!$AT:$AT)</f>
        <v>0</v>
      </c>
      <c r="BS100" s="3">
        <f>SUMIF(VENTAS!$AP:$AP,RESUMEN!BK100,VENTAS!$AU:$AU)</f>
        <v>0</v>
      </c>
      <c r="BT100" s="36">
        <f t="shared" si="64"/>
        <v>2241</v>
      </c>
    </row>
    <row r="101" spans="2:72" x14ac:dyDescent="0.2">
      <c r="B101" s="3">
        <f t="shared" si="43"/>
        <v>16</v>
      </c>
      <c r="C101" s="11">
        <f t="shared" si="35"/>
        <v>43348</v>
      </c>
      <c r="D101" s="3">
        <f t="shared" si="36"/>
        <v>110</v>
      </c>
      <c r="E101" s="3">
        <f>SUMIF(MORTALIDAD!$B$6:$B$200,RESUMEN!C101,MORTALIDAD!$F$6:$F$200)</f>
        <v>0</v>
      </c>
      <c r="F101" s="17">
        <f t="shared" si="37"/>
        <v>-740</v>
      </c>
      <c r="G101" s="3">
        <f>SUMIF(MORTALIDAD!$B$6:$B$200,RESUMEN!C101,MORTALIDAD!$G$6:$G$200)</f>
        <v>0</v>
      </c>
      <c r="H101" s="3">
        <f>SUMIF(TRASLADOS!$B$6:$B$200,C101,TRASLADOS!$E$6:$E$200)</f>
        <v>0</v>
      </c>
      <c r="I101" s="3">
        <f>SUMIF(TRASLADOS!$B$6:$B$200,C101,TRASLADOS!$F$6:$F$200)</f>
        <v>0</v>
      </c>
      <c r="J101" s="3">
        <f>SUMIF(VENTAS!$B$6:$B$200,RESUMEN!C101,VENTAS!$F$6:$F$200)</f>
        <v>0</v>
      </c>
      <c r="K101" s="3">
        <f>SUMIF(VENTAS!$B$6:$B$200,RESUMEN!C101,VENTAS!$G$6:$G$200)</f>
        <v>0</v>
      </c>
      <c r="L101" s="97">
        <f t="shared" si="49"/>
        <v>1460</v>
      </c>
      <c r="M101" s="96"/>
      <c r="N101" s="99">
        <f t="shared" si="44"/>
        <v>16</v>
      </c>
      <c r="O101" s="11">
        <f t="shared" si="65"/>
        <v>43351</v>
      </c>
      <c r="P101" s="3">
        <f t="shared" si="65"/>
        <v>109</v>
      </c>
      <c r="Q101" s="3">
        <f>SUMIF(MORTALIDAD!$J:$J,RESUMEN!O101,MORTALIDAD!$N:$N)</f>
        <v>0</v>
      </c>
      <c r="R101" s="19">
        <f t="shared" si="51"/>
        <v>-680</v>
      </c>
      <c r="S101" s="3">
        <f>SUMIF(MORTALIDAD!$J:$J,RESUMEN!O101,MORTALIDAD!$O:$O)</f>
        <v>0</v>
      </c>
      <c r="T101" s="3">
        <f>SUMIF(TRASLADOS!$K:$K,RESUMEN!O101,TRASLADOS!$N:$N)</f>
        <v>0</v>
      </c>
      <c r="U101" s="3">
        <f>SUMIF(TRASLADOS!$K:$K,RESUMEN!O101,TRASLADOS!$O:$O)</f>
        <v>0</v>
      </c>
      <c r="V101" s="3">
        <f>SUMIF(VENTAS!$J:$J,RESUMEN!O101,VENTAS!$N:$N)</f>
        <v>0</v>
      </c>
      <c r="W101" s="3">
        <f>SUMIF(VENTAS!$J:$J,RESUMEN!O101,VENTAS!$O:$O)</f>
        <v>0</v>
      </c>
      <c r="X101" s="97">
        <f t="shared" si="52"/>
        <v>1520</v>
      </c>
      <c r="Y101" s="96"/>
      <c r="Z101" s="99">
        <f t="shared" si="45"/>
        <v>16</v>
      </c>
      <c r="AA101" s="11">
        <f t="shared" si="66"/>
        <v>43355</v>
      </c>
      <c r="AB101" s="3">
        <f t="shared" si="66"/>
        <v>108</v>
      </c>
      <c r="AC101" s="3">
        <f>SUMIF(MORTALIDAD!$R:$R,RESUMEN!AA101,MORTALIDAD!$V:$V)</f>
        <v>0</v>
      </c>
      <c r="AD101" s="19">
        <f t="shared" si="54"/>
        <v>-476</v>
      </c>
      <c r="AE101" s="3">
        <f>SUMIF(MORTALIDAD!$R:$R,RESUMEN!AA101,MORTALIDAD!$W:$W)</f>
        <v>0</v>
      </c>
      <c r="AF101" s="3">
        <f>SUMIF(TRASLADOS!$T:$T,RESUMEN!AA101,TRASLADOS!$W:$W)</f>
        <v>0</v>
      </c>
      <c r="AG101" s="3">
        <f>SUMIF(TRASLADOS!$T:$T,RESUMEN!AA101,TRASLADOS!$X:$X)</f>
        <v>0</v>
      </c>
      <c r="AH101" s="3">
        <f>SUMIF(VENTAS!$R:$R,RESUMEN!AA101,VENTAS!$V:$V)</f>
        <v>0</v>
      </c>
      <c r="AI101" s="3">
        <f>SUMIF(VENTAS!$R:$R,RESUMEN!AA101,VENTAS!$W:$W)</f>
        <v>0</v>
      </c>
      <c r="AJ101" s="97">
        <f t="shared" si="55"/>
        <v>1724</v>
      </c>
      <c r="AK101" s="96"/>
      <c r="AL101" s="99">
        <f t="shared" si="46"/>
        <v>16</v>
      </c>
      <c r="AM101" s="11">
        <f t="shared" si="67"/>
        <v>43362</v>
      </c>
      <c r="AN101" s="3">
        <f t="shared" si="67"/>
        <v>108</v>
      </c>
      <c r="AO101" s="3">
        <f>SUMIF(MORTALIDAD!$Z:$Z,RESUMEN!AM101,MORTALIDAD!$AD:$AD)</f>
        <v>0</v>
      </c>
      <c r="AP101" s="19">
        <f t="shared" si="57"/>
        <v>-124</v>
      </c>
      <c r="AQ101" s="3">
        <f>SUMIF(MORTALIDAD!$Z:$Z,RESUMEN!AM101,MORTALIDAD!$AE:$AE)</f>
        <v>0</v>
      </c>
      <c r="AR101" s="3">
        <f>SUMIF(TRASLADOS!$AC:$AC,RESUMEN!AM101,TRASLADOS!$AF:$AF)</f>
        <v>0</v>
      </c>
      <c r="AS101" s="3">
        <f>SUMIF(TRASLADOS!$AC:$AC,RESUMEN!AM101,TRASLADOS!$AG:$AG)</f>
        <v>0</v>
      </c>
      <c r="AT101" s="3">
        <f>SUMIF(VENTAS!$Z:$Z,RESUMEN!AM101,VENTAS!$AD:$AD)</f>
        <v>0</v>
      </c>
      <c r="AU101" s="3">
        <f>SUMIF(VENTAS!$Z:$Z,RESUMEN!AM101,VENTAS!$AE:$AE)</f>
        <v>0</v>
      </c>
      <c r="AV101" s="97">
        <f t="shared" si="58"/>
        <v>2076</v>
      </c>
      <c r="AW101" s="96"/>
      <c r="AX101" s="99">
        <f t="shared" si="47"/>
        <v>16</v>
      </c>
      <c r="AY101" s="11">
        <f t="shared" si="68"/>
        <v>43369</v>
      </c>
      <c r="AZ101" s="3">
        <f t="shared" si="68"/>
        <v>108</v>
      </c>
      <c r="BA101" s="3">
        <f>SUMIF(MORTALIDAD!$AH:$AH,RESUMEN!AY101,MORTALIDAD!$AL:$AL)</f>
        <v>0</v>
      </c>
      <c r="BB101" s="19">
        <f t="shared" si="60"/>
        <v>-119</v>
      </c>
      <c r="BC101" s="3">
        <f>SUMIF(MORTALIDAD!$AH:$AH,RESUMEN!AY101,MORTALIDAD!$AM:$AM)</f>
        <v>0</v>
      </c>
      <c r="BD101" s="3">
        <f>SUMIF(TRASLADOS!$AL:$AL,RESUMEN!AY101,TRASLADOS!$AO:$AO)</f>
        <v>0</v>
      </c>
      <c r="BE101" s="3">
        <f>SUMIF(TRASLADOS!$AL:$AL,RESUMEN!AY101,TRASLADOS!$AP:$AP)</f>
        <v>0</v>
      </c>
      <c r="BF101" s="3">
        <f>SUMIF(VENTAS!$AH:$AH,RESUMEN!AY101,VENTAS!$AL:$AL)</f>
        <v>0</v>
      </c>
      <c r="BG101" s="3">
        <f>SUMIF(VENTAS!$AH:$AH,RESUMEN!AY101,VENTAS!$AM:$AM)</f>
        <v>0</v>
      </c>
      <c r="BH101" s="97">
        <f t="shared" si="61"/>
        <v>2081</v>
      </c>
      <c r="BI101" s="96"/>
      <c r="BJ101" s="99">
        <f t="shared" si="48"/>
        <v>16</v>
      </c>
      <c r="BK101" s="11">
        <f t="shared" si="69"/>
        <v>43378</v>
      </c>
      <c r="BL101" s="3">
        <f t="shared" si="69"/>
        <v>111</v>
      </c>
      <c r="BM101" s="3">
        <f>SUMIF(MORTALIDAD!$AP:$AP,RESUMEN!BK101,MORTALIDAD!$AT:$AT)</f>
        <v>0</v>
      </c>
      <c r="BN101" s="19">
        <f t="shared" si="63"/>
        <v>-73</v>
      </c>
      <c r="BO101" s="3">
        <f>SUMIF(MORTALIDAD!$AP$6:$AP$200,RESUMEN!BK101,MORTALIDAD!$AU$6:$AU$200)</f>
        <v>0</v>
      </c>
      <c r="BP101" s="3">
        <f>SUMIF(TRASLADOS!$AU:$AU,RESUMEN!BK101,TRASLADOS!$AX:$AX)</f>
        <v>0</v>
      </c>
      <c r="BQ101" s="3">
        <f>SUMIF(TRASLADOS!$AU:$AU,RESUMEN!BK101,TRASLADOS!$AY:$AY)</f>
        <v>0</v>
      </c>
      <c r="BR101" s="3">
        <f>SUMIF(VENTAS!$AP:$AP,RESUMEN!BK101,VENTAS!$AT:$AT)</f>
        <v>0</v>
      </c>
      <c r="BS101" s="3">
        <f>SUMIF(VENTAS!$AP:$AP,RESUMEN!BK101,VENTAS!$AU:$AU)</f>
        <v>0</v>
      </c>
      <c r="BT101" s="36">
        <f t="shared" si="64"/>
        <v>2241</v>
      </c>
    </row>
    <row r="102" spans="2:72" x14ac:dyDescent="0.2">
      <c r="B102" s="3">
        <f t="shared" si="43"/>
        <v>16</v>
      </c>
      <c r="C102" s="11">
        <f t="shared" si="35"/>
        <v>43349</v>
      </c>
      <c r="D102" s="3">
        <f t="shared" si="36"/>
        <v>111</v>
      </c>
      <c r="E102" s="3">
        <f>SUMIF(MORTALIDAD!$B$6:$B$200,RESUMEN!C102,MORTALIDAD!$F$6:$F$200)</f>
        <v>0</v>
      </c>
      <c r="F102" s="17">
        <f t="shared" si="37"/>
        <v>-740</v>
      </c>
      <c r="G102" s="3">
        <f>SUMIF(MORTALIDAD!$B$6:$B$200,RESUMEN!C102,MORTALIDAD!$G$6:$G$200)</f>
        <v>0</v>
      </c>
      <c r="H102" s="3">
        <f>SUMIF(TRASLADOS!$B$6:$B$200,C102,TRASLADOS!$E$6:$E$200)</f>
        <v>0</v>
      </c>
      <c r="I102" s="3">
        <f>SUMIF(TRASLADOS!$B$6:$B$200,C102,TRASLADOS!$F$6:$F$200)</f>
        <v>0</v>
      </c>
      <c r="J102" s="3">
        <f>SUMIF(VENTAS!$B$6:$B$200,RESUMEN!C102,VENTAS!$F$6:$F$200)</f>
        <v>0</v>
      </c>
      <c r="K102" s="3">
        <f>SUMIF(VENTAS!$B$6:$B$200,RESUMEN!C102,VENTAS!$G$6:$G$200)</f>
        <v>0</v>
      </c>
      <c r="L102" s="97">
        <f t="shared" si="49"/>
        <v>1460</v>
      </c>
      <c r="M102" s="96"/>
      <c r="N102" s="99">
        <f t="shared" si="44"/>
        <v>16</v>
      </c>
      <c r="O102" s="11">
        <f t="shared" si="65"/>
        <v>43352</v>
      </c>
      <c r="P102" s="3">
        <f t="shared" si="65"/>
        <v>110</v>
      </c>
      <c r="Q102" s="3">
        <f>SUMIF(MORTALIDAD!$J:$J,RESUMEN!O102,MORTALIDAD!$N:$N)</f>
        <v>0</v>
      </c>
      <c r="R102" s="19">
        <f t="shared" si="51"/>
        <v>-680</v>
      </c>
      <c r="S102" s="3">
        <f>SUMIF(MORTALIDAD!$J:$J,RESUMEN!O102,MORTALIDAD!$O:$O)</f>
        <v>0</v>
      </c>
      <c r="T102" s="3">
        <f>SUMIF(TRASLADOS!$K:$K,RESUMEN!O102,TRASLADOS!$N:$N)</f>
        <v>0</v>
      </c>
      <c r="U102" s="3">
        <f>SUMIF(TRASLADOS!$K:$K,RESUMEN!O102,TRASLADOS!$O:$O)</f>
        <v>0</v>
      </c>
      <c r="V102" s="3">
        <f>SUMIF(VENTAS!$J:$J,RESUMEN!O102,VENTAS!$N:$N)</f>
        <v>0</v>
      </c>
      <c r="W102" s="3">
        <f>SUMIF(VENTAS!$J:$J,RESUMEN!O102,VENTAS!$O:$O)</f>
        <v>0</v>
      </c>
      <c r="X102" s="97">
        <f t="shared" si="52"/>
        <v>1520</v>
      </c>
      <c r="Y102" s="96"/>
      <c r="Z102" s="99">
        <f t="shared" si="45"/>
        <v>16</v>
      </c>
      <c r="AA102" s="11">
        <f t="shared" si="66"/>
        <v>43356</v>
      </c>
      <c r="AB102" s="3">
        <f t="shared" si="66"/>
        <v>109</v>
      </c>
      <c r="AC102" s="3">
        <f>SUMIF(MORTALIDAD!$R:$R,RESUMEN!AA102,MORTALIDAD!$V:$V)</f>
        <v>0</v>
      </c>
      <c r="AD102" s="19">
        <f t="shared" si="54"/>
        <v>-476</v>
      </c>
      <c r="AE102" s="3">
        <f>SUMIF(MORTALIDAD!$R:$R,RESUMEN!AA102,MORTALIDAD!$W:$W)</f>
        <v>0</v>
      </c>
      <c r="AF102" s="3">
        <f>SUMIF(TRASLADOS!$T:$T,RESUMEN!AA102,TRASLADOS!$W:$W)</f>
        <v>0</v>
      </c>
      <c r="AG102" s="3">
        <f>SUMIF(TRASLADOS!$T:$T,RESUMEN!AA102,TRASLADOS!$X:$X)</f>
        <v>0</v>
      </c>
      <c r="AH102" s="3">
        <f>SUMIF(VENTAS!$R:$R,RESUMEN!AA102,VENTAS!$V:$V)</f>
        <v>0</v>
      </c>
      <c r="AI102" s="3">
        <f>SUMIF(VENTAS!$R:$R,RESUMEN!AA102,VENTAS!$W:$W)</f>
        <v>0</v>
      </c>
      <c r="AJ102" s="97">
        <f t="shared" si="55"/>
        <v>1724</v>
      </c>
      <c r="AK102" s="96"/>
      <c r="AL102" s="99">
        <f t="shared" si="46"/>
        <v>16</v>
      </c>
      <c r="AM102" s="11">
        <f t="shared" si="67"/>
        <v>43363</v>
      </c>
      <c r="AN102" s="3">
        <f t="shared" si="67"/>
        <v>109</v>
      </c>
      <c r="AO102" s="3">
        <f>SUMIF(MORTALIDAD!$Z:$Z,RESUMEN!AM102,MORTALIDAD!$AD:$AD)</f>
        <v>0</v>
      </c>
      <c r="AP102" s="19">
        <f t="shared" si="57"/>
        <v>-124</v>
      </c>
      <c r="AQ102" s="3">
        <f>SUMIF(MORTALIDAD!$Z:$Z,RESUMEN!AM102,MORTALIDAD!$AE:$AE)</f>
        <v>0</v>
      </c>
      <c r="AR102" s="3">
        <f>SUMIF(TRASLADOS!$AC:$AC,RESUMEN!AM102,TRASLADOS!$AF:$AF)</f>
        <v>0</v>
      </c>
      <c r="AS102" s="3">
        <f>SUMIF(TRASLADOS!$AC:$AC,RESUMEN!AM102,TRASLADOS!$AG:$AG)</f>
        <v>0</v>
      </c>
      <c r="AT102" s="3">
        <f>SUMIF(VENTAS!$Z:$Z,RESUMEN!AM102,VENTAS!$AD:$AD)</f>
        <v>0</v>
      </c>
      <c r="AU102" s="3">
        <f>SUMIF(VENTAS!$Z:$Z,RESUMEN!AM102,VENTAS!$AE:$AE)</f>
        <v>0</v>
      </c>
      <c r="AV102" s="97">
        <f t="shared" si="58"/>
        <v>2076</v>
      </c>
      <c r="AW102" s="96"/>
      <c r="AX102" s="99">
        <f t="shared" si="47"/>
        <v>16</v>
      </c>
      <c r="AY102" s="11">
        <f t="shared" si="68"/>
        <v>43370</v>
      </c>
      <c r="AZ102" s="3">
        <f t="shared" si="68"/>
        <v>109</v>
      </c>
      <c r="BA102" s="3">
        <f>SUMIF(MORTALIDAD!$AH:$AH,RESUMEN!AY102,MORTALIDAD!$AL:$AL)</f>
        <v>0</v>
      </c>
      <c r="BB102" s="19">
        <f t="shared" si="60"/>
        <v>-119</v>
      </c>
      <c r="BC102" s="3">
        <f>SUMIF(MORTALIDAD!$AH:$AH,RESUMEN!AY102,MORTALIDAD!$AM:$AM)</f>
        <v>0</v>
      </c>
      <c r="BD102" s="3">
        <f>SUMIF(TRASLADOS!$AL:$AL,RESUMEN!AY102,TRASLADOS!$AO:$AO)</f>
        <v>0</v>
      </c>
      <c r="BE102" s="3">
        <f>SUMIF(TRASLADOS!$AL:$AL,RESUMEN!AY102,TRASLADOS!$AP:$AP)</f>
        <v>0</v>
      </c>
      <c r="BF102" s="3">
        <f>SUMIF(VENTAS!$AH:$AH,RESUMEN!AY102,VENTAS!$AL:$AL)</f>
        <v>0</v>
      </c>
      <c r="BG102" s="3">
        <f>SUMIF(VENTAS!$AH:$AH,RESUMEN!AY102,VENTAS!$AM:$AM)</f>
        <v>0</v>
      </c>
      <c r="BH102" s="97">
        <f t="shared" si="61"/>
        <v>2081</v>
      </c>
      <c r="BI102" s="96"/>
      <c r="BJ102" s="99">
        <f t="shared" si="48"/>
        <v>16</v>
      </c>
      <c r="BK102" s="11">
        <f t="shared" si="69"/>
        <v>43379</v>
      </c>
      <c r="BL102" s="3">
        <f t="shared" si="69"/>
        <v>112</v>
      </c>
      <c r="BM102" s="3">
        <f>SUMIF(MORTALIDAD!$AP:$AP,RESUMEN!BK102,MORTALIDAD!$AT:$AT)</f>
        <v>0</v>
      </c>
      <c r="BN102" s="19">
        <f t="shared" si="63"/>
        <v>-73</v>
      </c>
      <c r="BO102" s="3">
        <f>SUMIF(MORTALIDAD!$AP$6:$AP$200,RESUMEN!BK102,MORTALIDAD!$AU$6:$AU$200)</f>
        <v>0</v>
      </c>
      <c r="BP102" s="3">
        <f>SUMIF(TRASLADOS!$AU:$AU,RESUMEN!BK102,TRASLADOS!$AX:$AX)</f>
        <v>0</v>
      </c>
      <c r="BQ102" s="3">
        <f>SUMIF(TRASLADOS!$AU:$AU,RESUMEN!BK102,TRASLADOS!$AY:$AY)</f>
        <v>0</v>
      </c>
      <c r="BR102" s="3">
        <f>SUMIF(VENTAS!$AP:$AP,RESUMEN!BK102,VENTAS!$AT:$AT)</f>
        <v>0</v>
      </c>
      <c r="BS102" s="3">
        <f>SUMIF(VENTAS!$AP:$AP,RESUMEN!BK102,VENTAS!$AU:$AU)</f>
        <v>0</v>
      </c>
      <c r="BT102" s="36">
        <f t="shared" si="64"/>
        <v>2241</v>
      </c>
    </row>
    <row r="103" spans="2:72" x14ac:dyDescent="0.2">
      <c r="B103" s="3">
        <f t="shared" si="43"/>
        <v>16</v>
      </c>
      <c r="C103" s="11">
        <f t="shared" si="35"/>
        <v>43350</v>
      </c>
      <c r="D103" s="3">
        <f t="shared" si="36"/>
        <v>112</v>
      </c>
      <c r="E103" s="3">
        <f>SUMIF(MORTALIDAD!$B$6:$B$200,RESUMEN!C103,MORTALIDAD!$F$6:$F$200)</f>
        <v>0</v>
      </c>
      <c r="F103" s="17">
        <f t="shared" si="37"/>
        <v>-740</v>
      </c>
      <c r="G103" s="3">
        <f>SUMIF(MORTALIDAD!$B$6:$B$200,RESUMEN!C103,MORTALIDAD!$G$6:$G$200)</f>
        <v>0</v>
      </c>
      <c r="H103" s="3">
        <f>SUMIF(TRASLADOS!$B$6:$B$200,C103,TRASLADOS!$E$6:$E$200)</f>
        <v>0</v>
      </c>
      <c r="I103" s="3">
        <f>SUMIF(TRASLADOS!$B$6:$B$200,C103,TRASLADOS!$F$6:$F$200)</f>
        <v>0</v>
      </c>
      <c r="J103" s="3">
        <f>SUMIF(VENTAS!$B$6:$B$200,RESUMEN!C103,VENTAS!$F$6:$F$200)</f>
        <v>0</v>
      </c>
      <c r="K103" s="3">
        <f>SUMIF(VENTAS!$B$6:$B$200,RESUMEN!C103,VENTAS!$G$6:$G$200)</f>
        <v>0</v>
      </c>
      <c r="L103" s="97">
        <f t="shared" si="49"/>
        <v>1460</v>
      </c>
      <c r="M103" s="96"/>
      <c r="N103" s="99">
        <f t="shared" si="44"/>
        <v>16</v>
      </c>
      <c r="O103" s="11">
        <f t="shared" si="65"/>
        <v>43353</v>
      </c>
      <c r="P103" s="3">
        <f t="shared" si="65"/>
        <v>111</v>
      </c>
      <c r="Q103" s="3">
        <f>SUMIF(MORTALIDAD!$J:$J,RESUMEN!O103,MORTALIDAD!$N:$N)</f>
        <v>0</v>
      </c>
      <c r="R103" s="19">
        <f t="shared" si="51"/>
        <v>-680</v>
      </c>
      <c r="S103" s="3">
        <f>SUMIF(MORTALIDAD!$J:$J,RESUMEN!O103,MORTALIDAD!$O:$O)</f>
        <v>0</v>
      </c>
      <c r="T103" s="3">
        <f>SUMIF(TRASLADOS!$K:$K,RESUMEN!O103,TRASLADOS!$N:$N)</f>
        <v>0</v>
      </c>
      <c r="U103" s="3">
        <f>SUMIF(TRASLADOS!$K:$K,RESUMEN!O103,TRASLADOS!$O:$O)</f>
        <v>0</v>
      </c>
      <c r="V103" s="3">
        <f>SUMIF(VENTAS!$J:$J,RESUMEN!O103,VENTAS!$N:$N)</f>
        <v>0</v>
      </c>
      <c r="W103" s="3">
        <f>SUMIF(VENTAS!$J:$J,RESUMEN!O103,VENTAS!$O:$O)</f>
        <v>0</v>
      </c>
      <c r="X103" s="97">
        <f t="shared" si="52"/>
        <v>1520</v>
      </c>
      <c r="Y103" s="96"/>
      <c r="Z103" s="99">
        <f t="shared" si="45"/>
        <v>16</v>
      </c>
      <c r="AA103" s="11">
        <f t="shared" si="66"/>
        <v>43357</v>
      </c>
      <c r="AB103" s="3">
        <f t="shared" si="66"/>
        <v>110</v>
      </c>
      <c r="AC103" s="3">
        <f>SUMIF(MORTALIDAD!$R:$R,RESUMEN!AA103,MORTALIDAD!$V:$V)</f>
        <v>0</v>
      </c>
      <c r="AD103" s="19">
        <f t="shared" si="54"/>
        <v>-476</v>
      </c>
      <c r="AE103" s="3">
        <f>SUMIF(MORTALIDAD!$R:$R,RESUMEN!AA103,MORTALIDAD!$W:$W)</f>
        <v>0</v>
      </c>
      <c r="AF103" s="3">
        <f>SUMIF(TRASLADOS!$T:$T,RESUMEN!AA103,TRASLADOS!$W:$W)</f>
        <v>0</v>
      </c>
      <c r="AG103" s="3">
        <f>SUMIF(TRASLADOS!$T:$T,RESUMEN!AA103,TRASLADOS!$X:$X)</f>
        <v>0</v>
      </c>
      <c r="AH103" s="3">
        <f>SUMIF(VENTAS!$R:$R,RESUMEN!AA103,VENTAS!$V:$V)</f>
        <v>0</v>
      </c>
      <c r="AI103" s="3">
        <f>SUMIF(VENTAS!$R:$R,RESUMEN!AA103,VENTAS!$W:$W)</f>
        <v>0</v>
      </c>
      <c r="AJ103" s="97">
        <f t="shared" si="55"/>
        <v>1724</v>
      </c>
      <c r="AK103" s="96"/>
      <c r="AL103" s="99">
        <f t="shared" si="46"/>
        <v>16</v>
      </c>
      <c r="AM103" s="11">
        <f t="shared" si="67"/>
        <v>43364</v>
      </c>
      <c r="AN103" s="3">
        <f t="shared" si="67"/>
        <v>110</v>
      </c>
      <c r="AO103" s="3">
        <f>SUMIF(MORTALIDAD!$Z:$Z,RESUMEN!AM103,MORTALIDAD!$AD:$AD)</f>
        <v>0</v>
      </c>
      <c r="AP103" s="19">
        <f t="shared" si="57"/>
        <v>-124</v>
      </c>
      <c r="AQ103" s="3">
        <f>SUMIF(MORTALIDAD!$Z:$Z,RESUMEN!AM103,MORTALIDAD!$AE:$AE)</f>
        <v>0</v>
      </c>
      <c r="AR103" s="3">
        <f>SUMIF(TRASLADOS!$AC:$AC,RESUMEN!AM103,TRASLADOS!$AF:$AF)</f>
        <v>0</v>
      </c>
      <c r="AS103" s="3">
        <f>SUMIF(TRASLADOS!$AC:$AC,RESUMEN!AM103,TRASLADOS!$AG:$AG)</f>
        <v>0</v>
      </c>
      <c r="AT103" s="3">
        <f>SUMIF(VENTAS!$Z:$Z,RESUMEN!AM103,VENTAS!$AD:$AD)</f>
        <v>0</v>
      </c>
      <c r="AU103" s="3">
        <f>SUMIF(VENTAS!$Z:$Z,RESUMEN!AM103,VENTAS!$AE:$AE)</f>
        <v>0</v>
      </c>
      <c r="AV103" s="97">
        <f t="shared" si="58"/>
        <v>2076</v>
      </c>
      <c r="AW103" s="96"/>
      <c r="AX103" s="99">
        <f t="shared" si="47"/>
        <v>16</v>
      </c>
      <c r="AY103" s="11">
        <f t="shared" si="68"/>
        <v>43371</v>
      </c>
      <c r="AZ103" s="3">
        <f t="shared" si="68"/>
        <v>110</v>
      </c>
      <c r="BA103" s="3">
        <f>SUMIF(MORTALIDAD!$AH:$AH,RESUMEN!AY103,MORTALIDAD!$AL:$AL)</f>
        <v>0</v>
      </c>
      <c r="BB103" s="19">
        <f t="shared" si="60"/>
        <v>-119</v>
      </c>
      <c r="BC103" s="3">
        <f>SUMIF(MORTALIDAD!$AH:$AH,RESUMEN!AY103,MORTALIDAD!$AM:$AM)</f>
        <v>0</v>
      </c>
      <c r="BD103" s="3">
        <f>SUMIF(TRASLADOS!$AL:$AL,RESUMEN!AY103,TRASLADOS!$AO:$AO)</f>
        <v>0</v>
      </c>
      <c r="BE103" s="3">
        <f>SUMIF(TRASLADOS!$AL:$AL,RESUMEN!AY103,TRASLADOS!$AP:$AP)</f>
        <v>0</v>
      </c>
      <c r="BF103" s="3">
        <f>SUMIF(VENTAS!$AH:$AH,RESUMEN!AY103,VENTAS!$AL:$AL)</f>
        <v>0</v>
      </c>
      <c r="BG103" s="3">
        <f>SUMIF(VENTAS!$AH:$AH,RESUMEN!AY103,VENTAS!$AM:$AM)</f>
        <v>0</v>
      </c>
      <c r="BH103" s="97">
        <f t="shared" si="61"/>
        <v>2081</v>
      </c>
      <c r="BI103" s="96"/>
      <c r="BJ103" s="99">
        <f t="shared" si="48"/>
        <v>17</v>
      </c>
      <c r="BK103" s="11">
        <f t="shared" si="69"/>
        <v>43380</v>
      </c>
      <c r="BL103" s="3">
        <f t="shared" si="69"/>
        <v>113</v>
      </c>
      <c r="BM103" s="3">
        <f>SUMIF(MORTALIDAD!$AP:$AP,RESUMEN!BK103,MORTALIDAD!$AT:$AT)</f>
        <v>0</v>
      </c>
      <c r="BN103" s="19">
        <f t="shared" si="63"/>
        <v>-73</v>
      </c>
      <c r="BO103" s="3">
        <f>SUMIF(MORTALIDAD!$AP$6:$AP$200,RESUMEN!BK103,MORTALIDAD!$AU$6:$AU$200)</f>
        <v>0</v>
      </c>
      <c r="BP103" s="3">
        <f>SUMIF(TRASLADOS!$AU:$AU,RESUMEN!BK103,TRASLADOS!$AX:$AX)</f>
        <v>0</v>
      </c>
      <c r="BQ103" s="3">
        <f>SUMIF(TRASLADOS!$AU:$AU,RESUMEN!BK103,TRASLADOS!$AY:$AY)</f>
        <v>0</v>
      </c>
      <c r="BR103" s="3">
        <f>SUMIF(VENTAS!$AP:$AP,RESUMEN!BK103,VENTAS!$AT:$AT)</f>
        <v>0</v>
      </c>
      <c r="BS103" s="3">
        <f>SUMIF(VENTAS!$AP:$AP,RESUMEN!BK103,VENTAS!$AU:$AU)</f>
        <v>0</v>
      </c>
      <c r="BT103" s="36">
        <f t="shared" si="64"/>
        <v>2241</v>
      </c>
    </row>
    <row r="104" spans="2:72" x14ac:dyDescent="0.2">
      <c r="B104" s="3">
        <f t="shared" si="43"/>
        <v>17</v>
      </c>
      <c r="C104" s="11">
        <f t="shared" si="35"/>
        <v>43351</v>
      </c>
      <c r="D104" s="3">
        <f t="shared" si="36"/>
        <v>113</v>
      </c>
      <c r="E104" s="3">
        <f>SUMIF(MORTALIDAD!$B$6:$B$200,RESUMEN!C104,MORTALIDAD!$F$6:$F$200)</f>
        <v>0</v>
      </c>
      <c r="F104" s="17">
        <f t="shared" si="37"/>
        <v>-740</v>
      </c>
      <c r="G104" s="3">
        <f>SUMIF(MORTALIDAD!$B$6:$B$200,RESUMEN!C104,MORTALIDAD!$G$6:$G$200)</f>
        <v>0</v>
      </c>
      <c r="H104" s="3">
        <f>SUMIF(TRASLADOS!$B$6:$B$200,C104,TRASLADOS!$E$6:$E$200)</f>
        <v>0</v>
      </c>
      <c r="I104" s="3">
        <f>SUMIF(TRASLADOS!$B$6:$B$200,C104,TRASLADOS!$F$6:$F$200)</f>
        <v>0</v>
      </c>
      <c r="J104" s="3">
        <f>SUMIF(VENTAS!$B$6:$B$200,RESUMEN!C104,VENTAS!$F$6:$F$200)</f>
        <v>0</v>
      </c>
      <c r="K104" s="3">
        <f>SUMIF(VENTAS!$B$6:$B$200,RESUMEN!C104,VENTAS!$G$6:$G$200)</f>
        <v>0</v>
      </c>
      <c r="L104" s="97">
        <f t="shared" si="49"/>
        <v>1460</v>
      </c>
      <c r="M104" s="96"/>
      <c r="N104" s="99">
        <f t="shared" si="44"/>
        <v>16</v>
      </c>
      <c r="O104" s="11">
        <f t="shared" si="65"/>
        <v>43354</v>
      </c>
      <c r="P104" s="3">
        <f t="shared" si="65"/>
        <v>112</v>
      </c>
      <c r="Q104" s="3">
        <f>SUMIF(MORTALIDAD!$J:$J,RESUMEN!O104,MORTALIDAD!$N:$N)</f>
        <v>0</v>
      </c>
      <c r="R104" s="19">
        <f t="shared" si="51"/>
        <v>-680</v>
      </c>
      <c r="S104" s="3">
        <f>SUMIF(MORTALIDAD!$J:$J,RESUMEN!O104,MORTALIDAD!$O:$O)</f>
        <v>0</v>
      </c>
      <c r="T104" s="3">
        <f>SUMIF(TRASLADOS!$K:$K,RESUMEN!O104,TRASLADOS!$N:$N)</f>
        <v>0</v>
      </c>
      <c r="U104" s="3">
        <f>SUMIF(TRASLADOS!$K:$K,RESUMEN!O104,TRASLADOS!$O:$O)</f>
        <v>0</v>
      </c>
      <c r="V104" s="3">
        <f>SUMIF(VENTAS!$J:$J,RESUMEN!O104,VENTAS!$N:$N)</f>
        <v>0</v>
      </c>
      <c r="W104" s="3">
        <f>SUMIF(VENTAS!$J:$J,RESUMEN!O104,VENTAS!$O:$O)</f>
        <v>0</v>
      </c>
      <c r="X104" s="97">
        <f t="shared" si="52"/>
        <v>1520</v>
      </c>
      <c r="Y104" s="96"/>
      <c r="Z104" s="99">
        <f t="shared" si="45"/>
        <v>16</v>
      </c>
      <c r="AA104" s="11">
        <f t="shared" si="66"/>
        <v>43358</v>
      </c>
      <c r="AB104" s="3">
        <f t="shared" si="66"/>
        <v>111</v>
      </c>
      <c r="AC104" s="3">
        <f>SUMIF(MORTALIDAD!$R:$R,RESUMEN!AA104,MORTALIDAD!$V:$V)</f>
        <v>0</v>
      </c>
      <c r="AD104" s="19">
        <f t="shared" si="54"/>
        <v>-476</v>
      </c>
      <c r="AE104" s="3">
        <f>SUMIF(MORTALIDAD!$R:$R,RESUMEN!AA104,MORTALIDAD!$W:$W)</f>
        <v>0</v>
      </c>
      <c r="AF104" s="3">
        <f>SUMIF(TRASLADOS!$T:$T,RESUMEN!AA104,TRASLADOS!$W:$W)</f>
        <v>0</v>
      </c>
      <c r="AG104" s="3">
        <f>SUMIF(TRASLADOS!$T:$T,RESUMEN!AA104,TRASLADOS!$X:$X)</f>
        <v>0</v>
      </c>
      <c r="AH104" s="3">
        <f>SUMIF(VENTAS!$R:$R,RESUMEN!AA104,VENTAS!$V:$V)</f>
        <v>0</v>
      </c>
      <c r="AI104" s="3">
        <f>SUMIF(VENTAS!$R:$R,RESUMEN!AA104,VENTAS!$W:$W)</f>
        <v>0</v>
      </c>
      <c r="AJ104" s="97">
        <f t="shared" si="55"/>
        <v>1724</v>
      </c>
      <c r="AK104" s="96"/>
      <c r="AL104" s="99">
        <f t="shared" si="46"/>
        <v>16</v>
      </c>
      <c r="AM104" s="11">
        <f t="shared" si="67"/>
        <v>43365</v>
      </c>
      <c r="AN104" s="3">
        <f t="shared" si="67"/>
        <v>111</v>
      </c>
      <c r="AO104" s="3">
        <f>SUMIF(MORTALIDAD!$Z:$Z,RESUMEN!AM104,MORTALIDAD!$AD:$AD)</f>
        <v>0</v>
      </c>
      <c r="AP104" s="19">
        <f t="shared" si="57"/>
        <v>-124</v>
      </c>
      <c r="AQ104" s="3">
        <f>SUMIF(MORTALIDAD!$Z:$Z,RESUMEN!AM104,MORTALIDAD!$AE:$AE)</f>
        <v>0</v>
      </c>
      <c r="AR104" s="3">
        <f>SUMIF(TRASLADOS!$AC:$AC,RESUMEN!AM104,TRASLADOS!$AF:$AF)</f>
        <v>0</v>
      </c>
      <c r="AS104" s="3">
        <f>SUMIF(TRASLADOS!$AC:$AC,RESUMEN!AM104,TRASLADOS!$AG:$AG)</f>
        <v>0</v>
      </c>
      <c r="AT104" s="3">
        <f>SUMIF(VENTAS!$Z:$Z,RESUMEN!AM104,VENTAS!$AD:$AD)</f>
        <v>0</v>
      </c>
      <c r="AU104" s="3">
        <f>SUMIF(VENTAS!$Z:$Z,RESUMEN!AM104,VENTAS!$AE:$AE)</f>
        <v>0</v>
      </c>
      <c r="AV104" s="97">
        <f t="shared" si="58"/>
        <v>2076</v>
      </c>
      <c r="AW104" s="96"/>
      <c r="AX104" s="99">
        <f t="shared" si="47"/>
        <v>16</v>
      </c>
      <c r="AY104" s="11">
        <f t="shared" si="68"/>
        <v>43372</v>
      </c>
      <c r="AZ104" s="3">
        <f t="shared" si="68"/>
        <v>111</v>
      </c>
      <c r="BA104" s="3">
        <f>SUMIF(MORTALIDAD!$AH:$AH,RESUMEN!AY104,MORTALIDAD!$AL:$AL)</f>
        <v>0</v>
      </c>
      <c r="BB104" s="19">
        <f t="shared" si="60"/>
        <v>-119</v>
      </c>
      <c r="BC104" s="3">
        <f>SUMIF(MORTALIDAD!$AH:$AH,RESUMEN!AY104,MORTALIDAD!$AM:$AM)</f>
        <v>0</v>
      </c>
      <c r="BD104" s="3">
        <f>SUMIF(TRASLADOS!$AL:$AL,RESUMEN!AY104,TRASLADOS!$AO:$AO)</f>
        <v>0</v>
      </c>
      <c r="BE104" s="3">
        <f>SUMIF(TRASLADOS!$AL:$AL,RESUMEN!AY104,TRASLADOS!$AP:$AP)</f>
        <v>0</v>
      </c>
      <c r="BF104" s="3">
        <f>SUMIF(VENTAS!$AH:$AH,RESUMEN!AY104,VENTAS!$AL:$AL)</f>
        <v>0</v>
      </c>
      <c r="BG104" s="3">
        <f>SUMIF(VENTAS!$AH:$AH,RESUMEN!AY104,VENTAS!$AM:$AM)</f>
        <v>0</v>
      </c>
      <c r="BH104" s="97">
        <f t="shared" si="61"/>
        <v>2081</v>
      </c>
      <c r="BI104" s="96"/>
      <c r="BJ104" s="99">
        <f t="shared" si="48"/>
        <v>17</v>
      </c>
      <c r="BK104" s="11">
        <f t="shared" si="69"/>
        <v>43381</v>
      </c>
      <c r="BL104" s="3">
        <f t="shared" si="69"/>
        <v>114</v>
      </c>
      <c r="BM104" s="3">
        <f>SUMIF(MORTALIDAD!$AP:$AP,RESUMEN!BK104,MORTALIDAD!$AT:$AT)</f>
        <v>0</v>
      </c>
      <c r="BN104" s="19">
        <f t="shared" si="63"/>
        <v>-73</v>
      </c>
      <c r="BO104" s="3">
        <f>SUMIF(MORTALIDAD!$AP$6:$AP$200,RESUMEN!BK104,MORTALIDAD!$AU$6:$AU$200)</f>
        <v>0</v>
      </c>
      <c r="BP104" s="3">
        <f>SUMIF(TRASLADOS!$AU:$AU,RESUMEN!BK104,TRASLADOS!$AX:$AX)</f>
        <v>0</v>
      </c>
      <c r="BQ104" s="3">
        <f>SUMIF(TRASLADOS!$AU:$AU,RESUMEN!BK104,TRASLADOS!$AY:$AY)</f>
        <v>0</v>
      </c>
      <c r="BR104" s="3">
        <f>SUMIF(VENTAS!$AP:$AP,RESUMEN!BK104,VENTAS!$AT:$AT)</f>
        <v>0</v>
      </c>
      <c r="BS104" s="3">
        <f>SUMIF(VENTAS!$AP:$AP,RESUMEN!BK104,VENTAS!$AU:$AU)</f>
        <v>0</v>
      </c>
      <c r="BT104" s="36">
        <f t="shared" si="64"/>
        <v>2241</v>
      </c>
    </row>
    <row r="105" spans="2:72" x14ac:dyDescent="0.2">
      <c r="B105" s="3">
        <f t="shared" si="43"/>
        <v>17</v>
      </c>
      <c r="C105" s="11">
        <f t="shared" si="35"/>
        <v>43352</v>
      </c>
      <c r="D105" s="3">
        <f t="shared" si="36"/>
        <v>114</v>
      </c>
      <c r="E105" s="3">
        <f>SUMIF(MORTALIDAD!$B$6:$B$200,RESUMEN!C105,MORTALIDAD!$F$6:$F$200)</f>
        <v>0</v>
      </c>
      <c r="F105" s="17">
        <f t="shared" si="37"/>
        <v>-740</v>
      </c>
      <c r="G105" s="3">
        <f>SUMIF(MORTALIDAD!$B$6:$B$200,RESUMEN!C105,MORTALIDAD!$G$6:$G$200)</f>
        <v>0</v>
      </c>
      <c r="H105" s="3">
        <f>SUMIF(TRASLADOS!$B$6:$B$200,C105,TRASLADOS!$E$6:$E$200)</f>
        <v>0</v>
      </c>
      <c r="I105" s="3">
        <f>SUMIF(TRASLADOS!$B$6:$B$200,C105,TRASLADOS!$F$6:$F$200)</f>
        <v>0</v>
      </c>
      <c r="J105" s="3">
        <f>SUMIF(VENTAS!$B$6:$B$200,RESUMEN!C105,VENTAS!$F$6:$F$200)</f>
        <v>0</v>
      </c>
      <c r="K105" s="3">
        <f>SUMIF(VENTAS!$B$6:$B$200,RESUMEN!C105,VENTAS!$G$6:$G$200)</f>
        <v>0</v>
      </c>
      <c r="L105" s="97">
        <f t="shared" si="49"/>
        <v>1460</v>
      </c>
      <c r="M105" s="96"/>
      <c r="N105" s="99">
        <f t="shared" si="44"/>
        <v>17</v>
      </c>
      <c r="O105" s="11">
        <f t="shared" si="65"/>
        <v>43355</v>
      </c>
      <c r="P105" s="3">
        <f t="shared" si="65"/>
        <v>113</v>
      </c>
      <c r="Q105" s="3">
        <f>SUMIF(MORTALIDAD!$J:$J,RESUMEN!O105,MORTALIDAD!$N:$N)</f>
        <v>0</v>
      </c>
      <c r="R105" s="19">
        <f t="shared" si="51"/>
        <v>-680</v>
      </c>
      <c r="S105" s="3">
        <f>SUMIF(MORTALIDAD!$J:$J,RESUMEN!O105,MORTALIDAD!$O:$O)</f>
        <v>0</v>
      </c>
      <c r="T105" s="3">
        <f>SUMIF(TRASLADOS!$K:$K,RESUMEN!O105,TRASLADOS!$N:$N)</f>
        <v>0</v>
      </c>
      <c r="U105" s="3">
        <f>SUMIF(TRASLADOS!$K:$K,RESUMEN!O105,TRASLADOS!$O:$O)</f>
        <v>0</v>
      </c>
      <c r="V105" s="3">
        <f>SUMIF(VENTAS!$J:$J,RESUMEN!O105,VENTAS!$N:$N)</f>
        <v>0</v>
      </c>
      <c r="W105" s="3">
        <f>SUMIF(VENTAS!$J:$J,RESUMEN!O105,VENTAS!$O:$O)</f>
        <v>0</v>
      </c>
      <c r="X105" s="97">
        <f t="shared" si="52"/>
        <v>1520</v>
      </c>
      <c r="Y105" s="96"/>
      <c r="Z105" s="99">
        <f t="shared" si="45"/>
        <v>16</v>
      </c>
      <c r="AA105" s="11">
        <f t="shared" si="66"/>
        <v>43359</v>
      </c>
      <c r="AB105" s="3">
        <f t="shared" si="66"/>
        <v>112</v>
      </c>
      <c r="AC105" s="3">
        <f>SUMIF(MORTALIDAD!$R:$R,RESUMEN!AA105,MORTALIDAD!$V:$V)</f>
        <v>0</v>
      </c>
      <c r="AD105" s="19">
        <f t="shared" si="54"/>
        <v>-476</v>
      </c>
      <c r="AE105" s="3">
        <f>SUMIF(MORTALIDAD!$R:$R,RESUMEN!AA105,MORTALIDAD!$W:$W)</f>
        <v>0</v>
      </c>
      <c r="AF105" s="3">
        <f>SUMIF(TRASLADOS!$T:$T,RESUMEN!AA105,TRASLADOS!$W:$W)</f>
        <v>0</v>
      </c>
      <c r="AG105" s="3">
        <f>SUMIF(TRASLADOS!$T:$T,RESUMEN!AA105,TRASLADOS!$X:$X)</f>
        <v>0</v>
      </c>
      <c r="AH105" s="3">
        <f>SUMIF(VENTAS!$R:$R,RESUMEN!AA105,VENTAS!$V:$V)</f>
        <v>0</v>
      </c>
      <c r="AI105" s="3">
        <f>SUMIF(VENTAS!$R:$R,RESUMEN!AA105,VENTAS!$W:$W)</f>
        <v>0</v>
      </c>
      <c r="AJ105" s="97">
        <f t="shared" si="55"/>
        <v>1724</v>
      </c>
      <c r="AK105" s="96"/>
      <c r="AL105" s="99">
        <f t="shared" si="46"/>
        <v>16</v>
      </c>
      <c r="AM105" s="11">
        <f t="shared" si="67"/>
        <v>43366</v>
      </c>
      <c r="AN105" s="3">
        <f t="shared" si="67"/>
        <v>112</v>
      </c>
      <c r="AO105" s="3">
        <f>SUMIF(MORTALIDAD!$Z:$Z,RESUMEN!AM105,MORTALIDAD!$AD:$AD)</f>
        <v>0</v>
      </c>
      <c r="AP105" s="19">
        <f t="shared" si="57"/>
        <v>-124</v>
      </c>
      <c r="AQ105" s="3">
        <f>SUMIF(MORTALIDAD!$Z:$Z,RESUMEN!AM105,MORTALIDAD!$AE:$AE)</f>
        <v>0</v>
      </c>
      <c r="AR105" s="3">
        <f>SUMIF(TRASLADOS!$AC:$AC,RESUMEN!AM105,TRASLADOS!$AF:$AF)</f>
        <v>0</v>
      </c>
      <c r="AS105" s="3">
        <f>SUMIF(TRASLADOS!$AC:$AC,RESUMEN!AM105,TRASLADOS!$AG:$AG)</f>
        <v>0</v>
      </c>
      <c r="AT105" s="3">
        <f>SUMIF(VENTAS!$Z:$Z,RESUMEN!AM105,VENTAS!$AD:$AD)</f>
        <v>0</v>
      </c>
      <c r="AU105" s="3">
        <f>SUMIF(VENTAS!$Z:$Z,RESUMEN!AM105,VENTAS!$AE:$AE)</f>
        <v>0</v>
      </c>
      <c r="AV105" s="97">
        <f t="shared" si="58"/>
        <v>2076</v>
      </c>
      <c r="AW105" s="96"/>
      <c r="AX105" s="99">
        <f t="shared" si="47"/>
        <v>16</v>
      </c>
      <c r="AY105" s="11">
        <f t="shared" si="68"/>
        <v>43373</v>
      </c>
      <c r="AZ105" s="3">
        <f t="shared" si="68"/>
        <v>112</v>
      </c>
      <c r="BA105" s="3">
        <f>SUMIF(MORTALIDAD!$AH:$AH,RESUMEN!AY105,MORTALIDAD!$AL:$AL)</f>
        <v>0</v>
      </c>
      <c r="BB105" s="19">
        <f t="shared" si="60"/>
        <v>-119</v>
      </c>
      <c r="BC105" s="3">
        <f>SUMIF(MORTALIDAD!$AH:$AH,RESUMEN!AY105,MORTALIDAD!$AM:$AM)</f>
        <v>0</v>
      </c>
      <c r="BD105" s="3">
        <f>SUMIF(TRASLADOS!$AL:$AL,RESUMEN!AY105,TRASLADOS!$AO:$AO)</f>
        <v>0</v>
      </c>
      <c r="BE105" s="3">
        <f>SUMIF(TRASLADOS!$AL:$AL,RESUMEN!AY105,TRASLADOS!$AP:$AP)</f>
        <v>0</v>
      </c>
      <c r="BF105" s="3">
        <f>SUMIF(VENTAS!$AH:$AH,RESUMEN!AY105,VENTAS!$AL:$AL)</f>
        <v>0</v>
      </c>
      <c r="BG105" s="3">
        <f>SUMIF(VENTAS!$AH:$AH,RESUMEN!AY105,VENTAS!$AM:$AM)</f>
        <v>0</v>
      </c>
      <c r="BH105" s="97">
        <f t="shared" si="61"/>
        <v>2081</v>
      </c>
      <c r="BI105" s="96"/>
      <c r="BJ105" s="99">
        <f t="shared" si="48"/>
        <v>17</v>
      </c>
      <c r="BK105" s="11">
        <f t="shared" si="69"/>
        <v>43382</v>
      </c>
      <c r="BL105" s="3">
        <f t="shared" si="69"/>
        <v>115</v>
      </c>
      <c r="BM105" s="3">
        <f>SUMIF(MORTALIDAD!$AP:$AP,RESUMEN!BK105,MORTALIDAD!$AT:$AT)</f>
        <v>0</v>
      </c>
      <c r="BN105" s="19">
        <f t="shared" si="63"/>
        <v>-73</v>
      </c>
      <c r="BO105" s="3">
        <f>SUMIF(MORTALIDAD!$AP$6:$AP$200,RESUMEN!BK105,MORTALIDAD!$AU$6:$AU$200)</f>
        <v>0</v>
      </c>
      <c r="BP105" s="3">
        <f>SUMIF(TRASLADOS!$AU:$AU,RESUMEN!BK105,TRASLADOS!$AX:$AX)</f>
        <v>0</v>
      </c>
      <c r="BQ105" s="3">
        <f>SUMIF(TRASLADOS!$AU:$AU,RESUMEN!BK105,TRASLADOS!$AY:$AY)</f>
        <v>0</v>
      </c>
      <c r="BR105" s="3">
        <f>SUMIF(VENTAS!$AP:$AP,RESUMEN!BK105,VENTAS!$AT:$AT)</f>
        <v>0</v>
      </c>
      <c r="BS105" s="3">
        <f>SUMIF(VENTAS!$AP:$AP,RESUMEN!BK105,VENTAS!$AU:$AU)</f>
        <v>0</v>
      </c>
      <c r="BT105" s="36">
        <f t="shared" si="64"/>
        <v>2241</v>
      </c>
    </row>
    <row r="106" spans="2:72" x14ac:dyDescent="0.2">
      <c r="B106" s="3">
        <f t="shared" si="43"/>
        <v>17</v>
      </c>
      <c r="C106" s="11">
        <f t="shared" si="35"/>
        <v>43353</v>
      </c>
      <c r="D106" s="3">
        <f t="shared" si="36"/>
        <v>115</v>
      </c>
      <c r="E106" s="3">
        <f>SUMIF(MORTALIDAD!$B$6:$B$200,RESUMEN!C106,MORTALIDAD!$F$6:$F$200)</f>
        <v>0</v>
      </c>
      <c r="F106" s="17">
        <f t="shared" si="37"/>
        <v>-740</v>
      </c>
      <c r="G106" s="3">
        <f>SUMIF(MORTALIDAD!$B$6:$B$200,RESUMEN!C106,MORTALIDAD!$G$6:$G$200)</f>
        <v>0</v>
      </c>
      <c r="H106" s="3">
        <f>SUMIF(TRASLADOS!$B$6:$B$200,C106,TRASLADOS!$E$6:$E$200)</f>
        <v>0</v>
      </c>
      <c r="I106" s="3">
        <f>SUMIF(TRASLADOS!$B$6:$B$200,C106,TRASLADOS!$F$6:$F$200)</f>
        <v>0</v>
      </c>
      <c r="J106" s="3">
        <f>SUMIF(VENTAS!$B$6:$B$200,RESUMEN!C106,VENTAS!$F$6:$F$200)</f>
        <v>0</v>
      </c>
      <c r="K106" s="3">
        <f>SUMIF(VENTAS!$B$6:$B$200,RESUMEN!C106,VENTAS!$G$6:$G$200)</f>
        <v>0</v>
      </c>
      <c r="L106" s="97">
        <f t="shared" si="49"/>
        <v>1460</v>
      </c>
      <c r="M106" s="96"/>
      <c r="N106" s="99">
        <f t="shared" si="44"/>
        <v>17</v>
      </c>
      <c r="O106" s="11">
        <f t="shared" si="65"/>
        <v>43356</v>
      </c>
      <c r="P106" s="3">
        <f t="shared" si="65"/>
        <v>114</v>
      </c>
      <c r="Q106" s="3">
        <f>SUMIF(MORTALIDAD!$J:$J,RESUMEN!O106,MORTALIDAD!$N:$N)</f>
        <v>0</v>
      </c>
      <c r="R106" s="19">
        <f t="shared" si="51"/>
        <v>-680</v>
      </c>
      <c r="S106" s="3">
        <f>SUMIF(MORTALIDAD!$J:$J,RESUMEN!O106,MORTALIDAD!$O:$O)</f>
        <v>0</v>
      </c>
      <c r="T106" s="3">
        <f>SUMIF(TRASLADOS!$K:$K,RESUMEN!O106,TRASLADOS!$N:$N)</f>
        <v>0</v>
      </c>
      <c r="U106" s="3">
        <f>SUMIF(TRASLADOS!$K:$K,RESUMEN!O106,TRASLADOS!$O:$O)</f>
        <v>0</v>
      </c>
      <c r="V106" s="3">
        <f>SUMIF(VENTAS!$J:$J,RESUMEN!O106,VENTAS!$N:$N)</f>
        <v>0</v>
      </c>
      <c r="W106" s="3">
        <f>SUMIF(VENTAS!$J:$J,RESUMEN!O106,VENTAS!$O:$O)</f>
        <v>0</v>
      </c>
      <c r="X106" s="97">
        <f t="shared" si="52"/>
        <v>1520</v>
      </c>
      <c r="Y106" s="96"/>
      <c r="Z106" s="99">
        <f t="shared" si="45"/>
        <v>17</v>
      </c>
      <c r="AA106" s="11">
        <f t="shared" si="66"/>
        <v>43360</v>
      </c>
      <c r="AB106" s="3">
        <f t="shared" si="66"/>
        <v>113</v>
      </c>
      <c r="AC106" s="3">
        <f>SUMIF(MORTALIDAD!$R:$R,RESUMEN!AA106,MORTALIDAD!$V:$V)</f>
        <v>0</v>
      </c>
      <c r="AD106" s="19">
        <f t="shared" si="54"/>
        <v>-476</v>
      </c>
      <c r="AE106" s="3">
        <f>SUMIF(MORTALIDAD!$R:$R,RESUMEN!AA106,MORTALIDAD!$W:$W)</f>
        <v>0</v>
      </c>
      <c r="AF106" s="3">
        <f>SUMIF(TRASLADOS!$T:$T,RESUMEN!AA106,TRASLADOS!$W:$W)</f>
        <v>0</v>
      </c>
      <c r="AG106" s="3">
        <f>SUMIF(TRASLADOS!$T:$T,RESUMEN!AA106,TRASLADOS!$X:$X)</f>
        <v>0</v>
      </c>
      <c r="AH106" s="3">
        <f>SUMIF(VENTAS!$R:$R,RESUMEN!AA106,VENTAS!$V:$V)</f>
        <v>0</v>
      </c>
      <c r="AI106" s="3">
        <f>SUMIF(VENTAS!$R:$R,RESUMEN!AA106,VENTAS!$W:$W)</f>
        <v>0</v>
      </c>
      <c r="AJ106" s="97">
        <f t="shared" si="55"/>
        <v>1724</v>
      </c>
      <c r="AK106" s="96"/>
      <c r="AL106" s="99">
        <f t="shared" si="46"/>
        <v>17</v>
      </c>
      <c r="AM106" s="11">
        <f t="shared" si="67"/>
        <v>43367</v>
      </c>
      <c r="AN106" s="3">
        <f t="shared" si="67"/>
        <v>113</v>
      </c>
      <c r="AO106" s="3">
        <f>SUMIF(MORTALIDAD!$Z:$Z,RESUMEN!AM106,MORTALIDAD!$AD:$AD)</f>
        <v>0</v>
      </c>
      <c r="AP106" s="19">
        <f t="shared" si="57"/>
        <v>-124</v>
      </c>
      <c r="AQ106" s="3">
        <f>SUMIF(MORTALIDAD!$Z:$Z,RESUMEN!AM106,MORTALIDAD!$AE:$AE)</f>
        <v>0</v>
      </c>
      <c r="AR106" s="3">
        <f>SUMIF(TRASLADOS!$AC:$AC,RESUMEN!AM106,TRASLADOS!$AF:$AF)</f>
        <v>0</v>
      </c>
      <c r="AS106" s="3">
        <f>SUMIF(TRASLADOS!$AC:$AC,RESUMEN!AM106,TRASLADOS!$AG:$AG)</f>
        <v>0</v>
      </c>
      <c r="AT106" s="3">
        <f>SUMIF(VENTAS!$Z:$Z,RESUMEN!AM106,VENTAS!$AD:$AD)</f>
        <v>0</v>
      </c>
      <c r="AU106" s="3">
        <f>SUMIF(VENTAS!$Z:$Z,RESUMEN!AM106,VENTAS!$AE:$AE)</f>
        <v>0</v>
      </c>
      <c r="AV106" s="97">
        <f t="shared" si="58"/>
        <v>2076</v>
      </c>
      <c r="AW106" s="96"/>
      <c r="AX106" s="99">
        <f t="shared" si="47"/>
        <v>17</v>
      </c>
      <c r="AY106" s="11">
        <f t="shared" si="68"/>
        <v>43374</v>
      </c>
      <c r="AZ106" s="3">
        <f t="shared" si="68"/>
        <v>113</v>
      </c>
      <c r="BA106" s="3">
        <f>SUMIF(MORTALIDAD!$AH:$AH,RESUMEN!AY106,MORTALIDAD!$AL:$AL)</f>
        <v>0</v>
      </c>
      <c r="BB106" s="19">
        <f t="shared" si="60"/>
        <v>-119</v>
      </c>
      <c r="BC106" s="3">
        <f>SUMIF(MORTALIDAD!$AH:$AH,RESUMEN!AY106,MORTALIDAD!$AM:$AM)</f>
        <v>0</v>
      </c>
      <c r="BD106" s="3">
        <f>SUMIF(TRASLADOS!$AL:$AL,RESUMEN!AY106,TRASLADOS!$AO:$AO)</f>
        <v>0</v>
      </c>
      <c r="BE106" s="3">
        <f>SUMIF(TRASLADOS!$AL:$AL,RESUMEN!AY106,TRASLADOS!$AP:$AP)</f>
        <v>0</v>
      </c>
      <c r="BF106" s="3">
        <f>SUMIF(VENTAS!$AH:$AH,RESUMEN!AY106,VENTAS!$AL:$AL)</f>
        <v>0</v>
      </c>
      <c r="BG106" s="3">
        <f>SUMIF(VENTAS!$AH:$AH,RESUMEN!AY106,VENTAS!$AM:$AM)</f>
        <v>0</v>
      </c>
      <c r="BH106" s="97">
        <f t="shared" si="61"/>
        <v>2081</v>
      </c>
      <c r="BI106" s="96"/>
      <c r="BJ106" s="99">
        <f t="shared" si="48"/>
        <v>17</v>
      </c>
      <c r="BK106" s="11">
        <f t="shared" si="69"/>
        <v>43383</v>
      </c>
      <c r="BL106" s="3">
        <f t="shared" si="69"/>
        <v>116</v>
      </c>
      <c r="BM106" s="3">
        <f>SUMIF(MORTALIDAD!$AP:$AP,RESUMEN!BK106,MORTALIDAD!$AT:$AT)</f>
        <v>0</v>
      </c>
      <c r="BN106" s="19">
        <f t="shared" si="63"/>
        <v>-73</v>
      </c>
      <c r="BO106" s="3">
        <f>SUMIF(MORTALIDAD!$AP$6:$AP$200,RESUMEN!BK106,MORTALIDAD!$AU$6:$AU$200)</f>
        <v>0</v>
      </c>
      <c r="BP106" s="3">
        <f>SUMIF(TRASLADOS!$AU:$AU,RESUMEN!BK106,TRASLADOS!$AX:$AX)</f>
        <v>0</v>
      </c>
      <c r="BQ106" s="3">
        <f>SUMIF(TRASLADOS!$AU:$AU,RESUMEN!BK106,TRASLADOS!$AY:$AY)</f>
        <v>0</v>
      </c>
      <c r="BR106" s="3">
        <f>SUMIF(VENTAS!$AP:$AP,RESUMEN!BK106,VENTAS!$AT:$AT)</f>
        <v>0</v>
      </c>
      <c r="BS106" s="3">
        <f>SUMIF(VENTAS!$AP:$AP,RESUMEN!BK106,VENTAS!$AU:$AU)</f>
        <v>0</v>
      </c>
      <c r="BT106" s="36">
        <f t="shared" si="64"/>
        <v>2241</v>
      </c>
    </row>
    <row r="107" spans="2:72" x14ac:dyDescent="0.2">
      <c r="B107" s="3">
        <f t="shared" si="43"/>
        <v>17</v>
      </c>
      <c r="C107" s="11">
        <f t="shared" si="35"/>
        <v>43354</v>
      </c>
      <c r="D107" s="3">
        <f t="shared" si="36"/>
        <v>116</v>
      </c>
      <c r="E107" s="3">
        <f>SUMIF(MORTALIDAD!$B$6:$B$200,RESUMEN!C107,MORTALIDAD!$F$6:$F$200)</f>
        <v>0</v>
      </c>
      <c r="F107" s="17">
        <f t="shared" si="37"/>
        <v>-740</v>
      </c>
      <c r="G107" s="3">
        <f>SUMIF(MORTALIDAD!$B$6:$B$200,RESUMEN!C107,MORTALIDAD!$G$6:$G$200)</f>
        <v>0</v>
      </c>
      <c r="H107" s="3">
        <f>SUMIF(TRASLADOS!$B$6:$B$200,C107,TRASLADOS!$E$6:$E$200)</f>
        <v>0</v>
      </c>
      <c r="I107" s="3">
        <f>SUMIF(TRASLADOS!$B$6:$B$200,C107,TRASLADOS!$F$6:$F$200)</f>
        <v>0</v>
      </c>
      <c r="J107" s="3">
        <f>SUMIF(VENTAS!$B$6:$B$200,RESUMEN!C107,VENTAS!$F$6:$F$200)</f>
        <v>0</v>
      </c>
      <c r="K107" s="3">
        <f>SUMIF(VENTAS!$B$6:$B$200,RESUMEN!C107,VENTAS!$G$6:$G$200)</f>
        <v>0</v>
      </c>
      <c r="L107" s="97">
        <f t="shared" si="49"/>
        <v>1460</v>
      </c>
      <c r="M107" s="96"/>
      <c r="N107" s="99">
        <f t="shared" si="44"/>
        <v>17</v>
      </c>
      <c r="O107" s="11">
        <f t="shared" si="65"/>
        <v>43357</v>
      </c>
      <c r="P107" s="3">
        <f t="shared" si="65"/>
        <v>115</v>
      </c>
      <c r="Q107" s="3">
        <f>SUMIF(MORTALIDAD!$J:$J,RESUMEN!O107,MORTALIDAD!$N:$N)</f>
        <v>0</v>
      </c>
      <c r="R107" s="19">
        <f t="shared" si="51"/>
        <v>-680</v>
      </c>
      <c r="S107" s="3">
        <f>SUMIF(MORTALIDAD!$J:$J,RESUMEN!O107,MORTALIDAD!$O:$O)</f>
        <v>0</v>
      </c>
      <c r="T107" s="3">
        <f>SUMIF(TRASLADOS!$K:$K,RESUMEN!O107,TRASLADOS!$N:$N)</f>
        <v>0</v>
      </c>
      <c r="U107" s="3">
        <f>SUMIF(TRASLADOS!$K:$K,RESUMEN!O107,TRASLADOS!$O:$O)</f>
        <v>0</v>
      </c>
      <c r="V107" s="3">
        <f>SUMIF(VENTAS!$J:$J,RESUMEN!O107,VENTAS!$N:$N)</f>
        <v>0</v>
      </c>
      <c r="W107" s="3">
        <f>SUMIF(VENTAS!$J:$J,RESUMEN!O107,VENTAS!$O:$O)</f>
        <v>0</v>
      </c>
      <c r="X107" s="97">
        <f t="shared" si="52"/>
        <v>1520</v>
      </c>
      <c r="Y107" s="96"/>
      <c r="Z107" s="99">
        <f t="shared" si="45"/>
        <v>17</v>
      </c>
      <c r="AA107" s="11">
        <f t="shared" si="66"/>
        <v>43361</v>
      </c>
      <c r="AB107" s="3">
        <f t="shared" si="66"/>
        <v>114</v>
      </c>
      <c r="AC107" s="3">
        <f>SUMIF(MORTALIDAD!$R:$R,RESUMEN!AA107,MORTALIDAD!$V:$V)</f>
        <v>0</v>
      </c>
      <c r="AD107" s="19">
        <f t="shared" si="54"/>
        <v>-476</v>
      </c>
      <c r="AE107" s="3">
        <f>SUMIF(MORTALIDAD!$R:$R,RESUMEN!AA107,MORTALIDAD!$W:$W)</f>
        <v>0</v>
      </c>
      <c r="AF107" s="3">
        <f>SUMIF(TRASLADOS!$T:$T,RESUMEN!AA107,TRASLADOS!$W:$W)</f>
        <v>0</v>
      </c>
      <c r="AG107" s="3">
        <f>SUMIF(TRASLADOS!$T:$T,RESUMEN!AA107,TRASLADOS!$X:$X)</f>
        <v>0</v>
      </c>
      <c r="AH107" s="3">
        <f>SUMIF(VENTAS!$R:$R,RESUMEN!AA107,VENTAS!$V:$V)</f>
        <v>0</v>
      </c>
      <c r="AI107" s="3">
        <f>SUMIF(VENTAS!$R:$R,RESUMEN!AA107,VENTAS!$W:$W)</f>
        <v>0</v>
      </c>
      <c r="AJ107" s="97">
        <f t="shared" si="55"/>
        <v>1724</v>
      </c>
      <c r="AK107" s="96"/>
      <c r="AL107" s="99">
        <f t="shared" si="46"/>
        <v>17</v>
      </c>
      <c r="AM107" s="11">
        <f t="shared" si="67"/>
        <v>43368</v>
      </c>
      <c r="AN107" s="3">
        <f t="shared" si="67"/>
        <v>114</v>
      </c>
      <c r="AO107" s="3">
        <f>SUMIF(MORTALIDAD!$Z:$Z,RESUMEN!AM107,MORTALIDAD!$AD:$AD)</f>
        <v>0</v>
      </c>
      <c r="AP107" s="19">
        <f t="shared" si="57"/>
        <v>-124</v>
      </c>
      <c r="AQ107" s="3">
        <f>SUMIF(MORTALIDAD!$Z:$Z,RESUMEN!AM107,MORTALIDAD!$AE:$AE)</f>
        <v>0</v>
      </c>
      <c r="AR107" s="3">
        <f>SUMIF(TRASLADOS!$AC:$AC,RESUMEN!AM107,TRASLADOS!$AF:$AF)</f>
        <v>0</v>
      </c>
      <c r="AS107" s="3">
        <f>SUMIF(TRASLADOS!$AC:$AC,RESUMEN!AM107,TRASLADOS!$AG:$AG)</f>
        <v>0</v>
      </c>
      <c r="AT107" s="3">
        <f>SUMIF(VENTAS!$Z:$Z,RESUMEN!AM107,VENTAS!$AD:$AD)</f>
        <v>0</v>
      </c>
      <c r="AU107" s="3">
        <f>SUMIF(VENTAS!$Z:$Z,RESUMEN!AM107,VENTAS!$AE:$AE)</f>
        <v>0</v>
      </c>
      <c r="AV107" s="97">
        <f t="shared" si="58"/>
        <v>2076</v>
      </c>
      <c r="AW107" s="96"/>
      <c r="AX107" s="99">
        <f t="shared" si="47"/>
        <v>17</v>
      </c>
      <c r="AY107" s="11">
        <f t="shared" si="68"/>
        <v>43375</v>
      </c>
      <c r="AZ107" s="3">
        <f t="shared" si="68"/>
        <v>114</v>
      </c>
      <c r="BA107" s="3">
        <f>SUMIF(MORTALIDAD!$AH:$AH,RESUMEN!AY107,MORTALIDAD!$AL:$AL)</f>
        <v>0</v>
      </c>
      <c r="BB107" s="19">
        <f t="shared" si="60"/>
        <v>-119</v>
      </c>
      <c r="BC107" s="3">
        <f>SUMIF(MORTALIDAD!$AH:$AH,RESUMEN!AY107,MORTALIDAD!$AM:$AM)</f>
        <v>0</v>
      </c>
      <c r="BD107" s="3">
        <f>SUMIF(TRASLADOS!$AL:$AL,RESUMEN!AY107,TRASLADOS!$AO:$AO)</f>
        <v>0</v>
      </c>
      <c r="BE107" s="3">
        <f>SUMIF(TRASLADOS!$AL:$AL,RESUMEN!AY107,TRASLADOS!$AP:$AP)</f>
        <v>0</v>
      </c>
      <c r="BF107" s="3">
        <f>SUMIF(VENTAS!$AH:$AH,RESUMEN!AY107,VENTAS!$AL:$AL)</f>
        <v>0</v>
      </c>
      <c r="BG107" s="3">
        <f>SUMIF(VENTAS!$AH:$AH,RESUMEN!AY107,VENTAS!$AM:$AM)</f>
        <v>0</v>
      </c>
      <c r="BH107" s="97">
        <f t="shared" si="61"/>
        <v>2081</v>
      </c>
      <c r="BI107" s="96"/>
      <c r="BJ107" s="99">
        <f t="shared" si="48"/>
        <v>17</v>
      </c>
      <c r="BK107" s="11">
        <f t="shared" si="69"/>
        <v>43384</v>
      </c>
      <c r="BL107" s="3">
        <f t="shared" si="69"/>
        <v>117</v>
      </c>
      <c r="BM107" s="3">
        <f>SUMIF(MORTALIDAD!$AP:$AP,RESUMEN!BK107,MORTALIDAD!$AT:$AT)</f>
        <v>0</v>
      </c>
      <c r="BN107" s="19">
        <f t="shared" si="63"/>
        <v>-73</v>
      </c>
      <c r="BO107" s="3">
        <f>SUMIF(MORTALIDAD!$AP$6:$AP$200,RESUMEN!BK107,MORTALIDAD!$AU$6:$AU$200)</f>
        <v>0</v>
      </c>
      <c r="BP107" s="3">
        <f>SUMIF(TRASLADOS!$AU:$AU,RESUMEN!BK107,TRASLADOS!$AX:$AX)</f>
        <v>0</v>
      </c>
      <c r="BQ107" s="3">
        <f>SUMIF(TRASLADOS!$AU:$AU,RESUMEN!BK107,TRASLADOS!$AY:$AY)</f>
        <v>0</v>
      </c>
      <c r="BR107" s="3">
        <f>SUMIF(VENTAS!$AP:$AP,RESUMEN!BK107,VENTAS!$AT:$AT)</f>
        <v>0</v>
      </c>
      <c r="BS107" s="3">
        <f>SUMIF(VENTAS!$AP:$AP,RESUMEN!BK107,VENTAS!$AU:$AU)</f>
        <v>0</v>
      </c>
      <c r="BT107" s="36">
        <f t="shared" si="64"/>
        <v>2241</v>
      </c>
    </row>
    <row r="108" spans="2:72" x14ac:dyDescent="0.2">
      <c r="B108" s="3">
        <f t="shared" si="43"/>
        <v>17</v>
      </c>
      <c r="C108" s="11">
        <f t="shared" si="35"/>
        <v>43355</v>
      </c>
      <c r="D108" s="3">
        <f t="shared" si="36"/>
        <v>117</v>
      </c>
      <c r="E108" s="3">
        <f>SUMIF(MORTALIDAD!$B$6:$B$200,RESUMEN!C108,MORTALIDAD!$F$6:$F$200)</f>
        <v>0</v>
      </c>
      <c r="F108" s="17">
        <f t="shared" si="37"/>
        <v>-740</v>
      </c>
      <c r="G108" s="3">
        <f>SUMIF(MORTALIDAD!$B$6:$B$200,RESUMEN!C108,MORTALIDAD!$G$6:$G$200)</f>
        <v>0</v>
      </c>
      <c r="H108" s="3">
        <f>SUMIF(TRASLADOS!$B$6:$B$200,C108,TRASLADOS!$E$6:$E$200)</f>
        <v>0</v>
      </c>
      <c r="I108" s="3">
        <f>SUMIF(TRASLADOS!$B$6:$B$200,C108,TRASLADOS!$F$6:$F$200)</f>
        <v>0</v>
      </c>
      <c r="J108" s="3">
        <f>SUMIF(VENTAS!$B$6:$B$200,RESUMEN!C108,VENTAS!$F$6:$F$200)</f>
        <v>0</v>
      </c>
      <c r="K108" s="3">
        <f>SUMIF(VENTAS!$B$6:$B$200,RESUMEN!C108,VENTAS!$G$6:$G$200)</f>
        <v>0</v>
      </c>
      <c r="L108" s="97">
        <f t="shared" si="49"/>
        <v>1460</v>
      </c>
      <c r="M108" s="96"/>
      <c r="N108" s="99">
        <f t="shared" si="44"/>
        <v>17</v>
      </c>
      <c r="O108" s="11">
        <f t="shared" si="65"/>
        <v>43358</v>
      </c>
      <c r="P108" s="3">
        <f t="shared" si="65"/>
        <v>116</v>
      </c>
      <c r="Q108" s="3">
        <f>SUMIF(MORTALIDAD!$J:$J,RESUMEN!O108,MORTALIDAD!$N:$N)</f>
        <v>0</v>
      </c>
      <c r="R108" s="19">
        <f t="shared" si="51"/>
        <v>-680</v>
      </c>
      <c r="S108" s="3">
        <f>SUMIF(MORTALIDAD!$J:$J,RESUMEN!O108,MORTALIDAD!$O:$O)</f>
        <v>0</v>
      </c>
      <c r="T108" s="3">
        <f>SUMIF(TRASLADOS!$K:$K,RESUMEN!O108,TRASLADOS!$N:$N)</f>
        <v>0</v>
      </c>
      <c r="U108" s="3">
        <f>SUMIF(TRASLADOS!$K:$K,RESUMEN!O108,TRASLADOS!$O:$O)</f>
        <v>0</v>
      </c>
      <c r="V108" s="3">
        <f>SUMIF(VENTAS!$J:$J,RESUMEN!O108,VENTAS!$N:$N)</f>
        <v>0</v>
      </c>
      <c r="W108" s="3">
        <f>SUMIF(VENTAS!$J:$J,RESUMEN!O108,VENTAS!$O:$O)</f>
        <v>0</v>
      </c>
      <c r="X108" s="97">
        <f t="shared" si="52"/>
        <v>1520</v>
      </c>
      <c r="Y108" s="96"/>
      <c r="Z108" s="99">
        <f t="shared" si="45"/>
        <v>17</v>
      </c>
      <c r="AA108" s="11">
        <f t="shared" si="66"/>
        <v>43362</v>
      </c>
      <c r="AB108" s="3">
        <f t="shared" si="66"/>
        <v>115</v>
      </c>
      <c r="AC108" s="3">
        <f>SUMIF(MORTALIDAD!$R:$R,RESUMEN!AA108,MORTALIDAD!$V:$V)</f>
        <v>0</v>
      </c>
      <c r="AD108" s="19">
        <f t="shared" si="54"/>
        <v>-476</v>
      </c>
      <c r="AE108" s="3">
        <f>SUMIF(MORTALIDAD!$R:$R,RESUMEN!AA108,MORTALIDAD!$W:$W)</f>
        <v>0</v>
      </c>
      <c r="AF108" s="3">
        <f>SUMIF(TRASLADOS!$T:$T,RESUMEN!AA108,TRASLADOS!$W:$W)</f>
        <v>0</v>
      </c>
      <c r="AG108" s="3">
        <f>SUMIF(TRASLADOS!$T:$T,RESUMEN!AA108,TRASLADOS!$X:$X)</f>
        <v>0</v>
      </c>
      <c r="AH108" s="3">
        <f>SUMIF(VENTAS!$R:$R,RESUMEN!AA108,VENTAS!$V:$V)</f>
        <v>0</v>
      </c>
      <c r="AI108" s="3">
        <f>SUMIF(VENTAS!$R:$R,RESUMEN!AA108,VENTAS!$W:$W)</f>
        <v>0</v>
      </c>
      <c r="AJ108" s="97">
        <f t="shared" si="55"/>
        <v>1724</v>
      </c>
      <c r="AK108" s="96"/>
      <c r="AL108" s="99">
        <f t="shared" si="46"/>
        <v>17</v>
      </c>
      <c r="AM108" s="11">
        <f t="shared" si="67"/>
        <v>43369</v>
      </c>
      <c r="AN108" s="3">
        <f t="shared" si="67"/>
        <v>115</v>
      </c>
      <c r="AO108" s="3">
        <f>SUMIF(MORTALIDAD!$Z:$Z,RESUMEN!AM108,MORTALIDAD!$AD:$AD)</f>
        <v>0</v>
      </c>
      <c r="AP108" s="19">
        <f t="shared" si="57"/>
        <v>-124</v>
      </c>
      <c r="AQ108" s="3">
        <f>SUMIF(MORTALIDAD!$Z:$Z,RESUMEN!AM108,MORTALIDAD!$AE:$AE)</f>
        <v>0</v>
      </c>
      <c r="AR108" s="3">
        <f>SUMIF(TRASLADOS!$AC:$AC,RESUMEN!AM108,TRASLADOS!$AF:$AF)</f>
        <v>0</v>
      </c>
      <c r="AS108" s="3">
        <f>SUMIF(TRASLADOS!$AC:$AC,RESUMEN!AM108,TRASLADOS!$AG:$AG)</f>
        <v>0</v>
      </c>
      <c r="AT108" s="3">
        <f>SUMIF(VENTAS!$Z:$Z,RESUMEN!AM108,VENTAS!$AD:$AD)</f>
        <v>0</v>
      </c>
      <c r="AU108" s="3">
        <f>SUMIF(VENTAS!$Z:$Z,RESUMEN!AM108,VENTAS!$AE:$AE)</f>
        <v>0</v>
      </c>
      <c r="AV108" s="97">
        <f t="shared" si="58"/>
        <v>2076</v>
      </c>
      <c r="AW108" s="96"/>
      <c r="AX108" s="99">
        <f t="shared" si="47"/>
        <v>17</v>
      </c>
      <c r="AY108" s="11">
        <f t="shared" si="68"/>
        <v>43376</v>
      </c>
      <c r="AZ108" s="3">
        <f t="shared" si="68"/>
        <v>115</v>
      </c>
      <c r="BA108" s="3">
        <f>SUMIF(MORTALIDAD!$AH:$AH,RESUMEN!AY108,MORTALIDAD!$AL:$AL)</f>
        <v>0</v>
      </c>
      <c r="BB108" s="19">
        <f t="shared" si="60"/>
        <v>-119</v>
      </c>
      <c r="BC108" s="3">
        <f>SUMIF(MORTALIDAD!$AH:$AH,RESUMEN!AY108,MORTALIDAD!$AM:$AM)</f>
        <v>0</v>
      </c>
      <c r="BD108" s="3">
        <f>SUMIF(TRASLADOS!$AL:$AL,RESUMEN!AY108,TRASLADOS!$AO:$AO)</f>
        <v>0</v>
      </c>
      <c r="BE108" s="3">
        <f>SUMIF(TRASLADOS!$AL:$AL,RESUMEN!AY108,TRASLADOS!$AP:$AP)</f>
        <v>0</v>
      </c>
      <c r="BF108" s="3">
        <f>SUMIF(VENTAS!$AH:$AH,RESUMEN!AY108,VENTAS!$AL:$AL)</f>
        <v>0</v>
      </c>
      <c r="BG108" s="3">
        <f>SUMIF(VENTAS!$AH:$AH,RESUMEN!AY108,VENTAS!$AM:$AM)</f>
        <v>0</v>
      </c>
      <c r="BH108" s="97">
        <f t="shared" si="61"/>
        <v>2081</v>
      </c>
      <c r="BI108" s="96"/>
      <c r="BJ108" s="99">
        <f t="shared" si="48"/>
        <v>17</v>
      </c>
      <c r="BK108" s="11">
        <f t="shared" si="69"/>
        <v>43385</v>
      </c>
      <c r="BL108" s="3">
        <f t="shared" si="69"/>
        <v>118</v>
      </c>
      <c r="BM108" s="3">
        <f>SUMIF(MORTALIDAD!$AP:$AP,RESUMEN!BK108,MORTALIDAD!$AT:$AT)</f>
        <v>0</v>
      </c>
      <c r="BN108" s="19">
        <f t="shared" si="63"/>
        <v>-73</v>
      </c>
      <c r="BO108" s="3">
        <f>SUMIF(MORTALIDAD!$AP$6:$AP$200,RESUMEN!BK108,MORTALIDAD!$AU$6:$AU$200)</f>
        <v>0</v>
      </c>
      <c r="BP108" s="3">
        <f>SUMIF(TRASLADOS!$AU:$AU,RESUMEN!BK108,TRASLADOS!$AX:$AX)</f>
        <v>0</v>
      </c>
      <c r="BQ108" s="3">
        <f>SUMIF(TRASLADOS!$AU:$AU,RESUMEN!BK108,TRASLADOS!$AY:$AY)</f>
        <v>0</v>
      </c>
      <c r="BR108" s="3">
        <f>SUMIF(VENTAS!$AP:$AP,RESUMEN!BK108,VENTAS!$AT:$AT)</f>
        <v>0</v>
      </c>
      <c r="BS108" s="3">
        <f>SUMIF(VENTAS!$AP:$AP,RESUMEN!BK108,VENTAS!$AU:$AU)</f>
        <v>0</v>
      </c>
      <c r="BT108" s="36">
        <f t="shared" si="64"/>
        <v>2241</v>
      </c>
    </row>
    <row r="109" spans="2:72" x14ac:dyDescent="0.2">
      <c r="B109" s="3">
        <f t="shared" si="43"/>
        <v>17</v>
      </c>
      <c r="C109" s="11">
        <f t="shared" si="35"/>
        <v>43356</v>
      </c>
      <c r="D109" s="3">
        <f t="shared" si="36"/>
        <v>118</v>
      </c>
      <c r="E109" s="3">
        <f>SUMIF(MORTALIDAD!$B$6:$B$200,RESUMEN!C109,MORTALIDAD!$F$6:$F$200)</f>
        <v>0</v>
      </c>
      <c r="F109" s="17">
        <f t="shared" si="37"/>
        <v>-740</v>
      </c>
      <c r="G109" s="3">
        <f>SUMIF(MORTALIDAD!$B$6:$B$200,RESUMEN!C109,MORTALIDAD!$G$6:$G$200)</f>
        <v>0</v>
      </c>
      <c r="H109" s="3">
        <f>SUMIF(TRASLADOS!$B$6:$B$200,C109,TRASLADOS!$E$6:$E$200)</f>
        <v>0</v>
      </c>
      <c r="I109" s="3">
        <f>SUMIF(TRASLADOS!$B$6:$B$200,C109,TRASLADOS!$F$6:$F$200)</f>
        <v>0</v>
      </c>
      <c r="J109" s="3">
        <f>SUMIF(VENTAS!$B$6:$B$200,RESUMEN!C109,VENTAS!$F$6:$F$200)</f>
        <v>0</v>
      </c>
      <c r="K109" s="3">
        <f>SUMIF(VENTAS!$B$6:$B$200,RESUMEN!C109,VENTAS!$G$6:$G$200)</f>
        <v>0</v>
      </c>
      <c r="L109" s="97">
        <f t="shared" si="49"/>
        <v>1460</v>
      </c>
      <c r="M109" s="96"/>
      <c r="N109" s="99">
        <f t="shared" si="44"/>
        <v>17</v>
      </c>
      <c r="O109" s="11">
        <f t="shared" si="65"/>
        <v>43359</v>
      </c>
      <c r="P109" s="3">
        <f t="shared" si="65"/>
        <v>117</v>
      </c>
      <c r="Q109" s="3">
        <f>SUMIF(MORTALIDAD!$J:$J,RESUMEN!O109,MORTALIDAD!$N:$N)</f>
        <v>0</v>
      </c>
      <c r="R109" s="19">
        <f t="shared" si="51"/>
        <v>-680</v>
      </c>
      <c r="S109" s="3">
        <f>SUMIF(MORTALIDAD!$J:$J,RESUMEN!O109,MORTALIDAD!$O:$O)</f>
        <v>0</v>
      </c>
      <c r="T109" s="3">
        <f>SUMIF(TRASLADOS!$K:$K,RESUMEN!O109,TRASLADOS!$N:$N)</f>
        <v>0</v>
      </c>
      <c r="U109" s="3">
        <f>SUMIF(TRASLADOS!$K:$K,RESUMEN!O109,TRASLADOS!$O:$O)</f>
        <v>0</v>
      </c>
      <c r="V109" s="3">
        <f>SUMIF(VENTAS!$J:$J,RESUMEN!O109,VENTAS!$N:$N)</f>
        <v>0</v>
      </c>
      <c r="W109" s="3">
        <f>SUMIF(VENTAS!$J:$J,RESUMEN!O109,VENTAS!$O:$O)</f>
        <v>0</v>
      </c>
      <c r="X109" s="97">
        <f t="shared" si="52"/>
        <v>1520</v>
      </c>
      <c r="Y109" s="96"/>
      <c r="Z109" s="99">
        <f t="shared" si="45"/>
        <v>17</v>
      </c>
      <c r="AA109" s="11">
        <f t="shared" si="66"/>
        <v>43363</v>
      </c>
      <c r="AB109" s="3">
        <f t="shared" si="66"/>
        <v>116</v>
      </c>
      <c r="AC109" s="3">
        <f>SUMIF(MORTALIDAD!$R:$R,RESUMEN!AA109,MORTALIDAD!$V:$V)</f>
        <v>0</v>
      </c>
      <c r="AD109" s="19">
        <f t="shared" si="54"/>
        <v>-476</v>
      </c>
      <c r="AE109" s="3">
        <f>SUMIF(MORTALIDAD!$R:$R,RESUMEN!AA109,MORTALIDAD!$W:$W)</f>
        <v>0</v>
      </c>
      <c r="AF109" s="3">
        <f>SUMIF(TRASLADOS!$T:$T,RESUMEN!AA109,TRASLADOS!$W:$W)</f>
        <v>0</v>
      </c>
      <c r="AG109" s="3">
        <f>SUMIF(TRASLADOS!$T:$T,RESUMEN!AA109,TRASLADOS!$X:$X)</f>
        <v>0</v>
      </c>
      <c r="AH109" s="3">
        <f>SUMIF(VENTAS!$R:$R,RESUMEN!AA109,VENTAS!$V:$V)</f>
        <v>0</v>
      </c>
      <c r="AI109" s="3">
        <f>SUMIF(VENTAS!$R:$R,RESUMEN!AA109,VENTAS!$W:$W)</f>
        <v>0</v>
      </c>
      <c r="AJ109" s="97">
        <f t="shared" si="55"/>
        <v>1724</v>
      </c>
      <c r="AK109" s="96"/>
      <c r="AL109" s="99">
        <f t="shared" si="46"/>
        <v>17</v>
      </c>
      <c r="AM109" s="11">
        <f t="shared" si="67"/>
        <v>43370</v>
      </c>
      <c r="AN109" s="3">
        <f t="shared" si="67"/>
        <v>116</v>
      </c>
      <c r="AO109" s="3">
        <f>SUMIF(MORTALIDAD!$Z:$Z,RESUMEN!AM109,MORTALIDAD!$AD:$AD)</f>
        <v>0</v>
      </c>
      <c r="AP109" s="19">
        <f t="shared" si="57"/>
        <v>-124</v>
      </c>
      <c r="AQ109" s="3">
        <f>SUMIF(MORTALIDAD!$Z:$Z,RESUMEN!AM109,MORTALIDAD!$AE:$AE)</f>
        <v>0</v>
      </c>
      <c r="AR109" s="3">
        <f>SUMIF(TRASLADOS!$AC:$AC,RESUMEN!AM109,TRASLADOS!$AF:$AF)</f>
        <v>0</v>
      </c>
      <c r="AS109" s="3">
        <f>SUMIF(TRASLADOS!$AC:$AC,RESUMEN!AM109,TRASLADOS!$AG:$AG)</f>
        <v>0</v>
      </c>
      <c r="AT109" s="3">
        <f>SUMIF(VENTAS!$Z:$Z,RESUMEN!AM109,VENTAS!$AD:$AD)</f>
        <v>0</v>
      </c>
      <c r="AU109" s="3">
        <f>SUMIF(VENTAS!$Z:$Z,RESUMEN!AM109,VENTAS!$AE:$AE)</f>
        <v>0</v>
      </c>
      <c r="AV109" s="97">
        <f t="shared" si="58"/>
        <v>2076</v>
      </c>
      <c r="AW109" s="96"/>
      <c r="AX109" s="99">
        <f t="shared" si="47"/>
        <v>17</v>
      </c>
      <c r="AY109" s="11">
        <f t="shared" si="68"/>
        <v>43377</v>
      </c>
      <c r="AZ109" s="3">
        <f t="shared" si="68"/>
        <v>116</v>
      </c>
      <c r="BA109" s="3">
        <f>SUMIF(MORTALIDAD!$AH:$AH,RESUMEN!AY109,MORTALIDAD!$AL:$AL)</f>
        <v>0</v>
      </c>
      <c r="BB109" s="19">
        <f t="shared" si="60"/>
        <v>-119</v>
      </c>
      <c r="BC109" s="3">
        <f>SUMIF(MORTALIDAD!$AH:$AH,RESUMEN!AY109,MORTALIDAD!$AM:$AM)</f>
        <v>0</v>
      </c>
      <c r="BD109" s="3">
        <f>SUMIF(TRASLADOS!$AL:$AL,RESUMEN!AY109,TRASLADOS!$AO:$AO)</f>
        <v>0</v>
      </c>
      <c r="BE109" s="3">
        <f>SUMIF(TRASLADOS!$AL:$AL,RESUMEN!AY109,TRASLADOS!$AP:$AP)</f>
        <v>0</v>
      </c>
      <c r="BF109" s="3">
        <f>SUMIF(VENTAS!$AH:$AH,RESUMEN!AY109,VENTAS!$AL:$AL)</f>
        <v>0</v>
      </c>
      <c r="BG109" s="3">
        <f>SUMIF(VENTAS!$AH:$AH,RESUMEN!AY109,VENTAS!$AM:$AM)</f>
        <v>0</v>
      </c>
      <c r="BH109" s="97">
        <f t="shared" si="61"/>
        <v>2081</v>
      </c>
      <c r="BI109" s="96"/>
      <c r="BJ109" s="99">
        <f t="shared" si="48"/>
        <v>17</v>
      </c>
      <c r="BK109" s="11">
        <f t="shared" si="69"/>
        <v>43386</v>
      </c>
      <c r="BL109" s="3">
        <f t="shared" si="69"/>
        <v>119</v>
      </c>
      <c r="BM109" s="3">
        <f>SUMIF(MORTALIDAD!$AP:$AP,RESUMEN!BK109,MORTALIDAD!$AT:$AT)</f>
        <v>0</v>
      </c>
      <c r="BN109" s="19">
        <f t="shared" si="63"/>
        <v>-73</v>
      </c>
      <c r="BO109" s="3">
        <f>SUMIF(MORTALIDAD!$AP$6:$AP$200,RESUMEN!BK109,MORTALIDAD!$AU$6:$AU$200)</f>
        <v>0</v>
      </c>
      <c r="BP109" s="3">
        <f>SUMIF(TRASLADOS!$AU:$AU,RESUMEN!BK109,TRASLADOS!$AX:$AX)</f>
        <v>0</v>
      </c>
      <c r="BQ109" s="3">
        <f>SUMIF(TRASLADOS!$AU:$AU,RESUMEN!BK109,TRASLADOS!$AY:$AY)</f>
        <v>0</v>
      </c>
      <c r="BR109" s="3">
        <f>SUMIF(VENTAS!$AP:$AP,RESUMEN!BK109,VENTAS!$AT:$AT)</f>
        <v>0</v>
      </c>
      <c r="BS109" s="3">
        <f>SUMIF(VENTAS!$AP:$AP,RESUMEN!BK109,VENTAS!$AU:$AU)</f>
        <v>0</v>
      </c>
      <c r="BT109" s="36">
        <f t="shared" si="64"/>
        <v>2241</v>
      </c>
    </row>
    <row r="110" spans="2:72" x14ac:dyDescent="0.2">
      <c r="B110" s="3">
        <f t="shared" si="43"/>
        <v>17</v>
      </c>
      <c r="C110" s="11">
        <f t="shared" si="35"/>
        <v>43357</v>
      </c>
      <c r="D110" s="3">
        <f t="shared" si="36"/>
        <v>119</v>
      </c>
      <c r="E110" s="3">
        <f>SUMIF(MORTALIDAD!$B$6:$B$200,RESUMEN!C110,MORTALIDAD!$F$6:$F$200)</f>
        <v>0</v>
      </c>
      <c r="F110" s="17">
        <f t="shared" si="37"/>
        <v>-740</v>
      </c>
      <c r="G110" s="3">
        <f>SUMIF(MORTALIDAD!$B$6:$B$200,RESUMEN!C110,MORTALIDAD!$G$6:$G$200)</f>
        <v>0</v>
      </c>
      <c r="H110" s="3">
        <f>SUMIF(TRASLADOS!$B$6:$B$200,C110,TRASLADOS!$E$6:$E$200)</f>
        <v>0</v>
      </c>
      <c r="I110" s="3">
        <f>SUMIF(TRASLADOS!$B$6:$B$200,C110,TRASLADOS!$F$6:$F$200)</f>
        <v>0</v>
      </c>
      <c r="J110" s="3">
        <f>SUMIF(VENTAS!$B$6:$B$200,RESUMEN!C110,VENTAS!$F$6:$F$200)</f>
        <v>0</v>
      </c>
      <c r="K110" s="3">
        <f>SUMIF(VENTAS!$B$6:$B$200,RESUMEN!C110,VENTAS!$G$6:$G$200)</f>
        <v>0</v>
      </c>
      <c r="L110" s="97">
        <f t="shared" si="49"/>
        <v>1460</v>
      </c>
      <c r="M110" s="96"/>
      <c r="N110" s="99">
        <f t="shared" si="44"/>
        <v>17</v>
      </c>
      <c r="O110" s="11">
        <f t="shared" si="65"/>
        <v>43360</v>
      </c>
      <c r="P110" s="3">
        <f t="shared" si="65"/>
        <v>118</v>
      </c>
      <c r="Q110" s="3">
        <f>SUMIF(MORTALIDAD!$J:$J,RESUMEN!O110,MORTALIDAD!$N:$N)</f>
        <v>0</v>
      </c>
      <c r="R110" s="19">
        <f t="shared" si="51"/>
        <v>-680</v>
      </c>
      <c r="S110" s="3">
        <f>SUMIF(MORTALIDAD!$J:$J,RESUMEN!O110,MORTALIDAD!$O:$O)</f>
        <v>0</v>
      </c>
      <c r="T110" s="3">
        <f>SUMIF(TRASLADOS!$K:$K,RESUMEN!O110,TRASLADOS!$N:$N)</f>
        <v>0</v>
      </c>
      <c r="U110" s="3">
        <f>SUMIF(TRASLADOS!$K:$K,RESUMEN!O110,TRASLADOS!$O:$O)</f>
        <v>0</v>
      </c>
      <c r="V110" s="3">
        <f>SUMIF(VENTAS!$J:$J,RESUMEN!O110,VENTAS!$N:$N)</f>
        <v>0</v>
      </c>
      <c r="W110" s="3">
        <f>SUMIF(VENTAS!$J:$J,RESUMEN!O110,VENTAS!$O:$O)</f>
        <v>0</v>
      </c>
      <c r="X110" s="97">
        <f t="shared" si="52"/>
        <v>1520</v>
      </c>
      <c r="Y110" s="96"/>
      <c r="Z110" s="99">
        <f t="shared" si="45"/>
        <v>17</v>
      </c>
      <c r="AA110" s="11">
        <f t="shared" si="66"/>
        <v>43364</v>
      </c>
      <c r="AB110" s="3">
        <f t="shared" si="66"/>
        <v>117</v>
      </c>
      <c r="AC110" s="3">
        <f>SUMIF(MORTALIDAD!$R:$R,RESUMEN!AA110,MORTALIDAD!$V:$V)</f>
        <v>0</v>
      </c>
      <c r="AD110" s="19">
        <f t="shared" si="54"/>
        <v>-476</v>
      </c>
      <c r="AE110" s="3">
        <f>SUMIF(MORTALIDAD!$R:$R,RESUMEN!AA110,MORTALIDAD!$W:$W)</f>
        <v>0</v>
      </c>
      <c r="AF110" s="3">
        <f>SUMIF(TRASLADOS!$T:$T,RESUMEN!AA110,TRASLADOS!$W:$W)</f>
        <v>0</v>
      </c>
      <c r="AG110" s="3">
        <f>SUMIF(TRASLADOS!$T:$T,RESUMEN!AA110,TRASLADOS!$X:$X)</f>
        <v>0</v>
      </c>
      <c r="AH110" s="3">
        <f>SUMIF(VENTAS!$R:$R,RESUMEN!AA110,VENTAS!$V:$V)</f>
        <v>0</v>
      </c>
      <c r="AI110" s="3">
        <f>SUMIF(VENTAS!$R:$R,RESUMEN!AA110,VENTAS!$W:$W)</f>
        <v>0</v>
      </c>
      <c r="AJ110" s="97">
        <f t="shared" si="55"/>
        <v>1724</v>
      </c>
      <c r="AK110" s="96"/>
      <c r="AL110" s="99">
        <f t="shared" si="46"/>
        <v>17</v>
      </c>
      <c r="AM110" s="11">
        <f t="shared" si="67"/>
        <v>43371</v>
      </c>
      <c r="AN110" s="3">
        <f t="shared" si="67"/>
        <v>117</v>
      </c>
      <c r="AO110" s="3">
        <f>SUMIF(MORTALIDAD!$Z:$Z,RESUMEN!AM110,MORTALIDAD!$AD:$AD)</f>
        <v>0</v>
      </c>
      <c r="AP110" s="19">
        <f t="shared" si="57"/>
        <v>-124</v>
      </c>
      <c r="AQ110" s="3">
        <f>SUMIF(MORTALIDAD!$Z:$Z,RESUMEN!AM110,MORTALIDAD!$AE:$AE)</f>
        <v>0</v>
      </c>
      <c r="AR110" s="3">
        <f>SUMIF(TRASLADOS!$AC:$AC,RESUMEN!AM110,TRASLADOS!$AF:$AF)</f>
        <v>0</v>
      </c>
      <c r="AS110" s="3">
        <f>SUMIF(TRASLADOS!$AC:$AC,RESUMEN!AM110,TRASLADOS!$AG:$AG)</f>
        <v>0</v>
      </c>
      <c r="AT110" s="3">
        <f>SUMIF(VENTAS!$Z:$Z,RESUMEN!AM110,VENTAS!$AD:$AD)</f>
        <v>0</v>
      </c>
      <c r="AU110" s="3">
        <f>SUMIF(VENTAS!$Z:$Z,RESUMEN!AM110,VENTAS!$AE:$AE)</f>
        <v>0</v>
      </c>
      <c r="AV110" s="97">
        <f t="shared" si="58"/>
        <v>2076</v>
      </c>
      <c r="AW110" s="96"/>
      <c r="AX110" s="99">
        <f t="shared" si="47"/>
        <v>17</v>
      </c>
      <c r="AY110" s="11">
        <f t="shared" si="68"/>
        <v>43378</v>
      </c>
      <c r="AZ110" s="3">
        <f t="shared" si="68"/>
        <v>117</v>
      </c>
      <c r="BA110" s="3">
        <f>SUMIF(MORTALIDAD!$AH:$AH,RESUMEN!AY110,MORTALIDAD!$AL:$AL)</f>
        <v>0</v>
      </c>
      <c r="BB110" s="19">
        <f t="shared" si="60"/>
        <v>-119</v>
      </c>
      <c r="BC110" s="3">
        <f>SUMIF(MORTALIDAD!$AH:$AH,RESUMEN!AY110,MORTALIDAD!$AM:$AM)</f>
        <v>0</v>
      </c>
      <c r="BD110" s="3">
        <f>SUMIF(TRASLADOS!$AL:$AL,RESUMEN!AY110,TRASLADOS!$AO:$AO)</f>
        <v>0</v>
      </c>
      <c r="BE110" s="3">
        <f>SUMIF(TRASLADOS!$AL:$AL,RESUMEN!AY110,TRASLADOS!$AP:$AP)</f>
        <v>0</v>
      </c>
      <c r="BF110" s="3">
        <f>SUMIF(VENTAS!$AH:$AH,RESUMEN!AY110,VENTAS!$AL:$AL)</f>
        <v>0</v>
      </c>
      <c r="BG110" s="3">
        <f>SUMIF(VENTAS!$AH:$AH,RESUMEN!AY110,VENTAS!$AM:$AM)</f>
        <v>0</v>
      </c>
      <c r="BH110" s="97">
        <f t="shared" si="61"/>
        <v>2081</v>
      </c>
      <c r="BI110" s="96"/>
      <c r="BJ110" s="99">
        <f t="shared" si="48"/>
        <v>18</v>
      </c>
      <c r="BK110" s="11">
        <f t="shared" si="69"/>
        <v>43387</v>
      </c>
      <c r="BL110" s="3">
        <f t="shared" si="69"/>
        <v>120</v>
      </c>
      <c r="BM110" s="3">
        <f>SUMIF(MORTALIDAD!$AP:$AP,RESUMEN!BK110,MORTALIDAD!$AT:$AT)</f>
        <v>0</v>
      </c>
      <c r="BN110" s="19">
        <f t="shared" si="63"/>
        <v>-73</v>
      </c>
      <c r="BO110" s="3">
        <f>SUMIF(MORTALIDAD!$AP$6:$AP$200,RESUMEN!BK110,MORTALIDAD!$AU$6:$AU$200)</f>
        <v>0</v>
      </c>
      <c r="BP110" s="3">
        <f>SUMIF(TRASLADOS!$AU:$AU,RESUMEN!BK110,TRASLADOS!$AX:$AX)</f>
        <v>0</v>
      </c>
      <c r="BQ110" s="3">
        <f>SUMIF(TRASLADOS!$AU:$AU,RESUMEN!BK110,TRASLADOS!$AY:$AY)</f>
        <v>0</v>
      </c>
      <c r="BR110" s="3">
        <f>SUMIF(VENTAS!$AP:$AP,RESUMEN!BK110,VENTAS!$AT:$AT)</f>
        <v>0</v>
      </c>
      <c r="BS110" s="3">
        <f>SUMIF(VENTAS!$AP:$AP,RESUMEN!BK110,VENTAS!$AU:$AU)</f>
        <v>0</v>
      </c>
      <c r="BT110" s="36">
        <f t="shared" si="64"/>
        <v>2241</v>
      </c>
    </row>
    <row r="111" spans="2:72" x14ac:dyDescent="0.2">
      <c r="B111" s="3">
        <f t="shared" si="43"/>
        <v>18</v>
      </c>
      <c r="C111" s="11">
        <f t="shared" si="35"/>
        <v>43358</v>
      </c>
      <c r="D111" s="3">
        <f t="shared" si="36"/>
        <v>120</v>
      </c>
      <c r="E111" s="3">
        <f>SUMIF(MORTALIDAD!$B$6:$B$200,RESUMEN!C111,MORTALIDAD!$F$6:$F$200)</f>
        <v>0</v>
      </c>
      <c r="F111" s="17">
        <f t="shared" si="37"/>
        <v>-740</v>
      </c>
      <c r="G111" s="3">
        <f>SUMIF(MORTALIDAD!$B$6:$B$200,RESUMEN!C111,MORTALIDAD!$G$6:$G$200)</f>
        <v>0</v>
      </c>
      <c r="H111" s="3">
        <f>SUMIF(TRASLADOS!$B$6:$B$200,C111,TRASLADOS!$E$6:$E$200)</f>
        <v>0</v>
      </c>
      <c r="I111" s="3">
        <f>SUMIF(TRASLADOS!$B$6:$B$200,C111,TRASLADOS!$F$6:$F$200)</f>
        <v>0</v>
      </c>
      <c r="J111" s="3">
        <f>SUMIF(VENTAS!$B$6:$B$200,RESUMEN!C111,VENTAS!$F$6:$F$200)</f>
        <v>0</v>
      </c>
      <c r="K111" s="3">
        <f>SUMIF(VENTAS!$B$6:$B$200,RESUMEN!C111,VENTAS!$G$6:$G$200)</f>
        <v>0</v>
      </c>
      <c r="L111" s="97">
        <f t="shared" si="49"/>
        <v>1460</v>
      </c>
      <c r="M111" s="96"/>
      <c r="N111" s="99">
        <f t="shared" si="44"/>
        <v>17</v>
      </c>
      <c r="O111" s="11">
        <f t="shared" si="65"/>
        <v>43361</v>
      </c>
      <c r="P111" s="3">
        <f t="shared" si="65"/>
        <v>119</v>
      </c>
      <c r="Q111" s="3">
        <f>SUMIF(MORTALIDAD!$J:$J,RESUMEN!O111,MORTALIDAD!$N:$N)</f>
        <v>0</v>
      </c>
      <c r="R111" s="19">
        <f t="shared" si="51"/>
        <v>-680</v>
      </c>
      <c r="S111" s="3">
        <f>SUMIF(MORTALIDAD!$J:$J,RESUMEN!O111,MORTALIDAD!$O:$O)</f>
        <v>0</v>
      </c>
      <c r="T111" s="3">
        <f>SUMIF(TRASLADOS!$K:$K,RESUMEN!O111,TRASLADOS!$N:$N)</f>
        <v>0</v>
      </c>
      <c r="U111" s="3">
        <f>SUMIF(TRASLADOS!$K:$K,RESUMEN!O111,TRASLADOS!$O:$O)</f>
        <v>0</v>
      </c>
      <c r="V111" s="3">
        <f>SUMIF(VENTAS!$J:$J,RESUMEN!O111,VENTAS!$N:$N)</f>
        <v>0</v>
      </c>
      <c r="W111" s="3">
        <f>SUMIF(VENTAS!$J:$J,RESUMEN!O111,VENTAS!$O:$O)</f>
        <v>0</v>
      </c>
      <c r="X111" s="97">
        <f t="shared" si="52"/>
        <v>1520</v>
      </c>
      <c r="Y111" s="96"/>
      <c r="Z111" s="99">
        <f t="shared" si="45"/>
        <v>17</v>
      </c>
      <c r="AA111" s="11">
        <f t="shared" si="66"/>
        <v>43365</v>
      </c>
      <c r="AB111" s="3">
        <f t="shared" si="66"/>
        <v>118</v>
      </c>
      <c r="AC111" s="3">
        <f>SUMIF(MORTALIDAD!$R:$R,RESUMEN!AA111,MORTALIDAD!$V:$V)</f>
        <v>0</v>
      </c>
      <c r="AD111" s="19">
        <f t="shared" si="54"/>
        <v>-476</v>
      </c>
      <c r="AE111" s="3">
        <f>SUMIF(MORTALIDAD!$R:$R,RESUMEN!AA111,MORTALIDAD!$W:$W)</f>
        <v>0</v>
      </c>
      <c r="AF111" s="3">
        <f>SUMIF(TRASLADOS!$T:$T,RESUMEN!AA111,TRASLADOS!$W:$W)</f>
        <v>0</v>
      </c>
      <c r="AG111" s="3">
        <f>SUMIF(TRASLADOS!$T:$T,RESUMEN!AA111,TRASLADOS!$X:$X)</f>
        <v>0</v>
      </c>
      <c r="AH111" s="3">
        <f>SUMIF(VENTAS!$R:$R,RESUMEN!AA111,VENTAS!$V:$V)</f>
        <v>0</v>
      </c>
      <c r="AI111" s="3">
        <f>SUMIF(VENTAS!$R:$R,RESUMEN!AA111,VENTAS!$W:$W)</f>
        <v>0</v>
      </c>
      <c r="AJ111" s="97">
        <f t="shared" si="55"/>
        <v>1724</v>
      </c>
      <c r="AK111" s="96"/>
      <c r="AL111" s="99">
        <f t="shared" si="46"/>
        <v>17</v>
      </c>
      <c r="AM111" s="11">
        <f t="shared" si="67"/>
        <v>43372</v>
      </c>
      <c r="AN111" s="3">
        <f t="shared" si="67"/>
        <v>118</v>
      </c>
      <c r="AO111" s="3">
        <f>SUMIF(MORTALIDAD!$Z:$Z,RESUMEN!AM111,MORTALIDAD!$AD:$AD)</f>
        <v>0</v>
      </c>
      <c r="AP111" s="19">
        <f t="shared" si="57"/>
        <v>-124</v>
      </c>
      <c r="AQ111" s="3">
        <f>SUMIF(MORTALIDAD!$Z:$Z,RESUMEN!AM111,MORTALIDAD!$AE:$AE)</f>
        <v>0</v>
      </c>
      <c r="AR111" s="3">
        <f>SUMIF(TRASLADOS!$AC:$AC,RESUMEN!AM111,TRASLADOS!$AF:$AF)</f>
        <v>0</v>
      </c>
      <c r="AS111" s="3">
        <f>SUMIF(TRASLADOS!$AC:$AC,RESUMEN!AM111,TRASLADOS!$AG:$AG)</f>
        <v>0</v>
      </c>
      <c r="AT111" s="3">
        <f>SUMIF(VENTAS!$Z:$Z,RESUMEN!AM111,VENTAS!$AD:$AD)</f>
        <v>0</v>
      </c>
      <c r="AU111" s="3">
        <f>SUMIF(VENTAS!$Z:$Z,RESUMEN!AM111,VENTAS!$AE:$AE)</f>
        <v>0</v>
      </c>
      <c r="AV111" s="97">
        <f t="shared" si="58"/>
        <v>2076</v>
      </c>
      <c r="AW111" s="96"/>
      <c r="AX111" s="99">
        <f t="shared" si="47"/>
        <v>17</v>
      </c>
      <c r="AY111" s="11">
        <f t="shared" si="68"/>
        <v>43379</v>
      </c>
      <c r="AZ111" s="3">
        <f t="shared" si="68"/>
        <v>118</v>
      </c>
      <c r="BA111" s="3">
        <f>SUMIF(MORTALIDAD!$AH:$AH,RESUMEN!AY111,MORTALIDAD!$AL:$AL)</f>
        <v>0</v>
      </c>
      <c r="BB111" s="19">
        <f t="shared" si="60"/>
        <v>-119</v>
      </c>
      <c r="BC111" s="3">
        <f>SUMIF(MORTALIDAD!$AH:$AH,RESUMEN!AY111,MORTALIDAD!$AM:$AM)</f>
        <v>0</v>
      </c>
      <c r="BD111" s="3">
        <f>SUMIF(TRASLADOS!$AL:$AL,RESUMEN!AY111,TRASLADOS!$AO:$AO)</f>
        <v>0</v>
      </c>
      <c r="BE111" s="3">
        <f>SUMIF(TRASLADOS!$AL:$AL,RESUMEN!AY111,TRASLADOS!$AP:$AP)</f>
        <v>0</v>
      </c>
      <c r="BF111" s="3">
        <f>SUMIF(VENTAS!$AH:$AH,RESUMEN!AY111,VENTAS!$AL:$AL)</f>
        <v>0</v>
      </c>
      <c r="BG111" s="3">
        <f>SUMIF(VENTAS!$AH:$AH,RESUMEN!AY111,VENTAS!$AM:$AM)</f>
        <v>0</v>
      </c>
      <c r="BH111" s="97">
        <f t="shared" si="61"/>
        <v>2081</v>
      </c>
      <c r="BI111" s="96"/>
      <c r="BJ111" s="99">
        <f t="shared" si="48"/>
        <v>18</v>
      </c>
      <c r="BK111" s="11">
        <f t="shared" si="69"/>
        <v>43388</v>
      </c>
      <c r="BL111" s="3">
        <f t="shared" si="69"/>
        <v>121</v>
      </c>
      <c r="BM111" s="3">
        <f>SUMIF(MORTALIDAD!$AP:$AP,RESUMEN!BK111,MORTALIDAD!$AT:$AT)</f>
        <v>0</v>
      </c>
      <c r="BN111" s="19">
        <f t="shared" si="63"/>
        <v>-73</v>
      </c>
      <c r="BO111" s="3">
        <f>SUMIF(MORTALIDAD!$AP$6:$AP$200,RESUMEN!BK111,MORTALIDAD!$AU$6:$AU$200)</f>
        <v>0</v>
      </c>
      <c r="BP111" s="3">
        <f>SUMIF(TRASLADOS!$AU:$AU,RESUMEN!BK111,TRASLADOS!$AX:$AX)</f>
        <v>0</v>
      </c>
      <c r="BQ111" s="3">
        <f>SUMIF(TRASLADOS!$AU:$AU,RESUMEN!BK111,TRASLADOS!$AY:$AY)</f>
        <v>0</v>
      </c>
      <c r="BR111" s="3">
        <f>SUMIF(VENTAS!$AP:$AP,RESUMEN!BK111,VENTAS!$AT:$AT)</f>
        <v>0</v>
      </c>
      <c r="BS111" s="3">
        <f>SUMIF(VENTAS!$AP:$AP,RESUMEN!BK111,VENTAS!$AU:$AU)</f>
        <v>0</v>
      </c>
      <c r="BT111" s="36">
        <f t="shared" si="64"/>
        <v>2241</v>
      </c>
    </row>
    <row r="112" spans="2:72" x14ac:dyDescent="0.2">
      <c r="B112" s="3">
        <f t="shared" si="43"/>
        <v>18</v>
      </c>
      <c r="C112" s="11">
        <f t="shared" si="35"/>
        <v>43359</v>
      </c>
      <c r="D112" s="3">
        <f t="shared" si="36"/>
        <v>121</v>
      </c>
      <c r="E112" s="3">
        <f>SUMIF(MORTALIDAD!$B$6:$B$200,RESUMEN!C112,MORTALIDAD!$F$6:$F$200)</f>
        <v>0</v>
      </c>
      <c r="F112" s="17">
        <f t="shared" si="37"/>
        <v>-740</v>
      </c>
      <c r="G112" s="3">
        <f>SUMIF(MORTALIDAD!$B$6:$B$200,RESUMEN!C112,MORTALIDAD!$G$6:$G$200)</f>
        <v>0</v>
      </c>
      <c r="H112" s="3">
        <f>SUMIF(TRASLADOS!$B$6:$B$200,C112,TRASLADOS!$E$6:$E$200)</f>
        <v>0</v>
      </c>
      <c r="I112" s="3">
        <f>SUMIF(TRASLADOS!$B$6:$B$200,C112,TRASLADOS!$F$6:$F$200)</f>
        <v>0</v>
      </c>
      <c r="J112" s="3">
        <f>SUMIF(VENTAS!$B$6:$B$200,RESUMEN!C112,VENTAS!$F$6:$F$200)</f>
        <v>0</v>
      </c>
      <c r="K112" s="3">
        <f>SUMIF(VENTAS!$B$6:$B$200,RESUMEN!C112,VENTAS!$G$6:$G$200)</f>
        <v>0</v>
      </c>
      <c r="L112" s="97">
        <f t="shared" si="49"/>
        <v>1460</v>
      </c>
      <c r="M112" s="96"/>
      <c r="N112" s="99">
        <f t="shared" si="44"/>
        <v>18</v>
      </c>
      <c r="O112" s="11">
        <f t="shared" si="65"/>
        <v>43362</v>
      </c>
      <c r="P112" s="3">
        <f t="shared" si="65"/>
        <v>120</v>
      </c>
      <c r="Q112" s="3">
        <f>SUMIF(MORTALIDAD!$J:$J,RESUMEN!O112,MORTALIDAD!$N:$N)</f>
        <v>0</v>
      </c>
      <c r="R112" s="19">
        <f t="shared" si="51"/>
        <v>-680</v>
      </c>
      <c r="S112" s="3">
        <f>SUMIF(MORTALIDAD!$J:$J,RESUMEN!O112,MORTALIDAD!$O:$O)</f>
        <v>0</v>
      </c>
      <c r="T112" s="3">
        <f>SUMIF(TRASLADOS!$K:$K,RESUMEN!O112,TRASLADOS!$N:$N)</f>
        <v>0</v>
      </c>
      <c r="U112" s="3">
        <f>SUMIF(TRASLADOS!$K:$K,RESUMEN!O112,TRASLADOS!$O:$O)</f>
        <v>0</v>
      </c>
      <c r="V112" s="3">
        <f>SUMIF(VENTAS!$J:$J,RESUMEN!O112,VENTAS!$N:$N)</f>
        <v>0</v>
      </c>
      <c r="W112" s="3">
        <f>SUMIF(VENTAS!$J:$J,RESUMEN!O112,VENTAS!$O:$O)</f>
        <v>0</v>
      </c>
      <c r="X112" s="97">
        <f t="shared" si="52"/>
        <v>1520</v>
      </c>
      <c r="Y112" s="96"/>
      <c r="Z112" s="99">
        <f t="shared" si="45"/>
        <v>17</v>
      </c>
      <c r="AA112" s="11">
        <f t="shared" si="66"/>
        <v>43366</v>
      </c>
      <c r="AB112" s="3">
        <f t="shared" si="66"/>
        <v>119</v>
      </c>
      <c r="AC112" s="3">
        <f>SUMIF(MORTALIDAD!$R:$R,RESUMEN!AA112,MORTALIDAD!$V:$V)</f>
        <v>0</v>
      </c>
      <c r="AD112" s="19">
        <f t="shared" si="54"/>
        <v>-476</v>
      </c>
      <c r="AE112" s="3">
        <f>SUMIF(MORTALIDAD!$R:$R,RESUMEN!AA112,MORTALIDAD!$W:$W)</f>
        <v>0</v>
      </c>
      <c r="AF112" s="3">
        <f>SUMIF(TRASLADOS!$T:$T,RESUMEN!AA112,TRASLADOS!$W:$W)</f>
        <v>0</v>
      </c>
      <c r="AG112" s="3">
        <f>SUMIF(TRASLADOS!$T:$T,RESUMEN!AA112,TRASLADOS!$X:$X)</f>
        <v>0</v>
      </c>
      <c r="AH112" s="3">
        <f>SUMIF(VENTAS!$R:$R,RESUMEN!AA112,VENTAS!$V:$V)</f>
        <v>0</v>
      </c>
      <c r="AI112" s="3">
        <f>SUMIF(VENTAS!$R:$R,RESUMEN!AA112,VENTAS!$W:$W)</f>
        <v>0</v>
      </c>
      <c r="AJ112" s="97">
        <f t="shared" si="55"/>
        <v>1724</v>
      </c>
      <c r="AK112" s="96"/>
      <c r="AL112" s="99">
        <f t="shared" si="46"/>
        <v>17</v>
      </c>
      <c r="AM112" s="11">
        <f t="shared" si="67"/>
        <v>43373</v>
      </c>
      <c r="AN112" s="3">
        <f t="shared" si="67"/>
        <v>119</v>
      </c>
      <c r="AO112" s="3">
        <f>SUMIF(MORTALIDAD!$Z:$Z,RESUMEN!AM112,MORTALIDAD!$AD:$AD)</f>
        <v>0</v>
      </c>
      <c r="AP112" s="19">
        <f t="shared" si="57"/>
        <v>-124</v>
      </c>
      <c r="AQ112" s="3">
        <f>SUMIF(MORTALIDAD!$Z:$Z,RESUMEN!AM112,MORTALIDAD!$AE:$AE)</f>
        <v>0</v>
      </c>
      <c r="AR112" s="3">
        <f>SUMIF(TRASLADOS!$AC:$AC,RESUMEN!AM112,TRASLADOS!$AF:$AF)</f>
        <v>0</v>
      </c>
      <c r="AS112" s="3">
        <f>SUMIF(TRASLADOS!$AC:$AC,RESUMEN!AM112,TRASLADOS!$AG:$AG)</f>
        <v>0</v>
      </c>
      <c r="AT112" s="3">
        <f>SUMIF(VENTAS!$Z:$Z,RESUMEN!AM112,VENTAS!$AD:$AD)</f>
        <v>0</v>
      </c>
      <c r="AU112" s="3">
        <f>SUMIF(VENTAS!$Z:$Z,RESUMEN!AM112,VENTAS!$AE:$AE)</f>
        <v>0</v>
      </c>
      <c r="AV112" s="97">
        <f t="shared" si="58"/>
        <v>2076</v>
      </c>
      <c r="AW112" s="96"/>
      <c r="AX112" s="99">
        <f t="shared" si="47"/>
        <v>17</v>
      </c>
      <c r="AY112" s="11">
        <f t="shared" si="68"/>
        <v>43380</v>
      </c>
      <c r="AZ112" s="3">
        <f t="shared" si="68"/>
        <v>119</v>
      </c>
      <c r="BA112" s="3">
        <f>SUMIF(MORTALIDAD!$AH:$AH,RESUMEN!AY112,MORTALIDAD!$AL:$AL)</f>
        <v>0</v>
      </c>
      <c r="BB112" s="19">
        <f t="shared" si="60"/>
        <v>-119</v>
      </c>
      <c r="BC112" s="3">
        <f>SUMIF(MORTALIDAD!$AH:$AH,RESUMEN!AY112,MORTALIDAD!$AM:$AM)</f>
        <v>0</v>
      </c>
      <c r="BD112" s="3">
        <f>SUMIF(TRASLADOS!$AL:$AL,RESUMEN!AY112,TRASLADOS!$AO:$AO)</f>
        <v>0</v>
      </c>
      <c r="BE112" s="3">
        <f>SUMIF(TRASLADOS!$AL:$AL,RESUMEN!AY112,TRASLADOS!$AP:$AP)</f>
        <v>0</v>
      </c>
      <c r="BF112" s="3">
        <f>SUMIF(VENTAS!$AH:$AH,RESUMEN!AY112,VENTAS!$AL:$AL)</f>
        <v>0</v>
      </c>
      <c r="BG112" s="3">
        <f>SUMIF(VENTAS!$AH:$AH,RESUMEN!AY112,VENTAS!$AM:$AM)</f>
        <v>0</v>
      </c>
      <c r="BH112" s="97">
        <f t="shared" si="61"/>
        <v>2081</v>
      </c>
      <c r="BI112" s="96"/>
      <c r="BJ112" s="99">
        <f t="shared" si="48"/>
        <v>18</v>
      </c>
      <c r="BK112" s="11">
        <f t="shared" si="69"/>
        <v>43389</v>
      </c>
      <c r="BL112" s="3">
        <f t="shared" si="69"/>
        <v>122</v>
      </c>
      <c r="BM112" s="3">
        <f>SUMIF(MORTALIDAD!$AP:$AP,RESUMEN!BK112,MORTALIDAD!$AT:$AT)</f>
        <v>0</v>
      </c>
      <c r="BN112" s="19">
        <f t="shared" si="63"/>
        <v>-73</v>
      </c>
      <c r="BO112" s="3">
        <f>SUMIF(MORTALIDAD!$AP$6:$AP$200,RESUMEN!BK112,MORTALIDAD!$AU$6:$AU$200)</f>
        <v>0</v>
      </c>
      <c r="BP112" s="3">
        <f>SUMIF(TRASLADOS!$AU:$AU,RESUMEN!BK112,TRASLADOS!$AX:$AX)</f>
        <v>0</v>
      </c>
      <c r="BQ112" s="3">
        <f>SUMIF(TRASLADOS!$AU:$AU,RESUMEN!BK112,TRASLADOS!$AY:$AY)</f>
        <v>0</v>
      </c>
      <c r="BR112" s="3">
        <f>SUMIF(VENTAS!$AP:$AP,RESUMEN!BK112,VENTAS!$AT:$AT)</f>
        <v>0</v>
      </c>
      <c r="BS112" s="3">
        <f>SUMIF(VENTAS!$AP:$AP,RESUMEN!BK112,VENTAS!$AU:$AU)</f>
        <v>0</v>
      </c>
      <c r="BT112" s="36">
        <f t="shared" si="64"/>
        <v>2241</v>
      </c>
    </row>
    <row r="113" spans="2:72" x14ac:dyDescent="0.2">
      <c r="B113" s="3">
        <f t="shared" si="43"/>
        <v>18</v>
      </c>
      <c r="C113" s="11">
        <f t="shared" si="35"/>
        <v>43360</v>
      </c>
      <c r="D113" s="3">
        <f t="shared" si="36"/>
        <v>122</v>
      </c>
      <c r="E113" s="3">
        <f>SUMIF(MORTALIDAD!$B$6:$B$200,RESUMEN!C113,MORTALIDAD!$F$6:$F$200)</f>
        <v>0</v>
      </c>
      <c r="F113" s="17">
        <f t="shared" si="37"/>
        <v>-740</v>
      </c>
      <c r="G113" s="3">
        <f>SUMIF(MORTALIDAD!$B$6:$B$200,RESUMEN!C113,MORTALIDAD!$G$6:$G$200)</f>
        <v>0</v>
      </c>
      <c r="H113" s="3">
        <f>SUMIF(TRASLADOS!$B$6:$B$200,C113,TRASLADOS!$E$6:$E$200)</f>
        <v>0</v>
      </c>
      <c r="I113" s="3">
        <f>SUMIF(TRASLADOS!$B$6:$B$200,C113,TRASLADOS!$F$6:$F$200)</f>
        <v>0</v>
      </c>
      <c r="J113" s="3">
        <f>SUMIF(VENTAS!$B$6:$B$200,RESUMEN!C113,VENTAS!$F$6:$F$200)</f>
        <v>0</v>
      </c>
      <c r="K113" s="3">
        <f>SUMIF(VENTAS!$B$6:$B$200,RESUMEN!C113,VENTAS!$G$6:$G$200)</f>
        <v>0</v>
      </c>
      <c r="L113" s="97">
        <f t="shared" si="49"/>
        <v>1460</v>
      </c>
      <c r="M113" s="96"/>
      <c r="N113" s="99">
        <f t="shared" si="44"/>
        <v>18</v>
      </c>
      <c r="O113" s="11">
        <f t="shared" ref="O113:P128" si="70">O112+1</f>
        <v>43363</v>
      </c>
      <c r="P113" s="3">
        <f t="shared" si="70"/>
        <v>121</v>
      </c>
      <c r="Q113" s="3">
        <f>SUMIF(MORTALIDAD!$J:$J,RESUMEN!O113,MORTALIDAD!$N:$N)</f>
        <v>0</v>
      </c>
      <c r="R113" s="19">
        <f t="shared" si="51"/>
        <v>-680</v>
      </c>
      <c r="S113" s="3">
        <f>SUMIF(MORTALIDAD!$J:$J,RESUMEN!O113,MORTALIDAD!$O:$O)</f>
        <v>0</v>
      </c>
      <c r="T113" s="3">
        <f>SUMIF(TRASLADOS!$K:$K,RESUMEN!O113,TRASLADOS!$N:$N)</f>
        <v>0</v>
      </c>
      <c r="U113" s="3">
        <f>SUMIF(TRASLADOS!$K:$K,RESUMEN!O113,TRASLADOS!$O:$O)</f>
        <v>0</v>
      </c>
      <c r="V113" s="3">
        <f>SUMIF(VENTAS!$J:$J,RESUMEN!O113,VENTAS!$N:$N)</f>
        <v>0</v>
      </c>
      <c r="W113" s="3">
        <f>SUMIF(VENTAS!$J:$J,RESUMEN!O113,VENTAS!$O:$O)</f>
        <v>0</v>
      </c>
      <c r="X113" s="97">
        <f t="shared" si="52"/>
        <v>1520</v>
      </c>
      <c r="Y113" s="96"/>
      <c r="Z113" s="99">
        <f t="shared" si="45"/>
        <v>18</v>
      </c>
      <c r="AA113" s="11">
        <f t="shared" ref="AA113:AB128" si="71">AA112+1</f>
        <v>43367</v>
      </c>
      <c r="AB113" s="3">
        <f t="shared" si="71"/>
        <v>120</v>
      </c>
      <c r="AC113" s="3">
        <f>SUMIF(MORTALIDAD!$R:$R,RESUMEN!AA113,MORTALIDAD!$V:$V)</f>
        <v>0</v>
      </c>
      <c r="AD113" s="19">
        <f t="shared" si="54"/>
        <v>-476</v>
      </c>
      <c r="AE113" s="3">
        <f>SUMIF(MORTALIDAD!$R:$R,RESUMEN!AA113,MORTALIDAD!$W:$W)</f>
        <v>0</v>
      </c>
      <c r="AF113" s="3">
        <f>SUMIF(TRASLADOS!$T:$T,RESUMEN!AA113,TRASLADOS!$W:$W)</f>
        <v>0</v>
      </c>
      <c r="AG113" s="3">
        <f>SUMIF(TRASLADOS!$T:$T,RESUMEN!AA113,TRASLADOS!$X:$X)</f>
        <v>0</v>
      </c>
      <c r="AH113" s="3">
        <f>SUMIF(VENTAS!$R:$R,RESUMEN!AA113,VENTAS!$V:$V)</f>
        <v>0</v>
      </c>
      <c r="AI113" s="3">
        <f>SUMIF(VENTAS!$R:$R,RESUMEN!AA113,VENTAS!$W:$W)</f>
        <v>0</v>
      </c>
      <c r="AJ113" s="97">
        <f t="shared" si="55"/>
        <v>1724</v>
      </c>
      <c r="AK113" s="96"/>
      <c r="AL113" s="99">
        <f t="shared" si="46"/>
        <v>18</v>
      </c>
      <c r="AM113" s="11">
        <f t="shared" ref="AM113:AN128" si="72">AM112+1</f>
        <v>43374</v>
      </c>
      <c r="AN113" s="3">
        <f t="shared" si="72"/>
        <v>120</v>
      </c>
      <c r="AO113" s="3">
        <f>SUMIF(MORTALIDAD!$Z:$Z,RESUMEN!AM113,MORTALIDAD!$AD:$AD)</f>
        <v>0</v>
      </c>
      <c r="AP113" s="19">
        <f t="shared" si="57"/>
        <v>-124</v>
      </c>
      <c r="AQ113" s="3">
        <f>SUMIF(MORTALIDAD!$Z:$Z,RESUMEN!AM113,MORTALIDAD!$AE:$AE)</f>
        <v>0</v>
      </c>
      <c r="AR113" s="3">
        <f>SUMIF(TRASLADOS!$AC:$AC,RESUMEN!AM113,TRASLADOS!$AF:$AF)</f>
        <v>0</v>
      </c>
      <c r="AS113" s="3">
        <f>SUMIF(TRASLADOS!$AC:$AC,RESUMEN!AM113,TRASLADOS!$AG:$AG)</f>
        <v>0</v>
      </c>
      <c r="AT113" s="3">
        <f>SUMIF(VENTAS!$Z:$Z,RESUMEN!AM113,VENTAS!$AD:$AD)</f>
        <v>0</v>
      </c>
      <c r="AU113" s="3">
        <f>SUMIF(VENTAS!$Z:$Z,RESUMEN!AM113,VENTAS!$AE:$AE)</f>
        <v>0</v>
      </c>
      <c r="AV113" s="97">
        <f t="shared" si="58"/>
        <v>2076</v>
      </c>
      <c r="AW113" s="96"/>
      <c r="AX113" s="99">
        <f t="shared" si="47"/>
        <v>18</v>
      </c>
      <c r="AY113" s="11">
        <f t="shared" ref="AY113:AZ128" si="73">AY112+1</f>
        <v>43381</v>
      </c>
      <c r="AZ113" s="3">
        <f t="shared" si="73"/>
        <v>120</v>
      </c>
      <c r="BA113" s="3">
        <f>SUMIF(MORTALIDAD!$AH:$AH,RESUMEN!AY113,MORTALIDAD!$AL:$AL)</f>
        <v>0</v>
      </c>
      <c r="BB113" s="19">
        <f t="shared" si="60"/>
        <v>-119</v>
      </c>
      <c r="BC113" s="3">
        <f>SUMIF(MORTALIDAD!$AH:$AH,RESUMEN!AY113,MORTALIDAD!$AM:$AM)</f>
        <v>0</v>
      </c>
      <c r="BD113" s="3">
        <f>SUMIF(TRASLADOS!$AL:$AL,RESUMEN!AY113,TRASLADOS!$AO:$AO)</f>
        <v>0</v>
      </c>
      <c r="BE113" s="3">
        <f>SUMIF(TRASLADOS!$AL:$AL,RESUMEN!AY113,TRASLADOS!$AP:$AP)</f>
        <v>0</v>
      </c>
      <c r="BF113" s="3">
        <f>SUMIF(VENTAS!$AH:$AH,RESUMEN!AY113,VENTAS!$AL:$AL)</f>
        <v>0</v>
      </c>
      <c r="BG113" s="3">
        <f>SUMIF(VENTAS!$AH:$AH,RESUMEN!AY113,VENTAS!$AM:$AM)</f>
        <v>0</v>
      </c>
      <c r="BH113" s="97">
        <f t="shared" si="61"/>
        <v>2081</v>
      </c>
      <c r="BI113" s="96"/>
      <c r="BJ113" s="99">
        <f t="shared" si="48"/>
        <v>18</v>
      </c>
      <c r="BK113" s="11">
        <f t="shared" ref="BK113:BL128" si="74">BK112+1</f>
        <v>43390</v>
      </c>
      <c r="BL113" s="3">
        <f t="shared" si="74"/>
        <v>123</v>
      </c>
      <c r="BM113" s="3">
        <f>SUMIF(MORTALIDAD!$AP:$AP,RESUMEN!BK113,MORTALIDAD!$AT:$AT)</f>
        <v>0</v>
      </c>
      <c r="BN113" s="19">
        <f t="shared" si="63"/>
        <v>-73</v>
      </c>
      <c r="BO113" s="3">
        <f>SUMIF(MORTALIDAD!$AP$6:$AP$200,RESUMEN!BK113,MORTALIDAD!$AU$6:$AU$200)</f>
        <v>0</v>
      </c>
      <c r="BP113" s="3">
        <f>SUMIF(TRASLADOS!$AU:$AU,RESUMEN!BK113,TRASLADOS!$AX:$AX)</f>
        <v>0</v>
      </c>
      <c r="BQ113" s="3">
        <f>SUMIF(TRASLADOS!$AU:$AU,RESUMEN!BK113,TRASLADOS!$AY:$AY)</f>
        <v>0</v>
      </c>
      <c r="BR113" s="3">
        <f>SUMIF(VENTAS!$AP:$AP,RESUMEN!BK113,VENTAS!$AT:$AT)</f>
        <v>0</v>
      </c>
      <c r="BS113" s="3">
        <f>SUMIF(VENTAS!$AP:$AP,RESUMEN!BK113,VENTAS!$AU:$AU)</f>
        <v>0</v>
      </c>
      <c r="BT113" s="36">
        <f t="shared" si="64"/>
        <v>2241</v>
      </c>
    </row>
    <row r="114" spans="2:72" x14ac:dyDescent="0.2">
      <c r="B114" s="3">
        <f t="shared" si="43"/>
        <v>18</v>
      </c>
      <c r="C114" s="11">
        <f t="shared" si="35"/>
        <v>43361</v>
      </c>
      <c r="D114" s="3">
        <f t="shared" si="36"/>
        <v>123</v>
      </c>
      <c r="E114" s="3">
        <f>SUMIF(MORTALIDAD!$B$6:$B$200,RESUMEN!C114,MORTALIDAD!$F$6:$F$200)</f>
        <v>0</v>
      </c>
      <c r="F114" s="17">
        <f t="shared" si="37"/>
        <v>-740</v>
      </c>
      <c r="G114" s="3">
        <f>SUMIF(MORTALIDAD!$B$6:$B$200,RESUMEN!C114,MORTALIDAD!$G$6:$G$200)</f>
        <v>0</v>
      </c>
      <c r="H114" s="3">
        <f>SUMIF(TRASLADOS!$B$6:$B$200,C114,TRASLADOS!$E$6:$E$200)</f>
        <v>0</v>
      </c>
      <c r="I114" s="3">
        <f>SUMIF(TRASLADOS!$B$6:$B$200,C114,TRASLADOS!$F$6:$F$200)</f>
        <v>0</v>
      </c>
      <c r="J114" s="3">
        <f>SUMIF(VENTAS!$B$6:$B$200,RESUMEN!C114,VENTAS!$F$6:$F$200)</f>
        <v>0</v>
      </c>
      <c r="K114" s="3">
        <f>SUMIF(VENTAS!$B$6:$B$200,RESUMEN!C114,VENTAS!$G$6:$G$200)</f>
        <v>0</v>
      </c>
      <c r="L114" s="97">
        <f t="shared" si="49"/>
        <v>1460</v>
      </c>
      <c r="M114" s="96"/>
      <c r="N114" s="99">
        <f t="shared" si="44"/>
        <v>18</v>
      </c>
      <c r="O114" s="11">
        <f t="shared" si="70"/>
        <v>43364</v>
      </c>
      <c r="P114" s="3">
        <f t="shared" si="70"/>
        <v>122</v>
      </c>
      <c r="Q114" s="3">
        <f>SUMIF(MORTALIDAD!$J:$J,RESUMEN!O114,MORTALIDAD!$N:$N)</f>
        <v>0</v>
      </c>
      <c r="R114" s="19">
        <f t="shared" si="51"/>
        <v>-680</v>
      </c>
      <c r="S114" s="3">
        <f>SUMIF(MORTALIDAD!$J:$J,RESUMEN!O114,MORTALIDAD!$O:$O)</f>
        <v>0</v>
      </c>
      <c r="T114" s="3">
        <f>SUMIF(TRASLADOS!$K:$K,RESUMEN!O114,TRASLADOS!$N:$N)</f>
        <v>0</v>
      </c>
      <c r="U114" s="3">
        <f>SUMIF(TRASLADOS!$K:$K,RESUMEN!O114,TRASLADOS!$O:$O)</f>
        <v>0</v>
      </c>
      <c r="V114" s="3">
        <f>SUMIF(VENTAS!$J:$J,RESUMEN!O114,VENTAS!$N:$N)</f>
        <v>0</v>
      </c>
      <c r="W114" s="3">
        <f>SUMIF(VENTAS!$J:$J,RESUMEN!O114,VENTAS!$O:$O)</f>
        <v>0</v>
      </c>
      <c r="X114" s="97">
        <f t="shared" si="52"/>
        <v>1520</v>
      </c>
      <c r="Y114" s="96"/>
      <c r="Z114" s="99">
        <f t="shared" si="45"/>
        <v>18</v>
      </c>
      <c r="AA114" s="11">
        <f t="shared" si="71"/>
        <v>43368</v>
      </c>
      <c r="AB114" s="3">
        <f t="shared" si="71"/>
        <v>121</v>
      </c>
      <c r="AC114" s="3">
        <f>SUMIF(MORTALIDAD!$R:$R,RESUMEN!AA114,MORTALIDAD!$V:$V)</f>
        <v>0</v>
      </c>
      <c r="AD114" s="19">
        <f t="shared" si="54"/>
        <v>-476</v>
      </c>
      <c r="AE114" s="3">
        <f>SUMIF(MORTALIDAD!$R:$R,RESUMEN!AA114,MORTALIDAD!$W:$W)</f>
        <v>0</v>
      </c>
      <c r="AF114" s="3">
        <f>SUMIF(TRASLADOS!$T:$T,RESUMEN!AA114,TRASLADOS!$W:$W)</f>
        <v>0</v>
      </c>
      <c r="AG114" s="3">
        <f>SUMIF(TRASLADOS!$T:$T,RESUMEN!AA114,TRASLADOS!$X:$X)</f>
        <v>0</v>
      </c>
      <c r="AH114" s="3">
        <f>SUMIF(VENTAS!$R:$R,RESUMEN!AA114,VENTAS!$V:$V)</f>
        <v>0</v>
      </c>
      <c r="AI114" s="3">
        <f>SUMIF(VENTAS!$R:$R,RESUMEN!AA114,VENTAS!$W:$W)</f>
        <v>0</v>
      </c>
      <c r="AJ114" s="97">
        <f t="shared" si="55"/>
        <v>1724</v>
      </c>
      <c r="AK114" s="96"/>
      <c r="AL114" s="99">
        <f t="shared" si="46"/>
        <v>18</v>
      </c>
      <c r="AM114" s="11">
        <f t="shared" si="72"/>
        <v>43375</v>
      </c>
      <c r="AN114" s="3">
        <f t="shared" si="72"/>
        <v>121</v>
      </c>
      <c r="AO114" s="3">
        <f>SUMIF(MORTALIDAD!$Z:$Z,RESUMEN!AM114,MORTALIDAD!$AD:$AD)</f>
        <v>0</v>
      </c>
      <c r="AP114" s="19">
        <f t="shared" si="57"/>
        <v>-124</v>
      </c>
      <c r="AQ114" s="3">
        <f>SUMIF(MORTALIDAD!$Z:$Z,RESUMEN!AM114,MORTALIDAD!$AE:$AE)</f>
        <v>0</v>
      </c>
      <c r="AR114" s="3">
        <f>SUMIF(TRASLADOS!$AC:$AC,RESUMEN!AM114,TRASLADOS!$AF:$AF)</f>
        <v>0</v>
      </c>
      <c r="AS114" s="3">
        <f>SUMIF(TRASLADOS!$AC:$AC,RESUMEN!AM114,TRASLADOS!$AG:$AG)</f>
        <v>0</v>
      </c>
      <c r="AT114" s="3">
        <f>SUMIF(VENTAS!$Z:$Z,RESUMEN!AM114,VENTAS!$AD:$AD)</f>
        <v>0</v>
      </c>
      <c r="AU114" s="3">
        <f>SUMIF(VENTAS!$Z:$Z,RESUMEN!AM114,VENTAS!$AE:$AE)</f>
        <v>0</v>
      </c>
      <c r="AV114" s="97">
        <f t="shared" si="58"/>
        <v>2076</v>
      </c>
      <c r="AW114" s="96"/>
      <c r="AX114" s="99">
        <f t="shared" si="47"/>
        <v>18</v>
      </c>
      <c r="AY114" s="11">
        <f t="shared" si="73"/>
        <v>43382</v>
      </c>
      <c r="AZ114" s="3">
        <f t="shared" si="73"/>
        <v>121</v>
      </c>
      <c r="BA114" s="3">
        <f>SUMIF(MORTALIDAD!$AH:$AH,RESUMEN!AY114,MORTALIDAD!$AL:$AL)</f>
        <v>0</v>
      </c>
      <c r="BB114" s="19">
        <f t="shared" si="60"/>
        <v>-119</v>
      </c>
      <c r="BC114" s="3">
        <f>SUMIF(MORTALIDAD!$AH:$AH,RESUMEN!AY114,MORTALIDAD!$AM:$AM)</f>
        <v>0</v>
      </c>
      <c r="BD114" s="3">
        <f>SUMIF(TRASLADOS!$AL:$AL,RESUMEN!AY114,TRASLADOS!$AO:$AO)</f>
        <v>0</v>
      </c>
      <c r="BE114" s="3">
        <f>SUMIF(TRASLADOS!$AL:$AL,RESUMEN!AY114,TRASLADOS!$AP:$AP)</f>
        <v>0</v>
      </c>
      <c r="BF114" s="3">
        <f>SUMIF(VENTAS!$AH:$AH,RESUMEN!AY114,VENTAS!$AL:$AL)</f>
        <v>0</v>
      </c>
      <c r="BG114" s="3">
        <f>SUMIF(VENTAS!$AH:$AH,RESUMEN!AY114,VENTAS!$AM:$AM)</f>
        <v>0</v>
      </c>
      <c r="BH114" s="97">
        <f t="shared" si="61"/>
        <v>2081</v>
      </c>
      <c r="BI114" s="96"/>
      <c r="BJ114" s="99">
        <f t="shared" si="48"/>
        <v>18</v>
      </c>
      <c r="BK114" s="11">
        <f t="shared" si="74"/>
        <v>43391</v>
      </c>
      <c r="BL114" s="3">
        <f t="shared" si="74"/>
        <v>124</v>
      </c>
      <c r="BM114" s="3">
        <f>SUMIF(MORTALIDAD!$AP:$AP,RESUMEN!BK114,MORTALIDAD!$AT:$AT)</f>
        <v>0</v>
      </c>
      <c r="BN114" s="19">
        <f t="shared" si="63"/>
        <v>-73</v>
      </c>
      <c r="BO114" s="3">
        <f>SUMIF(MORTALIDAD!$AP$6:$AP$200,RESUMEN!BK114,MORTALIDAD!$AU$6:$AU$200)</f>
        <v>0</v>
      </c>
      <c r="BP114" s="3">
        <f>SUMIF(TRASLADOS!$AU:$AU,RESUMEN!BK114,TRASLADOS!$AX:$AX)</f>
        <v>0</v>
      </c>
      <c r="BQ114" s="3">
        <f>SUMIF(TRASLADOS!$AU:$AU,RESUMEN!BK114,TRASLADOS!$AY:$AY)</f>
        <v>0</v>
      </c>
      <c r="BR114" s="3">
        <f>SUMIF(VENTAS!$AP:$AP,RESUMEN!BK114,VENTAS!$AT:$AT)</f>
        <v>0</v>
      </c>
      <c r="BS114" s="3">
        <f>SUMIF(VENTAS!$AP:$AP,RESUMEN!BK114,VENTAS!$AU:$AU)</f>
        <v>0</v>
      </c>
      <c r="BT114" s="36">
        <f t="shared" si="64"/>
        <v>2241</v>
      </c>
    </row>
    <row r="115" spans="2:72" x14ac:dyDescent="0.2">
      <c r="B115" s="3">
        <f t="shared" si="43"/>
        <v>18</v>
      </c>
      <c r="C115" s="11">
        <f t="shared" si="35"/>
        <v>43362</v>
      </c>
      <c r="D115" s="3">
        <f t="shared" si="36"/>
        <v>124</v>
      </c>
      <c r="E115" s="3">
        <f>SUMIF(MORTALIDAD!$B$6:$B$200,RESUMEN!C115,MORTALIDAD!$F$6:$F$200)</f>
        <v>0</v>
      </c>
      <c r="F115" s="17">
        <f t="shared" si="37"/>
        <v>-740</v>
      </c>
      <c r="G115" s="3">
        <f>SUMIF(MORTALIDAD!$B$6:$B$200,RESUMEN!C115,MORTALIDAD!$G$6:$G$200)</f>
        <v>0</v>
      </c>
      <c r="H115" s="3">
        <f>SUMIF(TRASLADOS!$B$6:$B$200,C115,TRASLADOS!$E$6:$E$200)</f>
        <v>0</v>
      </c>
      <c r="I115" s="3">
        <f>SUMIF(TRASLADOS!$B$6:$B$200,C115,TRASLADOS!$F$6:$F$200)</f>
        <v>0</v>
      </c>
      <c r="J115" s="3">
        <f>SUMIF(VENTAS!$B$6:$B$200,RESUMEN!C115,VENTAS!$F$6:$F$200)</f>
        <v>0</v>
      </c>
      <c r="K115" s="3">
        <f>SUMIF(VENTAS!$B$6:$B$200,RESUMEN!C115,VENTAS!$G$6:$G$200)</f>
        <v>0</v>
      </c>
      <c r="L115" s="97">
        <f t="shared" si="49"/>
        <v>1460</v>
      </c>
      <c r="M115" s="96"/>
      <c r="N115" s="99">
        <f t="shared" si="44"/>
        <v>18</v>
      </c>
      <c r="O115" s="11">
        <f t="shared" si="70"/>
        <v>43365</v>
      </c>
      <c r="P115" s="3">
        <f t="shared" si="70"/>
        <v>123</v>
      </c>
      <c r="Q115" s="3">
        <f>SUMIF(MORTALIDAD!$J:$J,RESUMEN!O115,MORTALIDAD!$N:$N)</f>
        <v>0</v>
      </c>
      <c r="R115" s="19">
        <f t="shared" si="51"/>
        <v>-680</v>
      </c>
      <c r="S115" s="3">
        <f>SUMIF(MORTALIDAD!$J:$J,RESUMEN!O115,MORTALIDAD!$O:$O)</f>
        <v>0</v>
      </c>
      <c r="T115" s="3">
        <f>SUMIF(TRASLADOS!$K:$K,RESUMEN!O115,TRASLADOS!$N:$N)</f>
        <v>0</v>
      </c>
      <c r="U115" s="3">
        <f>SUMIF(TRASLADOS!$K:$K,RESUMEN!O115,TRASLADOS!$O:$O)</f>
        <v>0</v>
      </c>
      <c r="V115" s="3">
        <f>SUMIF(VENTAS!$J:$J,RESUMEN!O115,VENTAS!$N:$N)</f>
        <v>0</v>
      </c>
      <c r="W115" s="3">
        <f>SUMIF(VENTAS!$J:$J,RESUMEN!O115,VENTAS!$O:$O)</f>
        <v>0</v>
      </c>
      <c r="X115" s="97">
        <f t="shared" si="52"/>
        <v>1520</v>
      </c>
      <c r="Y115" s="96"/>
      <c r="Z115" s="99">
        <f t="shared" si="45"/>
        <v>18</v>
      </c>
      <c r="AA115" s="11">
        <f t="shared" si="71"/>
        <v>43369</v>
      </c>
      <c r="AB115" s="3">
        <f t="shared" si="71"/>
        <v>122</v>
      </c>
      <c r="AC115" s="3">
        <f>SUMIF(MORTALIDAD!$R:$R,RESUMEN!AA115,MORTALIDAD!$V:$V)</f>
        <v>0</v>
      </c>
      <c r="AD115" s="19">
        <f t="shared" si="54"/>
        <v>-476</v>
      </c>
      <c r="AE115" s="3">
        <f>SUMIF(MORTALIDAD!$R:$R,RESUMEN!AA115,MORTALIDAD!$W:$W)</f>
        <v>0</v>
      </c>
      <c r="AF115" s="3">
        <f>SUMIF(TRASLADOS!$T:$T,RESUMEN!AA115,TRASLADOS!$W:$W)</f>
        <v>0</v>
      </c>
      <c r="AG115" s="3">
        <f>SUMIF(TRASLADOS!$T:$T,RESUMEN!AA115,TRASLADOS!$X:$X)</f>
        <v>0</v>
      </c>
      <c r="AH115" s="3">
        <f>SUMIF(VENTAS!$R:$R,RESUMEN!AA115,VENTAS!$V:$V)</f>
        <v>0</v>
      </c>
      <c r="AI115" s="3">
        <f>SUMIF(VENTAS!$R:$R,RESUMEN!AA115,VENTAS!$W:$W)</f>
        <v>0</v>
      </c>
      <c r="AJ115" s="97">
        <f t="shared" si="55"/>
        <v>1724</v>
      </c>
      <c r="AK115" s="96"/>
      <c r="AL115" s="99">
        <f t="shared" si="46"/>
        <v>18</v>
      </c>
      <c r="AM115" s="11">
        <f t="shared" si="72"/>
        <v>43376</v>
      </c>
      <c r="AN115" s="3">
        <f t="shared" si="72"/>
        <v>122</v>
      </c>
      <c r="AO115" s="3">
        <f>SUMIF(MORTALIDAD!$Z:$Z,RESUMEN!AM115,MORTALIDAD!$AD:$AD)</f>
        <v>0</v>
      </c>
      <c r="AP115" s="19">
        <f t="shared" si="57"/>
        <v>-124</v>
      </c>
      <c r="AQ115" s="3">
        <f>SUMIF(MORTALIDAD!$Z:$Z,RESUMEN!AM115,MORTALIDAD!$AE:$AE)</f>
        <v>0</v>
      </c>
      <c r="AR115" s="3">
        <f>SUMIF(TRASLADOS!$AC:$AC,RESUMEN!AM115,TRASLADOS!$AF:$AF)</f>
        <v>0</v>
      </c>
      <c r="AS115" s="3">
        <f>SUMIF(TRASLADOS!$AC:$AC,RESUMEN!AM115,TRASLADOS!$AG:$AG)</f>
        <v>0</v>
      </c>
      <c r="AT115" s="3">
        <f>SUMIF(VENTAS!$Z:$Z,RESUMEN!AM115,VENTAS!$AD:$AD)</f>
        <v>0</v>
      </c>
      <c r="AU115" s="3">
        <f>SUMIF(VENTAS!$Z:$Z,RESUMEN!AM115,VENTAS!$AE:$AE)</f>
        <v>0</v>
      </c>
      <c r="AV115" s="97">
        <f t="shared" si="58"/>
        <v>2076</v>
      </c>
      <c r="AW115" s="96"/>
      <c r="AX115" s="99">
        <f t="shared" si="47"/>
        <v>18</v>
      </c>
      <c r="AY115" s="11">
        <f t="shared" si="73"/>
        <v>43383</v>
      </c>
      <c r="AZ115" s="3">
        <f t="shared" si="73"/>
        <v>122</v>
      </c>
      <c r="BA115" s="3">
        <f>SUMIF(MORTALIDAD!$AH:$AH,RESUMEN!AY115,MORTALIDAD!$AL:$AL)</f>
        <v>0</v>
      </c>
      <c r="BB115" s="19">
        <f t="shared" si="60"/>
        <v>-119</v>
      </c>
      <c r="BC115" s="3">
        <f>SUMIF(MORTALIDAD!$AH:$AH,RESUMEN!AY115,MORTALIDAD!$AM:$AM)</f>
        <v>0</v>
      </c>
      <c r="BD115" s="3">
        <f>SUMIF(TRASLADOS!$AL:$AL,RESUMEN!AY115,TRASLADOS!$AO:$AO)</f>
        <v>0</v>
      </c>
      <c r="BE115" s="3">
        <f>SUMIF(TRASLADOS!$AL:$AL,RESUMEN!AY115,TRASLADOS!$AP:$AP)</f>
        <v>0</v>
      </c>
      <c r="BF115" s="3">
        <f>SUMIF(VENTAS!$AH:$AH,RESUMEN!AY115,VENTAS!$AL:$AL)</f>
        <v>0</v>
      </c>
      <c r="BG115" s="3">
        <f>SUMIF(VENTAS!$AH:$AH,RESUMEN!AY115,VENTAS!$AM:$AM)</f>
        <v>0</v>
      </c>
      <c r="BH115" s="97">
        <f t="shared" si="61"/>
        <v>2081</v>
      </c>
      <c r="BI115" s="96"/>
      <c r="BJ115" s="99">
        <f t="shared" si="48"/>
        <v>18</v>
      </c>
      <c r="BK115" s="11">
        <f t="shared" si="74"/>
        <v>43392</v>
      </c>
      <c r="BL115" s="3">
        <f t="shared" si="74"/>
        <v>125</v>
      </c>
      <c r="BM115" s="3">
        <f>SUMIF(MORTALIDAD!$AP:$AP,RESUMEN!BK115,MORTALIDAD!$AT:$AT)</f>
        <v>0</v>
      </c>
      <c r="BN115" s="19">
        <f t="shared" si="63"/>
        <v>-73</v>
      </c>
      <c r="BO115" s="3">
        <f>SUMIF(MORTALIDAD!$AP$6:$AP$200,RESUMEN!BK115,MORTALIDAD!$AU$6:$AU$200)</f>
        <v>0</v>
      </c>
      <c r="BP115" s="3">
        <f>SUMIF(TRASLADOS!$AU:$AU,RESUMEN!BK115,TRASLADOS!$AX:$AX)</f>
        <v>0</v>
      </c>
      <c r="BQ115" s="3">
        <f>SUMIF(TRASLADOS!$AU:$AU,RESUMEN!BK115,TRASLADOS!$AY:$AY)</f>
        <v>0</v>
      </c>
      <c r="BR115" s="3">
        <f>SUMIF(VENTAS!$AP:$AP,RESUMEN!BK115,VENTAS!$AT:$AT)</f>
        <v>0</v>
      </c>
      <c r="BS115" s="3">
        <f>SUMIF(VENTAS!$AP:$AP,RESUMEN!BK115,VENTAS!$AU:$AU)</f>
        <v>0</v>
      </c>
      <c r="BT115" s="36">
        <f t="shared" si="64"/>
        <v>2241</v>
      </c>
    </row>
    <row r="116" spans="2:72" x14ac:dyDescent="0.2">
      <c r="B116" s="3">
        <f t="shared" si="43"/>
        <v>18</v>
      </c>
      <c r="C116" s="11">
        <f t="shared" ref="C116:C179" si="75">C115+1</f>
        <v>43363</v>
      </c>
      <c r="D116" s="3">
        <f t="shared" ref="D116:D179" si="76">D115+1</f>
        <v>125</v>
      </c>
      <c r="E116" s="3">
        <f>SUMIF(MORTALIDAD!$B$6:$B$200,RESUMEN!C116,MORTALIDAD!$F$6:$F$200)</f>
        <v>0</v>
      </c>
      <c r="F116" s="17">
        <f t="shared" ref="F116:F179" si="77">F115+E116</f>
        <v>-740</v>
      </c>
      <c r="G116" s="3">
        <f>SUMIF(MORTALIDAD!$B$6:$B$200,RESUMEN!C116,MORTALIDAD!$G$6:$G$200)</f>
        <v>0</v>
      </c>
      <c r="H116" s="3">
        <f>SUMIF(TRASLADOS!$B$6:$B$200,C116,TRASLADOS!$E$6:$E$200)</f>
        <v>0</v>
      </c>
      <c r="I116" s="3">
        <f>SUMIF(TRASLADOS!$B$6:$B$200,C116,TRASLADOS!$F$6:$F$200)</f>
        <v>0</v>
      </c>
      <c r="J116" s="3">
        <f>SUMIF(VENTAS!$B$6:$B$200,RESUMEN!C116,VENTAS!$F$6:$F$200)</f>
        <v>0</v>
      </c>
      <c r="K116" s="3">
        <f>SUMIF(VENTAS!$B$6:$B$200,RESUMEN!C116,VENTAS!$G$6:$G$200)</f>
        <v>0</v>
      </c>
      <c r="L116" s="97">
        <f t="shared" si="49"/>
        <v>1460</v>
      </c>
      <c r="M116" s="96"/>
      <c r="N116" s="99">
        <f t="shared" si="44"/>
        <v>18</v>
      </c>
      <c r="O116" s="11">
        <f t="shared" si="70"/>
        <v>43366</v>
      </c>
      <c r="P116" s="3">
        <f t="shared" si="70"/>
        <v>124</v>
      </c>
      <c r="Q116" s="3">
        <f>SUMIF(MORTALIDAD!$J:$J,RESUMEN!O116,MORTALIDAD!$N:$N)</f>
        <v>0</v>
      </c>
      <c r="R116" s="19">
        <f t="shared" si="51"/>
        <v>-680</v>
      </c>
      <c r="S116" s="3">
        <f>SUMIF(MORTALIDAD!$J:$J,RESUMEN!O116,MORTALIDAD!$O:$O)</f>
        <v>0</v>
      </c>
      <c r="T116" s="3">
        <f>SUMIF(TRASLADOS!$K:$K,RESUMEN!O116,TRASLADOS!$N:$N)</f>
        <v>0</v>
      </c>
      <c r="U116" s="3">
        <f>SUMIF(TRASLADOS!$K:$K,RESUMEN!O116,TRASLADOS!$O:$O)</f>
        <v>0</v>
      </c>
      <c r="V116" s="3">
        <f>SUMIF(VENTAS!$J:$J,RESUMEN!O116,VENTAS!$N:$N)</f>
        <v>0</v>
      </c>
      <c r="W116" s="3">
        <f>SUMIF(VENTAS!$J:$J,RESUMEN!O116,VENTAS!$O:$O)</f>
        <v>0</v>
      </c>
      <c r="X116" s="97">
        <f t="shared" si="52"/>
        <v>1520</v>
      </c>
      <c r="Y116" s="96"/>
      <c r="Z116" s="99">
        <f t="shared" si="45"/>
        <v>18</v>
      </c>
      <c r="AA116" s="11">
        <f t="shared" si="71"/>
        <v>43370</v>
      </c>
      <c r="AB116" s="3">
        <f t="shared" si="71"/>
        <v>123</v>
      </c>
      <c r="AC116" s="3">
        <f>SUMIF(MORTALIDAD!$R:$R,RESUMEN!AA116,MORTALIDAD!$V:$V)</f>
        <v>0</v>
      </c>
      <c r="AD116" s="19">
        <f t="shared" si="54"/>
        <v>-476</v>
      </c>
      <c r="AE116" s="3">
        <f>SUMIF(MORTALIDAD!$R:$R,RESUMEN!AA116,MORTALIDAD!$W:$W)</f>
        <v>0</v>
      </c>
      <c r="AF116" s="3">
        <f>SUMIF(TRASLADOS!$T:$T,RESUMEN!AA116,TRASLADOS!$W:$W)</f>
        <v>0</v>
      </c>
      <c r="AG116" s="3">
        <f>SUMIF(TRASLADOS!$T:$T,RESUMEN!AA116,TRASLADOS!$X:$X)</f>
        <v>0</v>
      </c>
      <c r="AH116" s="3">
        <f>SUMIF(VENTAS!$R:$R,RESUMEN!AA116,VENTAS!$V:$V)</f>
        <v>0</v>
      </c>
      <c r="AI116" s="3">
        <f>SUMIF(VENTAS!$R:$R,RESUMEN!AA116,VENTAS!$W:$W)</f>
        <v>0</v>
      </c>
      <c r="AJ116" s="97">
        <f t="shared" si="55"/>
        <v>1724</v>
      </c>
      <c r="AK116" s="96"/>
      <c r="AL116" s="99">
        <f t="shared" si="46"/>
        <v>18</v>
      </c>
      <c r="AM116" s="11">
        <f t="shared" si="72"/>
        <v>43377</v>
      </c>
      <c r="AN116" s="3">
        <f t="shared" si="72"/>
        <v>123</v>
      </c>
      <c r="AO116" s="3">
        <f>SUMIF(MORTALIDAD!$Z:$Z,RESUMEN!AM116,MORTALIDAD!$AD:$AD)</f>
        <v>0</v>
      </c>
      <c r="AP116" s="19">
        <f t="shared" si="57"/>
        <v>-124</v>
      </c>
      <c r="AQ116" s="3">
        <f>SUMIF(MORTALIDAD!$Z:$Z,RESUMEN!AM116,MORTALIDAD!$AE:$AE)</f>
        <v>0</v>
      </c>
      <c r="AR116" s="3">
        <f>SUMIF(TRASLADOS!$AC:$AC,RESUMEN!AM116,TRASLADOS!$AF:$AF)</f>
        <v>0</v>
      </c>
      <c r="AS116" s="3">
        <f>SUMIF(TRASLADOS!$AC:$AC,RESUMEN!AM116,TRASLADOS!$AG:$AG)</f>
        <v>0</v>
      </c>
      <c r="AT116" s="3">
        <f>SUMIF(VENTAS!$Z:$Z,RESUMEN!AM116,VENTAS!$AD:$AD)</f>
        <v>0</v>
      </c>
      <c r="AU116" s="3">
        <f>SUMIF(VENTAS!$Z:$Z,RESUMEN!AM116,VENTAS!$AE:$AE)</f>
        <v>0</v>
      </c>
      <c r="AV116" s="97">
        <f t="shared" si="58"/>
        <v>2076</v>
      </c>
      <c r="AW116" s="96"/>
      <c r="AX116" s="99">
        <f t="shared" si="47"/>
        <v>18</v>
      </c>
      <c r="AY116" s="11">
        <f t="shared" si="73"/>
        <v>43384</v>
      </c>
      <c r="AZ116" s="3">
        <f t="shared" si="73"/>
        <v>123</v>
      </c>
      <c r="BA116" s="3">
        <f>SUMIF(MORTALIDAD!$AH:$AH,RESUMEN!AY116,MORTALIDAD!$AL:$AL)</f>
        <v>0</v>
      </c>
      <c r="BB116" s="19">
        <f t="shared" si="60"/>
        <v>-119</v>
      </c>
      <c r="BC116" s="3">
        <f>SUMIF(MORTALIDAD!$AH:$AH,RESUMEN!AY116,MORTALIDAD!$AM:$AM)</f>
        <v>0</v>
      </c>
      <c r="BD116" s="3">
        <f>SUMIF(TRASLADOS!$AL:$AL,RESUMEN!AY116,TRASLADOS!$AO:$AO)</f>
        <v>0</v>
      </c>
      <c r="BE116" s="3">
        <f>SUMIF(TRASLADOS!$AL:$AL,RESUMEN!AY116,TRASLADOS!$AP:$AP)</f>
        <v>0</v>
      </c>
      <c r="BF116" s="3">
        <f>SUMIF(VENTAS!$AH:$AH,RESUMEN!AY116,VENTAS!$AL:$AL)</f>
        <v>0</v>
      </c>
      <c r="BG116" s="3">
        <f>SUMIF(VENTAS!$AH:$AH,RESUMEN!AY116,VENTAS!$AM:$AM)</f>
        <v>0</v>
      </c>
      <c r="BH116" s="97">
        <f t="shared" si="61"/>
        <v>2081</v>
      </c>
      <c r="BI116" s="96"/>
      <c r="BJ116" s="99">
        <f t="shared" si="48"/>
        <v>18</v>
      </c>
      <c r="BK116" s="11">
        <f t="shared" si="74"/>
        <v>43393</v>
      </c>
      <c r="BL116" s="3">
        <f t="shared" si="74"/>
        <v>126</v>
      </c>
      <c r="BM116" s="3">
        <f>SUMIF(MORTALIDAD!$AP:$AP,RESUMEN!BK116,MORTALIDAD!$AT:$AT)</f>
        <v>0</v>
      </c>
      <c r="BN116" s="19">
        <f t="shared" si="63"/>
        <v>-73</v>
      </c>
      <c r="BO116" s="3">
        <f>SUMIF(MORTALIDAD!$AP$6:$AP$200,RESUMEN!BK116,MORTALIDAD!$AU$6:$AU$200)</f>
        <v>0</v>
      </c>
      <c r="BP116" s="3">
        <f>SUMIF(TRASLADOS!$AU:$AU,RESUMEN!BK116,TRASLADOS!$AX:$AX)</f>
        <v>0</v>
      </c>
      <c r="BQ116" s="3">
        <f>SUMIF(TRASLADOS!$AU:$AU,RESUMEN!BK116,TRASLADOS!$AY:$AY)</f>
        <v>0</v>
      </c>
      <c r="BR116" s="3">
        <f>SUMIF(VENTAS!$AP:$AP,RESUMEN!BK116,VENTAS!$AT:$AT)</f>
        <v>0</v>
      </c>
      <c r="BS116" s="3">
        <f>SUMIF(VENTAS!$AP:$AP,RESUMEN!BK116,VENTAS!$AU:$AU)</f>
        <v>0</v>
      </c>
      <c r="BT116" s="36">
        <f t="shared" si="64"/>
        <v>2241</v>
      </c>
    </row>
    <row r="117" spans="2:72" x14ac:dyDescent="0.2">
      <c r="B117" s="3">
        <f t="shared" si="43"/>
        <v>18</v>
      </c>
      <c r="C117" s="11">
        <f t="shared" si="75"/>
        <v>43364</v>
      </c>
      <c r="D117" s="3">
        <f t="shared" si="76"/>
        <v>126</v>
      </c>
      <c r="E117" s="3">
        <f>SUMIF(MORTALIDAD!$B$6:$B$200,RESUMEN!C117,MORTALIDAD!$F$6:$F$200)</f>
        <v>0</v>
      </c>
      <c r="F117" s="17">
        <f t="shared" si="77"/>
        <v>-740</v>
      </c>
      <c r="G117" s="3">
        <f>SUMIF(MORTALIDAD!$B$6:$B$200,RESUMEN!C117,MORTALIDAD!$G$6:$G$200)</f>
        <v>0</v>
      </c>
      <c r="H117" s="3">
        <f>SUMIF(TRASLADOS!$B$6:$B$200,C117,TRASLADOS!$E$6:$E$200)</f>
        <v>0</v>
      </c>
      <c r="I117" s="3">
        <f>SUMIF(TRASLADOS!$B$6:$B$200,C117,TRASLADOS!$F$6:$F$200)</f>
        <v>0</v>
      </c>
      <c r="J117" s="3">
        <f>SUMIF(VENTAS!$B$6:$B$200,RESUMEN!C117,VENTAS!$F$6:$F$200)</f>
        <v>0</v>
      </c>
      <c r="K117" s="3">
        <f>SUMIF(VENTAS!$B$6:$B$200,RESUMEN!C117,VENTAS!$G$6:$G$200)</f>
        <v>0</v>
      </c>
      <c r="L117" s="97">
        <f t="shared" si="49"/>
        <v>1460</v>
      </c>
      <c r="M117" s="96"/>
      <c r="N117" s="99">
        <f t="shared" si="44"/>
        <v>18</v>
      </c>
      <c r="O117" s="11">
        <f t="shared" si="70"/>
        <v>43367</v>
      </c>
      <c r="P117" s="3">
        <f t="shared" si="70"/>
        <v>125</v>
      </c>
      <c r="Q117" s="3">
        <f>SUMIF(MORTALIDAD!$J:$J,RESUMEN!O117,MORTALIDAD!$N:$N)</f>
        <v>0</v>
      </c>
      <c r="R117" s="19">
        <f t="shared" si="51"/>
        <v>-680</v>
      </c>
      <c r="S117" s="3">
        <f>SUMIF(MORTALIDAD!$J:$J,RESUMEN!O117,MORTALIDAD!$O:$O)</f>
        <v>0</v>
      </c>
      <c r="T117" s="3">
        <f>SUMIF(TRASLADOS!$K:$K,RESUMEN!O117,TRASLADOS!$N:$N)</f>
        <v>0</v>
      </c>
      <c r="U117" s="3">
        <f>SUMIF(TRASLADOS!$K:$K,RESUMEN!O117,TRASLADOS!$O:$O)</f>
        <v>0</v>
      </c>
      <c r="V117" s="3">
        <f>SUMIF(VENTAS!$J:$J,RESUMEN!O117,VENTAS!$N:$N)</f>
        <v>0</v>
      </c>
      <c r="W117" s="3">
        <f>SUMIF(VENTAS!$J:$J,RESUMEN!O117,VENTAS!$O:$O)</f>
        <v>0</v>
      </c>
      <c r="X117" s="97">
        <f t="shared" si="52"/>
        <v>1520</v>
      </c>
      <c r="Y117" s="96"/>
      <c r="Z117" s="99">
        <f t="shared" si="45"/>
        <v>18</v>
      </c>
      <c r="AA117" s="11">
        <f t="shared" si="71"/>
        <v>43371</v>
      </c>
      <c r="AB117" s="3">
        <f t="shared" si="71"/>
        <v>124</v>
      </c>
      <c r="AC117" s="3">
        <f>SUMIF(MORTALIDAD!$R:$R,RESUMEN!AA117,MORTALIDAD!$V:$V)</f>
        <v>0</v>
      </c>
      <c r="AD117" s="19">
        <f t="shared" si="54"/>
        <v>-476</v>
      </c>
      <c r="AE117" s="3">
        <f>SUMIF(MORTALIDAD!$R:$R,RESUMEN!AA117,MORTALIDAD!$W:$W)</f>
        <v>0</v>
      </c>
      <c r="AF117" s="3">
        <f>SUMIF(TRASLADOS!$T:$T,RESUMEN!AA117,TRASLADOS!$W:$W)</f>
        <v>0</v>
      </c>
      <c r="AG117" s="3">
        <f>SUMIF(TRASLADOS!$T:$T,RESUMEN!AA117,TRASLADOS!$X:$X)</f>
        <v>0</v>
      </c>
      <c r="AH117" s="3">
        <f>SUMIF(VENTAS!$R:$R,RESUMEN!AA117,VENTAS!$V:$V)</f>
        <v>0</v>
      </c>
      <c r="AI117" s="3">
        <f>SUMIF(VENTAS!$R:$R,RESUMEN!AA117,VENTAS!$W:$W)</f>
        <v>0</v>
      </c>
      <c r="AJ117" s="97">
        <f t="shared" si="55"/>
        <v>1724</v>
      </c>
      <c r="AK117" s="96"/>
      <c r="AL117" s="99">
        <f t="shared" si="46"/>
        <v>18</v>
      </c>
      <c r="AM117" s="11">
        <f t="shared" si="72"/>
        <v>43378</v>
      </c>
      <c r="AN117" s="3">
        <f t="shared" si="72"/>
        <v>124</v>
      </c>
      <c r="AO117" s="3">
        <f>SUMIF(MORTALIDAD!$Z:$Z,RESUMEN!AM117,MORTALIDAD!$AD:$AD)</f>
        <v>0</v>
      </c>
      <c r="AP117" s="19">
        <f t="shared" si="57"/>
        <v>-124</v>
      </c>
      <c r="AQ117" s="3">
        <f>SUMIF(MORTALIDAD!$Z:$Z,RESUMEN!AM117,MORTALIDAD!$AE:$AE)</f>
        <v>0</v>
      </c>
      <c r="AR117" s="3">
        <f>SUMIF(TRASLADOS!$AC:$AC,RESUMEN!AM117,TRASLADOS!$AF:$AF)</f>
        <v>0</v>
      </c>
      <c r="AS117" s="3">
        <f>SUMIF(TRASLADOS!$AC:$AC,RESUMEN!AM117,TRASLADOS!$AG:$AG)</f>
        <v>0</v>
      </c>
      <c r="AT117" s="3">
        <f>SUMIF(VENTAS!$Z:$Z,RESUMEN!AM117,VENTAS!$AD:$AD)</f>
        <v>0</v>
      </c>
      <c r="AU117" s="3">
        <f>SUMIF(VENTAS!$Z:$Z,RESUMEN!AM117,VENTAS!$AE:$AE)</f>
        <v>0</v>
      </c>
      <c r="AV117" s="97">
        <f t="shared" si="58"/>
        <v>2076</v>
      </c>
      <c r="AW117" s="96"/>
      <c r="AX117" s="99">
        <f t="shared" si="47"/>
        <v>18</v>
      </c>
      <c r="AY117" s="11">
        <f t="shared" si="73"/>
        <v>43385</v>
      </c>
      <c r="AZ117" s="3">
        <f t="shared" si="73"/>
        <v>124</v>
      </c>
      <c r="BA117" s="3">
        <f>SUMIF(MORTALIDAD!$AH:$AH,RESUMEN!AY117,MORTALIDAD!$AL:$AL)</f>
        <v>0</v>
      </c>
      <c r="BB117" s="19">
        <f t="shared" si="60"/>
        <v>-119</v>
      </c>
      <c r="BC117" s="3">
        <f>SUMIF(MORTALIDAD!$AH:$AH,RESUMEN!AY117,MORTALIDAD!$AM:$AM)</f>
        <v>0</v>
      </c>
      <c r="BD117" s="3">
        <f>SUMIF(TRASLADOS!$AL:$AL,RESUMEN!AY117,TRASLADOS!$AO:$AO)</f>
        <v>0</v>
      </c>
      <c r="BE117" s="3">
        <f>SUMIF(TRASLADOS!$AL:$AL,RESUMEN!AY117,TRASLADOS!$AP:$AP)</f>
        <v>0</v>
      </c>
      <c r="BF117" s="3">
        <f>SUMIF(VENTAS!$AH:$AH,RESUMEN!AY117,VENTAS!$AL:$AL)</f>
        <v>0</v>
      </c>
      <c r="BG117" s="3">
        <f>SUMIF(VENTAS!$AH:$AH,RESUMEN!AY117,VENTAS!$AM:$AM)</f>
        <v>0</v>
      </c>
      <c r="BH117" s="97">
        <f t="shared" si="61"/>
        <v>2081</v>
      </c>
      <c r="BI117" s="96"/>
      <c r="BJ117" s="99">
        <f t="shared" si="48"/>
        <v>19</v>
      </c>
      <c r="BK117" s="11">
        <f t="shared" si="74"/>
        <v>43394</v>
      </c>
      <c r="BL117" s="3">
        <f t="shared" si="74"/>
        <v>127</v>
      </c>
      <c r="BM117" s="3">
        <f>SUMIF(MORTALIDAD!$AP:$AP,RESUMEN!BK117,MORTALIDAD!$AT:$AT)</f>
        <v>0</v>
      </c>
      <c r="BN117" s="19">
        <f t="shared" si="63"/>
        <v>-73</v>
      </c>
      <c r="BO117" s="3">
        <f>SUMIF(MORTALIDAD!$AP$6:$AP$200,RESUMEN!BK117,MORTALIDAD!$AU$6:$AU$200)</f>
        <v>0</v>
      </c>
      <c r="BP117" s="3">
        <f>SUMIF(TRASLADOS!$AU:$AU,RESUMEN!BK117,TRASLADOS!$AX:$AX)</f>
        <v>0</v>
      </c>
      <c r="BQ117" s="3">
        <f>SUMIF(TRASLADOS!$AU:$AU,RESUMEN!BK117,TRASLADOS!$AY:$AY)</f>
        <v>0</v>
      </c>
      <c r="BR117" s="3">
        <f>SUMIF(VENTAS!$AP:$AP,RESUMEN!BK117,VENTAS!$AT:$AT)</f>
        <v>0</v>
      </c>
      <c r="BS117" s="3">
        <f>SUMIF(VENTAS!$AP:$AP,RESUMEN!BK117,VENTAS!$AU:$AU)</f>
        <v>0</v>
      </c>
      <c r="BT117" s="36">
        <f t="shared" si="64"/>
        <v>2241</v>
      </c>
    </row>
    <row r="118" spans="2:72" x14ac:dyDescent="0.2">
      <c r="B118" s="3">
        <f t="shared" si="43"/>
        <v>19</v>
      </c>
      <c r="C118" s="11">
        <f t="shared" si="75"/>
        <v>43365</v>
      </c>
      <c r="D118" s="3">
        <f t="shared" si="76"/>
        <v>127</v>
      </c>
      <c r="E118" s="3">
        <f>SUMIF(MORTALIDAD!$B$6:$B$200,RESUMEN!C118,MORTALIDAD!$F$6:$F$200)</f>
        <v>0</v>
      </c>
      <c r="F118" s="17">
        <f t="shared" si="77"/>
        <v>-740</v>
      </c>
      <c r="G118" s="3">
        <f>SUMIF(MORTALIDAD!$B$6:$B$200,RESUMEN!C118,MORTALIDAD!$G$6:$G$200)</f>
        <v>0</v>
      </c>
      <c r="H118" s="3">
        <f>SUMIF(TRASLADOS!$B$6:$B$200,C118,TRASLADOS!$E$6:$E$200)</f>
        <v>0</v>
      </c>
      <c r="I118" s="3">
        <f>SUMIF(TRASLADOS!$B$6:$B$200,C118,TRASLADOS!$F$6:$F$200)</f>
        <v>0</v>
      </c>
      <c r="J118" s="3">
        <f>SUMIF(VENTAS!$B$6:$B$200,RESUMEN!C118,VENTAS!$F$6:$F$200)</f>
        <v>0</v>
      </c>
      <c r="K118" s="3">
        <f>SUMIF(VENTAS!$B$6:$B$200,RESUMEN!C118,VENTAS!$G$6:$G$200)</f>
        <v>0</v>
      </c>
      <c r="L118" s="97">
        <f t="shared" si="49"/>
        <v>1460</v>
      </c>
      <c r="M118" s="96"/>
      <c r="N118" s="99">
        <f t="shared" si="44"/>
        <v>18</v>
      </c>
      <c r="O118" s="11">
        <f t="shared" si="70"/>
        <v>43368</v>
      </c>
      <c r="P118" s="3">
        <f t="shared" si="70"/>
        <v>126</v>
      </c>
      <c r="Q118" s="3">
        <f>SUMIF(MORTALIDAD!$J:$J,RESUMEN!O118,MORTALIDAD!$N:$N)</f>
        <v>0</v>
      </c>
      <c r="R118" s="19">
        <f t="shared" si="51"/>
        <v>-680</v>
      </c>
      <c r="S118" s="3">
        <f>SUMIF(MORTALIDAD!$J:$J,RESUMEN!O118,MORTALIDAD!$O:$O)</f>
        <v>0</v>
      </c>
      <c r="T118" s="3">
        <f>SUMIF(TRASLADOS!$K:$K,RESUMEN!O118,TRASLADOS!$N:$N)</f>
        <v>0</v>
      </c>
      <c r="U118" s="3">
        <f>SUMIF(TRASLADOS!$K:$K,RESUMEN!O118,TRASLADOS!$O:$O)</f>
        <v>0</v>
      </c>
      <c r="V118" s="3">
        <f>SUMIF(VENTAS!$J:$J,RESUMEN!O118,VENTAS!$N:$N)</f>
        <v>0</v>
      </c>
      <c r="W118" s="3">
        <f>SUMIF(VENTAS!$J:$J,RESUMEN!O118,VENTAS!$O:$O)</f>
        <v>0</v>
      </c>
      <c r="X118" s="97">
        <f t="shared" si="52"/>
        <v>1520</v>
      </c>
      <c r="Y118" s="96"/>
      <c r="Z118" s="99">
        <f t="shared" si="45"/>
        <v>18</v>
      </c>
      <c r="AA118" s="11">
        <f t="shared" si="71"/>
        <v>43372</v>
      </c>
      <c r="AB118" s="3">
        <f t="shared" si="71"/>
        <v>125</v>
      </c>
      <c r="AC118" s="3">
        <f>SUMIF(MORTALIDAD!$R:$R,RESUMEN!AA118,MORTALIDAD!$V:$V)</f>
        <v>0</v>
      </c>
      <c r="AD118" s="19">
        <f t="shared" si="54"/>
        <v>-476</v>
      </c>
      <c r="AE118" s="3">
        <f>SUMIF(MORTALIDAD!$R:$R,RESUMEN!AA118,MORTALIDAD!$W:$W)</f>
        <v>0</v>
      </c>
      <c r="AF118" s="3">
        <f>SUMIF(TRASLADOS!$T:$T,RESUMEN!AA118,TRASLADOS!$W:$W)</f>
        <v>0</v>
      </c>
      <c r="AG118" s="3">
        <f>SUMIF(TRASLADOS!$T:$T,RESUMEN!AA118,TRASLADOS!$X:$X)</f>
        <v>0</v>
      </c>
      <c r="AH118" s="3">
        <f>SUMIF(VENTAS!$R:$R,RESUMEN!AA118,VENTAS!$V:$V)</f>
        <v>0</v>
      </c>
      <c r="AI118" s="3">
        <f>SUMIF(VENTAS!$R:$R,RESUMEN!AA118,VENTAS!$W:$W)</f>
        <v>0</v>
      </c>
      <c r="AJ118" s="97">
        <f t="shared" si="55"/>
        <v>1724</v>
      </c>
      <c r="AK118" s="96"/>
      <c r="AL118" s="99">
        <f t="shared" si="46"/>
        <v>18</v>
      </c>
      <c r="AM118" s="11">
        <f t="shared" si="72"/>
        <v>43379</v>
      </c>
      <c r="AN118" s="3">
        <f t="shared" si="72"/>
        <v>125</v>
      </c>
      <c r="AO118" s="3">
        <f>SUMIF(MORTALIDAD!$Z:$Z,RESUMEN!AM118,MORTALIDAD!$AD:$AD)</f>
        <v>0</v>
      </c>
      <c r="AP118" s="19">
        <f t="shared" si="57"/>
        <v>-124</v>
      </c>
      <c r="AQ118" s="3">
        <f>SUMIF(MORTALIDAD!$Z:$Z,RESUMEN!AM118,MORTALIDAD!$AE:$AE)</f>
        <v>0</v>
      </c>
      <c r="AR118" s="3">
        <f>SUMIF(TRASLADOS!$AC:$AC,RESUMEN!AM118,TRASLADOS!$AF:$AF)</f>
        <v>0</v>
      </c>
      <c r="AS118" s="3">
        <f>SUMIF(TRASLADOS!$AC:$AC,RESUMEN!AM118,TRASLADOS!$AG:$AG)</f>
        <v>0</v>
      </c>
      <c r="AT118" s="3">
        <f>SUMIF(VENTAS!$Z:$Z,RESUMEN!AM118,VENTAS!$AD:$AD)</f>
        <v>0</v>
      </c>
      <c r="AU118" s="3">
        <f>SUMIF(VENTAS!$Z:$Z,RESUMEN!AM118,VENTAS!$AE:$AE)</f>
        <v>0</v>
      </c>
      <c r="AV118" s="97">
        <f t="shared" si="58"/>
        <v>2076</v>
      </c>
      <c r="AW118" s="96"/>
      <c r="AX118" s="99">
        <f t="shared" si="47"/>
        <v>18</v>
      </c>
      <c r="AY118" s="11">
        <f t="shared" si="73"/>
        <v>43386</v>
      </c>
      <c r="AZ118" s="3">
        <f t="shared" si="73"/>
        <v>125</v>
      </c>
      <c r="BA118" s="3">
        <f>SUMIF(MORTALIDAD!$AH:$AH,RESUMEN!AY118,MORTALIDAD!$AL:$AL)</f>
        <v>0</v>
      </c>
      <c r="BB118" s="19">
        <f t="shared" si="60"/>
        <v>-119</v>
      </c>
      <c r="BC118" s="3">
        <f>SUMIF(MORTALIDAD!$AH:$AH,RESUMEN!AY118,MORTALIDAD!$AM:$AM)</f>
        <v>0</v>
      </c>
      <c r="BD118" s="3">
        <f>SUMIF(TRASLADOS!$AL:$AL,RESUMEN!AY118,TRASLADOS!$AO:$AO)</f>
        <v>0</v>
      </c>
      <c r="BE118" s="3">
        <f>SUMIF(TRASLADOS!$AL:$AL,RESUMEN!AY118,TRASLADOS!$AP:$AP)</f>
        <v>0</v>
      </c>
      <c r="BF118" s="3">
        <f>SUMIF(VENTAS!$AH:$AH,RESUMEN!AY118,VENTAS!$AL:$AL)</f>
        <v>0</v>
      </c>
      <c r="BG118" s="3">
        <f>SUMIF(VENTAS!$AH:$AH,RESUMEN!AY118,VENTAS!$AM:$AM)</f>
        <v>0</v>
      </c>
      <c r="BH118" s="97">
        <f t="shared" si="61"/>
        <v>2081</v>
      </c>
      <c r="BI118" s="96"/>
      <c r="BJ118" s="99">
        <f t="shared" si="48"/>
        <v>19</v>
      </c>
      <c r="BK118" s="11">
        <f t="shared" si="74"/>
        <v>43395</v>
      </c>
      <c r="BL118" s="3">
        <f t="shared" si="74"/>
        <v>128</v>
      </c>
      <c r="BM118" s="3">
        <f>SUMIF(MORTALIDAD!$AP:$AP,RESUMEN!BK118,MORTALIDAD!$AT:$AT)</f>
        <v>0</v>
      </c>
      <c r="BN118" s="19">
        <f t="shared" si="63"/>
        <v>-73</v>
      </c>
      <c r="BO118" s="3">
        <f>SUMIF(MORTALIDAD!$AP$6:$AP$200,RESUMEN!BK118,MORTALIDAD!$AU$6:$AU$200)</f>
        <v>0</v>
      </c>
      <c r="BP118" s="3">
        <f>SUMIF(TRASLADOS!$AU:$AU,RESUMEN!BK118,TRASLADOS!$AX:$AX)</f>
        <v>0</v>
      </c>
      <c r="BQ118" s="3">
        <f>SUMIF(TRASLADOS!$AU:$AU,RESUMEN!BK118,TRASLADOS!$AY:$AY)</f>
        <v>0</v>
      </c>
      <c r="BR118" s="3">
        <f>SUMIF(VENTAS!$AP:$AP,RESUMEN!BK118,VENTAS!$AT:$AT)</f>
        <v>0</v>
      </c>
      <c r="BS118" s="3">
        <f>SUMIF(VENTAS!$AP:$AP,RESUMEN!BK118,VENTAS!$AU:$AU)</f>
        <v>0</v>
      </c>
      <c r="BT118" s="36">
        <f t="shared" si="64"/>
        <v>2241</v>
      </c>
    </row>
    <row r="119" spans="2:72" x14ac:dyDescent="0.2">
      <c r="B119" s="3">
        <f t="shared" si="43"/>
        <v>19</v>
      </c>
      <c r="C119" s="11">
        <f t="shared" si="75"/>
        <v>43366</v>
      </c>
      <c r="D119" s="3">
        <f t="shared" si="76"/>
        <v>128</v>
      </c>
      <c r="E119" s="3">
        <f>SUMIF(MORTALIDAD!$B$6:$B$200,RESUMEN!C119,MORTALIDAD!$F$6:$F$200)</f>
        <v>0</v>
      </c>
      <c r="F119" s="17">
        <f t="shared" si="77"/>
        <v>-740</v>
      </c>
      <c r="G119" s="3">
        <f>SUMIF(MORTALIDAD!$B$6:$B$200,RESUMEN!C119,MORTALIDAD!$G$6:$G$200)</f>
        <v>0</v>
      </c>
      <c r="H119" s="3">
        <f>SUMIF(TRASLADOS!$B$6:$B$200,C119,TRASLADOS!$E$6:$E$200)</f>
        <v>0</v>
      </c>
      <c r="I119" s="3">
        <f>SUMIF(TRASLADOS!$B$6:$B$200,C119,TRASLADOS!$F$6:$F$200)</f>
        <v>0</v>
      </c>
      <c r="J119" s="3">
        <f>SUMIF(VENTAS!$B$6:$B$200,RESUMEN!C119,VENTAS!$F$6:$F$200)</f>
        <v>0</v>
      </c>
      <c r="K119" s="3">
        <f>SUMIF(VENTAS!$B$6:$B$200,RESUMEN!C119,VENTAS!$G$6:$G$200)</f>
        <v>0</v>
      </c>
      <c r="L119" s="97">
        <f t="shared" si="49"/>
        <v>1460</v>
      </c>
      <c r="M119" s="96"/>
      <c r="N119" s="99">
        <f t="shared" si="44"/>
        <v>19</v>
      </c>
      <c r="O119" s="11">
        <f t="shared" si="70"/>
        <v>43369</v>
      </c>
      <c r="P119" s="3">
        <f t="shared" si="70"/>
        <v>127</v>
      </c>
      <c r="Q119" s="3">
        <f>SUMIF(MORTALIDAD!$J:$J,RESUMEN!O119,MORTALIDAD!$N:$N)</f>
        <v>0</v>
      </c>
      <c r="R119" s="19">
        <f t="shared" si="51"/>
        <v>-680</v>
      </c>
      <c r="S119" s="3">
        <f>SUMIF(MORTALIDAD!$J:$J,RESUMEN!O119,MORTALIDAD!$O:$O)</f>
        <v>0</v>
      </c>
      <c r="T119" s="3">
        <f>SUMIF(TRASLADOS!$K:$K,RESUMEN!O119,TRASLADOS!$N:$N)</f>
        <v>0</v>
      </c>
      <c r="U119" s="3">
        <f>SUMIF(TRASLADOS!$K:$K,RESUMEN!O119,TRASLADOS!$O:$O)</f>
        <v>0</v>
      </c>
      <c r="V119" s="3">
        <f>SUMIF(VENTAS!$J:$J,RESUMEN!O119,VENTAS!$N:$N)</f>
        <v>0</v>
      </c>
      <c r="W119" s="3">
        <f>SUMIF(VENTAS!$J:$J,RESUMEN!O119,VENTAS!$O:$O)</f>
        <v>0</v>
      </c>
      <c r="X119" s="97">
        <f t="shared" si="52"/>
        <v>1520</v>
      </c>
      <c r="Y119" s="96"/>
      <c r="Z119" s="99">
        <f t="shared" si="45"/>
        <v>18</v>
      </c>
      <c r="AA119" s="11">
        <f t="shared" si="71"/>
        <v>43373</v>
      </c>
      <c r="AB119" s="3">
        <f t="shared" si="71"/>
        <v>126</v>
      </c>
      <c r="AC119" s="3">
        <f>SUMIF(MORTALIDAD!$R:$R,RESUMEN!AA119,MORTALIDAD!$V:$V)</f>
        <v>0</v>
      </c>
      <c r="AD119" s="19">
        <f t="shared" si="54"/>
        <v>-476</v>
      </c>
      <c r="AE119" s="3">
        <f>SUMIF(MORTALIDAD!$R:$R,RESUMEN!AA119,MORTALIDAD!$W:$W)</f>
        <v>0</v>
      </c>
      <c r="AF119" s="3">
        <f>SUMIF(TRASLADOS!$T:$T,RESUMEN!AA119,TRASLADOS!$W:$W)</f>
        <v>0</v>
      </c>
      <c r="AG119" s="3">
        <f>SUMIF(TRASLADOS!$T:$T,RESUMEN!AA119,TRASLADOS!$X:$X)</f>
        <v>0</v>
      </c>
      <c r="AH119" s="3">
        <f>SUMIF(VENTAS!$R:$R,RESUMEN!AA119,VENTAS!$V:$V)</f>
        <v>0</v>
      </c>
      <c r="AI119" s="3">
        <f>SUMIF(VENTAS!$R:$R,RESUMEN!AA119,VENTAS!$W:$W)</f>
        <v>0</v>
      </c>
      <c r="AJ119" s="97">
        <f t="shared" si="55"/>
        <v>1724</v>
      </c>
      <c r="AK119" s="96"/>
      <c r="AL119" s="99">
        <f t="shared" si="46"/>
        <v>18</v>
      </c>
      <c r="AM119" s="11">
        <f t="shared" si="72"/>
        <v>43380</v>
      </c>
      <c r="AN119" s="3">
        <f t="shared" si="72"/>
        <v>126</v>
      </c>
      <c r="AO119" s="3">
        <f>SUMIF(MORTALIDAD!$Z:$Z,RESUMEN!AM119,MORTALIDAD!$AD:$AD)</f>
        <v>0</v>
      </c>
      <c r="AP119" s="19">
        <f t="shared" si="57"/>
        <v>-124</v>
      </c>
      <c r="AQ119" s="3">
        <f>SUMIF(MORTALIDAD!$Z:$Z,RESUMEN!AM119,MORTALIDAD!$AE:$AE)</f>
        <v>0</v>
      </c>
      <c r="AR119" s="3">
        <f>SUMIF(TRASLADOS!$AC:$AC,RESUMEN!AM119,TRASLADOS!$AF:$AF)</f>
        <v>0</v>
      </c>
      <c r="AS119" s="3">
        <f>SUMIF(TRASLADOS!$AC:$AC,RESUMEN!AM119,TRASLADOS!$AG:$AG)</f>
        <v>0</v>
      </c>
      <c r="AT119" s="3">
        <f>SUMIF(VENTAS!$Z:$Z,RESUMEN!AM119,VENTAS!$AD:$AD)</f>
        <v>0</v>
      </c>
      <c r="AU119" s="3">
        <f>SUMIF(VENTAS!$Z:$Z,RESUMEN!AM119,VENTAS!$AE:$AE)</f>
        <v>0</v>
      </c>
      <c r="AV119" s="97">
        <f t="shared" si="58"/>
        <v>2076</v>
      </c>
      <c r="AW119" s="96"/>
      <c r="AX119" s="99">
        <f t="shared" si="47"/>
        <v>18</v>
      </c>
      <c r="AY119" s="11">
        <f t="shared" si="73"/>
        <v>43387</v>
      </c>
      <c r="AZ119" s="3">
        <f t="shared" si="73"/>
        <v>126</v>
      </c>
      <c r="BA119" s="3">
        <f>SUMIF(MORTALIDAD!$AH:$AH,RESUMEN!AY119,MORTALIDAD!$AL:$AL)</f>
        <v>0</v>
      </c>
      <c r="BB119" s="19">
        <f t="shared" si="60"/>
        <v>-119</v>
      </c>
      <c r="BC119" s="3">
        <f>SUMIF(MORTALIDAD!$AH:$AH,RESUMEN!AY119,MORTALIDAD!$AM:$AM)</f>
        <v>0</v>
      </c>
      <c r="BD119" s="3">
        <f>SUMIF(TRASLADOS!$AL:$AL,RESUMEN!AY119,TRASLADOS!$AO:$AO)</f>
        <v>0</v>
      </c>
      <c r="BE119" s="3">
        <f>SUMIF(TRASLADOS!$AL:$AL,RESUMEN!AY119,TRASLADOS!$AP:$AP)</f>
        <v>0</v>
      </c>
      <c r="BF119" s="3">
        <f>SUMIF(VENTAS!$AH:$AH,RESUMEN!AY119,VENTAS!$AL:$AL)</f>
        <v>0</v>
      </c>
      <c r="BG119" s="3">
        <f>SUMIF(VENTAS!$AH:$AH,RESUMEN!AY119,VENTAS!$AM:$AM)</f>
        <v>0</v>
      </c>
      <c r="BH119" s="97">
        <f t="shared" si="61"/>
        <v>2081</v>
      </c>
      <c r="BI119" s="96"/>
      <c r="BJ119" s="99">
        <f t="shared" si="48"/>
        <v>19</v>
      </c>
      <c r="BK119" s="11">
        <f t="shared" si="74"/>
        <v>43396</v>
      </c>
      <c r="BL119" s="3">
        <f t="shared" si="74"/>
        <v>129</v>
      </c>
      <c r="BM119" s="3">
        <f>SUMIF(MORTALIDAD!$AP:$AP,RESUMEN!BK119,MORTALIDAD!$AT:$AT)</f>
        <v>0</v>
      </c>
      <c r="BN119" s="19">
        <f t="shared" si="63"/>
        <v>-73</v>
      </c>
      <c r="BO119" s="3">
        <f>SUMIF(MORTALIDAD!$AP$6:$AP$200,RESUMEN!BK119,MORTALIDAD!$AU$6:$AU$200)</f>
        <v>0</v>
      </c>
      <c r="BP119" s="3">
        <f>SUMIF(TRASLADOS!$AU:$AU,RESUMEN!BK119,TRASLADOS!$AX:$AX)</f>
        <v>0</v>
      </c>
      <c r="BQ119" s="3">
        <f>SUMIF(TRASLADOS!$AU:$AU,RESUMEN!BK119,TRASLADOS!$AY:$AY)</f>
        <v>0</v>
      </c>
      <c r="BR119" s="3">
        <f>SUMIF(VENTAS!$AP:$AP,RESUMEN!BK119,VENTAS!$AT:$AT)</f>
        <v>0</v>
      </c>
      <c r="BS119" s="3">
        <f>SUMIF(VENTAS!$AP:$AP,RESUMEN!BK119,VENTAS!$AU:$AU)</f>
        <v>0</v>
      </c>
      <c r="BT119" s="36">
        <f t="shared" si="64"/>
        <v>2241</v>
      </c>
    </row>
    <row r="120" spans="2:72" x14ac:dyDescent="0.2">
      <c r="B120" s="3">
        <f t="shared" si="43"/>
        <v>19</v>
      </c>
      <c r="C120" s="11">
        <f t="shared" si="75"/>
        <v>43367</v>
      </c>
      <c r="D120" s="3">
        <f t="shared" si="76"/>
        <v>129</v>
      </c>
      <c r="E120" s="3">
        <f>SUMIF(MORTALIDAD!$B$6:$B$200,RESUMEN!C120,MORTALIDAD!$F$6:$F$200)</f>
        <v>0</v>
      </c>
      <c r="F120" s="17">
        <f t="shared" si="77"/>
        <v>-740</v>
      </c>
      <c r="G120" s="3">
        <f>SUMIF(MORTALIDAD!$B$6:$B$200,RESUMEN!C120,MORTALIDAD!$G$6:$G$200)</f>
        <v>0</v>
      </c>
      <c r="H120" s="3">
        <f>SUMIF(TRASLADOS!$B$6:$B$200,C120,TRASLADOS!$E$6:$E$200)</f>
        <v>0</v>
      </c>
      <c r="I120" s="3">
        <f>SUMIF(TRASLADOS!$B$6:$B$200,C120,TRASLADOS!$F$6:$F$200)</f>
        <v>0</v>
      </c>
      <c r="J120" s="3">
        <f>SUMIF(VENTAS!$B$6:$B$200,RESUMEN!C120,VENTAS!$F$6:$F$200)</f>
        <v>0</v>
      </c>
      <c r="K120" s="3">
        <f>SUMIF(VENTAS!$B$6:$B$200,RESUMEN!C120,VENTAS!$G$6:$G$200)</f>
        <v>0</v>
      </c>
      <c r="L120" s="97">
        <f t="shared" si="49"/>
        <v>1460</v>
      </c>
      <c r="M120" s="96"/>
      <c r="N120" s="99">
        <f t="shared" si="44"/>
        <v>19</v>
      </c>
      <c r="O120" s="11">
        <f t="shared" si="70"/>
        <v>43370</v>
      </c>
      <c r="P120" s="3">
        <f t="shared" si="70"/>
        <v>128</v>
      </c>
      <c r="Q120" s="3">
        <f>SUMIF(MORTALIDAD!$J:$J,RESUMEN!O120,MORTALIDAD!$N:$N)</f>
        <v>0</v>
      </c>
      <c r="R120" s="19">
        <f t="shared" si="51"/>
        <v>-680</v>
      </c>
      <c r="S120" s="3">
        <f>SUMIF(MORTALIDAD!$J:$J,RESUMEN!O120,MORTALIDAD!$O:$O)</f>
        <v>0</v>
      </c>
      <c r="T120" s="3">
        <f>SUMIF(TRASLADOS!$K:$K,RESUMEN!O120,TRASLADOS!$N:$N)</f>
        <v>0</v>
      </c>
      <c r="U120" s="3">
        <f>SUMIF(TRASLADOS!$K:$K,RESUMEN!O120,TRASLADOS!$O:$O)</f>
        <v>0</v>
      </c>
      <c r="V120" s="3">
        <f>SUMIF(VENTAS!$J:$J,RESUMEN!O120,VENTAS!$N:$N)</f>
        <v>0</v>
      </c>
      <c r="W120" s="3">
        <f>SUMIF(VENTAS!$J:$J,RESUMEN!O120,VENTAS!$O:$O)</f>
        <v>0</v>
      </c>
      <c r="X120" s="97">
        <f t="shared" si="52"/>
        <v>1520</v>
      </c>
      <c r="Y120" s="96"/>
      <c r="Z120" s="99">
        <f t="shared" si="45"/>
        <v>19</v>
      </c>
      <c r="AA120" s="11">
        <f t="shared" si="71"/>
        <v>43374</v>
      </c>
      <c r="AB120" s="3">
        <f t="shared" si="71"/>
        <v>127</v>
      </c>
      <c r="AC120" s="3">
        <f>SUMIF(MORTALIDAD!$R:$R,RESUMEN!AA120,MORTALIDAD!$V:$V)</f>
        <v>0</v>
      </c>
      <c r="AD120" s="19">
        <f t="shared" si="54"/>
        <v>-476</v>
      </c>
      <c r="AE120" s="3">
        <f>SUMIF(MORTALIDAD!$R:$R,RESUMEN!AA120,MORTALIDAD!$W:$W)</f>
        <v>0</v>
      </c>
      <c r="AF120" s="3">
        <f>SUMIF(TRASLADOS!$T:$T,RESUMEN!AA120,TRASLADOS!$W:$W)</f>
        <v>0</v>
      </c>
      <c r="AG120" s="3">
        <f>SUMIF(TRASLADOS!$T:$T,RESUMEN!AA120,TRASLADOS!$X:$X)</f>
        <v>0</v>
      </c>
      <c r="AH120" s="3">
        <f>SUMIF(VENTAS!$R:$R,RESUMEN!AA120,VENTAS!$V:$V)</f>
        <v>0</v>
      </c>
      <c r="AI120" s="3">
        <f>SUMIF(VENTAS!$R:$R,RESUMEN!AA120,VENTAS!$W:$W)</f>
        <v>0</v>
      </c>
      <c r="AJ120" s="97">
        <f t="shared" si="55"/>
        <v>1724</v>
      </c>
      <c r="AK120" s="96"/>
      <c r="AL120" s="99">
        <f t="shared" si="46"/>
        <v>19</v>
      </c>
      <c r="AM120" s="11">
        <f t="shared" si="72"/>
        <v>43381</v>
      </c>
      <c r="AN120" s="3">
        <f t="shared" si="72"/>
        <v>127</v>
      </c>
      <c r="AO120" s="3">
        <f>SUMIF(MORTALIDAD!$Z:$Z,RESUMEN!AM120,MORTALIDAD!$AD:$AD)</f>
        <v>0</v>
      </c>
      <c r="AP120" s="19">
        <f t="shared" si="57"/>
        <v>-124</v>
      </c>
      <c r="AQ120" s="3">
        <f>SUMIF(MORTALIDAD!$Z:$Z,RESUMEN!AM120,MORTALIDAD!$AE:$AE)</f>
        <v>0</v>
      </c>
      <c r="AR120" s="3">
        <f>SUMIF(TRASLADOS!$AC:$AC,RESUMEN!AM120,TRASLADOS!$AF:$AF)</f>
        <v>0</v>
      </c>
      <c r="AS120" s="3">
        <f>SUMIF(TRASLADOS!$AC:$AC,RESUMEN!AM120,TRASLADOS!$AG:$AG)</f>
        <v>0</v>
      </c>
      <c r="AT120" s="3">
        <f>SUMIF(VENTAS!$Z:$Z,RESUMEN!AM120,VENTAS!$AD:$AD)</f>
        <v>0</v>
      </c>
      <c r="AU120" s="3">
        <f>SUMIF(VENTAS!$Z:$Z,RESUMEN!AM120,VENTAS!$AE:$AE)</f>
        <v>0</v>
      </c>
      <c r="AV120" s="97">
        <f t="shared" si="58"/>
        <v>2076</v>
      </c>
      <c r="AW120" s="96"/>
      <c r="AX120" s="99">
        <f t="shared" si="47"/>
        <v>19</v>
      </c>
      <c r="AY120" s="11">
        <f t="shared" si="73"/>
        <v>43388</v>
      </c>
      <c r="AZ120" s="3">
        <f t="shared" si="73"/>
        <v>127</v>
      </c>
      <c r="BA120" s="3">
        <f>SUMIF(MORTALIDAD!$AH:$AH,RESUMEN!AY120,MORTALIDAD!$AL:$AL)</f>
        <v>0</v>
      </c>
      <c r="BB120" s="19">
        <f t="shared" si="60"/>
        <v>-119</v>
      </c>
      <c r="BC120" s="3">
        <f>SUMIF(MORTALIDAD!$AH:$AH,RESUMEN!AY120,MORTALIDAD!$AM:$AM)</f>
        <v>0</v>
      </c>
      <c r="BD120" s="3">
        <f>SUMIF(TRASLADOS!$AL:$AL,RESUMEN!AY120,TRASLADOS!$AO:$AO)</f>
        <v>0</v>
      </c>
      <c r="BE120" s="3">
        <f>SUMIF(TRASLADOS!$AL:$AL,RESUMEN!AY120,TRASLADOS!$AP:$AP)</f>
        <v>0</v>
      </c>
      <c r="BF120" s="3">
        <f>SUMIF(VENTAS!$AH:$AH,RESUMEN!AY120,VENTAS!$AL:$AL)</f>
        <v>0</v>
      </c>
      <c r="BG120" s="3">
        <f>SUMIF(VENTAS!$AH:$AH,RESUMEN!AY120,VENTAS!$AM:$AM)</f>
        <v>0</v>
      </c>
      <c r="BH120" s="97">
        <f t="shared" si="61"/>
        <v>2081</v>
      </c>
      <c r="BI120" s="96"/>
      <c r="BJ120" s="99">
        <f t="shared" si="48"/>
        <v>19</v>
      </c>
      <c r="BK120" s="11">
        <f t="shared" si="74"/>
        <v>43397</v>
      </c>
      <c r="BL120" s="3">
        <f t="shared" si="74"/>
        <v>130</v>
      </c>
      <c r="BM120" s="3">
        <f>SUMIF(MORTALIDAD!$AP:$AP,RESUMEN!BK120,MORTALIDAD!$AT:$AT)</f>
        <v>0</v>
      </c>
      <c r="BN120" s="19">
        <f t="shared" si="63"/>
        <v>-73</v>
      </c>
      <c r="BO120" s="3">
        <f>SUMIF(MORTALIDAD!$AP$6:$AP$200,RESUMEN!BK120,MORTALIDAD!$AU$6:$AU$200)</f>
        <v>0</v>
      </c>
      <c r="BP120" s="3">
        <f>SUMIF(TRASLADOS!$AU:$AU,RESUMEN!BK120,TRASLADOS!$AX:$AX)</f>
        <v>0</v>
      </c>
      <c r="BQ120" s="3">
        <f>SUMIF(TRASLADOS!$AU:$AU,RESUMEN!BK120,TRASLADOS!$AY:$AY)</f>
        <v>0</v>
      </c>
      <c r="BR120" s="3">
        <f>SUMIF(VENTAS!$AP:$AP,RESUMEN!BK120,VENTAS!$AT:$AT)</f>
        <v>0</v>
      </c>
      <c r="BS120" s="3">
        <f>SUMIF(VENTAS!$AP:$AP,RESUMEN!BK120,VENTAS!$AU:$AU)</f>
        <v>0</v>
      </c>
      <c r="BT120" s="36">
        <f t="shared" si="64"/>
        <v>2241</v>
      </c>
    </row>
    <row r="121" spans="2:72" x14ac:dyDescent="0.2">
      <c r="B121" s="3">
        <f t="shared" si="43"/>
        <v>19</v>
      </c>
      <c r="C121" s="11">
        <f t="shared" si="75"/>
        <v>43368</v>
      </c>
      <c r="D121" s="3">
        <f t="shared" si="76"/>
        <v>130</v>
      </c>
      <c r="E121" s="3">
        <f>SUMIF(MORTALIDAD!$B$6:$B$200,RESUMEN!C121,MORTALIDAD!$F$6:$F$200)</f>
        <v>0</v>
      </c>
      <c r="F121" s="17">
        <f t="shared" si="77"/>
        <v>-740</v>
      </c>
      <c r="G121" s="3">
        <f>SUMIF(MORTALIDAD!$B$6:$B$200,RESUMEN!C121,MORTALIDAD!$G$6:$G$200)</f>
        <v>0</v>
      </c>
      <c r="H121" s="3">
        <f>SUMIF(TRASLADOS!$B$6:$B$200,C121,TRASLADOS!$E$6:$E$200)</f>
        <v>0</v>
      </c>
      <c r="I121" s="3">
        <f>SUMIF(TRASLADOS!$B$6:$B$200,C121,TRASLADOS!$F$6:$F$200)</f>
        <v>0</v>
      </c>
      <c r="J121" s="3">
        <f>SUMIF(VENTAS!$B$6:$B$200,RESUMEN!C121,VENTAS!$F$6:$F$200)</f>
        <v>0</v>
      </c>
      <c r="K121" s="3">
        <f>SUMIF(VENTAS!$B$6:$B$200,RESUMEN!C121,VENTAS!$G$6:$G$200)</f>
        <v>0</v>
      </c>
      <c r="L121" s="97">
        <f t="shared" si="49"/>
        <v>1460</v>
      </c>
      <c r="M121" s="96"/>
      <c r="N121" s="99">
        <f t="shared" si="44"/>
        <v>19</v>
      </c>
      <c r="O121" s="11">
        <f t="shared" si="70"/>
        <v>43371</v>
      </c>
      <c r="P121" s="3">
        <f t="shared" si="70"/>
        <v>129</v>
      </c>
      <c r="Q121" s="3">
        <f>SUMIF(MORTALIDAD!$J:$J,RESUMEN!O121,MORTALIDAD!$N:$N)</f>
        <v>0</v>
      </c>
      <c r="R121" s="19">
        <f t="shared" si="51"/>
        <v>-680</v>
      </c>
      <c r="S121" s="3">
        <f>SUMIF(MORTALIDAD!$J:$J,RESUMEN!O121,MORTALIDAD!$O:$O)</f>
        <v>0</v>
      </c>
      <c r="T121" s="3">
        <f>SUMIF(TRASLADOS!$K:$K,RESUMEN!O121,TRASLADOS!$N:$N)</f>
        <v>0</v>
      </c>
      <c r="U121" s="3">
        <f>SUMIF(TRASLADOS!$K:$K,RESUMEN!O121,TRASLADOS!$O:$O)</f>
        <v>0</v>
      </c>
      <c r="V121" s="3">
        <f>SUMIF(VENTAS!$J:$J,RESUMEN!O121,VENTAS!$N:$N)</f>
        <v>0</v>
      </c>
      <c r="W121" s="3">
        <f>SUMIF(VENTAS!$J:$J,RESUMEN!O121,VENTAS!$O:$O)</f>
        <v>0</v>
      </c>
      <c r="X121" s="97">
        <f t="shared" si="52"/>
        <v>1520</v>
      </c>
      <c r="Y121" s="96"/>
      <c r="Z121" s="99">
        <f t="shared" si="45"/>
        <v>19</v>
      </c>
      <c r="AA121" s="11">
        <f t="shared" si="71"/>
        <v>43375</v>
      </c>
      <c r="AB121" s="3">
        <f t="shared" si="71"/>
        <v>128</v>
      </c>
      <c r="AC121" s="3">
        <f>SUMIF(MORTALIDAD!$R:$R,RESUMEN!AA121,MORTALIDAD!$V:$V)</f>
        <v>0</v>
      </c>
      <c r="AD121" s="19">
        <f t="shared" si="54"/>
        <v>-476</v>
      </c>
      <c r="AE121" s="3">
        <f>SUMIF(MORTALIDAD!$R:$R,RESUMEN!AA121,MORTALIDAD!$W:$W)</f>
        <v>0</v>
      </c>
      <c r="AF121" s="3">
        <f>SUMIF(TRASLADOS!$T:$T,RESUMEN!AA121,TRASLADOS!$W:$W)</f>
        <v>0</v>
      </c>
      <c r="AG121" s="3">
        <f>SUMIF(TRASLADOS!$T:$T,RESUMEN!AA121,TRASLADOS!$X:$X)</f>
        <v>0</v>
      </c>
      <c r="AH121" s="3">
        <f>SUMIF(VENTAS!$R:$R,RESUMEN!AA121,VENTAS!$V:$V)</f>
        <v>0</v>
      </c>
      <c r="AI121" s="3">
        <f>SUMIF(VENTAS!$R:$R,RESUMEN!AA121,VENTAS!$W:$W)</f>
        <v>0</v>
      </c>
      <c r="AJ121" s="97">
        <f t="shared" si="55"/>
        <v>1724</v>
      </c>
      <c r="AK121" s="96"/>
      <c r="AL121" s="99">
        <f t="shared" si="46"/>
        <v>19</v>
      </c>
      <c r="AM121" s="11">
        <f t="shared" si="72"/>
        <v>43382</v>
      </c>
      <c r="AN121" s="3">
        <f t="shared" si="72"/>
        <v>128</v>
      </c>
      <c r="AO121" s="3">
        <f>SUMIF(MORTALIDAD!$Z:$Z,RESUMEN!AM121,MORTALIDAD!$AD:$AD)</f>
        <v>0</v>
      </c>
      <c r="AP121" s="19">
        <f t="shared" si="57"/>
        <v>-124</v>
      </c>
      <c r="AQ121" s="3">
        <f>SUMIF(MORTALIDAD!$Z:$Z,RESUMEN!AM121,MORTALIDAD!$AE:$AE)</f>
        <v>0</v>
      </c>
      <c r="AR121" s="3">
        <f>SUMIF(TRASLADOS!$AC:$AC,RESUMEN!AM121,TRASLADOS!$AF:$AF)</f>
        <v>0</v>
      </c>
      <c r="AS121" s="3">
        <f>SUMIF(TRASLADOS!$AC:$AC,RESUMEN!AM121,TRASLADOS!$AG:$AG)</f>
        <v>0</v>
      </c>
      <c r="AT121" s="3">
        <f>SUMIF(VENTAS!$Z:$Z,RESUMEN!AM121,VENTAS!$AD:$AD)</f>
        <v>0</v>
      </c>
      <c r="AU121" s="3">
        <f>SUMIF(VENTAS!$Z:$Z,RESUMEN!AM121,VENTAS!$AE:$AE)</f>
        <v>0</v>
      </c>
      <c r="AV121" s="97">
        <f t="shared" si="58"/>
        <v>2076</v>
      </c>
      <c r="AW121" s="96"/>
      <c r="AX121" s="99">
        <f t="shared" si="47"/>
        <v>19</v>
      </c>
      <c r="AY121" s="11">
        <f t="shared" si="73"/>
        <v>43389</v>
      </c>
      <c r="AZ121" s="3">
        <f t="shared" si="73"/>
        <v>128</v>
      </c>
      <c r="BA121" s="3">
        <f>SUMIF(MORTALIDAD!$AH:$AH,RESUMEN!AY121,MORTALIDAD!$AL:$AL)</f>
        <v>0</v>
      </c>
      <c r="BB121" s="19">
        <f t="shared" si="60"/>
        <v>-119</v>
      </c>
      <c r="BC121" s="3">
        <f>SUMIF(MORTALIDAD!$AH:$AH,RESUMEN!AY121,MORTALIDAD!$AM:$AM)</f>
        <v>0</v>
      </c>
      <c r="BD121" s="3">
        <f>SUMIF(TRASLADOS!$AL:$AL,RESUMEN!AY121,TRASLADOS!$AO:$AO)</f>
        <v>0</v>
      </c>
      <c r="BE121" s="3">
        <f>SUMIF(TRASLADOS!$AL:$AL,RESUMEN!AY121,TRASLADOS!$AP:$AP)</f>
        <v>0</v>
      </c>
      <c r="BF121" s="3">
        <f>SUMIF(VENTAS!$AH:$AH,RESUMEN!AY121,VENTAS!$AL:$AL)</f>
        <v>0</v>
      </c>
      <c r="BG121" s="3">
        <f>SUMIF(VENTAS!$AH:$AH,RESUMEN!AY121,VENTAS!$AM:$AM)</f>
        <v>0</v>
      </c>
      <c r="BH121" s="97">
        <f t="shared" si="61"/>
        <v>2081</v>
      </c>
      <c r="BI121" s="96"/>
      <c r="BJ121" s="99">
        <f t="shared" si="48"/>
        <v>19</v>
      </c>
      <c r="BK121" s="11">
        <f t="shared" si="74"/>
        <v>43398</v>
      </c>
      <c r="BL121" s="3">
        <f t="shared" si="74"/>
        <v>131</v>
      </c>
      <c r="BM121" s="3">
        <f>SUMIF(MORTALIDAD!$AP:$AP,RESUMEN!BK121,MORTALIDAD!$AT:$AT)</f>
        <v>0</v>
      </c>
      <c r="BN121" s="19">
        <f t="shared" si="63"/>
        <v>-73</v>
      </c>
      <c r="BO121" s="3">
        <f>SUMIF(MORTALIDAD!$AP$6:$AP$200,RESUMEN!BK121,MORTALIDAD!$AU$6:$AU$200)</f>
        <v>0</v>
      </c>
      <c r="BP121" s="3">
        <f>SUMIF(TRASLADOS!$AU:$AU,RESUMEN!BK121,TRASLADOS!$AX:$AX)</f>
        <v>0</v>
      </c>
      <c r="BQ121" s="3">
        <f>SUMIF(TRASLADOS!$AU:$AU,RESUMEN!BK121,TRASLADOS!$AY:$AY)</f>
        <v>0</v>
      </c>
      <c r="BR121" s="3">
        <f>SUMIF(VENTAS!$AP:$AP,RESUMEN!BK121,VENTAS!$AT:$AT)</f>
        <v>0</v>
      </c>
      <c r="BS121" s="3">
        <f>SUMIF(VENTAS!$AP:$AP,RESUMEN!BK121,VENTAS!$AU:$AU)</f>
        <v>0</v>
      </c>
      <c r="BT121" s="36">
        <f t="shared" si="64"/>
        <v>2241</v>
      </c>
    </row>
    <row r="122" spans="2:72" x14ac:dyDescent="0.2">
      <c r="B122" s="3">
        <f t="shared" si="43"/>
        <v>19</v>
      </c>
      <c r="C122" s="11">
        <f t="shared" si="75"/>
        <v>43369</v>
      </c>
      <c r="D122" s="3">
        <f t="shared" si="76"/>
        <v>131</v>
      </c>
      <c r="E122" s="3">
        <f>SUMIF(MORTALIDAD!$B$6:$B$200,RESUMEN!C122,MORTALIDAD!$F$6:$F$200)</f>
        <v>0</v>
      </c>
      <c r="F122" s="17">
        <f t="shared" si="77"/>
        <v>-740</v>
      </c>
      <c r="G122" s="3">
        <f>SUMIF(MORTALIDAD!$B$6:$B$200,RESUMEN!C122,MORTALIDAD!$G$6:$G$200)</f>
        <v>0</v>
      </c>
      <c r="H122" s="3">
        <f>SUMIF(TRASLADOS!$B$6:$B$200,C122,TRASLADOS!$E$6:$E$200)</f>
        <v>0</v>
      </c>
      <c r="I122" s="3">
        <f>SUMIF(TRASLADOS!$B$6:$B$200,C122,TRASLADOS!$F$6:$F$200)</f>
        <v>0</v>
      </c>
      <c r="J122" s="3">
        <f>SUMIF(VENTAS!$B$6:$B$200,RESUMEN!C122,VENTAS!$F$6:$F$200)</f>
        <v>0</v>
      </c>
      <c r="K122" s="3">
        <f>SUMIF(VENTAS!$B$6:$B$200,RESUMEN!C122,VENTAS!$G$6:$G$200)</f>
        <v>0</v>
      </c>
      <c r="L122" s="97">
        <f t="shared" si="49"/>
        <v>1460</v>
      </c>
      <c r="M122" s="96"/>
      <c r="N122" s="99">
        <f t="shared" si="44"/>
        <v>19</v>
      </c>
      <c r="O122" s="11">
        <f t="shared" si="70"/>
        <v>43372</v>
      </c>
      <c r="P122" s="3">
        <f t="shared" si="70"/>
        <v>130</v>
      </c>
      <c r="Q122" s="3">
        <f>SUMIF(MORTALIDAD!$J:$J,RESUMEN!O122,MORTALIDAD!$N:$N)</f>
        <v>0</v>
      </c>
      <c r="R122" s="19">
        <f t="shared" si="51"/>
        <v>-680</v>
      </c>
      <c r="S122" s="3">
        <f>SUMIF(MORTALIDAD!$J:$J,RESUMEN!O122,MORTALIDAD!$O:$O)</f>
        <v>0</v>
      </c>
      <c r="T122" s="3">
        <f>SUMIF(TRASLADOS!$K:$K,RESUMEN!O122,TRASLADOS!$N:$N)</f>
        <v>0</v>
      </c>
      <c r="U122" s="3">
        <f>SUMIF(TRASLADOS!$K:$K,RESUMEN!O122,TRASLADOS!$O:$O)</f>
        <v>0</v>
      </c>
      <c r="V122" s="3">
        <f>SUMIF(VENTAS!$J:$J,RESUMEN!O122,VENTAS!$N:$N)</f>
        <v>0</v>
      </c>
      <c r="W122" s="3">
        <f>SUMIF(VENTAS!$J:$J,RESUMEN!O122,VENTAS!$O:$O)</f>
        <v>0</v>
      </c>
      <c r="X122" s="97">
        <f t="shared" si="52"/>
        <v>1520</v>
      </c>
      <c r="Y122" s="96"/>
      <c r="Z122" s="99">
        <f t="shared" si="45"/>
        <v>19</v>
      </c>
      <c r="AA122" s="11">
        <f t="shared" si="71"/>
        <v>43376</v>
      </c>
      <c r="AB122" s="3">
        <f t="shared" si="71"/>
        <v>129</v>
      </c>
      <c r="AC122" s="3">
        <f>SUMIF(MORTALIDAD!$R:$R,RESUMEN!AA122,MORTALIDAD!$V:$V)</f>
        <v>0</v>
      </c>
      <c r="AD122" s="19">
        <f t="shared" si="54"/>
        <v>-476</v>
      </c>
      <c r="AE122" s="3">
        <f>SUMIF(MORTALIDAD!$R:$R,RESUMEN!AA122,MORTALIDAD!$W:$W)</f>
        <v>0</v>
      </c>
      <c r="AF122" s="3">
        <f>SUMIF(TRASLADOS!$T:$T,RESUMEN!AA122,TRASLADOS!$W:$W)</f>
        <v>0</v>
      </c>
      <c r="AG122" s="3">
        <f>SUMIF(TRASLADOS!$T:$T,RESUMEN!AA122,TRASLADOS!$X:$X)</f>
        <v>0</v>
      </c>
      <c r="AH122" s="3">
        <f>SUMIF(VENTAS!$R:$R,RESUMEN!AA122,VENTAS!$V:$V)</f>
        <v>0</v>
      </c>
      <c r="AI122" s="3">
        <f>SUMIF(VENTAS!$R:$R,RESUMEN!AA122,VENTAS!$W:$W)</f>
        <v>0</v>
      </c>
      <c r="AJ122" s="97">
        <f t="shared" si="55"/>
        <v>1724</v>
      </c>
      <c r="AK122" s="96"/>
      <c r="AL122" s="99">
        <f t="shared" si="46"/>
        <v>19</v>
      </c>
      <c r="AM122" s="11">
        <f t="shared" si="72"/>
        <v>43383</v>
      </c>
      <c r="AN122" s="3">
        <f t="shared" si="72"/>
        <v>129</v>
      </c>
      <c r="AO122" s="3">
        <f>SUMIF(MORTALIDAD!$Z:$Z,RESUMEN!AM122,MORTALIDAD!$AD:$AD)</f>
        <v>0</v>
      </c>
      <c r="AP122" s="19">
        <f t="shared" si="57"/>
        <v>-124</v>
      </c>
      <c r="AQ122" s="3">
        <f>SUMIF(MORTALIDAD!$Z:$Z,RESUMEN!AM122,MORTALIDAD!$AE:$AE)</f>
        <v>0</v>
      </c>
      <c r="AR122" s="3">
        <f>SUMIF(TRASLADOS!$AC:$AC,RESUMEN!AM122,TRASLADOS!$AF:$AF)</f>
        <v>0</v>
      </c>
      <c r="AS122" s="3">
        <f>SUMIF(TRASLADOS!$AC:$AC,RESUMEN!AM122,TRASLADOS!$AG:$AG)</f>
        <v>0</v>
      </c>
      <c r="AT122" s="3">
        <f>SUMIF(VENTAS!$Z:$Z,RESUMEN!AM122,VENTAS!$AD:$AD)</f>
        <v>0</v>
      </c>
      <c r="AU122" s="3">
        <f>SUMIF(VENTAS!$Z:$Z,RESUMEN!AM122,VENTAS!$AE:$AE)</f>
        <v>0</v>
      </c>
      <c r="AV122" s="97">
        <f t="shared" si="58"/>
        <v>2076</v>
      </c>
      <c r="AW122" s="96"/>
      <c r="AX122" s="99">
        <f t="shared" si="47"/>
        <v>19</v>
      </c>
      <c r="AY122" s="11">
        <f t="shared" si="73"/>
        <v>43390</v>
      </c>
      <c r="AZ122" s="3">
        <f t="shared" si="73"/>
        <v>129</v>
      </c>
      <c r="BA122" s="3">
        <f>SUMIF(MORTALIDAD!$AH:$AH,RESUMEN!AY122,MORTALIDAD!$AL:$AL)</f>
        <v>0</v>
      </c>
      <c r="BB122" s="19">
        <f t="shared" si="60"/>
        <v>-119</v>
      </c>
      <c r="BC122" s="3">
        <f>SUMIF(MORTALIDAD!$AH:$AH,RESUMEN!AY122,MORTALIDAD!$AM:$AM)</f>
        <v>0</v>
      </c>
      <c r="BD122" s="3">
        <f>SUMIF(TRASLADOS!$AL:$AL,RESUMEN!AY122,TRASLADOS!$AO:$AO)</f>
        <v>0</v>
      </c>
      <c r="BE122" s="3">
        <f>SUMIF(TRASLADOS!$AL:$AL,RESUMEN!AY122,TRASLADOS!$AP:$AP)</f>
        <v>0</v>
      </c>
      <c r="BF122" s="3">
        <f>SUMIF(VENTAS!$AH:$AH,RESUMEN!AY122,VENTAS!$AL:$AL)</f>
        <v>0</v>
      </c>
      <c r="BG122" s="3">
        <f>SUMIF(VENTAS!$AH:$AH,RESUMEN!AY122,VENTAS!$AM:$AM)</f>
        <v>0</v>
      </c>
      <c r="BH122" s="97">
        <f t="shared" si="61"/>
        <v>2081</v>
      </c>
      <c r="BI122" s="96"/>
      <c r="BJ122" s="99">
        <f t="shared" si="48"/>
        <v>19</v>
      </c>
      <c r="BK122" s="11">
        <f t="shared" si="74"/>
        <v>43399</v>
      </c>
      <c r="BL122" s="3">
        <f t="shared" si="74"/>
        <v>132</v>
      </c>
      <c r="BM122" s="3">
        <f>SUMIF(MORTALIDAD!$AP:$AP,RESUMEN!BK122,MORTALIDAD!$AT:$AT)</f>
        <v>0</v>
      </c>
      <c r="BN122" s="19">
        <f t="shared" si="63"/>
        <v>-73</v>
      </c>
      <c r="BO122" s="3">
        <f>SUMIF(MORTALIDAD!$AP$6:$AP$200,RESUMEN!BK122,MORTALIDAD!$AU$6:$AU$200)</f>
        <v>0</v>
      </c>
      <c r="BP122" s="3">
        <f>SUMIF(TRASLADOS!$AU:$AU,RESUMEN!BK122,TRASLADOS!$AX:$AX)</f>
        <v>0</v>
      </c>
      <c r="BQ122" s="3">
        <f>SUMIF(TRASLADOS!$AU:$AU,RESUMEN!BK122,TRASLADOS!$AY:$AY)</f>
        <v>0</v>
      </c>
      <c r="BR122" s="3">
        <f>SUMIF(VENTAS!$AP:$AP,RESUMEN!BK122,VENTAS!$AT:$AT)</f>
        <v>0</v>
      </c>
      <c r="BS122" s="3">
        <f>SUMIF(VENTAS!$AP:$AP,RESUMEN!BK122,VENTAS!$AU:$AU)</f>
        <v>0</v>
      </c>
      <c r="BT122" s="36">
        <f t="shared" si="64"/>
        <v>2241</v>
      </c>
    </row>
    <row r="123" spans="2:72" x14ac:dyDescent="0.2">
      <c r="B123" s="3">
        <f t="shared" si="43"/>
        <v>19</v>
      </c>
      <c r="C123" s="11">
        <f t="shared" si="75"/>
        <v>43370</v>
      </c>
      <c r="D123" s="3">
        <f t="shared" si="76"/>
        <v>132</v>
      </c>
      <c r="E123" s="3">
        <f>SUMIF(MORTALIDAD!$B$6:$B$200,RESUMEN!C123,MORTALIDAD!$F$6:$F$200)</f>
        <v>0</v>
      </c>
      <c r="F123" s="17">
        <f t="shared" si="77"/>
        <v>-740</v>
      </c>
      <c r="G123" s="3">
        <f>SUMIF(MORTALIDAD!$B$6:$B$200,RESUMEN!C123,MORTALIDAD!$G$6:$G$200)</f>
        <v>0</v>
      </c>
      <c r="H123" s="3">
        <f>SUMIF(TRASLADOS!$B$6:$B$200,C123,TRASLADOS!$E$6:$E$200)</f>
        <v>0</v>
      </c>
      <c r="I123" s="3">
        <f>SUMIF(TRASLADOS!$B$6:$B$200,C123,TRASLADOS!$F$6:$F$200)</f>
        <v>0</v>
      </c>
      <c r="J123" s="3">
        <f>SUMIF(VENTAS!$B$6:$B$200,RESUMEN!C123,VENTAS!$F$6:$F$200)</f>
        <v>0</v>
      </c>
      <c r="K123" s="3">
        <f>SUMIF(VENTAS!$B$6:$B$200,RESUMEN!C123,VENTAS!$G$6:$G$200)</f>
        <v>0</v>
      </c>
      <c r="L123" s="97">
        <f t="shared" si="49"/>
        <v>1460</v>
      </c>
      <c r="M123" s="96"/>
      <c r="N123" s="99">
        <f t="shared" si="44"/>
        <v>19</v>
      </c>
      <c r="O123" s="11">
        <f t="shared" si="70"/>
        <v>43373</v>
      </c>
      <c r="P123" s="3">
        <f t="shared" si="70"/>
        <v>131</v>
      </c>
      <c r="Q123" s="3">
        <f>SUMIF(MORTALIDAD!$J:$J,RESUMEN!O123,MORTALIDAD!$N:$N)</f>
        <v>0</v>
      </c>
      <c r="R123" s="19">
        <f t="shared" si="51"/>
        <v>-680</v>
      </c>
      <c r="S123" s="3">
        <f>SUMIF(MORTALIDAD!$J:$J,RESUMEN!O123,MORTALIDAD!$O:$O)</f>
        <v>0</v>
      </c>
      <c r="T123" s="3">
        <f>SUMIF(TRASLADOS!$K:$K,RESUMEN!O123,TRASLADOS!$N:$N)</f>
        <v>0</v>
      </c>
      <c r="U123" s="3">
        <f>SUMIF(TRASLADOS!$K:$K,RESUMEN!O123,TRASLADOS!$O:$O)</f>
        <v>0</v>
      </c>
      <c r="V123" s="3">
        <f>SUMIF(VENTAS!$J:$J,RESUMEN!O123,VENTAS!$N:$N)</f>
        <v>0</v>
      </c>
      <c r="W123" s="3">
        <f>SUMIF(VENTAS!$J:$J,RESUMEN!O123,VENTAS!$O:$O)</f>
        <v>0</v>
      </c>
      <c r="X123" s="97">
        <f t="shared" si="52"/>
        <v>1520</v>
      </c>
      <c r="Y123" s="96"/>
      <c r="Z123" s="99">
        <f t="shared" si="45"/>
        <v>19</v>
      </c>
      <c r="AA123" s="11">
        <f t="shared" si="71"/>
        <v>43377</v>
      </c>
      <c r="AB123" s="3">
        <f t="shared" si="71"/>
        <v>130</v>
      </c>
      <c r="AC123" s="3">
        <f>SUMIF(MORTALIDAD!$R:$R,RESUMEN!AA123,MORTALIDAD!$V:$V)</f>
        <v>0</v>
      </c>
      <c r="AD123" s="19">
        <f t="shared" si="54"/>
        <v>-476</v>
      </c>
      <c r="AE123" s="3">
        <f>SUMIF(MORTALIDAD!$R:$R,RESUMEN!AA123,MORTALIDAD!$W:$W)</f>
        <v>0</v>
      </c>
      <c r="AF123" s="3">
        <f>SUMIF(TRASLADOS!$T:$T,RESUMEN!AA123,TRASLADOS!$W:$W)</f>
        <v>0</v>
      </c>
      <c r="AG123" s="3">
        <f>SUMIF(TRASLADOS!$T:$T,RESUMEN!AA123,TRASLADOS!$X:$X)</f>
        <v>0</v>
      </c>
      <c r="AH123" s="3">
        <f>SUMIF(VENTAS!$R:$R,RESUMEN!AA123,VENTAS!$V:$V)</f>
        <v>0</v>
      </c>
      <c r="AI123" s="3">
        <f>SUMIF(VENTAS!$R:$R,RESUMEN!AA123,VENTAS!$W:$W)</f>
        <v>0</v>
      </c>
      <c r="AJ123" s="97">
        <f t="shared" si="55"/>
        <v>1724</v>
      </c>
      <c r="AK123" s="96"/>
      <c r="AL123" s="99">
        <f t="shared" si="46"/>
        <v>19</v>
      </c>
      <c r="AM123" s="11">
        <f t="shared" si="72"/>
        <v>43384</v>
      </c>
      <c r="AN123" s="3">
        <f t="shared" si="72"/>
        <v>130</v>
      </c>
      <c r="AO123" s="3">
        <f>SUMIF(MORTALIDAD!$Z:$Z,RESUMEN!AM123,MORTALIDAD!$AD:$AD)</f>
        <v>0</v>
      </c>
      <c r="AP123" s="19">
        <f t="shared" si="57"/>
        <v>-124</v>
      </c>
      <c r="AQ123" s="3">
        <f>SUMIF(MORTALIDAD!$Z:$Z,RESUMEN!AM123,MORTALIDAD!$AE:$AE)</f>
        <v>0</v>
      </c>
      <c r="AR123" s="3">
        <f>SUMIF(TRASLADOS!$AC:$AC,RESUMEN!AM123,TRASLADOS!$AF:$AF)</f>
        <v>0</v>
      </c>
      <c r="AS123" s="3">
        <f>SUMIF(TRASLADOS!$AC:$AC,RESUMEN!AM123,TRASLADOS!$AG:$AG)</f>
        <v>0</v>
      </c>
      <c r="AT123" s="3">
        <f>SUMIF(VENTAS!$Z:$Z,RESUMEN!AM123,VENTAS!$AD:$AD)</f>
        <v>0</v>
      </c>
      <c r="AU123" s="3">
        <f>SUMIF(VENTAS!$Z:$Z,RESUMEN!AM123,VENTAS!$AE:$AE)</f>
        <v>0</v>
      </c>
      <c r="AV123" s="97">
        <f t="shared" si="58"/>
        <v>2076</v>
      </c>
      <c r="AW123" s="96"/>
      <c r="AX123" s="99">
        <f t="shared" si="47"/>
        <v>19</v>
      </c>
      <c r="AY123" s="11">
        <f t="shared" si="73"/>
        <v>43391</v>
      </c>
      <c r="AZ123" s="3">
        <f t="shared" si="73"/>
        <v>130</v>
      </c>
      <c r="BA123" s="3">
        <f>SUMIF(MORTALIDAD!$AH:$AH,RESUMEN!AY123,MORTALIDAD!$AL:$AL)</f>
        <v>0</v>
      </c>
      <c r="BB123" s="19">
        <f t="shared" si="60"/>
        <v>-119</v>
      </c>
      <c r="BC123" s="3">
        <f>SUMIF(MORTALIDAD!$AH:$AH,RESUMEN!AY123,MORTALIDAD!$AM:$AM)</f>
        <v>0</v>
      </c>
      <c r="BD123" s="3">
        <f>SUMIF(TRASLADOS!$AL:$AL,RESUMEN!AY123,TRASLADOS!$AO:$AO)</f>
        <v>0</v>
      </c>
      <c r="BE123" s="3">
        <f>SUMIF(TRASLADOS!$AL:$AL,RESUMEN!AY123,TRASLADOS!$AP:$AP)</f>
        <v>0</v>
      </c>
      <c r="BF123" s="3">
        <f>SUMIF(VENTAS!$AH:$AH,RESUMEN!AY123,VENTAS!$AL:$AL)</f>
        <v>0</v>
      </c>
      <c r="BG123" s="3">
        <f>SUMIF(VENTAS!$AH:$AH,RESUMEN!AY123,VENTAS!$AM:$AM)</f>
        <v>0</v>
      </c>
      <c r="BH123" s="97">
        <f t="shared" si="61"/>
        <v>2081</v>
      </c>
      <c r="BI123" s="96"/>
      <c r="BJ123" s="99">
        <f t="shared" si="48"/>
        <v>19</v>
      </c>
      <c r="BK123" s="11">
        <f t="shared" si="74"/>
        <v>43400</v>
      </c>
      <c r="BL123" s="3">
        <f t="shared" si="74"/>
        <v>133</v>
      </c>
      <c r="BM123" s="3">
        <f>SUMIF(MORTALIDAD!$AP:$AP,RESUMEN!BK123,MORTALIDAD!$AT:$AT)</f>
        <v>0</v>
      </c>
      <c r="BN123" s="19">
        <f t="shared" si="63"/>
        <v>-73</v>
      </c>
      <c r="BO123" s="3">
        <f>SUMIF(MORTALIDAD!$AP$6:$AP$200,RESUMEN!BK123,MORTALIDAD!$AU$6:$AU$200)</f>
        <v>0</v>
      </c>
      <c r="BP123" s="3">
        <f>SUMIF(TRASLADOS!$AU:$AU,RESUMEN!BK123,TRASLADOS!$AX:$AX)</f>
        <v>0</v>
      </c>
      <c r="BQ123" s="3">
        <f>SUMIF(TRASLADOS!$AU:$AU,RESUMEN!BK123,TRASLADOS!$AY:$AY)</f>
        <v>0</v>
      </c>
      <c r="BR123" s="3">
        <f>SUMIF(VENTAS!$AP:$AP,RESUMEN!BK123,VENTAS!$AT:$AT)</f>
        <v>0</v>
      </c>
      <c r="BS123" s="3">
        <f>SUMIF(VENTAS!$AP:$AP,RESUMEN!BK123,VENTAS!$AU:$AU)</f>
        <v>0</v>
      </c>
      <c r="BT123" s="36">
        <f t="shared" si="64"/>
        <v>2241</v>
      </c>
    </row>
    <row r="124" spans="2:72" x14ac:dyDescent="0.2">
      <c r="B124" s="3">
        <f t="shared" si="43"/>
        <v>19</v>
      </c>
      <c r="C124" s="11">
        <f t="shared" si="75"/>
        <v>43371</v>
      </c>
      <c r="D124" s="3">
        <f t="shared" si="76"/>
        <v>133</v>
      </c>
      <c r="E124" s="3">
        <f>SUMIF(MORTALIDAD!$B$6:$B$200,RESUMEN!C124,MORTALIDAD!$F$6:$F$200)</f>
        <v>0</v>
      </c>
      <c r="F124" s="17">
        <f t="shared" si="77"/>
        <v>-740</v>
      </c>
      <c r="G124" s="3">
        <f>SUMIF(MORTALIDAD!$B$6:$B$200,RESUMEN!C124,MORTALIDAD!$G$6:$G$200)</f>
        <v>0</v>
      </c>
      <c r="H124" s="3">
        <f>SUMIF(TRASLADOS!$B$6:$B$200,C124,TRASLADOS!$E$6:$E$200)</f>
        <v>0</v>
      </c>
      <c r="I124" s="3">
        <f>SUMIF(TRASLADOS!$B$6:$B$200,C124,TRASLADOS!$F$6:$F$200)</f>
        <v>0</v>
      </c>
      <c r="J124" s="3">
        <f>SUMIF(VENTAS!$B$6:$B$200,RESUMEN!C124,VENTAS!$F$6:$F$200)</f>
        <v>0</v>
      </c>
      <c r="K124" s="3">
        <f>SUMIF(VENTAS!$B$6:$B$200,RESUMEN!C124,VENTAS!$G$6:$G$200)</f>
        <v>0</v>
      </c>
      <c r="L124" s="97">
        <f t="shared" si="49"/>
        <v>1460</v>
      </c>
      <c r="M124" s="96"/>
      <c r="N124" s="99">
        <f t="shared" si="44"/>
        <v>19</v>
      </c>
      <c r="O124" s="11">
        <f t="shared" si="70"/>
        <v>43374</v>
      </c>
      <c r="P124" s="3">
        <f t="shared" si="70"/>
        <v>132</v>
      </c>
      <c r="Q124" s="3">
        <f>SUMIF(MORTALIDAD!$J:$J,RESUMEN!O124,MORTALIDAD!$N:$N)</f>
        <v>0</v>
      </c>
      <c r="R124" s="19">
        <f t="shared" si="51"/>
        <v>-680</v>
      </c>
      <c r="S124" s="3">
        <f>SUMIF(MORTALIDAD!$J:$J,RESUMEN!O124,MORTALIDAD!$O:$O)</f>
        <v>0</v>
      </c>
      <c r="T124" s="3">
        <f>SUMIF(TRASLADOS!$K:$K,RESUMEN!O124,TRASLADOS!$N:$N)</f>
        <v>0</v>
      </c>
      <c r="U124" s="3">
        <f>SUMIF(TRASLADOS!$K:$K,RESUMEN!O124,TRASLADOS!$O:$O)</f>
        <v>0</v>
      </c>
      <c r="V124" s="3">
        <f>SUMIF(VENTAS!$J:$J,RESUMEN!O124,VENTAS!$N:$N)</f>
        <v>0</v>
      </c>
      <c r="W124" s="3">
        <f>SUMIF(VENTAS!$J:$J,RESUMEN!O124,VENTAS!$O:$O)</f>
        <v>0</v>
      </c>
      <c r="X124" s="97">
        <f t="shared" si="52"/>
        <v>1520</v>
      </c>
      <c r="Y124" s="96"/>
      <c r="Z124" s="99">
        <f t="shared" si="45"/>
        <v>19</v>
      </c>
      <c r="AA124" s="11">
        <f t="shared" si="71"/>
        <v>43378</v>
      </c>
      <c r="AB124" s="3">
        <f t="shared" si="71"/>
        <v>131</v>
      </c>
      <c r="AC124" s="3">
        <f>SUMIF(MORTALIDAD!$R:$R,RESUMEN!AA124,MORTALIDAD!$V:$V)</f>
        <v>0</v>
      </c>
      <c r="AD124" s="19">
        <f t="shared" si="54"/>
        <v>-476</v>
      </c>
      <c r="AE124" s="3">
        <f>SUMIF(MORTALIDAD!$R:$R,RESUMEN!AA124,MORTALIDAD!$W:$W)</f>
        <v>0</v>
      </c>
      <c r="AF124" s="3">
        <f>SUMIF(TRASLADOS!$T:$T,RESUMEN!AA124,TRASLADOS!$W:$W)</f>
        <v>0</v>
      </c>
      <c r="AG124" s="3">
        <f>SUMIF(TRASLADOS!$T:$T,RESUMEN!AA124,TRASLADOS!$X:$X)</f>
        <v>0</v>
      </c>
      <c r="AH124" s="3">
        <f>SUMIF(VENTAS!$R:$R,RESUMEN!AA124,VENTAS!$V:$V)</f>
        <v>0</v>
      </c>
      <c r="AI124" s="3">
        <f>SUMIF(VENTAS!$R:$R,RESUMEN!AA124,VENTAS!$W:$W)</f>
        <v>0</v>
      </c>
      <c r="AJ124" s="97">
        <f t="shared" si="55"/>
        <v>1724</v>
      </c>
      <c r="AK124" s="96"/>
      <c r="AL124" s="99">
        <f t="shared" si="46"/>
        <v>19</v>
      </c>
      <c r="AM124" s="11">
        <f t="shared" si="72"/>
        <v>43385</v>
      </c>
      <c r="AN124" s="3">
        <f t="shared" si="72"/>
        <v>131</v>
      </c>
      <c r="AO124" s="3">
        <f>SUMIF(MORTALIDAD!$Z:$Z,RESUMEN!AM124,MORTALIDAD!$AD:$AD)</f>
        <v>0</v>
      </c>
      <c r="AP124" s="19">
        <f t="shared" si="57"/>
        <v>-124</v>
      </c>
      <c r="AQ124" s="3">
        <f>SUMIF(MORTALIDAD!$Z:$Z,RESUMEN!AM124,MORTALIDAD!$AE:$AE)</f>
        <v>0</v>
      </c>
      <c r="AR124" s="3">
        <f>SUMIF(TRASLADOS!$AC:$AC,RESUMEN!AM124,TRASLADOS!$AF:$AF)</f>
        <v>0</v>
      </c>
      <c r="AS124" s="3">
        <f>SUMIF(TRASLADOS!$AC:$AC,RESUMEN!AM124,TRASLADOS!$AG:$AG)</f>
        <v>0</v>
      </c>
      <c r="AT124" s="3">
        <f>SUMIF(VENTAS!$Z:$Z,RESUMEN!AM124,VENTAS!$AD:$AD)</f>
        <v>0</v>
      </c>
      <c r="AU124" s="3">
        <f>SUMIF(VENTAS!$Z:$Z,RESUMEN!AM124,VENTAS!$AE:$AE)</f>
        <v>0</v>
      </c>
      <c r="AV124" s="97">
        <f t="shared" si="58"/>
        <v>2076</v>
      </c>
      <c r="AW124" s="96"/>
      <c r="AX124" s="99">
        <f t="shared" si="47"/>
        <v>19</v>
      </c>
      <c r="AY124" s="11">
        <f t="shared" si="73"/>
        <v>43392</v>
      </c>
      <c r="AZ124" s="3">
        <f t="shared" si="73"/>
        <v>131</v>
      </c>
      <c r="BA124" s="3">
        <f>SUMIF(MORTALIDAD!$AH:$AH,RESUMEN!AY124,MORTALIDAD!$AL:$AL)</f>
        <v>0</v>
      </c>
      <c r="BB124" s="19">
        <f t="shared" si="60"/>
        <v>-119</v>
      </c>
      <c r="BC124" s="3">
        <f>SUMIF(MORTALIDAD!$AH:$AH,RESUMEN!AY124,MORTALIDAD!$AM:$AM)</f>
        <v>0</v>
      </c>
      <c r="BD124" s="3">
        <f>SUMIF(TRASLADOS!$AL:$AL,RESUMEN!AY124,TRASLADOS!$AO:$AO)</f>
        <v>0</v>
      </c>
      <c r="BE124" s="3">
        <f>SUMIF(TRASLADOS!$AL:$AL,RESUMEN!AY124,TRASLADOS!$AP:$AP)</f>
        <v>0</v>
      </c>
      <c r="BF124" s="3">
        <f>SUMIF(VENTAS!$AH:$AH,RESUMEN!AY124,VENTAS!$AL:$AL)</f>
        <v>0</v>
      </c>
      <c r="BG124" s="3">
        <f>SUMIF(VENTAS!$AH:$AH,RESUMEN!AY124,VENTAS!$AM:$AM)</f>
        <v>0</v>
      </c>
      <c r="BH124" s="97">
        <f t="shared" si="61"/>
        <v>2081</v>
      </c>
      <c r="BI124" s="96"/>
      <c r="BJ124" s="99">
        <f t="shared" si="48"/>
        <v>20</v>
      </c>
      <c r="BK124" s="11">
        <f t="shared" si="74"/>
        <v>43401</v>
      </c>
      <c r="BL124" s="3">
        <f t="shared" si="74"/>
        <v>134</v>
      </c>
      <c r="BM124" s="3">
        <f>SUMIF(MORTALIDAD!$AP:$AP,RESUMEN!BK124,MORTALIDAD!$AT:$AT)</f>
        <v>0</v>
      </c>
      <c r="BN124" s="19">
        <f t="shared" si="63"/>
        <v>-73</v>
      </c>
      <c r="BO124" s="3">
        <f>SUMIF(MORTALIDAD!$AP$6:$AP$200,RESUMEN!BK124,MORTALIDAD!$AU$6:$AU$200)</f>
        <v>0</v>
      </c>
      <c r="BP124" s="3">
        <f>SUMIF(TRASLADOS!$AU:$AU,RESUMEN!BK124,TRASLADOS!$AX:$AX)</f>
        <v>0</v>
      </c>
      <c r="BQ124" s="3">
        <f>SUMIF(TRASLADOS!$AU:$AU,RESUMEN!BK124,TRASLADOS!$AY:$AY)</f>
        <v>0</v>
      </c>
      <c r="BR124" s="3">
        <f>SUMIF(VENTAS!$AP:$AP,RESUMEN!BK124,VENTAS!$AT:$AT)</f>
        <v>0</v>
      </c>
      <c r="BS124" s="3">
        <f>SUMIF(VENTAS!$AP:$AP,RESUMEN!BK124,VENTAS!$AU:$AU)</f>
        <v>0</v>
      </c>
      <c r="BT124" s="36">
        <f t="shared" si="64"/>
        <v>2241</v>
      </c>
    </row>
    <row r="125" spans="2:72" x14ac:dyDescent="0.2">
      <c r="B125" s="3">
        <f t="shared" si="43"/>
        <v>20</v>
      </c>
      <c r="C125" s="11">
        <f t="shared" si="75"/>
        <v>43372</v>
      </c>
      <c r="D125" s="3">
        <f t="shared" si="76"/>
        <v>134</v>
      </c>
      <c r="E125" s="3">
        <f>SUMIF(MORTALIDAD!$B$6:$B$200,RESUMEN!C125,MORTALIDAD!$F$6:$F$200)</f>
        <v>0</v>
      </c>
      <c r="F125" s="17">
        <f t="shared" si="77"/>
        <v>-740</v>
      </c>
      <c r="G125" s="3">
        <f>SUMIF(MORTALIDAD!$B$6:$B$200,RESUMEN!C125,MORTALIDAD!$G$6:$G$200)</f>
        <v>0</v>
      </c>
      <c r="H125" s="3">
        <f>SUMIF(TRASLADOS!$B$6:$B$200,C125,TRASLADOS!$E$6:$E$200)</f>
        <v>0</v>
      </c>
      <c r="I125" s="3">
        <f>SUMIF(TRASLADOS!$B$6:$B$200,C125,TRASLADOS!$F$6:$F$200)</f>
        <v>0</v>
      </c>
      <c r="J125" s="3">
        <f>SUMIF(VENTAS!$B$6:$B$200,RESUMEN!C125,VENTAS!$F$6:$F$200)</f>
        <v>0</v>
      </c>
      <c r="K125" s="3">
        <f>SUMIF(VENTAS!$B$6:$B$200,RESUMEN!C125,VENTAS!$G$6:$G$200)</f>
        <v>0</v>
      </c>
      <c r="L125" s="97">
        <f t="shared" si="49"/>
        <v>1460</v>
      </c>
      <c r="M125" s="96"/>
      <c r="N125" s="99">
        <f t="shared" si="44"/>
        <v>19</v>
      </c>
      <c r="O125" s="11">
        <f t="shared" si="70"/>
        <v>43375</v>
      </c>
      <c r="P125" s="3">
        <f t="shared" si="70"/>
        <v>133</v>
      </c>
      <c r="Q125" s="3">
        <f>SUMIF(MORTALIDAD!$J:$J,RESUMEN!O125,MORTALIDAD!$N:$N)</f>
        <v>0</v>
      </c>
      <c r="R125" s="19">
        <f t="shared" si="51"/>
        <v>-680</v>
      </c>
      <c r="S125" s="3">
        <f>SUMIF(MORTALIDAD!$J:$J,RESUMEN!O125,MORTALIDAD!$O:$O)</f>
        <v>0</v>
      </c>
      <c r="T125" s="3">
        <f>SUMIF(TRASLADOS!$K:$K,RESUMEN!O125,TRASLADOS!$N:$N)</f>
        <v>0</v>
      </c>
      <c r="U125" s="3">
        <f>SUMIF(TRASLADOS!$K:$K,RESUMEN!O125,TRASLADOS!$O:$O)</f>
        <v>0</v>
      </c>
      <c r="V125" s="3">
        <f>SUMIF(VENTAS!$J:$J,RESUMEN!O125,VENTAS!$N:$N)</f>
        <v>0</v>
      </c>
      <c r="W125" s="3">
        <f>SUMIF(VENTAS!$J:$J,RESUMEN!O125,VENTAS!$O:$O)</f>
        <v>0</v>
      </c>
      <c r="X125" s="97">
        <f t="shared" si="52"/>
        <v>1520</v>
      </c>
      <c r="Y125" s="96"/>
      <c r="Z125" s="99">
        <f t="shared" si="45"/>
        <v>19</v>
      </c>
      <c r="AA125" s="11">
        <f t="shared" si="71"/>
        <v>43379</v>
      </c>
      <c r="AB125" s="3">
        <f t="shared" si="71"/>
        <v>132</v>
      </c>
      <c r="AC125" s="3">
        <f>SUMIF(MORTALIDAD!$R:$R,RESUMEN!AA125,MORTALIDAD!$V:$V)</f>
        <v>0</v>
      </c>
      <c r="AD125" s="19">
        <f t="shared" si="54"/>
        <v>-476</v>
      </c>
      <c r="AE125" s="3">
        <f>SUMIF(MORTALIDAD!$R:$R,RESUMEN!AA125,MORTALIDAD!$W:$W)</f>
        <v>0</v>
      </c>
      <c r="AF125" s="3">
        <f>SUMIF(TRASLADOS!$T:$T,RESUMEN!AA125,TRASLADOS!$W:$W)</f>
        <v>0</v>
      </c>
      <c r="AG125" s="3">
        <f>SUMIF(TRASLADOS!$T:$T,RESUMEN!AA125,TRASLADOS!$X:$X)</f>
        <v>0</v>
      </c>
      <c r="AH125" s="3">
        <f>SUMIF(VENTAS!$R:$R,RESUMEN!AA125,VENTAS!$V:$V)</f>
        <v>0</v>
      </c>
      <c r="AI125" s="3">
        <f>SUMIF(VENTAS!$R:$R,RESUMEN!AA125,VENTAS!$W:$W)</f>
        <v>0</v>
      </c>
      <c r="AJ125" s="97">
        <f t="shared" si="55"/>
        <v>1724</v>
      </c>
      <c r="AK125" s="96"/>
      <c r="AL125" s="99">
        <f t="shared" si="46"/>
        <v>19</v>
      </c>
      <c r="AM125" s="11">
        <f t="shared" si="72"/>
        <v>43386</v>
      </c>
      <c r="AN125" s="3">
        <f t="shared" si="72"/>
        <v>132</v>
      </c>
      <c r="AO125" s="3">
        <f>SUMIF(MORTALIDAD!$Z:$Z,RESUMEN!AM125,MORTALIDAD!$AD:$AD)</f>
        <v>0</v>
      </c>
      <c r="AP125" s="19">
        <f t="shared" si="57"/>
        <v>-124</v>
      </c>
      <c r="AQ125" s="3">
        <f>SUMIF(MORTALIDAD!$Z:$Z,RESUMEN!AM125,MORTALIDAD!$AE:$AE)</f>
        <v>0</v>
      </c>
      <c r="AR125" s="3">
        <f>SUMIF(TRASLADOS!$AC:$AC,RESUMEN!AM125,TRASLADOS!$AF:$AF)</f>
        <v>0</v>
      </c>
      <c r="AS125" s="3">
        <f>SUMIF(TRASLADOS!$AC:$AC,RESUMEN!AM125,TRASLADOS!$AG:$AG)</f>
        <v>0</v>
      </c>
      <c r="AT125" s="3">
        <f>SUMIF(VENTAS!$Z:$Z,RESUMEN!AM125,VENTAS!$AD:$AD)</f>
        <v>0</v>
      </c>
      <c r="AU125" s="3">
        <f>SUMIF(VENTAS!$Z:$Z,RESUMEN!AM125,VENTAS!$AE:$AE)</f>
        <v>0</v>
      </c>
      <c r="AV125" s="97">
        <f t="shared" si="58"/>
        <v>2076</v>
      </c>
      <c r="AW125" s="96"/>
      <c r="AX125" s="99">
        <f t="shared" si="47"/>
        <v>19</v>
      </c>
      <c r="AY125" s="11">
        <f t="shared" si="73"/>
        <v>43393</v>
      </c>
      <c r="AZ125" s="3">
        <f t="shared" si="73"/>
        <v>132</v>
      </c>
      <c r="BA125" s="3">
        <f>SUMIF(MORTALIDAD!$AH:$AH,RESUMEN!AY125,MORTALIDAD!$AL:$AL)</f>
        <v>0</v>
      </c>
      <c r="BB125" s="19">
        <f t="shared" si="60"/>
        <v>-119</v>
      </c>
      <c r="BC125" s="3">
        <f>SUMIF(MORTALIDAD!$AH:$AH,RESUMEN!AY125,MORTALIDAD!$AM:$AM)</f>
        <v>0</v>
      </c>
      <c r="BD125" s="3">
        <f>SUMIF(TRASLADOS!$AL:$AL,RESUMEN!AY125,TRASLADOS!$AO:$AO)</f>
        <v>0</v>
      </c>
      <c r="BE125" s="3">
        <f>SUMIF(TRASLADOS!$AL:$AL,RESUMEN!AY125,TRASLADOS!$AP:$AP)</f>
        <v>0</v>
      </c>
      <c r="BF125" s="3">
        <f>SUMIF(VENTAS!$AH:$AH,RESUMEN!AY125,VENTAS!$AL:$AL)</f>
        <v>0</v>
      </c>
      <c r="BG125" s="3">
        <f>SUMIF(VENTAS!$AH:$AH,RESUMEN!AY125,VENTAS!$AM:$AM)</f>
        <v>0</v>
      </c>
      <c r="BH125" s="97">
        <f t="shared" si="61"/>
        <v>2081</v>
      </c>
      <c r="BI125" s="96"/>
      <c r="BJ125" s="99">
        <f t="shared" si="48"/>
        <v>20</v>
      </c>
      <c r="BK125" s="11">
        <f t="shared" si="74"/>
        <v>43402</v>
      </c>
      <c r="BL125" s="3">
        <f t="shared" si="74"/>
        <v>135</v>
      </c>
      <c r="BM125" s="3">
        <f>SUMIF(MORTALIDAD!$AP:$AP,RESUMEN!BK125,MORTALIDAD!$AT:$AT)</f>
        <v>0</v>
      </c>
      <c r="BN125" s="19">
        <f t="shared" si="63"/>
        <v>-73</v>
      </c>
      <c r="BO125" s="3">
        <f>SUMIF(MORTALIDAD!$AP$6:$AP$200,RESUMEN!BK125,MORTALIDAD!$AU$6:$AU$200)</f>
        <v>0</v>
      </c>
      <c r="BP125" s="3">
        <f>SUMIF(TRASLADOS!$AU:$AU,RESUMEN!BK125,TRASLADOS!$AX:$AX)</f>
        <v>0</v>
      </c>
      <c r="BQ125" s="3">
        <f>SUMIF(TRASLADOS!$AU:$AU,RESUMEN!BK125,TRASLADOS!$AY:$AY)</f>
        <v>0</v>
      </c>
      <c r="BR125" s="3">
        <f>SUMIF(VENTAS!$AP:$AP,RESUMEN!BK125,VENTAS!$AT:$AT)</f>
        <v>0</v>
      </c>
      <c r="BS125" s="3">
        <f>SUMIF(VENTAS!$AP:$AP,RESUMEN!BK125,VENTAS!$AU:$AU)</f>
        <v>0</v>
      </c>
      <c r="BT125" s="36">
        <f t="shared" si="64"/>
        <v>2241</v>
      </c>
    </row>
    <row r="126" spans="2:72" x14ac:dyDescent="0.2">
      <c r="B126" s="3">
        <f t="shared" si="43"/>
        <v>20</v>
      </c>
      <c r="C126" s="11">
        <f t="shared" si="75"/>
        <v>43373</v>
      </c>
      <c r="D126" s="3">
        <f t="shared" si="76"/>
        <v>135</v>
      </c>
      <c r="E126" s="3">
        <f>SUMIF(MORTALIDAD!$B$6:$B$200,RESUMEN!C126,MORTALIDAD!$F$6:$F$200)</f>
        <v>0</v>
      </c>
      <c r="F126" s="17">
        <f t="shared" si="77"/>
        <v>-740</v>
      </c>
      <c r="G126" s="3">
        <f>SUMIF(MORTALIDAD!$B$6:$B$200,RESUMEN!C126,MORTALIDAD!$G$6:$G$200)</f>
        <v>0</v>
      </c>
      <c r="H126" s="3">
        <f>SUMIF(TRASLADOS!$B$6:$B$200,C126,TRASLADOS!$E$6:$E$200)</f>
        <v>0</v>
      </c>
      <c r="I126" s="3">
        <f>SUMIF(TRASLADOS!$B$6:$B$200,C126,TRASLADOS!$F$6:$F$200)</f>
        <v>0</v>
      </c>
      <c r="J126" s="3">
        <f>SUMIF(VENTAS!$B$6:$B$200,RESUMEN!C126,VENTAS!$F$6:$F$200)</f>
        <v>0</v>
      </c>
      <c r="K126" s="3">
        <f>SUMIF(VENTAS!$B$6:$B$200,RESUMEN!C126,VENTAS!$G$6:$G$200)</f>
        <v>0</v>
      </c>
      <c r="L126" s="97">
        <f t="shared" si="49"/>
        <v>1460</v>
      </c>
      <c r="M126" s="96"/>
      <c r="N126" s="99">
        <f t="shared" si="44"/>
        <v>20</v>
      </c>
      <c r="O126" s="11">
        <f t="shared" si="70"/>
        <v>43376</v>
      </c>
      <c r="P126" s="3">
        <f t="shared" si="70"/>
        <v>134</v>
      </c>
      <c r="Q126" s="3">
        <f>SUMIF(MORTALIDAD!$J:$J,RESUMEN!O126,MORTALIDAD!$N:$N)</f>
        <v>0</v>
      </c>
      <c r="R126" s="19">
        <f t="shared" si="51"/>
        <v>-680</v>
      </c>
      <c r="S126" s="3">
        <f>SUMIF(MORTALIDAD!$J:$J,RESUMEN!O126,MORTALIDAD!$O:$O)</f>
        <v>0</v>
      </c>
      <c r="T126" s="3">
        <f>SUMIF(TRASLADOS!$K:$K,RESUMEN!O126,TRASLADOS!$N:$N)</f>
        <v>0</v>
      </c>
      <c r="U126" s="3">
        <f>SUMIF(TRASLADOS!$K:$K,RESUMEN!O126,TRASLADOS!$O:$O)</f>
        <v>0</v>
      </c>
      <c r="V126" s="3">
        <f>SUMIF(VENTAS!$J:$J,RESUMEN!O126,VENTAS!$N:$N)</f>
        <v>0</v>
      </c>
      <c r="W126" s="3">
        <f>SUMIF(VENTAS!$J:$J,RESUMEN!O126,VENTAS!$O:$O)</f>
        <v>0</v>
      </c>
      <c r="X126" s="97">
        <f t="shared" si="52"/>
        <v>1520</v>
      </c>
      <c r="Y126" s="96"/>
      <c r="Z126" s="99">
        <f t="shared" si="45"/>
        <v>19</v>
      </c>
      <c r="AA126" s="11">
        <f t="shared" si="71"/>
        <v>43380</v>
      </c>
      <c r="AB126" s="3">
        <f t="shared" si="71"/>
        <v>133</v>
      </c>
      <c r="AC126" s="3">
        <f>SUMIF(MORTALIDAD!$R:$R,RESUMEN!AA126,MORTALIDAD!$V:$V)</f>
        <v>0</v>
      </c>
      <c r="AD126" s="19">
        <f t="shared" si="54"/>
        <v>-476</v>
      </c>
      <c r="AE126" s="3">
        <f>SUMIF(MORTALIDAD!$R:$R,RESUMEN!AA126,MORTALIDAD!$W:$W)</f>
        <v>0</v>
      </c>
      <c r="AF126" s="3">
        <f>SUMIF(TRASLADOS!$T:$T,RESUMEN!AA126,TRASLADOS!$W:$W)</f>
        <v>0</v>
      </c>
      <c r="AG126" s="3">
        <f>SUMIF(TRASLADOS!$T:$T,RESUMEN!AA126,TRASLADOS!$X:$X)</f>
        <v>0</v>
      </c>
      <c r="AH126" s="3">
        <f>SUMIF(VENTAS!$R:$R,RESUMEN!AA126,VENTAS!$V:$V)</f>
        <v>0</v>
      </c>
      <c r="AI126" s="3">
        <f>SUMIF(VENTAS!$R:$R,RESUMEN!AA126,VENTAS!$W:$W)</f>
        <v>0</v>
      </c>
      <c r="AJ126" s="97">
        <f t="shared" si="55"/>
        <v>1724</v>
      </c>
      <c r="AK126" s="96"/>
      <c r="AL126" s="99">
        <f t="shared" si="46"/>
        <v>19</v>
      </c>
      <c r="AM126" s="11">
        <f t="shared" si="72"/>
        <v>43387</v>
      </c>
      <c r="AN126" s="3">
        <f t="shared" si="72"/>
        <v>133</v>
      </c>
      <c r="AO126" s="3">
        <f>SUMIF(MORTALIDAD!$Z:$Z,RESUMEN!AM126,MORTALIDAD!$AD:$AD)</f>
        <v>0</v>
      </c>
      <c r="AP126" s="19">
        <f t="shared" si="57"/>
        <v>-124</v>
      </c>
      <c r="AQ126" s="3">
        <f>SUMIF(MORTALIDAD!$Z:$Z,RESUMEN!AM126,MORTALIDAD!$AE:$AE)</f>
        <v>0</v>
      </c>
      <c r="AR126" s="3">
        <f>SUMIF(TRASLADOS!$AC:$AC,RESUMEN!AM126,TRASLADOS!$AF:$AF)</f>
        <v>0</v>
      </c>
      <c r="AS126" s="3">
        <f>SUMIF(TRASLADOS!$AC:$AC,RESUMEN!AM126,TRASLADOS!$AG:$AG)</f>
        <v>0</v>
      </c>
      <c r="AT126" s="3">
        <f>SUMIF(VENTAS!$Z:$Z,RESUMEN!AM126,VENTAS!$AD:$AD)</f>
        <v>0</v>
      </c>
      <c r="AU126" s="3">
        <f>SUMIF(VENTAS!$Z:$Z,RESUMEN!AM126,VENTAS!$AE:$AE)</f>
        <v>0</v>
      </c>
      <c r="AV126" s="97">
        <f t="shared" si="58"/>
        <v>2076</v>
      </c>
      <c r="AW126" s="96"/>
      <c r="AX126" s="99">
        <f t="shared" si="47"/>
        <v>19</v>
      </c>
      <c r="AY126" s="11">
        <f t="shared" si="73"/>
        <v>43394</v>
      </c>
      <c r="AZ126" s="3">
        <f t="shared" si="73"/>
        <v>133</v>
      </c>
      <c r="BA126" s="3">
        <f>SUMIF(MORTALIDAD!$AH:$AH,RESUMEN!AY126,MORTALIDAD!$AL:$AL)</f>
        <v>0</v>
      </c>
      <c r="BB126" s="19">
        <f t="shared" si="60"/>
        <v>-119</v>
      </c>
      <c r="BC126" s="3">
        <f>SUMIF(MORTALIDAD!$AH:$AH,RESUMEN!AY126,MORTALIDAD!$AM:$AM)</f>
        <v>0</v>
      </c>
      <c r="BD126" s="3">
        <f>SUMIF(TRASLADOS!$AL:$AL,RESUMEN!AY126,TRASLADOS!$AO:$AO)</f>
        <v>0</v>
      </c>
      <c r="BE126" s="3">
        <f>SUMIF(TRASLADOS!$AL:$AL,RESUMEN!AY126,TRASLADOS!$AP:$AP)</f>
        <v>0</v>
      </c>
      <c r="BF126" s="3">
        <f>SUMIF(VENTAS!$AH:$AH,RESUMEN!AY126,VENTAS!$AL:$AL)</f>
        <v>0</v>
      </c>
      <c r="BG126" s="3">
        <f>SUMIF(VENTAS!$AH:$AH,RESUMEN!AY126,VENTAS!$AM:$AM)</f>
        <v>0</v>
      </c>
      <c r="BH126" s="97">
        <f t="shared" si="61"/>
        <v>2081</v>
      </c>
      <c r="BI126" s="96"/>
      <c r="BJ126" s="99">
        <f t="shared" si="48"/>
        <v>20</v>
      </c>
      <c r="BK126" s="11">
        <f t="shared" si="74"/>
        <v>43403</v>
      </c>
      <c r="BL126" s="3">
        <f t="shared" si="74"/>
        <v>136</v>
      </c>
      <c r="BM126" s="3">
        <f>SUMIF(MORTALIDAD!$AP:$AP,RESUMEN!BK126,MORTALIDAD!$AT:$AT)</f>
        <v>0</v>
      </c>
      <c r="BN126" s="19">
        <f t="shared" si="63"/>
        <v>-73</v>
      </c>
      <c r="BO126" s="3">
        <f>SUMIF(MORTALIDAD!$AP$6:$AP$200,RESUMEN!BK126,MORTALIDAD!$AU$6:$AU$200)</f>
        <v>0</v>
      </c>
      <c r="BP126" s="3">
        <f>SUMIF(TRASLADOS!$AU:$AU,RESUMEN!BK126,TRASLADOS!$AX:$AX)</f>
        <v>0</v>
      </c>
      <c r="BQ126" s="3">
        <f>SUMIF(TRASLADOS!$AU:$AU,RESUMEN!BK126,TRASLADOS!$AY:$AY)</f>
        <v>0</v>
      </c>
      <c r="BR126" s="3">
        <f>SUMIF(VENTAS!$AP:$AP,RESUMEN!BK126,VENTAS!$AT:$AT)</f>
        <v>0</v>
      </c>
      <c r="BS126" s="3">
        <f>SUMIF(VENTAS!$AP:$AP,RESUMEN!BK126,VENTAS!$AU:$AU)</f>
        <v>0</v>
      </c>
      <c r="BT126" s="36">
        <f t="shared" si="64"/>
        <v>2241</v>
      </c>
    </row>
    <row r="127" spans="2:72" x14ac:dyDescent="0.2">
      <c r="B127" s="3">
        <f t="shared" si="43"/>
        <v>20</v>
      </c>
      <c r="C127" s="11">
        <f t="shared" si="75"/>
        <v>43374</v>
      </c>
      <c r="D127" s="3">
        <f t="shared" si="76"/>
        <v>136</v>
      </c>
      <c r="E127" s="3">
        <f>SUMIF(MORTALIDAD!$B$6:$B$200,RESUMEN!C127,MORTALIDAD!$F$6:$F$200)</f>
        <v>0</v>
      </c>
      <c r="F127" s="17">
        <f t="shared" si="77"/>
        <v>-740</v>
      </c>
      <c r="G127" s="3">
        <f>SUMIF(MORTALIDAD!$B$6:$B$200,RESUMEN!C127,MORTALIDAD!$G$6:$G$200)</f>
        <v>0</v>
      </c>
      <c r="H127" s="3">
        <f>SUMIF(TRASLADOS!$B$6:$B$200,C127,TRASLADOS!$E$6:$E$200)</f>
        <v>0</v>
      </c>
      <c r="I127" s="3">
        <f>SUMIF(TRASLADOS!$B$6:$B$200,C127,TRASLADOS!$F$6:$F$200)</f>
        <v>0</v>
      </c>
      <c r="J127" s="3">
        <f>SUMIF(VENTAS!$B$6:$B$200,RESUMEN!C127,VENTAS!$F$6:$F$200)</f>
        <v>0</v>
      </c>
      <c r="K127" s="3">
        <f>SUMIF(VENTAS!$B$6:$B$200,RESUMEN!C127,VENTAS!$G$6:$G$200)</f>
        <v>0</v>
      </c>
      <c r="L127" s="97">
        <f t="shared" si="49"/>
        <v>1460</v>
      </c>
      <c r="M127" s="96"/>
      <c r="N127" s="99">
        <f t="shared" si="44"/>
        <v>20</v>
      </c>
      <c r="O127" s="11">
        <f t="shared" si="70"/>
        <v>43377</v>
      </c>
      <c r="P127" s="3">
        <f t="shared" si="70"/>
        <v>135</v>
      </c>
      <c r="Q127" s="3">
        <f>SUMIF(MORTALIDAD!$J:$J,RESUMEN!O127,MORTALIDAD!$N:$N)</f>
        <v>0</v>
      </c>
      <c r="R127" s="19">
        <f t="shared" si="51"/>
        <v>-680</v>
      </c>
      <c r="S127" s="3">
        <f>SUMIF(MORTALIDAD!$J:$J,RESUMEN!O127,MORTALIDAD!$O:$O)</f>
        <v>0</v>
      </c>
      <c r="T127" s="3">
        <f>SUMIF(TRASLADOS!$K:$K,RESUMEN!O127,TRASLADOS!$N:$N)</f>
        <v>0</v>
      </c>
      <c r="U127" s="3">
        <f>SUMIF(TRASLADOS!$K:$K,RESUMEN!O127,TRASLADOS!$O:$O)</f>
        <v>0</v>
      </c>
      <c r="V127" s="3">
        <f>SUMIF(VENTAS!$J:$J,RESUMEN!O127,VENTAS!$N:$N)</f>
        <v>0</v>
      </c>
      <c r="W127" s="3">
        <f>SUMIF(VENTAS!$J:$J,RESUMEN!O127,VENTAS!$O:$O)</f>
        <v>0</v>
      </c>
      <c r="X127" s="97">
        <f t="shared" si="52"/>
        <v>1520</v>
      </c>
      <c r="Y127" s="96"/>
      <c r="Z127" s="99">
        <f t="shared" si="45"/>
        <v>20</v>
      </c>
      <c r="AA127" s="11">
        <f t="shared" si="71"/>
        <v>43381</v>
      </c>
      <c r="AB127" s="3">
        <f t="shared" si="71"/>
        <v>134</v>
      </c>
      <c r="AC127" s="3">
        <f>SUMIF(MORTALIDAD!$R:$R,RESUMEN!AA127,MORTALIDAD!$V:$V)</f>
        <v>0</v>
      </c>
      <c r="AD127" s="19">
        <f t="shared" si="54"/>
        <v>-476</v>
      </c>
      <c r="AE127" s="3">
        <f>SUMIF(MORTALIDAD!$R:$R,RESUMEN!AA127,MORTALIDAD!$W:$W)</f>
        <v>0</v>
      </c>
      <c r="AF127" s="3">
        <f>SUMIF(TRASLADOS!$T:$T,RESUMEN!AA127,TRASLADOS!$W:$W)</f>
        <v>0</v>
      </c>
      <c r="AG127" s="3">
        <f>SUMIF(TRASLADOS!$T:$T,RESUMEN!AA127,TRASLADOS!$X:$X)</f>
        <v>0</v>
      </c>
      <c r="AH127" s="3">
        <f>SUMIF(VENTAS!$R:$R,RESUMEN!AA127,VENTAS!$V:$V)</f>
        <v>0</v>
      </c>
      <c r="AI127" s="3">
        <f>SUMIF(VENTAS!$R:$R,RESUMEN!AA127,VENTAS!$W:$W)</f>
        <v>0</v>
      </c>
      <c r="AJ127" s="97">
        <f t="shared" si="55"/>
        <v>1724</v>
      </c>
      <c r="AK127" s="96"/>
      <c r="AL127" s="99">
        <f t="shared" si="46"/>
        <v>20</v>
      </c>
      <c r="AM127" s="11">
        <f t="shared" si="72"/>
        <v>43388</v>
      </c>
      <c r="AN127" s="3">
        <f t="shared" si="72"/>
        <v>134</v>
      </c>
      <c r="AO127" s="3">
        <f>SUMIF(MORTALIDAD!$Z:$Z,RESUMEN!AM127,MORTALIDAD!$AD:$AD)</f>
        <v>0</v>
      </c>
      <c r="AP127" s="19">
        <f t="shared" si="57"/>
        <v>-124</v>
      </c>
      <c r="AQ127" s="3">
        <f>SUMIF(MORTALIDAD!$Z:$Z,RESUMEN!AM127,MORTALIDAD!$AE:$AE)</f>
        <v>0</v>
      </c>
      <c r="AR127" s="3">
        <f>SUMIF(TRASLADOS!$AC:$AC,RESUMEN!AM127,TRASLADOS!$AF:$AF)</f>
        <v>0</v>
      </c>
      <c r="AS127" s="3">
        <f>SUMIF(TRASLADOS!$AC:$AC,RESUMEN!AM127,TRASLADOS!$AG:$AG)</f>
        <v>0</v>
      </c>
      <c r="AT127" s="3">
        <f>SUMIF(VENTAS!$Z:$Z,RESUMEN!AM127,VENTAS!$AD:$AD)</f>
        <v>0</v>
      </c>
      <c r="AU127" s="3">
        <f>SUMIF(VENTAS!$Z:$Z,RESUMEN!AM127,VENTAS!$AE:$AE)</f>
        <v>0</v>
      </c>
      <c r="AV127" s="97">
        <f t="shared" si="58"/>
        <v>2076</v>
      </c>
      <c r="AW127" s="96"/>
      <c r="AX127" s="99">
        <f t="shared" si="47"/>
        <v>20</v>
      </c>
      <c r="AY127" s="11">
        <f t="shared" si="73"/>
        <v>43395</v>
      </c>
      <c r="AZ127" s="3">
        <f t="shared" si="73"/>
        <v>134</v>
      </c>
      <c r="BA127" s="3">
        <f>SUMIF(MORTALIDAD!$AH:$AH,RESUMEN!AY127,MORTALIDAD!$AL:$AL)</f>
        <v>0</v>
      </c>
      <c r="BB127" s="19">
        <f t="shared" si="60"/>
        <v>-119</v>
      </c>
      <c r="BC127" s="3">
        <f>SUMIF(MORTALIDAD!$AH:$AH,RESUMEN!AY127,MORTALIDAD!$AM:$AM)</f>
        <v>0</v>
      </c>
      <c r="BD127" s="3">
        <f>SUMIF(TRASLADOS!$AL:$AL,RESUMEN!AY127,TRASLADOS!$AO:$AO)</f>
        <v>0</v>
      </c>
      <c r="BE127" s="3">
        <f>SUMIF(TRASLADOS!$AL:$AL,RESUMEN!AY127,TRASLADOS!$AP:$AP)</f>
        <v>0</v>
      </c>
      <c r="BF127" s="3">
        <f>SUMIF(VENTAS!$AH:$AH,RESUMEN!AY127,VENTAS!$AL:$AL)</f>
        <v>0</v>
      </c>
      <c r="BG127" s="3">
        <f>SUMIF(VENTAS!$AH:$AH,RESUMEN!AY127,VENTAS!$AM:$AM)</f>
        <v>0</v>
      </c>
      <c r="BH127" s="97">
        <f t="shared" si="61"/>
        <v>2081</v>
      </c>
      <c r="BI127" s="96"/>
      <c r="BJ127" s="99">
        <f t="shared" si="48"/>
        <v>20</v>
      </c>
      <c r="BK127" s="11">
        <f t="shared" si="74"/>
        <v>43404</v>
      </c>
      <c r="BL127" s="3">
        <f t="shared" si="74"/>
        <v>137</v>
      </c>
      <c r="BM127" s="3">
        <f>SUMIF(MORTALIDAD!$AP:$AP,RESUMEN!BK127,MORTALIDAD!$AT:$AT)</f>
        <v>0</v>
      </c>
      <c r="BN127" s="19">
        <f t="shared" si="63"/>
        <v>-73</v>
      </c>
      <c r="BO127" s="3">
        <f>SUMIF(MORTALIDAD!$AP$6:$AP$200,RESUMEN!BK127,MORTALIDAD!$AU$6:$AU$200)</f>
        <v>0</v>
      </c>
      <c r="BP127" s="3">
        <f>SUMIF(TRASLADOS!$AU:$AU,RESUMEN!BK127,TRASLADOS!$AX:$AX)</f>
        <v>0</v>
      </c>
      <c r="BQ127" s="3">
        <f>SUMIF(TRASLADOS!$AU:$AU,RESUMEN!BK127,TRASLADOS!$AY:$AY)</f>
        <v>0</v>
      </c>
      <c r="BR127" s="3">
        <f>SUMIF(VENTAS!$AP:$AP,RESUMEN!BK127,VENTAS!$AT:$AT)</f>
        <v>0</v>
      </c>
      <c r="BS127" s="3">
        <f>SUMIF(VENTAS!$AP:$AP,RESUMEN!BK127,VENTAS!$AU:$AU)</f>
        <v>0</v>
      </c>
      <c r="BT127" s="36">
        <f t="shared" si="64"/>
        <v>2241</v>
      </c>
    </row>
    <row r="128" spans="2:72" x14ac:dyDescent="0.2">
      <c r="B128" s="3">
        <f t="shared" si="43"/>
        <v>20</v>
      </c>
      <c r="C128" s="11">
        <f t="shared" si="75"/>
        <v>43375</v>
      </c>
      <c r="D128" s="3">
        <f t="shared" si="76"/>
        <v>137</v>
      </c>
      <c r="E128" s="3">
        <f>SUMIF(MORTALIDAD!$B$6:$B$200,RESUMEN!C128,MORTALIDAD!$F$6:$F$200)</f>
        <v>0</v>
      </c>
      <c r="F128" s="17">
        <f t="shared" si="77"/>
        <v>-740</v>
      </c>
      <c r="G128" s="3">
        <f>SUMIF(MORTALIDAD!$B$6:$B$200,RESUMEN!C128,MORTALIDAD!$G$6:$G$200)</f>
        <v>0</v>
      </c>
      <c r="H128" s="3">
        <f>SUMIF(TRASLADOS!$B$6:$B$200,C128,TRASLADOS!$E$6:$E$200)</f>
        <v>0</v>
      </c>
      <c r="I128" s="3">
        <f>SUMIF(TRASLADOS!$B$6:$B$200,C128,TRASLADOS!$F$6:$F$200)</f>
        <v>0</v>
      </c>
      <c r="J128" s="3">
        <f>SUMIF(VENTAS!$B$6:$B$200,RESUMEN!C128,VENTAS!$F$6:$F$200)</f>
        <v>0</v>
      </c>
      <c r="K128" s="3">
        <f>SUMIF(VENTAS!$B$6:$B$200,RESUMEN!C128,VENTAS!$G$6:$G$200)</f>
        <v>0</v>
      </c>
      <c r="L128" s="97">
        <f t="shared" si="49"/>
        <v>1460</v>
      </c>
      <c r="M128" s="96"/>
      <c r="N128" s="99">
        <f t="shared" si="44"/>
        <v>20</v>
      </c>
      <c r="O128" s="11">
        <f t="shared" si="70"/>
        <v>43378</v>
      </c>
      <c r="P128" s="3">
        <f t="shared" si="70"/>
        <v>136</v>
      </c>
      <c r="Q128" s="3">
        <f>SUMIF(MORTALIDAD!$J:$J,RESUMEN!O128,MORTALIDAD!$N:$N)</f>
        <v>0</v>
      </c>
      <c r="R128" s="19">
        <f t="shared" si="51"/>
        <v>-680</v>
      </c>
      <c r="S128" s="3">
        <f>SUMIF(MORTALIDAD!$J:$J,RESUMEN!O128,MORTALIDAD!$O:$O)</f>
        <v>0</v>
      </c>
      <c r="T128" s="3">
        <f>SUMIF(TRASLADOS!$K:$K,RESUMEN!O128,TRASLADOS!$N:$N)</f>
        <v>0</v>
      </c>
      <c r="U128" s="3">
        <f>SUMIF(TRASLADOS!$K:$K,RESUMEN!O128,TRASLADOS!$O:$O)</f>
        <v>0</v>
      </c>
      <c r="V128" s="3">
        <f>SUMIF(VENTAS!$J:$J,RESUMEN!O128,VENTAS!$N:$N)</f>
        <v>0</v>
      </c>
      <c r="W128" s="3">
        <f>SUMIF(VENTAS!$J:$J,RESUMEN!O128,VENTAS!$O:$O)</f>
        <v>0</v>
      </c>
      <c r="X128" s="97">
        <f t="shared" si="52"/>
        <v>1520</v>
      </c>
      <c r="Y128" s="96"/>
      <c r="Z128" s="99">
        <f t="shared" si="45"/>
        <v>20</v>
      </c>
      <c r="AA128" s="11">
        <f t="shared" si="71"/>
        <v>43382</v>
      </c>
      <c r="AB128" s="3">
        <f t="shared" si="71"/>
        <v>135</v>
      </c>
      <c r="AC128" s="3">
        <f>SUMIF(MORTALIDAD!$R:$R,RESUMEN!AA128,MORTALIDAD!$V:$V)</f>
        <v>0</v>
      </c>
      <c r="AD128" s="19">
        <f t="shared" si="54"/>
        <v>-476</v>
      </c>
      <c r="AE128" s="3">
        <f>SUMIF(MORTALIDAD!$R:$R,RESUMEN!AA128,MORTALIDAD!$W:$W)</f>
        <v>0</v>
      </c>
      <c r="AF128" s="3">
        <f>SUMIF(TRASLADOS!$T:$T,RESUMEN!AA128,TRASLADOS!$W:$W)</f>
        <v>0</v>
      </c>
      <c r="AG128" s="3">
        <f>SUMIF(TRASLADOS!$T:$T,RESUMEN!AA128,TRASLADOS!$X:$X)</f>
        <v>0</v>
      </c>
      <c r="AH128" s="3">
        <f>SUMIF(VENTAS!$R:$R,RESUMEN!AA128,VENTAS!$V:$V)</f>
        <v>0</v>
      </c>
      <c r="AI128" s="3">
        <f>SUMIF(VENTAS!$R:$R,RESUMEN!AA128,VENTAS!$W:$W)</f>
        <v>0</v>
      </c>
      <c r="AJ128" s="97">
        <f t="shared" si="55"/>
        <v>1724</v>
      </c>
      <c r="AK128" s="96"/>
      <c r="AL128" s="99">
        <f t="shared" si="46"/>
        <v>20</v>
      </c>
      <c r="AM128" s="11">
        <f t="shared" si="72"/>
        <v>43389</v>
      </c>
      <c r="AN128" s="3">
        <f t="shared" si="72"/>
        <v>135</v>
      </c>
      <c r="AO128" s="3">
        <f>SUMIF(MORTALIDAD!$Z:$Z,RESUMEN!AM128,MORTALIDAD!$AD:$AD)</f>
        <v>0</v>
      </c>
      <c r="AP128" s="19">
        <f t="shared" si="57"/>
        <v>-124</v>
      </c>
      <c r="AQ128" s="3">
        <f>SUMIF(MORTALIDAD!$Z:$Z,RESUMEN!AM128,MORTALIDAD!$AE:$AE)</f>
        <v>0</v>
      </c>
      <c r="AR128" s="3">
        <f>SUMIF(TRASLADOS!$AC:$AC,RESUMEN!AM128,TRASLADOS!$AF:$AF)</f>
        <v>0</v>
      </c>
      <c r="AS128" s="3">
        <f>SUMIF(TRASLADOS!$AC:$AC,RESUMEN!AM128,TRASLADOS!$AG:$AG)</f>
        <v>0</v>
      </c>
      <c r="AT128" s="3">
        <f>SUMIF(VENTAS!$Z:$Z,RESUMEN!AM128,VENTAS!$AD:$AD)</f>
        <v>0</v>
      </c>
      <c r="AU128" s="3">
        <f>SUMIF(VENTAS!$Z:$Z,RESUMEN!AM128,VENTAS!$AE:$AE)</f>
        <v>0</v>
      </c>
      <c r="AV128" s="97">
        <f t="shared" si="58"/>
        <v>2076</v>
      </c>
      <c r="AW128" s="96"/>
      <c r="AX128" s="99">
        <f t="shared" si="47"/>
        <v>20</v>
      </c>
      <c r="AY128" s="11">
        <f t="shared" si="73"/>
        <v>43396</v>
      </c>
      <c r="AZ128" s="3">
        <f t="shared" si="73"/>
        <v>135</v>
      </c>
      <c r="BA128" s="3">
        <f>SUMIF(MORTALIDAD!$AH:$AH,RESUMEN!AY128,MORTALIDAD!$AL:$AL)</f>
        <v>0</v>
      </c>
      <c r="BB128" s="19">
        <f t="shared" si="60"/>
        <v>-119</v>
      </c>
      <c r="BC128" s="3">
        <f>SUMIF(MORTALIDAD!$AH:$AH,RESUMEN!AY128,MORTALIDAD!$AM:$AM)</f>
        <v>0</v>
      </c>
      <c r="BD128" s="3">
        <f>SUMIF(TRASLADOS!$AL:$AL,RESUMEN!AY128,TRASLADOS!$AO:$AO)</f>
        <v>0</v>
      </c>
      <c r="BE128" s="3">
        <f>SUMIF(TRASLADOS!$AL:$AL,RESUMEN!AY128,TRASLADOS!$AP:$AP)</f>
        <v>0</v>
      </c>
      <c r="BF128" s="3">
        <f>SUMIF(VENTAS!$AH:$AH,RESUMEN!AY128,VENTAS!$AL:$AL)</f>
        <v>0</v>
      </c>
      <c r="BG128" s="3">
        <f>SUMIF(VENTAS!$AH:$AH,RESUMEN!AY128,VENTAS!$AM:$AM)</f>
        <v>0</v>
      </c>
      <c r="BH128" s="97">
        <f t="shared" si="61"/>
        <v>2081</v>
      </c>
      <c r="BI128" s="96"/>
      <c r="BJ128" s="99">
        <f t="shared" si="48"/>
        <v>20</v>
      </c>
      <c r="BK128" s="11">
        <f t="shared" si="74"/>
        <v>43405</v>
      </c>
      <c r="BL128" s="3">
        <f t="shared" si="74"/>
        <v>138</v>
      </c>
      <c r="BM128" s="3">
        <f>SUMIF(MORTALIDAD!$AP:$AP,RESUMEN!BK128,MORTALIDAD!$AT:$AT)</f>
        <v>0</v>
      </c>
      <c r="BN128" s="19">
        <f t="shared" si="63"/>
        <v>-73</v>
      </c>
      <c r="BO128" s="3">
        <f>SUMIF(MORTALIDAD!$AP$6:$AP$200,RESUMEN!BK128,MORTALIDAD!$AU$6:$AU$200)</f>
        <v>0</v>
      </c>
      <c r="BP128" s="3">
        <f>SUMIF(TRASLADOS!$AU:$AU,RESUMEN!BK128,TRASLADOS!$AX:$AX)</f>
        <v>0</v>
      </c>
      <c r="BQ128" s="3">
        <f>SUMIF(TRASLADOS!$AU:$AU,RESUMEN!BK128,TRASLADOS!$AY:$AY)</f>
        <v>0</v>
      </c>
      <c r="BR128" s="3">
        <f>SUMIF(VENTAS!$AP:$AP,RESUMEN!BK128,VENTAS!$AT:$AT)</f>
        <v>0</v>
      </c>
      <c r="BS128" s="3">
        <f>SUMIF(VENTAS!$AP:$AP,RESUMEN!BK128,VENTAS!$AU:$AU)</f>
        <v>0</v>
      </c>
      <c r="BT128" s="36">
        <f t="shared" si="64"/>
        <v>2241</v>
      </c>
    </row>
    <row r="129" spans="2:72" x14ac:dyDescent="0.2">
      <c r="B129" s="3">
        <f t="shared" si="43"/>
        <v>20</v>
      </c>
      <c r="C129" s="11">
        <f t="shared" si="75"/>
        <v>43376</v>
      </c>
      <c r="D129" s="3">
        <f t="shared" si="76"/>
        <v>138</v>
      </c>
      <c r="E129" s="3">
        <f>SUMIF(MORTALIDAD!$B$6:$B$200,RESUMEN!C129,MORTALIDAD!$F$6:$F$200)</f>
        <v>0</v>
      </c>
      <c r="F129" s="17">
        <f t="shared" si="77"/>
        <v>-740</v>
      </c>
      <c r="G129" s="3">
        <f>SUMIF(MORTALIDAD!$B$6:$B$200,RESUMEN!C129,MORTALIDAD!$G$6:$G$200)</f>
        <v>0</v>
      </c>
      <c r="H129" s="3">
        <f>SUMIF(TRASLADOS!$B$6:$B$200,C129,TRASLADOS!$E$6:$E$200)</f>
        <v>0</v>
      </c>
      <c r="I129" s="3">
        <f>SUMIF(TRASLADOS!$B$6:$B$200,C129,TRASLADOS!$F$6:$F$200)</f>
        <v>0</v>
      </c>
      <c r="J129" s="3">
        <f>SUMIF(VENTAS!$B$6:$B$200,RESUMEN!C129,VENTAS!$F$6:$F$200)</f>
        <v>0</v>
      </c>
      <c r="K129" s="3">
        <f>SUMIF(VENTAS!$B$6:$B$200,RESUMEN!C129,VENTAS!$G$6:$G$200)</f>
        <v>0</v>
      </c>
      <c r="L129" s="97">
        <f t="shared" si="49"/>
        <v>1460</v>
      </c>
      <c r="M129" s="96"/>
      <c r="N129" s="99">
        <f t="shared" si="44"/>
        <v>20</v>
      </c>
      <c r="O129" s="11">
        <f t="shared" ref="O129:P144" si="78">O128+1</f>
        <v>43379</v>
      </c>
      <c r="P129" s="3">
        <f t="shared" si="78"/>
        <v>137</v>
      </c>
      <c r="Q129" s="3">
        <f>SUMIF(MORTALIDAD!$J:$J,RESUMEN!O129,MORTALIDAD!$N:$N)</f>
        <v>0</v>
      </c>
      <c r="R129" s="19">
        <f t="shared" si="51"/>
        <v>-680</v>
      </c>
      <c r="S129" s="3">
        <f>SUMIF(MORTALIDAD!$J:$J,RESUMEN!O129,MORTALIDAD!$O:$O)</f>
        <v>0</v>
      </c>
      <c r="T129" s="3">
        <f>SUMIF(TRASLADOS!$K:$K,RESUMEN!O129,TRASLADOS!$N:$N)</f>
        <v>0</v>
      </c>
      <c r="U129" s="3">
        <f>SUMIF(TRASLADOS!$K:$K,RESUMEN!O129,TRASLADOS!$O:$O)</f>
        <v>0</v>
      </c>
      <c r="V129" s="3">
        <f>SUMIF(VENTAS!$J:$J,RESUMEN!O129,VENTAS!$N:$N)</f>
        <v>0</v>
      </c>
      <c r="W129" s="3">
        <f>SUMIF(VENTAS!$J:$J,RESUMEN!O129,VENTAS!$O:$O)</f>
        <v>0</v>
      </c>
      <c r="X129" s="97">
        <f t="shared" si="52"/>
        <v>1520</v>
      </c>
      <c r="Y129" s="96"/>
      <c r="Z129" s="99">
        <f t="shared" si="45"/>
        <v>20</v>
      </c>
      <c r="AA129" s="11">
        <f t="shared" ref="AA129:AB144" si="79">AA128+1</f>
        <v>43383</v>
      </c>
      <c r="AB129" s="3">
        <f t="shared" si="79"/>
        <v>136</v>
      </c>
      <c r="AC129" s="3">
        <f>SUMIF(MORTALIDAD!$R:$R,RESUMEN!AA129,MORTALIDAD!$V:$V)</f>
        <v>0</v>
      </c>
      <c r="AD129" s="19">
        <f t="shared" si="54"/>
        <v>-476</v>
      </c>
      <c r="AE129" s="3">
        <f>SUMIF(MORTALIDAD!$R:$R,RESUMEN!AA129,MORTALIDAD!$W:$W)</f>
        <v>0</v>
      </c>
      <c r="AF129" s="3">
        <f>SUMIF(TRASLADOS!$T:$T,RESUMEN!AA129,TRASLADOS!$W:$W)</f>
        <v>0</v>
      </c>
      <c r="AG129" s="3">
        <f>SUMIF(TRASLADOS!$T:$T,RESUMEN!AA129,TRASLADOS!$X:$X)</f>
        <v>0</v>
      </c>
      <c r="AH129" s="3">
        <f>SUMIF(VENTAS!$R:$R,RESUMEN!AA129,VENTAS!$V:$V)</f>
        <v>0</v>
      </c>
      <c r="AI129" s="3">
        <f>SUMIF(VENTAS!$R:$R,RESUMEN!AA129,VENTAS!$W:$W)</f>
        <v>0</v>
      </c>
      <c r="AJ129" s="97">
        <f t="shared" si="55"/>
        <v>1724</v>
      </c>
      <c r="AK129" s="96"/>
      <c r="AL129" s="99">
        <f t="shared" si="46"/>
        <v>20</v>
      </c>
      <c r="AM129" s="11">
        <f t="shared" ref="AM129:AN144" si="80">AM128+1</f>
        <v>43390</v>
      </c>
      <c r="AN129" s="3">
        <f t="shared" si="80"/>
        <v>136</v>
      </c>
      <c r="AO129" s="3">
        <f>SUMIF(MORTALIDAD!$Z:$Z,RESUMEN!AM129,MORTALIDAD!$AD:$AD)</f>
        <v>0</v>
      </c>
      <c r="AP129" s="19">
        <f t="shared" si="57"/>
        <v>-124</v>
      </c>
      <c r="AQ129" s="3">
        <f>SUMIF(MORTALIDAD!$Z:$Z,RESUMEN!AM129,MORTALIDAD!$AE:$AE)</f>
        <v>0</v>
      </c>
      <c r="AR129" s="3">
        <f>SUMIF(TRASLADOS!$AC:$AC,RESUMEN!AM129,TRASLADOS!$AF:$AF)</f>
        <v>0</v>
      </c>
      <c r="AS129" s="3">
        <f>SUMIF(TRASLADOS!$AC:$AC,RESUMEN!AM129,TRASLADOS!$AG:$AG)</f>
        <v>0</v>
      </c>
      <c r="AT129" s="3">
        <f>SUMIF(VENTAS!$Z:$Z,RESUMEN!AM129,VENTAS!$AD:$AD)</f>
        <v>0</v>
      </c>
      <c r="AU129" s="3">
        <f>SUMIF(VENTAS!$Z:$Z,RESUMEN!AM129,VENTAS!$AE:$AE)</f>
        <v>0</v>
      </c>
      <c r="AV129" s="97">
        <f t="shared" si="58"/>
        <v>2076</v>
      </c>
      <c r="AW129" s="96"/>
      <c r="AX129" s="99">
        <f t="shared" si="47"/>
        <v>20</v>
      </c>
      <c r="AY129" s="11">
        <f t="shared" ref="AY129:AZ144" si="81">AY128+1</f>
        <v>43397</v>
      </c>
      <c r="AZ129" s="3">
        <f t="shared" si="81"/>
        <v>136</v>
      </c>
      <c r="BA129" s="3">
        <f>SUMIF(MORTALIDAD!$AH:$AH,RESUMEN!AY129,MORTALIDAD!$AL:$AL)</f>
        <v>0</v>
      </c>
      <c r="BB129" s="19">
        <f t="shared" si="60"/>
        <v>-119</v>
      </c>
      <c r="BC129" s="3">
        <f>SUMIF(MORTALIDAD!$AH:$AH,RESUMEN!AY129,MORTALIDAD!$AM:$AM)</f>
        <v>0</v>
      </c>
      <c r="BD129" s="3">
        <f>SUMIF(TRASLADOS!$AL:$AL,RESUMEN!AY129,TRASLADOS!$AO:$AO)</f>
        <v>0</v>
      </c>
      <c r="BE129" s="3">
        <f>SUMIF(TRASLADOS!$AL:$AL,RESUMEN!AY129,TRASLADOS!$AP:$AP)</f>
        <v>0</v>
      </c>
      <c r="BF129" s="3">
        <f>SUMIF(VENTAS!$AH:$AH,RESUMEN!AY129,VENTAS!$AL:$AL)</f>
        <v>0</v>
      </c>
      <c r="BG129" s="3">
        <f>SUMIF(VENTAS!$AH:$AH,RESUMEN!AY129,VENTAS!$AM:$AM)</f>
        <v>0</v>
      </c>
      <c r="BH129" s="97">
        <f t="shared" si="61"/>
        <v>2081</v>
      </c>
      <c r="BI129" s="96"/>
      <c r="BJ129" s="99">
        <f t="shared" si="48"/>
        <v>20</v>
      </c>
      <c r="BK129" s="11">
        <f t="shared" ref="BK129:BL144" si="82">BK128+1</f>
        <v>43406</v>
      </c>
      <c r="BL129" s="3">
        <f t="shared" si="82"/>
        <v>139</v>
      </c>
      <c r="BM129" s="3">
        <f>SUMIF(MORTALIDAD!$AP:$AP,RESUMEN!BK129,MORTALIDAD!$AT:$AT)</f>
        <v>0</v>
      </c>
      <c r="BN129" s="19">
        <f t="shared" si="63"/>
        <v>-73</v>
      </c>
      <c r="BO129" s="3">
        <f>SUMIF(MORTALIDAD!$AP$6:$AP$200,RESUMEN!BK129,MORTALIDAD!$AU$6:$AU$200)</f>
        <v>0</v>
      </c>
      <c r="BP129" s="3">
        <f>SUMIF(TRASLADOS!$AU:$AU,RESUMEN!BK129,TRASLADOS!$AX:$AX)</f>
        <v>0</v>
      </c>
      <c r="BQ129" s="3">
        <f>SUMIF(TRASLADOS!$AU:$AU,RESUMEN!BK129,TRASLADOS!$AY:$AY)</f>
        <v>0</v>
      </c>
      <c r="BR129" s="3">
        <f>SUMIF(VENTAS!$AP:$AP,RESUMEN!BK129,VENTAS!$AT:$AT)</f>
        <v>0</v>
      </c>
      <c r="BS129" s="3">
        <f>SUMIF(VENTAS!$AP:$AP,RESUMEN!BK129,VENTAS!$AU:$AU)</f>
        <v>0</v>
      </c>
      <c r="BT129" s="36">
        <f t="shared" si="64"/>
        <v>2241</v>
      </c>
    </row>
    <row r="130" spans="2:72" x14ac:dyDescent="0.2">
      <c r="B130" s="3">
        <f t="shared" si="43"/>
        <v>20</v>
      </c>
      <c r="C130" s="11">
        <f t="shared" si="75"/>
        <v>43377</v>
      </c>
      <c r="D130" s="3">
        <f t="shared" si="76"/>
        <v>139</v>
      </c>
      <c r="E130" s="3">
        <f>SUMIF(MORTALIDAD!$B$6:$B$200,RESUMEN!C130,MORTALIDAD!$F$6:$F$200)</f>
        <v>0</v>
      </c>
      <c r="F130" s="17">
        <f t="shared" si="77"/>
        <v>-740</v>
      </c>
      <c r="G130" s="3">
        <f>SUMIF(MORTALIDAD!$B$6:$B$200,RESUMEN!C130,MORTALIDAD!$G$6:$G$200)</f>
        <v>0</v>
      </c>
      <c r="H130" s="3">
        <f>SUMIF(TRASLADOS!$B$6:$B$200,C130,TRASLADOS!$E$6:$E$200)</f>
        <v>0</v>
      </c>
      <c r="I130" s="3">
        <f>SUMIF(TRASLADOS!$B$6:$B$200,C130,TRASLADOS!$F$6:$F$200)</f>
        <v>0</v>
      </c>
      <c r="J130" s="3">
        <f>SUMIF(VENTAS!$B$6:$B$200,RESUMEN!C130,VENTAS!$F$6:$F$200)</f>
        <v>0</v>
      </c>
      <c r="K130" s="3">
        <f>SUMIF(VENTAS!$B$6:$B$200,RESUMEN!C130,VENTAS!$G$6:$G$200)</f>
        <v>0</v>
      </c>
      <c r="L130" s="97">
        <f t="shared" si="49"/>
        <v>1460</v>
      </c>
      <c r="M130" s="96"/>
      <c r="N130" s="99">
        <f t="shared" si="44"/>
        <v>20</v>
      </c>
      <c r="O130" s="11">
        <f t="shared" si="78"/>
        <v>43380</v>
      </c>
      <c r="P130" s="3">
        <f t="shared" si="78"/>
        <v>138</v>
      </c>
      <c r="Q130" s="3">
        <f>SUMIF(MORTALIDAD!$J:$J,RESUMEN!O130,MORTALIDAD!$N:$N)</f>
        <v>0</v>
      </c>
      <c r="R130" s="19">
        <f t="shared" si="51"/>
        <v>-680</v>
      </c>
      <c r="S130" s="3">
        <f>SUMIF(MORTALIDAD!$J:$J,RESUMEN!O130,MORTALIDAD!$O:$O)</f>
        <v>0</v>
      </c>
      <c r="T130" s="3">
        <f>SUMIF(TRASLADOS!$K:$K,RESUMEN!O130,TRASLADOS!$N:$N)</f>
        <v>0</v>
      </c>
      <c r="U130" s="3">
        <f>SUMIF(TRASLADOS!$K:$K,RESUMEN!O130,TRASLADOS!$O:$O)</f>
        <v>0</v>
      </c>
      <c r="V130" s="3">
        <f>SUMIF(VENTAS!$J:$J,RESUMEN!O130,VENTAS!$N:$N)</f>
        <v>0</v>
      </c>
      <c r="W130" s="3">
        <f>SUMIF(VENTAS!$J:$J,RESUMEN!O130,VENTAS!$O:$O)</f>
        <v>0</v>
      </c>
      <c r="X130" s="97">
        <f t="shared" si="52"/>
        <v>1520</v>
      </c>
      <c r="Y130" s="96"/>
      <c r="Z130" s="99">
        <f t="shared" si="45"/>
        <v>20</v>
      </c>
      <c r="AA130" s="11">
        <f t="shared" si="79"/>
        <v>43384</v>
      </c>
      <c r="AB130" s="3">
        <f t="shared" si="79"/>
        <v>137</v>
      </c>
      <c r="AC130" s="3">
        <f>SUMIF(MORTALIDAD!$R:$R,RESUMEN!AA130,MORTALIDAD!$V:$V)</f>
        <v>0</v>
      </c>
      <c r="AD130" s="19">
        <f t="shared" si="54"/>
        <v>-476</v>
      </c>
      <c r="AE130" s="3">
        <f>SUMIF(MORTALIDAD!$R:$R,RESUMEN!AA130,MORTALIDAD!$W:$W)</f>
        <v>0</v>
      </c>
      <c r="AF130" s="3">
        <f>SUMIF(TRASLADOS!$T:$T,RESUMEN!AA130,TRASLADOS!$W:$W)</f>
        <v>0</v>
      </c>
      <c r="AG130" s="3">
        <f>SUMIF(TRASLADOS!$T:$T,RESUMEN!AA130,TRASLADOS!$X:$X)</f>
        <v>0</v>
      </c>
      <c r="AH130" s="3">
        <f>SUMIF(VENTAS!$R:$R,RESUMEN!AA130,VENTAS!$V:$V)</f>
        <v>0</v>
      </c>
      <c r="AI130" s="3">
        <f>SUMIF(VENTAS!$R:$R,RESUMEN!AA130,VENTAS!$W:$W)</f>
        <v>0</v>
      </c>
      <c r="AJ130" s="97">
        <f t="shared" si="55"/>
        <v>1724</v>
      </c>
      <c r="AK130" s="96"/>
      <c r="AL130" s="99">
        <f t="shared" si="46"/>
        <v>20</v>
      </c>
      <c r="AM130" s="11">
        <f t="shared" si="80"/>
        <v>43391</v>
      </c>
      <c r="AN130" s="3">
        <f t="shared" si="80"/>
        <v>137</v>
      </c>
      <c r="AO130" s="3">
        <f>SUMIF(MORTALIDAD!$Z:$Z,RESUMEN!AM130,MORTALIDAD!$AD:$AD)</f>
        <v>0</v>
      </c>
      <c r="AP130" s="19">
        <f t="shared" si="57"/>
        <v>-124</v>
      </c>
      <c r="AQ130" s="3">
        <f>SUMIF(MORTALIDAD!$Z:$Z,RESUMEN!AM130,MORTALIDAD!$AE:$AE)</f>
        <v>0</v>
      </c>
      <c r="AR130" s="3">
        <f>SUMIF(TRASLADOS!$AC:$AC,RESUMEN!AM130,TRASLADOS!$AF:$AF)</f>
        <v>0</v>
      </c>
      <c r="AS130" s="3">
        <f>SUMIF(TRASLADOS!$AC:$AC,RESUMEN!AM130,TRASLADOS!$AG:$AG)</f>
        <v>0</v>
      </c>
      <c r="AT130" s="3">
        <f>SUMIF(VENTAS!$Z:$Z,RESUMEN!AM130,VENTAS!$AD:$AD)</f>
        <v>0</v>
      </c>
      <c r="AU130" s="3">
        <f>SUMIF(VENTAS!$Z:$Z,RESUMEN!AM130,VENTAS!$AE:$AE)</f>
        <v>0</v>
      </c>
      <c r="AV130" s="97">
        <f t="shared" si="58"/>
        <v>2076</v>
      </c>
      <c r="AW130" s="96"/>
      <c r="AX130" s="99">
        <f t="shared" si="47"/>
        <v>20</v>
      </c>
      <c r="AY130" s="11">
        <f t="shared" si="81"/>
        <v>43398</v>
      </c>
      <c r="AZ130" s="3">
        <f t="shared" si="81"/>
        <v>137</v>
      </c>
      <c r="BA130" s="3">
        <f>SUMIF(MORTALIDAD!$AH:$AH,RESUMEN!AY130,MORTALIDAD!$AL:$AL)</f>
        <v>0</v>
      </c>
      <c r="BB130" s="19">
        <f t="shared" si="60"/>
        <v>-119</v>
      </c>
      <c r="BC130" s="3">
        <f>SUMIF(MORTALIDAD!$AH:$AH,RESUMEN!AY130,MORTALIDAD!$AM:$AM)</f>
        <v>0</v>
      </c>
      <c r="BD130" s="3">
        <f>SUMIF(TRASLADOS!$AL:$AL,RESUMEN!AY130,TRASLADOS!$AO:$AO)</f>
        <v>0</v>
      </c>
      <c r="BE130" s="3">
        <f>SUMIF(TRASLADOS!$AL:$AL,RESUMEN!AY130,TRASLADOS!$AP:$AP)</f>
        <v>0</v>
      </c>
      <c r="BF130" s="3">
        <f>SUMIF(VENTAS!$AH:$AH,RESUMEN!AY130,VENTAS!$AL:$AL)</f>
        <v>0</v>
      </c>
      <c r="BG130" s="3">
        <f>SUMIF(VENTAS!$AH:$AH,RESUMEN!AY130,VENTAS!$AM:$AM)</f>
        <v>0</v>
      </c>
      <c r="BH130" s="97">
        <f t="shared" si="61"/>
        <v>2081</v>
      </c>
      <c r="BI130" s="96"/>
      <c r="BJ130" s="99">
        <f t="shared" si="48"/>
        <v>20</v>
      </c>
      <c r="BK130" s="11">
        <f t="shared" si="82"/>
        <v>43407</v>
      </c>
      <c r="BL130" s="3">
        <f t="shared" si="82"/>
        <v>140</v>
      </c>
      <c r="BM130" s="3">
        <f>SUMIF(MORTALIDAD!$AP:$AP,RESUMEN!BK130,MORTALIDAD!$AT:$AT)</f>
        <v>0</v>
      </c>
      <c r="BN130" s="19">
        <f t="shared" si="63"/>
        <v>-73</v>
      </c>
      <c r="BO130" s="3">
        <f>SUMIF(MORTALIDAD!$AP$6:$AP$200,RESUMEN!BK130,MORTALIDAD!$AU$6:$AU$200)</f>
        <v>0</v>
      </c>
      <c r="BP130" s="3">
        <f>SUMIF(TRASLADOS!$AU:$AU,RESUMEN!BK130,TRASLADOS!$AX:$AX)</f>
        <v>0</v>
      </c>
      <c r="BQ130" s="3">
        <f>SUMIF(TRASLADOS!$AU:$AU,RESUMEN!BK130,TRASLADOS!$AY:$AY)</f>
        <v>0</v>
      </c>
      <c r="BR130" s="3">
        <f>SUMIF(VENTAS!$AP:$AP,RESUMEN!BK130,VENTAS!$AT:$AT)</f>
        <v>0</v>
      </c>
      <c r="BS130" s="3">
        <f>SUMIF(VENTAS!$AP:$AP,RESUMEN!BK130,VENTAS!$AU:$AU)</f>
        <v>0</v>
      </c>
      <c r="BT130" s="36">
        <f t="shared" si="64"/>
        <v>2241</v>
      </c>
    </row>
    <row r="131" spans="2:72" x14ac:dyDescent="0.2">
      <c r="B131" s="3">
        <f t="shared" si="43"/>
        <v>20</v>
      </c>
      <c r="C131" s="11">
        <f t="shared" si="75"/>
        <v>43378</v>
      </c>
      <c r="D131" s="3">
        <f t="shared" si="76"/>
        <v>140</v>
      </c>
      <c r="E131" s="3">
        <f>SUMIF(MORTALIDAD!$B$6:$B$200,RESUMEN!C131,MORTALIDAD!$F$6:$F$200)</f>
        <v>0</v>
      </c>
      <c r="F131" s="17">
        <f t="shared" si="77"/>
        <v>-740</v>
      </c>
      <c r="G131" s="3">
        <f>SUMIF(MORTALIDAD!$B$6:$B$200,RESUMEN!C131,MORTALIDAD!$G$6:$G$200)</f>
        <v>0</v>
      </c>
      <c r="H131" s="3">
        <f>SUMIF(TRASLADOS!$B$6:$B$200,C131,TRASLADOS!$E$6:$E$200)</f>
        <v>0</v>
      </c>
      <c r="I131" s="3">
        <f>SUMIF(TRASLADOS!$B$6:$B$200,C131,TRASLADOS!$F$6:$F$200)</f>
        <v>0</v>
      </c>
      <c r="J131" s="3">
        <f>SUMIF(VENTAS!$B$6:$B$200,RESUMEN!C131,VENTAS!$F$6:$F$200)</f>
        <v>0</v>
      </c>
      <c r="K131" s="3">
        <f>SUMIF(VENTAS!$B$6:$B$200,RESUMEN!C131,VENTAS!$G$6:$G$200)</f>
        <v>0</v>
      </c>
      <c r="L131" s="97">
        <f t="shared" si="49"/>
        <v>1460</v>
      </c>
      <c r="M131" s="96"/>
      <c r="N131" s="99">
        <f t="shared" si="44"/>
        <v>20</v>
      </c>
      <c r="O131" s="11">
        <f t="shared" si="78"/>
        <v>43381</v>
      </c>
      <c r="P131" s="3">
        <f t="shared" si="78"/>
        <v>139</v>
      </c>
      <c r="Q131" s="3">
        <f>SUMIF(MORTALIDAD!$J:$J,RESUMEN!O131,MORTALIDAD!$N:$N)</f>
        <v>0</v>
      </c>
      <c r="R131" s="19">
        <f t="shared" si="51"/>
        <v>-680</v>
      </c>
      <c r="S131" s="3">
        <f>SUMIF(MORTALIDAD!$J:$J,RESUMEN!O131,MORTALIDAD!$O:$O)</f>
        <v>0</v>
      </c>
      <c r="T131" s="3">
        <f>SUMIF(TRASLADOS!$K:$K,RESUMEN!O131,TRASLADOS!$N:$N)</f>
        <v>0</v>
      </c>
      <c r="U131" s="3">
        <f>SUMIF(TRASLADOS!$K:$K,RESUMEN!O131,TRASLADOS!$O:$O)</f>
        <v>0</v>
      </c>
      <c r="V131" s="3">
        <f>SUMIF(VENTAS!$J:$J,RESUMEN!O131,VENTAS!$N:$N)</f>
        <v>0</v>
      </c>
      <c r="W131" s="3">
        <f>SUMIF(VENTAS!$J:$J,RESUMEN!O131,VENTAS!$O:$O)</f>
        <v>0</v>
      </c>
      <c r="X131" s="97">
        <f t="shared" si="52"/>
        <v>1520</v>
      </c>
      <c r="Y131" s="96"/>
      <c r="Z131" s="99">
        <f t="shared" si="45"/>
        <v>20</v>
      </c>
      <c r="AA131" s="11">
        <f t="shared" si="79"/>
        <v>43385</v>
      </c>
      <c r="AB131" s="3">
        <f t="shared" si="79"/>
        <v>138</v>
      </c>
      <c r="AC131" s="3">
        <f>SUMIF(MORTALIDAD!$R:$R,RESUMEN!AA131,MORTALIDAD!$V:$V)</f>
        <v>0</v>
      </c>
      <c r="AD131" s="19">
        <f t="shared" si="54"/>
        <v>-476</v>
      </c>
      <c r="AE131" s="3">
        <f>SUMIF(MORTALIDAD!$R:$R,RESUMEN!AA131,MORTALIDAD!$W:$W)</f>
        <v>0</v>
      </c>
      <c r="AF131" s="3">
        <f>SUMIF(TRASLADOS!$T:$T,RESUMEN!AA131,TRASLADOS!$W:$W)</f>
        <v>0</v>
      </c>
      <c r="AG131" s="3">
        <f>SUMIF(TRASLADOS!$T:$T,RESUMEN!AA131,TRASLADOS!$X:$X)</f>
        <v>0</v>
      </c>
      <c r="AH131" s="3">
        <f>SUMIF(VENTAS!$R:$R,RESUMEN!AA131,VENTAS!$V:$V)</f>
        <v>0</v>
      </c>
      <c r="AI131" s="3">
        <f>SUMIF(VENTAS!$R:$R,RESUMEN!AA131,VENTAS!$W:$W)</f>
        <v>0</v>
      </c>
      <c r="AJ131" s="97">
        <f t="shared" si="55"/>
        <v>1724</v>
      </c>
      <c r="AK131" s="96"/>
      <c r="AL131" s="99">
        <f t="shared" si="46"/>
        <v>20</v>
      </c>
      <c r="AM131" s="11">
        <f t="shared" si="80"/>
        <v>43392</v>
      </c>
      <c r="AN131" s="3">
        <f t="shared" si="80"/>
        <v>138</v>
      </c>
      <c r="AO131" s="3">
        <f>SUMIF(MORTALIDAD!$Z:$Z,RESUMEN!AM131,MORTALIDAD!$AD:$AD)</f>
        <v>0</v>
      </c>
      <c r="AP131" s="19">
        <f t="shared" si="57"/>
        <v>-124</v>
      </c>
      <c r="AQ131" s="3">
        <f>SUMIF(MORTALIDAD!$Z:$Z,RESUMEN!AM131,MORTALIDAD!$AE:$AE)</f>
        <v>0</v>
      </c>
      <c r="AR131" s="3">
        <f>SUMIF(TRASLADOS!$AC:$AC,RESUMEN!AM131,TRASLADOS!$AF:$AF)</f>
        <v>0</v>
      </c>
      <c r="AS131" s="3">
        <f>SUMIF(TRASLADOS!$AC:$AC,RESUMEN!AM131,TRASLADOS!$AG:$AG)</f>
        <v>0</v>
      </c>
      <c r="AT131" s="3">
        <f>SUMIF(VENTAS!$Z:$Z,RESUMEN!AM131,VENTAS!$AD:$AD)</f>
        <v>0</v>
      </c>
      <c r="AU131" s="3">
        <f>SUMIF(VENTAS!$Z:$Z,RESUMEN!AM131,VENTAS!$AE:$AE)</f>
        <v>0</v>
      </c>
      <c r="AV131" s="97">
        <f t="shared" si="58"/>
        <v>2076</v>
      </c>
      <c r="AW131" s="96"/>
      <c r="AX131" s="99">
        <f t="shared" si="47"/>
        <v>20</v>
      </c>
      <c r="AY131" s="11">
        <f t="shared" si="81"/>
        <v>43399</v>
      </c>
      <c r="AZ131" s="3">
        <f t="shared" si="81"/>
        <v>138</v>
      </c>
      <c r="BA131" s="3">
        <f>SUMIF(MORTALIDAD!$AH:$AH,RESUMEN!AY131,MORTALIDAD!$AL:$AL)</f>
        <v>0</v>
      </c>
      <c r="BB131" s="19">
        <f t="shared" si="60"/>
        <v>-119</v>
      </c>
      <c r="BC131" s="3">
        <f>SUMIF(MORTALIDAD!$AH:$AH,RESUMEN!AY131,MORTALIDAD!$AM:$AM)</f>
        <v>0</v>
      </c>
      <c r="BD131" s="3">
        <f>SUMIF(TRASLADOS!$AL:$AL,RESUMEN!AY131,TRASLADOS!$AO:$AO)</f>
        <v>0</v>
      </c>
      <c r="BE131" s="3">
        <f>SUMIF(TRASLADOS!$AL:$AL,RESUMEN!AY131,TRASLADOS!$AP:$AP)</f>
        <v>0</v>
      </c>
      <c r="BF131" s="3">
        <f>SUMIF(VENTAS!$AH:$AH,RESUMEN!AY131,VENTAS!$AL:$AL)</f>
        <v>0</v>
      </c>
      <c r="BG131" s="3">
        <f>SUMIF(VENTAS!$AH:$AH,RESUMEN!AY131,VENTAS!$AM:$AM)</f>
        <v>0</v>
      </c>
      <c r="BH131" s="97">
        <f t="shared" si="61"/>
        <v>2081</v>
      </c>
      <c r="BI131" s="96"/>
      <c r="BJ131" s="99">
        <f t="shared" si="48"/>
        <v>21</v>
      </c>
      <c r="BK131" s="11">
        <f t="shared" si="82"/>
        <v>43408</v>
      </c>
      <c r="BL131" s="3">
        <f t="shared" si="82"/>
        <v>141</v>
      </c>
      <c r="BM131" s="3">
        <f>SUMIF(MORTALIDAD!$AP:$AP,RESUMEN!BK131,MORTALIDAD!$AT:$AT)</f>
        <v>0</v>
      </c>
      <c r="BN131" s="19">
        <f t="shared" si="63"/>
        <v>-73</v>
      </c>
      <c r="BO131" s="3">
        <f>SUMIF(MORTALIDAD!$AP$6:$AP$200,RESUMEN!BK131,MORTALIDAD!$AU$6:$AU$200)</f>
        <v>0</v>
      </c>
      <c r="BP131" s="3">
        <f>SUMIF(TRASLADOS!$AU:$AU,RESUMEN!BK131,TRASLADOS!$AX:$AX)</f>
        <v>0</v>
      </c>
      <c r="BQ131" s="3">
        <f>SUMIF(TRASLADOS!$AU:$AU,RESUMEN!BK131,TRASLADOS!$AY:$AY)</f>
        <v>0</v>
      </c>
      <c r="BR131" s="3">
        <f>SUMIF(VENTAS!$AP:$AP,RESUMEN!BK131,VENTAS!$AT:$AT)</f>
        <v>0</v>
      </c>
      <c r="BS131" s="3">
        <f>SUMIF(VENTAS!$AP:$AP,RESUMEN!BK131,VENTAS!$AU:$AU)</f>
        <v>0</v>
      </c>
      <c r="BT131" s="36">
        <f t="shared" si="64"/>
        <v>2241</v>
      </c>
    </row>
    <row r="132" spans="2:72" x14ac:dyDescent="0.2">
      <c r="B132" s="3">
        <f t="shared" si="43"/>
        <v>21</v>
      </c>
      <c r="C132" s="11">
        <f t="shared" si="75"/>
        <v>43379</v>
      </c>
      <c r="D132" s="3">
        <f t="shared" si="76"/>
        <v>141</v>
      </c>
      <c r="E132" s="3">
        <f>SUMIF(MORTALIDAD!$B$6:$B$200,RESUMEN!C132,MORTALIDAD!$F$6:$F$200)</f>
        <v>0</v>
      </c>
      <c r="F132" s="17">
        <f t="shared" si="77"/>
        <v>-740</v>
      </c>
      <c r="G132" s="3">
        <f>SUMIF(MORTALIDAD!$B$6:$B$200,RESUMEN!C132,MORTALIDAD!$G$6:$G$200)</f>
        <v>0</v>
      </c>
      <c r="H132" s="3">
        <f>SUMIF(TRASLADOS!$B$6:$B$200,C132,TRASLADOS!$E$6:$E$200)</f>
        <v>0</v>
      </c>
      <c r="I132" s="3">
        <f>SUMIF(TRASLADOS!$B$6:$B$200,C132,TRASLADOS!$F$6:$F$200)</f>
        <v>0</v>
      </c>
      <c r="J132" s="3">
        <f>SUMIF(VENTAS!$B$6:$B$200,RESUMEN!C132,VENTAS!$F$6:$F$200)</f>
        <v>0</v>
      </c>
      <c r="K132" s="3">
        <f>SUMIF(VENTAS!$B$6:$B$200,RESUMEN!C132,VENTAS!$G$6:$G$200)</f>
        <v>0</v>
      </c>
      <c r="L132" s="97">
        <f t="shared" si="49"/>
        <v>1460</v>
      </c>
      <c r="M132" s="96"/>
      <c r="N132" s="99">
        <f t="shared" si="44"/>
        <v>20</v>
      </c>
      <c r="O132" s="11">
        <f t="shared" si="78"/>
        <v>43382</v>
      </c>
      <c r="P132" s="3">
        <f t="shared" si="78"/>
        <v>140</v>
      </c>
      <c r="Q132" s="3">
        <f>SUMIF(MORTALIDAD!$J:$J,RESUMEN!O132,MORTALIDAD!$N:$N)</f>
        <v>0</v>
      </c>
      <c r="R132" s="19">
        <f t="shared" si="51"/>
        <v>-680</v>
      </c>
      <c r="S132" s="3">
        <f>SUMIF(MORTALIDAD!$J:$J,RESUMEN!O132,MORTALIDAD!$O:$O)</f>
        <v>0</v>
      </c>
      <c r="T132" s="3">
        <f>SUMIF(TRASLADOS!$K:$K,RESUMEN!O132,TRASLADOS!$N:$N)</f>
        <v>0</v>
      </c>
      <c r="U132" s="3">
        <f>SUMIF(TRASLADOS!$K:$K,RESUMEN!O132,TRASLADOS!$O:$O)</f>
        <v>0</v>
      </c>
      <c r="V132" s="3">
        <f>SUMIF(VENTAS!$J:$J,RESUMEN!O132,VENTAS!$N:$N)</f>
        <v>0</v>
      </c>
      <c r="W132" s="3">
        <f>SUMIF(VENTAS!$J:$J,RESUMEN!O132,VENTAS!$O:$O)</f>
        <v>0</v>
      </c>
      <c r="X132" s="97">
        <f t="shared" si="52"/>
        <v>1520</v>
      </c>
      <c r="Y132" s="96"/>
      <c r="Z132" s="99">
        <f t="shared" si="45"/>
        <v>20</v>
      </c>
      <c r="AA132" s="11">
        <f t="shared" si="79"/>
        <v>43386</v>
      </c>
      <c r="AB132" s="3">
        <f t="shared" si="79"/>
        <v>139</v>
      </c>
      <c r="AC132" s="3">
        <f>SUMIF(MORTALIDAD!$R:$R,RESUMEN!AA132,MORTALIDAD!$V:$V)</f>
        <v>0</v>
      </c>
      <c r="AD132" s="19">
        <f t="shared" si="54"/>
        <v>-476</v>
      </c>
      <c r="AE132" s="3">
        <f>SUMIF(MORTALIDAD!$R:$R,RESUMEN!AA132,MORTALIDAD!$W:$W)</f>
        <v>0</v>
      </c>
      <c r="AF132" s="3">
        <f>SUMIF(TRASLADOS!$T:$T,RESUMEN!AA132,TRASLADOS!$W:$W)</f>
        <v>0</v>
      </c>
      <c r="AG132" s="3">
        <f>SUMIF(TRASLADOS!$T:$T,RESUMEN!AA132,TRASLADOS!$X:$X)</f>
        <v>0</v>
      </c>
      <c r="AH132" s="3">
        <f>SUMIF(VENTAS!$R:$R,RESUMEN!AA132,VENTAS!$V:$V)</f>
        <v>0</v>
      </c>
      <c r="AI132" s="3">
        <f>SUMIF(VENTAS!$R:$R,RESUMEN!AA132,VENTAS!$W:$W)</f>
        <v>0</v>
      </c>
      <c r="AJ132" s="97">
        <f t="shared" si="55"/>
        <v>1724</v>
      </c>
      <c r="AK132" s="96"/>
      <c r="AL132" s="99">
        <f t="shared" si="46"/>
        <v>20</v>
      </c>
      <c r="AM132" s="11">
        <f t="shared" si="80"/>
        <v>43393</v>
      </c>
      <c r="AN132" s="3">
        <f t="shared" si="80"/>
        <v>139</v>
      </c>
      <c r="AO132" s="3">
        <f>SUMIF(MORTALIDAD!$Z:$Z,RESUMEN!AM132,MORTALIDAD!$AD:$AD)</f>
        <v>0</v>
      </c>
      <c r="AP132" s="19">
        <f t="shared" si="57"/>
        <v>-124</v>
      </c>
      <c r="AQ132" s="3">
        <f>SUMIF(MORTALIDAD!$Z:$Z,RESUMEN!AM132,MORTALIDAD!$AE:$AE)</f>
        <v>0</v>
      </c>
      <c r="AR132" s="3">
        <f>SUMIF(TRASLADOS!$AC:$AC,RESUMEN!AM132,TRASLADOS!$AF:$AF)</f>
        <v>0</v>
      </c>
      <c r="AS132" s="3">
        <f>SUMIF(TRASLADOS!$AC:$AC,RESUMEN!AM132,TRASLADOS!$AG:$AG)</f>
        <v>0</v>
      </c>
      <c r="AT132" s="3">
        <f>SUMIF(VENTAS!$Z:$Z,RESUMEN!AM132,VENTAS!$AD:$AD)</f>
        <v>0</v>
      </c>
      <c r="AU132" s="3">
        <f>SUMIF(VENTAS!$Z:$Z,RESUMEN!AM132,VENTAS!$AE:$AE)</f>
        <v>0</v>
      </c>
      <c r="AV132" s="97">
        <f t="shared" si="58"/>
        <v>2076</v>
      </c>
      <c r="AW132" s="96"/>
      <c r="AX132" s="99">
        <f t="shared" si="47"/>
        <v>20</v>
      </c>
      <c r="AY132" s="11">
        <f t="shared" si="81"/>
        <v>43400</v>
      </c>
      <c r="AZ132" s="3">
        <f t="shared" si="81"/>
        <v>139</v>
      </c>
      <c r="BA132" s="3">
        <f>SUMIF(MORTALIDAD!$AH:$AH,RESUMEN!AY132,MORTALIDAD!$AL:$AL)</f>
        <v>0</v>
      </c>
      <c r="BB132" s="19">
        <f t="shared" si="60"/>
        <v>-119</v>
      </c>
      <c r="BC132" s="3">
        <f>SUMIF(MORTALIDAD!$AH:$AH,RESUMEN!AY132,MORTALIDAD!$AM:$AM)</f>
        <v>0</v>
      </c>
      <c r="BD132" s="3">
        <f>SUMIF(TRASLADOS!$AL:$AL,RESUMEN!AY132,TRASLADOS!$AO:$AO)</f>
        <v>0</v>
      </c>
      <c r="BE132" s="3">
        <f>SUMIF(TRASLADOS!$AL:$AL,RESUMEN!AY132,TRASLADOS!$AP:$AP)</f>
        <v>0</v>
      </c>
      <c r="BF132" s="3">
        <f>SUMIF(VENTAS!$AH:$AH,RESUMEN!AY132,VENTAS!$AL:$AL)</f>
        <v>0</v>
      </c>
      <c r="BG132" s="3">
        <f>SUMIF(VENTAS!$AH:$AH,RESUMEN!AY132,VENTAS!$AM:$AM)</f>
        <v>0</v>
      </c>
      <c r="BH132" s="97">
        <f t="shared" si="61"/>
        <v>2081</v>
      </c>
      <c r="BI132" s="96"/>
      <c r="BJ132" s="99">
        <f t="shared" si="48"/>
        <v>21</v>
      </c>
      <c r="BK132" s="11">
        <f t="shared" si="82"/>
        <v>43409</v>
      </c>
      <c r="BL132" s="3">
        <f t="shared" si="82"/>
        <v>142</v>
      </c>
      <c r="BM132" s="3">
        <f>SUMIF(MORTALIDAD!$AP:$AP,RESUMEN!BK132,MORTALIDAD!$AT:$AT)</f>
        <v>0</v>
      </c>
      <c r="BN132" s="19">
        <f t="shared" si="63"/>
        <v>-73</v>
      </c>
      <c r="BO132" s="3">
        <f>SUMIF(MORTALIDAD!$AP$6:$AP$200,RESUMEN!BK132,MORTALIDAD!$AU$6:$AU$200)</f>
        <v>0</v>
      </c>
      <c r="BP132" s="3">
        <f>SUMIF(TRASLADOS!$AU:$AU,RESUMEN!BK132,TRASLADOS!$AX:$AX)</f>
        <v>0</v>
      </c>
      <c r="BQ132" s="3">
        <f>SUMIF(TRASLADOS!$AU:$AU,RESUMEN!BK132,TRASLADOS!$AY:$AY)</f>
        <v>0</v>
      </c>
      <c r="BR132" s="3">
        <f>SUMIF(VENTAS!$AP:$AP,RESUMEN!BK132,VENTAS!$AT:$AT)</f>
        <v>0</v>
      </c>
      <c r="BS132" s="3">
        <f>SUMIF(VENTAS!$AP:$AP,RESUMEN!BK132,VENTAS!$AU:$AU)</f>
        <v>0</v>
      </c>
      <c r="BT132" s="36">
        <f t="shared" si="64"/>
        <v>2241</v>
      </c>
    </row>
    <row r="133" spans="2:72" x14ac:dyDescent="0.2">
      <c r="B133" s="3">
        <f t="shared" si="43"/>
        <v>21</v>
      </c>
      <c r="C133" s="11">
        <f t="shared" si="75"/>
        <v>43380</v>
      </c>
      <c r="D133" s="3">
        <f t="shared" si="76"/>
        <v>142</v>
      </c>
      <c r="E133" s="3">
        <f>SUMIF(MORTALIDAD!$B$6:$B$200,RESUMEN!C133,MORTALIDAD!$F$6:$F$200)</f>
        <v>0</v>
      </c>
      <c r="F133" s="17">
        <f t="shared" si="77"/>
        <v>-740</v>
      </c>
      <c r="G133" s="3">
        <f>SUMIF(MORTALIDAD!$B$6:$B$200,RESUMEN!C133,MORTALIDAD!$G$6:$G$200)</f>
        <v>0</v>
      </c>
      <c r="H133" s="3">
        <f>SUMIF(TRASLADOS!$B$6:$B$200,C133,TRASLADOS!$E$6:$E$200)</f>
        <v>0</v>
      </c>
      <c r="I133" s="3">
        <f>SUMIF(TRASLADOS!$B$6:$B$200,C133,TRASLADOS!$F$6:$F$200)</f>
        <v>0</v>
      </c>
      <c r="J133" s="3">
        <f>SUMIF(VENTAS!$B$6:$B$200,RESUMEN!C133,VENTAS!$F$6:$F$200)</f>
        <v>0</v>
      </c>
      <c r="K133" s="3">
        <f>SUMIF(VENTAS!$B$6:$B$200,RESUMEN!C133,VENTAS!$G$6:$G$200)</f>
        <v>0</v>
      </c>
      <c r="L133" s="97">
        <f t="shared" si="49"/>
        <v>1460</v>
      </c>
      <c r="M133" s="96"/>
      <c r="N133" s="99">
        <f t="shared" si="44"/>
        <v>21</v>
      </c>
      <c r="O133" s="11">
        <f t="shared" si="78"/>
        <v>43383</v>
      </c>
      <c r="P133" s="3">
        <f t="shared" si="78"/>
        <v>141</v>
      </c>
      <c r="Q133" s="3">
        <f>SUMIF(MORTALIDAD!$J:$J,RESUMEN!O133,MORTALIDAD!$N:$N)</f>
        <v>0</v>
      </c>
      <c r="R133" s="19">
        <f t="shared" si="51"/>
        <v>-680</v>
      </c>
      <c r="S133" s="3">
        <f>SUMIF(MORTALIDAD!$J:$J,RESUMEN!O133,MORTALIDAD!$O:$O)</f>
        <v>0</v>
      </c>
      <c r="T133" s="3">
        <f>SUMIF(TRASLADOS!$K:$K,RESUMEN!O133,TRASLADOS!$N:$N)</f>
        <v>0</v>
      </c>
      <c r="U133" s="3">
        <f>SUMIF(TRASLADOS!$K:$K,RESUMEN!O133,TRASLADOS!$O:$O)</f>
        <v>0</v>
      </c>
      <c r="V133" s="3">
        <f>SUMIF(VENTAS!$J:$J,RESUMEN!O133,VENTAS!$N:$N)</f>
        <v>0</v>
      </c>
      <c r="W133" s="3">
        <f>SUMIF(VENTAS!$J:$J,RESUMEN!O133,VENTAS!$O:$O)</f>
        <v>0</v>
      </c>
      <c r="X133" s="97">
        <f t="shared" si="52"/>
        <v>1520</v>
      </c>
      <c r="Y133" s="96"/>
      <c r="Z133" s="99">
        <f t="shared" si="45"/>
        <v>20</v>
      </c>
      <c r="AA133" s="11">
        <f t="shared" si="79"/>
        <v>43387</v>
      </c>
      <c r="AB133" s="3">
        <f t="shared" si="79"/>
        <v>140</v>
      </c>
      <c r="AC133" s="3">
        <f>SUMIF(MORTALIDAD!$R:$R,RESUMEN!AA133,MORTALIDAD!$V:$V)</f>
        <v>0</v>
      </c>
      <c r="AD133" s="19">
        <f t="shared" si="54"/>
        <v>-476</v>
      </c>
      <c r="AE133" s="3">
        <f>SUMIF(MORTALIDAD!$R:$R,RESUMEN!AA133,MORTALIDAD!$W:$W)</f>
        <v>0</v>
      </c>
      <c r="AF133" s="3">
        <f>SUMIF(TRASLADOS!$T:$T,RESUMEN!AA133,TRASLADOS!$W:$W)</f>
        <v>0</v>
      </c>
      <c r="AG133" s="3">
        <f>SUMIF(TRASLADOS!$T:$T,RESUMEN!AA133,TRASLADOS!$X:$X)</f>
        <v>0</v>
      </c>
      <c r="AH133" s="3">
        <f>SUMIF(VENTAS!$R:$R,RESUMEN!AA133,VENTAS!$V:$V)</f>
        <v>0</v>
      </c>
      <c r="AI133" s="3">
        <f>SUMIF(VENTAS!$R:$R,RESUMEN!AA133,VENTAS!$W:$W)</f>
        <v>0</v>
      </c>
      <c r="AJ133" s="97">
        <f t="shared" si="55"/>
        <v>1724</v>
      </c>
      <c r="AK133" s="96"/>
      <c r="AL133" s="99">
        <f t="shared" si="46"/>
        <v>20</v>
      </c>
      <c r="AM133" s="11">
        <f t="shared" si="80"/>
        <v>43394</v>
      </c>
      <c r="AN133" s="3">
        <f t="shared" si="80"/>
        <v>140</v>
      </c>
      <c r="AO133" s="3">
        <f>SUMIF(MORTALIDAD!$Z:$Z,RESUMEN!AM133,MORTALIDAD!$AD:$AD)</f>
        <v>0</v>
      </c>
      <c r="AP133" s="19">
        <f t="shared" si="57"/>
        <v>-124</v>
      </c>
      <c r="AQ133" s="3">
        <f>SUMIF(MORTALIDAD!$Z:$Z,RESUMEN!AM133,MORTALIDAD!$AE:$AE)</f>
        <v>0</v>
      </c>
      <c r="AR133" s="3">
        <f>SUMIF(TRASLADOS!$AC:$AC,RESUMEN!AM133,TRASLADOS!$AF:$AF)</f>
        <v>0</v>
      </c>
      <c r="AS133" s="3">
        <f>SUMIF(TRASLADOS!$AC:$AC,RESUMEN!AM133,TRASLADOS!$AG:$AG)</f>
        <v>0</v>
      </c>
      <c r="AT133" s="3">
        <f>SUMIF(VENTAS!$Z:$Z,RESUMEN!AM133,VENTAS!$AD:$AD)</f>
        <v>0</v>
      </c>
      <c r="AU133" s="3">
        <f>SUMIF(VENTAS!$Z:$Z,RESUMEN!AM133,VENTAS!$AE:$AE)</f>
        <v>0</v>
      </c>
      <c r="AV133" s="97">
        <f t="shared" si="58"/>
        <v>2076</v>
      </c>
      <c r="AW133" s="96"/>
      <c r="AX133" s="99">
        <f t="shared" si="47"/>
        <v>20</v>
      </c>
      <c r="AY133" s="11">
        <f t="shared" si="81"/>
        <v>43401</v>
      </c>
      <c r="AZ133" s="3">
        <f t="shared" si="81"/>
        <v>140</v>
      </c>
      <c r="BA133" s="3">
        <f>SUMIF(MORTALIDAD!$AH:$AH,RESUMEN!AY133,MORTALIDAD!$AL:$AL)</f>
        <v>0</v>
      </c>
      <c r="BB133" s="19">
        <f t="shared" si="60"/>
        <v>-119</v>
      </c>
      <c r="BC133" s="3">
        <f>SUMIF(MORTALIDAD!$AH:$AH,RESUMEN!AY133,MORTALIDAD!$AM:$AM)</f>
        <v>0</v>
      </c>
      <c r="BD133" s="3">
        <f>SUMIF(TRASLADOS!$AL:$AL,RESUMEN!AY133,TRASLADOS!$AO:$AO)</f>
        <v>0</v>
      </c>
      <c r="BE133" s="3">
        <f>SUMIF(TRASLADOS!$AL:$AL,RESUMEN!AY133,TRASLADOS!$AP:$AP)</f>
        <v>0</v>
      </c>
      <c r="BF133" s="3">
        <f>SUMIF(VENTAS!$AH:$AH,RESUMEN!AY133,VENTAS!$AL:$AL)</f>
        <v>0</v>
      </c>
      <c r="BG133" s="3">
        <f>SUMIF(VENTAS!$AH:$AH,RESUMEN!AY133,VENTAS!$AM:$AM)</f>
        <v>0</v>
      </c>
      <c r="BH133" s="97">
        <f t="shared" si="61"/>
        <v>2081</v>
      </c>
      <c r="BI133" s="96"/>
      <c r="BJ133" s="99">
        <f t="shared" si="48"/>
        <v>21</v>
      </c>
      <c r="BK133" s="11">
        <f t="shared" si="82"/>
        <v>43410</v>
      </c>
      <c r="BL133" s="3">
        <f t="shared" si="82"/>
        <v>143</v>
      </c>
      <c r="BM133" s="3">
        <f>SUMIF(MORTALIDAD!$AP:$AP,RESUMEN!BK133,MORTALIDAD!$AT:$AT)</f>
        <v>0</v>
      </c>
      <c r="BN133" s="19">
        <f t="shared" si="63"/>
        <v>-73</v>
      </c>
      <c r="BO133" s="3">
        <f>SUMIF(MORTALIDAD!$AP$6:$AP$200,RESUMEN!BK133,MORTALIDAD!$AU$6:$AU$200)</f>
        <v>0</v>
      </c>
      <c r="BP133" s="3">
        <f>SUMIF(TRASLADOS!$AU:$AU,RESUMEN!BK133,TRASLADOS!$AX:$AX)</f>
        <v>0</v>
      </c>
      <c r="BQ133" s="3">
        <f>SUMIF(TRASLADOS!$AU:$AU,RESUMEN!BK133,TRASLADOS!$AY:$AY)</f>
        <v>0</v>
      </c>
      <c r="BR133" s="3">
        <f>SUMIF(VENTAS!$AP:$AP,RESUMEN!BK133,VENTAS!$AT:$AT)</f>
        <v>0</v>
      </c>
      <c r="BS133" s="3">
        <f>SUMIF(VENTAS!$AP:$AP,RESUMEN!BK133,VENTAS!$AU:$AU)</f>
        <v>0</v>
      </c>
      <c r="BT133" s="36">
        <f t="shared" si="64"/>
        <v>2241</v>
      </c>
    </row>
    <row r="134" spans="2:72" x14ac:dyDescent="0.2">
      <c r="B134" s="3">
        <f t="shared" si="43"/>
        <v>21</v>
      </c>
      <c r="C134" s="11">
        <f t="shared" si="75"/>
        <v>43381</v>
      </c>
      <c r="D134" s="3">
        <f t="shared" si="76"/>
        <v>143</v>
      </c>
      <c r="E134" s="3">
        <f>SUMIF(MORTALIDAD!$B$6:$B$200,RESUMEN!C134,MORTALIDAD!$F$6:$F$200)</f>
        <v>0</v>
      </c>
      <c r="F134" s="17">
        <f t="shared" si="77"/>
        <v>-740</v>
      </c>
      <c r="G134" s="3">
        <f>SUMIF(MORTALIDAD!$B$6:$B$200,RESUMEN!C134,MORTALIDAD!$G$6:$G$200)</f>
        <v>0</v>
      </c>
      <c r="H134" s="3">
        <f>SUMIF(TRASLADOS!$B$6:$B$200,C134,TRASLADOS!$E$6:$E$200)</f>
        <v>0</v>
      </c>
      <c r="I134" s="3">
        <f>SUMIF(TRASLADOS!$B$6:$B$200,C134,TRASLADOS!$F$6:$F$200)</f>
        <v>0</v>
      </c>
      <c r="J134" s="3">
        <f>SUMIF(VENTAS!$B$6:$B$200,RESUMEN!C134,VENTAS!$F$6:$F$200)</f>
        <v>0</v>
      </c>
      <c r="K134" s="3">
        <f>SUMIF(VENTAS!$B$6:$B$200,RESUMEN!C134,VENTAS!$G$6:$G$200)</f>
        <v>0</v>
      </c>
      <c r="L134" s="97">
        <f t="shared" si="49"/>
        <v>1460</v>
      </c>
      <c r="M134" s="96"/>
      <c r="N134" s="99">
        <f t="shared" si="44"/>
        <v>21</v>
      </c>
      <c r="O134" s="11">
        <f t="shared" si="78"/>
        <v>43384</v>
      </c>
      <c r="P134" s="3">
        <f t="shared" si="78"/>
        <v>142</v>
      </c>
      <c r="Q134" s="3">
        <f>SUMIF(MORTALIDAD!$J:$J,RESUMEN!O134,MORTALIDAD!$N:$N)</f>
        <v>0</v>
      </c>
      <c r="R134" s="19">
        <f t="shared" si="51"/>
        <v>-680</v>
      </c>
      <c r="S134" s="3">
        <f>SUMIF(MORTALIDAD!$J:$J,RESUMEN!O134,MORTALIDAD!$O:$O)</f>
        <v>0</v>
      </c>
      <c r="T134" s="3">
        <f>SUMIF(TRASLADOS!$K:$K,RESUMEN!O134,TRASLADOS!$N:$N)</f>
        <v>0</v>
      </c>
      <c r="U134" s="3">
        <f>SUMIF(TRASLADOS!$K:$K,RESUMEN!O134,TRASLADOS!$O:$O)</f>
        <v>0</v>
      </c>
      <c r="V134" s="3">
        <f>SUMIF(VENTAS!$J:$J,RESUMEN!O134,VENTAS!$N:$N)</f>
        <v>0</v>
      </c>
      <c r="W134" s="3">
        <f>SUMIF(VENTAS!$J:$J,RESUMEN!O134,VENTAS!$O:$O)</f>
        <v>0</v>
      </c>
      <c r="X134" s="97">
        <f t="shared" si="52"/>
        <v>1520</v>
      </c>
      <c r="Y134" s="96"/>
      <c r="Z134" s="99">
        <f t="shared" si="45"/>
        <v>21</v>
      </c>
      <c r="AA134" s="11">
        <f t="shared" si="79"/>
        <v>43388</v>
      </c>
      <c r="AB134" s="3">
        <f t="shared" si="79"/>
        <v>141</v>
      </c>
      <c r="AC134" s="3">
        <f>SUMIF(MORTALIDAD!$R:$R,RESUMEN!AA134,MORTALIDAD!$V:$V)</f>
        <v>0</v>
      </c>
      <c r="AD134" s="19">
        <f t="shared" si="54"/>
        <v>-476</v>
      </c>
      <c r="AE134" s="3">
        <f>SUMIF(MORTALIDAD!$R:$R,RESUMEN!AA134,MORTALIDAD!$W:$W)</f>
        <v>0</v>
      </c>
      <c r="AF134" s="3">
        <f>SUMIF(TRASLADOS!$T:$T,RESUMEN!AA134,TRASLADOS!$W:$W)</f>
        <v>0</v>
      </c>
      <c r="AG134" s="3">
        <f>SUMIF(TRASLADOS!$T:$T,RESUMEN!AA134,TRASLADOS!$X:$X)</f>
        <v>0</v>
      </c>
      <c r="AH134" s="3">
        <f>SUMIF(VENTAS!$R:$R,RESUMEN!AA134,VENTAS!$V:$V)</f>
        <v>0</v>
      </c>
      <c r="AI134" s="3">
        <f>SUMIF(VENTAS!$R:$R,RESUMEN!AA134,VENTAS!$W:$W)</f>
        <v>0</v>
      </c>
      <c r="AJ134" s="97">
        <f t="shared" si="55"/>
        <v>1724</v>
      </c>
      <c r="AK134" s="96"/>
      <c r="AL134" s="99">
        <f t="shared" si="46"/>
        <v>21</v>
      </c>
      <c r="AM134" s="11">
        <f t="shared" si="80"/>
        <v>43395</v>
      </c>
      <c r="AN134" s="3">
        <f t="shared" si="80"/>
        <v>141</v>
      </c>
      <c r="AO134" s="3">
        <f>SUMIF(MORTALIDAD!$Z:$Z,RESUMEN!AM134,MORTALIDAD!$AD:$AD)</f>
        <v>0</v>
      </c>
      <c r="AP134" s="19">
        <f t="shared" si="57"/>
        <v>-124</v>
      </c>
      <c r="AQ134" s="3">
        <f>SUMIF(MORTALIDAD!$Z:$Z,RESUMEN!AM134,MORTALIDAD!$AE:$AE)</f>
        <v>0</v>
      </c>
      <c r="AR134" s="3">
        <f>SUMIF(TRASLADOS!$AC:$AC,RESUMEN!AM134,TRASLADOS!$AF:$AF)</f>
        <v>0</v>
      </c>
      <c r="AS134" s="3">
        <f>SUMIF(TRASLADOS!$AC:$AC,RESUMEN!AM134,TRASLADOS!$AG:$AG)</f>
        <v>0</v>
      </c>
      <c r="AT134" s="3">
        <f>SUMIF(VENTAS!$Z:$Z,RESUMEN!AM134,VENTAS!$AD:$AD)</f>
        <v>0</v>
      </c>
      <c r="AU134" s="3">
        <f>SUMIF(VENTAS!$Z:$Z,RESUMEN!AM134,VENTAS!$AE:$AE)</f>
        <v>0</v>
      </c>
      <c r="AV134" s="97">
        <f t="shared" si="58"/>
        <v>2076</v>
      </c>
      <c r="AW134" s="96"/>
      <c r="AX134" s="99">
        <f t="shared" si="47"/>
        <v>21</v>
      </c>
      <c r="AY134" s="11">
        <f t="shared" si="81"/>
        <v>43402</v>
      </c>
      <c r="AZ134" s="3">
        <f t="shared" si="81"/>
        <v>141</v>
      </c>
      <c r="BA134" s="3">
        <f>SUMIF(MORTALIDAD!$AH:$AH,RESUMEN!AY134,MORTALIDAD!$AL:$AL)</f>
        <v>0</v>
      </c>
      <c r="BB134" s="19">
        <f t="shared" si="60"/>
        <v>-119</v>
      </c>
      <c r="BC134" s="3">
        <f>SUMIF(MORTALIDAD!$AH:$AH,RESUMEN!AY134,MORTALIDAD!$AM:$AM)</f>
        <v>0</v>
      </c>
      <c r="BD134" s="3">
        <f>SUMIF(TRASLADOS!$AL:$AL,RESUMEN!AY134,TRASLADOS!$AO:$AO)</f>
        <v>0</v>
      </c>
      <c r="BE134" s="3">
        <f>SUMIF(TRASLADOS!$AL:$AL,RESUMEN!AY134,TRASLADOS!$AP:$AP)</f>
        <v>0</v>
      </c>
      <c r="BF134" s="3">
        <f>SUMIF(VENTAS!$AH:$AH,RESUMEN!AY134,VENTAS!$AL:$AL)</f>
        <v>0</v>
      </c>
      <c r="BG134" s="3">
        <f>SUMIF(VENTAS!$AH:$AH,RESUMEN!AY134,VENTAS!$AM:$AM)</f>
        <v>0</v>
      </c>
      <c r="BH134" s="97">
        <f t="shared" si="61"/>
        <v>2081</v>
      </c>
      <c r="BI134" s="96"/>
      <c r="BJ134" s="99">
        <f t="shared" si="48"/>
        <v>21</v>
      </c>
      <c r="BK134" s="11">
        <f t="shared" si="82"/>
        <v>43411</v>
      </c>
      <c r="BL134" s="3">
        <f t="shared" si="82"/>
        <v>144</v>
      </c>
      <c r="BM134" s="3">
        <f>SUMIF(MORTALIDAD!$AP:$AP,RESUMEN!BK134,MORTALIDAD!$AT:$AT)</f>
        <v>0</v>
      </c>
      <c r="BN134" s="19">
        <f t="shared" si="63"/>
        <v>-73</v>
      </c>
      <c r="BO134" s="3">
        <f>SUMIF(MORTALIDAD!$AP$6:$AP$200,RESUMEN!BK134,MORTALIDAD!$AU$6:$AU$200)</f>
        <v>0</v>
      </c>
      <c r="BP134" s="3">
        <f>SUMIF(TRASLADOS!$AU:$AU,RESUMEN!BK134,TRASLADOS!$AX:$AX)</f>
        <v>0</v>
      </c>
      <c r="BQ134" s="3">
        <f>SUMIF(TRASLADOS!$AU:$AU,RESUMEN!BK134,TRASLADOS!$AY:$AY)</f>
        <v>0</v>
      </c>
      <c r="BR134" s="3">
        <f>SUMIF(VENTAS!$AP:$AP,RESUMEN!BK134,VENTAS!$AT:$AT)</f>
        <v>0</v>
      </c>
      <c r="BS134" s="3">
        <f>SUMIF(VENTAS!$AP:$AP,RESUMEN!BK134,VENTAS!$AU:$AU)</f>
        <v>0</v>
      </c>
      <c r="BT134" s="36">
        <f t="shared" si="64"/>
        <v>2241</v>
      </c>
    </row>
    <row r="135" spans="2:72" x14ac:dyDescent="0.2">
      <c r="B135" s="3">
        <f t="shared" si="43"/>
        <v>21</v>
      </c>
      <c r="C135" s="11">
        <f t="shared" si="75"/>
        <v>43382</v>
      </c>
      <c r="D135" s="3">
        <f t="shared" si="76"/>
        <v>144</v>
      </c>
      <c r="E135" s="3">
        <f>SUMIF(MORTALIDAD!$B$6:$B$200,RESUMEN!C135,MORTALIDAD!$F$6:$F$200)</f>
        <v>0</v>
      </c>
      <c r="F135" s="17">
        <f t="shared" si="77"/>
        <v>-740</v>
      </c>
      <c r="G135" s="3">
        <f>SUMIF(MORTALIDAD!$B$6:$B$200,RESUMEN!C135,MORTALIDAD!$G$6:$G$200)</f>
        <v>0</v>
      </c>
      <c r="H135" s="3">
        <f>SUMIF(TRASLADOS!$B$6:$B$200,C135,TRASLADOS!$E$6:$E$200)</f>
        <v>0</v>
      </c>
      <c r="I135" s="3">
        <f>SUMIF(TRASLADOS!$B$6:$B$200,C135,TRASLADOS!$F$6:$F$200)</f>
        <v>0</v>
      </c>
      <c r="J135" s="3">
        <f>SUMIF(VENTAS!$B$6:$B$200,RESUMEN!C135,VENTAS!$F$6:$F$200)</f>
        <v>0</v>
      </c>
      <c r="K135" s="3">
        <f>SUMIF(VENTAS!$B$6:$B$200,RESUMEN!C135,VENTAS!$G$6:$G$200)</f>
        <v>0</v>
      </c>
      <c r="L135" s="97">
        <f t="shared" si="49"/>
        <v>1460</v>
      </c>
      <c r="M135" s="96"/>
      <c r="N135" s="99">
        <f t="shared" si="44"/>
        <v>21</v>
      </c>
      <c r="O135" s="11">
        <f t="shared" si="78"/>
        <v>43385</v>
      </c>
      <c r="P135" s="3">
        <f t="shared" si="78"/>
        <v>143</v>
      </c>
      <c r="Q135" s="3">
        <f>SUMIF(MORTALIDAD!$J:$J,RESUMEN!O135,MORTALIDAD!$N:$N)</f>
        <v>0</v>
      </c>
      <c r="R135" s="19">
        <f t="shared" si="51"/>
        <v>-680</v>
      </c>
      <c r="S135" s="3">
        <f>SUMIF(MORTALIDAD!$J:$J,RESUMEN!O135,MORTALIDAD!$O:$O)</f>
        <v>0</v>
      </c>
      <c r="T135" s="3">
        <f>SUMIF(TRASLADOS!$K:$K,RESUMEN!O135,TRASLADOS!$N:$N)</f>
        <v>0</v>
      </c>
      <c r="U135" s="3">
        <f>SUMIF(TRASLADOS!$K:$K,RESUMEN!O135,TRASLADOS!$O:$O)</f>
        <v>0</v>
      </c>
      <c r="V135" s="3">
        <f>SUMIF(VENTAS!$J:$J,RESUMEN!O135,VENTAS!$N:$N)</f>
        <v>0</v>
      </c>
      <c r="W135" s="3">
        <f>SUMIF(VENTAS!$J:$J,RESUMEN!O135,VENTAS!$O:$O)</f>
        <v>0</v>
      </c>
      <c r="X135" s="97">
        <f t="shared" si="52"/>
        <v>1520</v>
      </c>
      <c r="Y135" s="96"/>
      <c r="Z135" s="99">
        <f t="shared" si="45"/>
        <v>21</v>
      </c>
      <c r="AA135" s="11">
        <f t="shared" si="79"/>
        <v>43389</v>
      </c>
      <c r="AB135" s="3">
        <f t="shared" si="79"/>
        <v>142</v>
      </c>
      <c r="AC135" s="3">
        <f>SUMIF(MORTALIDAD!$R:$R,RESUMEN!AA135,MORTALIDAD!$V:$V)</f>
        <v>0</v>
      </c>
      <c r="AD135" s="19">
        <f t="shared" si="54"/>
        <v>-476</v>
      </c>
      <c r="AE135" s="3">
        <f>SUMIF(MORTALIDAD!$R:$R,RESUMEN!AA135,MORTALIDAD!$W:$W)</f>
        <v>0</v>
      </c>
      <c r="AF135" s="3">
        <f>SUMIF(TRASLADOS!$T:$T,RESUMEN!AA135,TRASLADOS!$W:$W)</f>
        <v>0</v>
      </c>
      <c r="AG135" s="3">
        <f>SUMIF(TRASLADOS!$T:$T,RESUMEN!AA135,TRASLADOS!$X:$X)</f>
        <v>0</v>
      </c>
      <c r="AH135" s="3">
        <f>SUMIF(VENTAS!$R:$R,RESUMEN!AA135,VENTAS!$V:$V)</f>
        <v>0</v>
      </c>
      <c r="AI135" s="3">
        <f>SUMIF(VENTAS!$R:$R,RESUMEN!AA135,VENTAS!$W:$W)</f>
        <v>0</v>
      </c>
      <c r="AJ135" s="97">
        <f t="shared" si="55"/>
        <v>1724</v>
      </c>
      <c r="AK135" s="96"/>
      <c r="AL135" s="99">
        <f t="shared" si="46"/>
        <v>21</v>
      </c>
      <c r="AM135" s="11">
        <f t="shared" si="80"/>
        <v>43396</v>
      </c>
      <c r="AN135" s="3">
        <f t="shared" si="80"/>
        <v>142</v>
      </c>
      <c r="AO135" s="3">
        <f>SUMIF(MORTALIDAD!$Z:$Z,RESUMEN!AM135,MORTALIDAD!$AD:$AD)</f>
        <v>0</v>
      </c>
      <c r="AP135" s="19">
        <f t="shared" si="57"/>
        <v>-124</v>
      </c>
      <c r="AQ135" s="3">
        <f>SUMIF(MORTALIDAD!$Z:$Z,RESUMEN!AM135,MORTALIDAD!$AE:$AE)</f>
        <v>0</v>
      </c>
      <c r="AR135" s="3">
        <f>SUMIF(TRASLADOS!$AC:$AC,RESUMEN!AM135,TRASLADOS!$AF:$AF)</f>
        <v>0</v>
      </c>
      <c r="AS135" s="3">
        <f>SUMIF(TRASLADOS!$AC:$AC,RESUMEN!AM135,TRASLADOS!$AG:$AG)</f>
        <v>0</v>
      </c>
      <c r="AT135" s="3">
        <f>SUMIF(VENTAS!$Z:$Z,RESUMEN!AM135,VENTAS!$AD:$AD)</f>
        <v>0</v>
      </c>
      <c r="AU135" s="3">
        <f>SUMIF(VENTAS!$Z:$Z,RESUMEN!AM135,VENTAS!$AE:$AE)</f>
        <v>0</v>
      </c>
      <c r="AV135" s="97">
        <f t="shared" si="58"/>
        <v>2076</v>
      </c>
      <c r="AW135" s="96"/>
      <c r="AX135" s="99">
        <f t="shared" si="47"/>
        <v>21</v>
      </c>
      <c r="AY135" s="11">
        <f t="shared" si="81"/>
        <v>43403</v>
      </c>
      <c r="AZ135" s="3">
        <f t="shared" si="81"/>
        <v>142</v>
      </c>
      <c r="BA135" s="3">
        <f>SUMIF(MORTALIDAD!$AH:$AH,RESUMEN!AY135,MORTALIDAD!$AL:$AL)</f>
        <v>0</v>
      </c>
      <c r="BB135" s="19">
        <f t="shared" si="60"/>
        <v>-119</v>
      </c>
      <c r="BC135" s="3">
        <f>SUMIF(MORTALIDAD!$AH:$AH,RESUMEN!AY135,MORTALIDAD!$AM:$AM)</f>
        <v>0</v>
      </c>
      <c r="BD135" s="3">
        <f>SUMIF(TRASLADOS!$AL:$AL,RESUMEN!AY135,TRASLADOS!$AO:$AO)</f>
        <v>0</v>
      </c>
      <c r="BE135" s="3">
        <f>SUMIF(TRASLADOS!$AL:$AL,RESUMEN!AY135,TRASLADOS!$AP:$AP)</f>
        <v>0</v>
      </c>
      <c r="BF135" s="3">
        <f>SUMIF(VENTAS!$AH:$AH,RESUMEN!AY135,VENTAS!$AL:$AL)</f>
        <v>0</v>
      </c>
      <c r="BG135" s="3">
        <f>SUMIF(VENTAS!$AH:$AH,RESUMEN!AY135,VENTAS!$AM:$AM)</f>
        <v>0</v>
      </c>
      <c r="BH135" s="97">
        <f t="shared" si="61"/>
        <v>2081</v>
      </c>
      <c r="BI135" s="96"/>
      <c r="BJ135" s="99">
        <f t="shared" si="48"/>
        <v>21</v>
      </c>
      <c r="BK135" s="11">
        <f t="shared" si="82"/>
        <v>43412</v>
      </c>
      <c r="BL135" s="3">
        <f t="shared" si="82"/>
        <v>145</v>
      </c>
      <c r="BM135" s="3">
        <f>SUMIF(MORTALIDAD!$AP:$AP,RESUMEN!BK135,MORTALIDAD!$AT:$AT)</f>
        <v>0</v>
      </c>
      <c r="BN135" s="19">
        <f t="shared" si="63"/>
        <v>-73</v>
      </c>
      <c r="BO135" s="3">
        <f>SUMIF(MORTALIDAD!$AP$6:$AP$200,RESUMEN!BK135,MORTALIDAD!$AU$6:$AU$200)</f>
        <v>0</v>
      </c>
      <c r="BP135" s="3">
        <f>SUMIF(TRASLADOS!$AU:$AU,RESUMEN!BK135,TRASLADOS!$AX:$AX)</f>
        <v>0</v>
      </c>
      <c r="BQ135" s="3">
        <f>SUMIF(TRASLADOS!$AU:$AU,RESUMEN!BK135,TRASLADOS!$AY:$AY)</f>
        <v>0</v>
      </c>
      <c r="BR135" s="3">
        <f>SUMIF(VENTAS!$AP:$AP,RESUMEN!BK135,VENTAS!$AT:$AT)</f>
        <v>0</v>
      </c>
      <c r="BS135" s="3">
        <f>SUMIF(VENTAS!$AP:$AP,RESUMEN!BK135,VENTAS!$AU:$AU)</f>
        <v>0</v>
      </c>
      <c r="BT135" s="36">
        <f t="shared" si="64"/>
        <v>2241</v>
      </c>
    </row>
    <row r="136" spans="2:72" x14ac:dyDescent="0.2">
      <c r="B136" s="3">
        <f t="shared" si="43"/>
        <v>21</v>
      </c>
      <c r="C136" s="11">
        <f t="shared" si="75"/>
        <v>43383</v>
      </c>
      <c r="D136" s="3">
        <f t="shared" si="76"/>
        <v>145</v>
      </c>
      <c r="E136" s="3">
        <f>SUMIF(MORTALIDAD!$B$6:$B$200,RESUMEN!C136,MORTALIDAD!$F$6:$F$200)</f>
        <v>0</v>
      </c>
      <c r="F136" s="17">
        <f t="shared" si="77"/>
        <v>-740</v>
      </c>
      <c r="G136" s="3">
        <f>SUMIF(MORTALIDAD!$B$6:$B$200,RESUMEN!C136,MORTALIDAD!$G$6:$G$200)</f>
        <v>0</v>
      </c>
      <c r="H136" s="3">
        <f>SUMIF(TRASLADOS!$B$6:$B$200,C136,TRASLADOS!$E$6:$E$200)</f>
        <v>0</v>
      </c>
      <c r="I136" s="3">
        <f>SUMIF(TRASLADOS!$B$6:$B$200,C136,TRASLADOS!$F$6:$F$200)</f>
        <v>0</v>
      </c>
      <c r="J136" s="3">
        <f>SUMIF(VENTAS!$B$6:$B$200,RESUMEN!C136,VENTAS!$F$6:$F$200)</f>
        <v>0</v>
      </c>
      <c r="K136" s="3">
        <f>SUMIF(VENTAS!$B$6:$B$200,RESUMEN!C136,VENTAS!$G$6:$G$200)</f>
        <v>0</v>
      </c>
      <c r="L136" s="97">
        <f t="shared" si="49"/>
        <v>1460</v>
      </c>
      <c r="M136" s="96"/>
      <c r="N136" s="99">
        <f t="shared" si="44"/>
        <v>21</v>
      </c>
      <c r="O136" s="11">
        <f t="shared" si="78"/>
        <v>43386</v>
      </c>
      <c r="P136" s="3">
        <f t="shared" si="78"/>
        <v>144</v>
      </c>
      <c r="Q136" s="3">
        <f>SUMIF(MORTALIDAD!$J:$J,RESUMEN!O136,MORTALIDAD!$N:$N)</f>
        <v>0</v>
      </c>
      <c r="R136" s="19">
        <f t="shared" si="51"/>
        <v>-680</v>
      </c>
      <c r="S136" s="3">
        <f>SUMIF(MORTALIDAD!$J:$J,RESUMEN!O136,MORTALIDAD!$O:$O)</f>
        <v>0</v>
      </c>
      <c r="T136" s="3">
        <f>SUMIF(TRASLADOS!$K:$K,RESUMEN!O136,TRASLADOS!$N:$N)</f>
        <v>0</v>
      </c>
      <c r="U136" s="3">
        <f>SUMIF(TRASLADOS!$K:$K,RESUMEN!O136,TRASLADOS!$O:$O)</f>
        <v>0</v>
      </c>
      <c r="V136" s="3">
        <f>SUMIF(VENTAS!$J:$J,RESUMEN!O136,VENTAS!$N:$N)</f>
        <v>0</v>
      </c>
      <c r="W136" s="3">
        <f>SUMIF(VENTAS!$J:$J,RESUMEN!O136,VENTAS!$O:$O)</f>
        <v>0</v>
      </c>
      <c r="X136" s="97">
        <f t="shared" si="52"/>
        <v>1520</v>
      </c>
      <c r="Y136" s="96"/>
      <c r="Z136" s="99">
        <f t="shared" si="45"/>
        <v>21</v>
      </c>
      <c r="AA136" s="11">
        <f t="shared" si="79"/>
        <v>43390</v>
      </c>
      <c r="AB136" s="3">
        <f t="shared" si="79"/>
        <v>143</v>
      </c>
      <c r="AC136" s="3">
        <f>SUMIF(MORTALIDAD!$R:$R,RESUMEN!AA136,MORTALIDAD!$V:$V)</f>
        <v>0</v>
      </c>
      <c r="AD136" s="19">
        <f t="shared" si="54"/>
        <v>-476</v>
      </c>
      <c r="AE136" s="3">
        <f>SUMIF(MORTALIDAD!$R:$R,RESUMEN!AA136,MORTALIDAD!$W:$W)</f>
        <v>0</v>
      </c>
      <c r="AF136" s="3">
        <f>SUMIF(TRASLADOS!$T:$T,RESUMEN!AA136,TRASLADOS!$W:$W)</f>
        <v>0</v>
      </c>
      <c r="AG136" s="3">
        <f>SUMIF(TRASLADOS!$T:$T,RESUMEN!AA136,TRASLADOS!$X:$X)</f>
        <v>0</v>
      </c>
      <c r="AH136" s="3">
        <f>SUMIF(VENTAS!$R:$R,RESUMEN!AA136,VENTAS!$V:$V)</f>
        <v>0</v>
      </c>
      <c r="AI136" s="3">
        <f>SUMIF(VENTAS!$R:$R,RESUMEN!AA136,VENTAS!$W:$W)</f>
        <v>0</v>
      </c>
      <c r="AJ136" s="97">
        <f t="shared" si="55"/>
        <v>1724</v>
      </c>
      <c r="AK136" s="96"/>
      <c r="AL136" s="99">
        <f t="shared" si="46"/>
        <v>21</v>
      </c>
      <c r="AM136" s="11">
        <f t="shared" si="80"/>
        <v>43397</v>
      </c>
      <c r="AN136" s="3">
        <f t="shared" si="80"/>
        <v>143</v>
      </c>
      <c r="AO136" s="3">
        <f>SUMIF(MORTALIDAD!$Z:$Z,RESUMEN!AM136,MORTALIDAD!$AD:$AD)</f>
        <v>0</v>
      </c>
      <c r="AP136" s="19">
        <f t="shared" si="57"/>
        <v>-124</v>
      </c>
      <c r="AQ136" s="3">
        <f>SUMIF(MORTALIDAD!$Z:$Z,RESUMEN!AM136,MORTALIDAD!$AE:$AE)</f>
        <v>0</v>
      </c>
      <c r="AR136" s="3">
        <f>SUMIF(TRASLADOS!$AC:$AC,RESUMEN!AM136,TRASLADOS!$AF:$AF)</f>
        <v>0</v>
      </c>
      <c r="AS136" s="3">
        <f>SUMIF(TRASLADOS!$AC:$AC,RESUMEN!AM136,TRASLADOS!$AG:$AG)</f>
        <v>0</v>
      </c>
      <c r="AT136" s="3">
        <f>SUMIF(VENTAS!$Z:$Z,RESUMEN!AM136,VENTAS!$AD:$AD)</f>
        <v>0</v>
      </c>
      <c r="AU136" s="3">
        <f>SUMIF(VENTAS!$Z:$Z,RESUMEN!AM136,VENTAS!$AE:$AE)</f>
        <v>0</v>
      </c>
      <c r="AV136" s="97">
        <f t="shared" si="58"/>
        <v>2076</v>
      </c>
      <c r="AW136" s="96"/>
      <c r="AX136" s="99">
        <f t="shared" si="47"/>
        <v>21</v>
      </c>
      <c r="AY136" s="11">
        <f t="shared" si="81"/>
        <v>43404</v>
      </c>
      <c r="AZ136" s="3">
        <f t="shared" si="81"/>
        <v>143</v>
      </c>
      <c r="BA136" s="3">
        <f>SUMIF(MORTALIDAD!$AH:$AH,RESUMEN!AY136,MORTALIDAD!$AL:$AL)</f>
        <v>0</v>
      </c>
      <c r="BB136" s="19">
        <f t="shared" si="60"/>
        <v>-119</v>
      </c>
      <c r="BC136" s="3">
        <f>SUMIF(MORTALIDAD!$AH:$AH,RESUMEN!AY136,MORTALIDAD!$AM:$AM)</f>
        <v>0</v>
      </c>
      <c r="BD136" s="3">
        <f>SUMIF(TRASLADOS!$AL:$AL,RESUMEN!AY136,TRASLADOS!$AO:$AO)</f>
        <v>0</v>
      </c>
      <c r="BE136" s="3">
        <f>SUMIF(TRASLADOS!$AL:$AL,RESUMEN!AY136,TRASLADOS!$AP:$AP)</f>
        <v>0</v>
      </c>
      <c r="BF136" s="3">
        <f>SUMIF(VENTAS!$AH:$AH,RESUMEN!AY136,VENTAS!$AL:$AL)</f>
        <v>0</v>
      </c>
      <c r="BG136" s="3">
        <f>SUMIF(VENTAS!$AH:$AH,RESUMEN!AY136,VENTAS!$AM:$AM)</f>
        <v>0</v>
      </c>
      <c r="BH136" s="97">
        <f t="shared" si="61"/>
        <v>2081</v>
      </c>
      <c r="BI136" s="96"/>
      <c r="BJ136" s="99">
        <f t="shared" si="48"/>
        <v>21</v>
      </c>
      <c r="BK136" s="11">
        <f t="shared" si="82"/>
        <v>43413</v>
      </c>
      <c r="BL136" s="3">
        <f t="shared" si="82"/>
        <v>146</v>
      </c>
      <c r="BM136" s="3">
        <f>SUMIF(MORTALIDAD!$AP:$AP,RESUMEN!BK136,MORTALIDAD!$AT:$AT)</f>
        <v>0</v>
      </c>
      <c r="BN136" s="19">
        <f t="shared" si="63"/>
        <v>-73</v>
      </c>
      <c r="BO136" s="3">
        <f>SUMIF(MORTALIDAD!$AP$6:$AP$200,RESUMEN!BK136,MORTALIDAD!$AU$6:$AU$200)</f>
        <v>0</v>
      </c>
      <c r="BP136" s="3">
        <f>SUMIF(TRASLADOS!$AU:$AU,RESUMEN!BK136,TRASLADOS!$AX:$AX)</f>
        <v>0</v>
      </c>
      <c r="BQ136" s="3">
        <f>SUMIF(TRASLADOS!$AU:$AU,RESUMEN!BK136,TRASLADOS!$AY:$AY)</f>
        <v>0</v>
      </c>
      <c r="BR136" s="3">
        <f>SUMIF(VENTAS!$AP:$AP,RESUMEN!BK136,VENTAS!$AT:$AT)</f>
        <v>0</v>
      </c>
      <c r="BS136" s="3">
        <f>SUMIF(VENTAS!$AP:$AP,RESUMEN!BK136,VENTAS!$AU:$AU)</f>
        <v>0</v>
      </c>
      <c r="BT136" s="36">
        <f t="shared" si="64"/>
        <v>2241</v>
      </c>
    </row>
    <row r="137" spans="2:72" x14ac:dyDescent="0.2">
      <c r="B137" s="3">
        <f t="shared" si="43"/>
        <v>21</v>
      </c>
      <c r="C137" s="11">
        <f t="shared" si="75"/>
        <v>43384</v>
      </c>
      <c r="D137" s="3">
        <f t="shared" si="76"/>
        <v>146</v>
      </c>
      <c r="E137" s="3">
        <f>SUMIF(MORTALIDAD!$B$6:$B$200,RESUMEN!C137,MORTALIDAD!$F$6:$F$200)</f>
        <v>0</v>
      </c>
      <c r="F137" s="17">
        <f t="shared" si="77"/>
        <v>-740</v>
      </c>
      <c r="G137" s="3">
        <f>SUMIF(MORTALIDAD!$B$6:$B$200,RESUMEN!C137,MORTALIDAD!$G$6:$G$200)</f>
        <v>0</v>
      </c>
      <c r="H137" s="3">
        <f>SUMIF(TRASLADOS!$B$6:$B$200,C137,TRASLADOS!$E$6:$E$200)</f>
        <v>0</v>
      </c>
      <c r="I137" s="3">
        <f>SUMIF(TRASLADOS!$B$6:$B$200,C137,TRASLADOS!$F$6:$F$200)</f>
        <v>0</v>
      </c>
      <c r="J137" s="3">
        <f>SUMIF(VENTAS!$B$6:$B$200,RESUMEN!C137,VENTAS!$F$6:$F$200)</f>
        <v>0</v>
      </c>
      <c r="K137" s="3">
        <f>SUMIF(VENTAS!$B$6:$B$200,RESUMEN!C137,VENTAS!$G$6:$G$200)</f>
        <v>0</v>
      </c>
      <c r="L137" s="97">
        <f t="shared" si="49"/>
        <v>1460</v>
      </c>
      <c r="M137" s="96"/>
      <c r="N137" s="99">
        <f t="shared" si="44"/>
        <v>21</v>
      </c>
      <c r="O137" s="11">
        <f t="shared" si="78"/>
        <v>43387</v>
      </c>
      <c r="P137" s="3">
        <f t="shared" si="78"/>
        <v>145</v>
      </c>
      <c r="Q137" s="3">
        <f>SUMIF(MORTALIDAD!$J:$J,RESUMEN!O137,MORTALIDAD!$N:$N)</f>
        <v>0</v>
      </c>
      <c r="R137" s="19">
        <f t="shared" si="51"/>
        <v>-680</v>
      </c>
      <c r="S137" s="3">
        <f>SUMIF(MORTALIDAD!$J:$J,RESUMEN!O137,MORTALIDAD!$O:$O)</f>
        <v>0</v>
      </c>
      <c r="T137" s="3">
        <f>SUMIF(TRASLADOS!$K:$K,RESUMEN!O137,TRASLADOS!$N:$N)</f>
        <v>0</v>
      </c>
      <c r="U137" s="3">
        <f>SUMIF(TRASLADOS!$K:$K,RESUMEN!O137,TRASLADOS!$O:$O)</f>
        <v>0</v>
      </c>
      <c r="V137" s="3">
        <f>SUMIF(VENTAS!$J:$J,RESUMEN!O137,VENTAS!$N:$N)</f>
        <v>0</v>
      </c>
      <c r="W137" s="3">
        <f>SUMIF(VENTAS!$J:$J,RESUMEN!O137,VENTAS!$O:$O)</f>
        <v>0</v>
      </c>
      <c r="X137" s="97">
        <f t="shared" si="52"/>
        <v>1520</v>
      </c>
      <c r="Y137" s="96"/>
      <c r="Z137" s="99">
        <f t="shared" si="45"/>
        <v>21</v>
      </c>
      <c r="AA137" s="11">
        <f t="shared" si="79"/>
        <v>43391</v>
      </c>
      <c r="AB137" s="3">
        <f t="shared" si="79"/>
        <v>144</v>
      </c>
      <c r="AC137" s="3">
        <f>SUMIF(MORTALIDAD!$R:$R,RESUMEN!AA137,MORTALIDAD!$V:$V)</f>
        <v>0</v>
      </c>
      <c r="AD137" s="19">
        <f t="shared" si="54"/>
        <v>-476</v>
      </c>
      <c r="AE137" s="3">
        <f>SUMIF(MORTALIDAD!$R:$R,RESUMEN!AA137,MORTALIDAD!$W:$W)</f>
        <v>0</v>
      </c>
      <c r="AF137" s="3">
        <f>SUMIF(TRASLADOS!$T:$T,RESUMEN!AA137,TRASLADOS!$W:$W)</f>
        <v>0</v>
      </c>
      <c r="AG137" s="3">
        <f>SUMIF(TRASLADOS!$T:$T,RESUMEN!AA137,TRASLADOS!$X:$X)</f>
        <v>0</v>
      </c>
      <c r="AH137" s="3">
        <f>SUMIF(VENTAS!$R:$R,RESUMEN!AA137,VENTAS!$V:$V)</f>
        <v>0</v>
      </c>
      <c r="AI137" s="3">
        <f>SUMIF(VENTAS!$R:$R,RESUMEN!AA137,VENTAS!$W:$W)</f>
        <v>0</v>
      </c>
      <c r="AJ137" s="97">
        <f t="shared" si="55"/>
        <v>1724</v>
      </c>
      <c r="AK137" s="96"/>
      <c r="AL137" s="99">
        <f t="shared" si="46"/>
        <v>21</v>
      </c>
      <c r="AM137" s="11">
        <f t="shared" si="80"/>
        <v>43398</v>
      </c>
      <c r="AN137" s="3">
        <f t="shared" si="80"/>
        <v>144</v>
      </c>
      <c r="AO137" s="3">
        <f>SUMIF(MORTALIDAD!$Z:$Z,RESUMEN!AM137,MORTALIDAD!$AD:$AD)</f>
        <v>0</v>
      </c>
      <c r="AP137" s="19">
        <f t="shared" si="57"/>
        <v>-124</v>
      </c>
      <c r="AQ137" s="3">
        <f>SUMIF(MORTALIDAD!$Z:$Z,RESUMEN!AM137,MORTALIDAD!$AE:$AE)</f>
        <v>0</v>
      </c>
      <c r="AR137" s="3">
        <f>SUMIF(TRASLADOS!$AC:$AC,RESUMEN!AM137,TRASLADOS!$AF:$AF)</f>
        <v>0</v>
      </c>
      <c r="AS137" s="3">
        <f>SUMIF(TRASLADOS!$AC:$AC,RESUMEN!AM137,TRASLADOS!$AG:$AG)</f>
        <v>0</v>
      </c>
      <c r="AT137" s="3">
        <f>SUMIF(VENTAS!$Z:$Z,RESUMEN!AM137,VENTAS!$AD:$AD)</f>
        <v>0</v>
      </c>
      <c r="AU137" s="3">
        <f>SUMIF(VENTAS!$Z:$Z,RESUMEN!AM137,VENTAS!$AE:$AE)</f>
        <v>0</v>
      </c>
      <c r="AV137" s="97">
        <f t="shared" si="58"/>
        <v>2076</v>
      </c>
      <c r="AW137" s="96"/>
      <c r="AX137" s="99">
        <f t="shared" si="47"/>
        <v>21</v>
      </c>
      <c r="AY137" s="11">
        <f t="shared" si="81"/>
        <v>43405</v>
      </c>
      <c r="AZ137" s="3">
        <f t="shared" si="81"/>
        <v>144</v>
      </c>
      <c r="BA137" s="3">
        <f>SUMIF(MORTALIDAD!$AH:$AH,RESUMEN!AY137,MORTALIDAD!$AL:$AL)</f>
        <v>0</v>
      </c>
      <c r="BB137" s="19">
        <f t="shared" si="60"/>
        <v>-119</v>
      </c>
      <c r="BC137" s="3">
        <f>SUMIF(MORTALIDAD!$AH:$AH,RESUMEN!AY137,MORTALIDAD!$AM:$AM)</f>
        <v>0</v>
      </c>
      <c r="BD137" s="3">
        <f>SUMIF(TRASLADOS!$AL:$AL,RESUMEN!AY137,TRASLADOS!$AO:$AO)</f>
        <v>0</v>
      </c>
      <c r="BE137" s="3">
        <f>SUMIF(TRASLADOS!$AL:$AL,RESUMEN!AY137,TRASLADOS!$AP:$AP)</f>
        <v>0</v>
      </c>
      <c r="BF137" s="3">
        <f>SUMIF(VENTAS!$AH:$AH,RESUMEN!AY137,VENTAS!$AL:$AL)</f>
        <v>0</v>
      </c>
      <c r="BG137" s="3">
        <f>SUMIF(VENTAS!$AH:$AH,RESUMEN!AY137,VENTAS!$AM:$AM)</f>
        <v>0</v>
      </c>
      <c r="BH137" s="97">
        <f t="shared" si="61"/>
        <v>2081</v>
      </c>
      <c r="BI137" s="96"/>
      <c r="BJ137" s="99">
        <f t="shared" si="48"/>
        <v>21</v>
      </c>
      <c r="BK137" s="11">
        <f t="shared" si="82"/>
        <v>43414</v>
      </c>
      <c r="BL137" s="3">
        <f t="shared" si="82"/>
        <v>147</v>
      </c>
      <c r="BM137" s="3">
        <f>SUMIF(MORTALIDAD!$AP:$AP,RESUMEN!BK137,MORTALIDAD!$AT:$AT)</f>
        <v>0</v>
      </c>
      <c r="BN137" s="19">
        <f t="shared" si="63"/>
        <v>-73</v>
      </c>
      <c r="BO137" s="3">
        <f>SUMIF(MORTALIDAD!$AP$6:$AP$200,RESUMEN!BK137,MORTALIDAD!$AU$6:$AU$200)</f>
        <v>0</v>
      </c>
      <c r="BP137" s="3">
        <f>SUMIF(TRASLADOS!$AU:$AU,RESUMEN!BK137,TRASLADOS!$AX:$AX)</f>
        <v>0</v>
      </c>
      <c r="BQ137" s="3">
        <f>SUMIF(TRASLADOS!$AU:$AU,RESUMEN!BK137,TRASLADOS!$AY:$AY)</f>
        <v>0</v>
      </c>
      <c r="BR137" s="3">
        <f>SUMIF(VENTAS!$AP:$AP,RESUMEN!BK137,VENTAS!$AT:$AT)</f>
        <v>0</v>
      </c>
      <c r="BS137" s="3">
        <f>SUMIF(VENTAS!$AP:$AP,RESUMEN!BK137,VENTAS!$AU:$AU)</f>
        <v>0</v>
      </c>
      <c r="BT137" s="36">
        <f t="shared" si="64"/>
        <v>2241</v>
      </c>
    </row>
    <row r="138" spans="2:72" x14ac:dyDescent="0.2">
      <c r="B138" s="3">
        <f t="shared" si="43"/>
        <v>21</v>
      </c>
      <c r="C138" s="11">
        <f t="shared" si="75"/>
        <v>43385</v>
      </c>
      <c r="D138" s="3">
        <f t="shared" si="76"/>
        <v>147</v>
      </c>
      <c r="E138" s="3">
        <f>SUMIF(MORTALIDAD!$B$6:$B$200,RESUMEN!C138,MORTALIDAD!$F$6:$F$200)</f>
        <v>0</v>
      </c>
      <c r="F138" s="17">
        <f t="shared" si="77"/>
        <v>-740</v>
      </c>
      <c r="G138" s="3">
        <f>SUMIF(MORTALIDAD!$B$6:$B$200,RESUMEN!C138,MORTALIDAD!$G$6:$G$200)</f>
        <v>0</v>
      </c>
      <c r="H138" s="3">
        <f>SUMIF(TRASLADOS!$B$6:$B$200,C138,TRASLADOS!$E$6:$E$200)</f>
        <v>0</v>
      </c>
      <c r="I138" s="3">
        <f>SUMIF(TRASLADOS!$B$6:$B$200,C138,TRASLADOS!$F$6:$F$200)</f>
        <v>0</v>
      </c>
      <c r="J138" s="3">
        <f>SUMIF(VENTAS!$B$6:$B$200,RESUMEN!C138,VENTAS!$F$6:$F$200)</f>
        <v>0</v>
      </c>
      <c r="K138" s="3">
        <f>SUMIF(VENTAS!$B$6:$B$200,RESUMEN!C138,VENTAS!$G$6:$G$200)</f>
        <v>0</v>
      </c>
      <c r="L138" s="97">
        <f t="shared" si="49"/>
        <v>1460</v>
      </c>
      <c r="M138" s="96"/>
      <c r="N138" s="99">
        <f t="shared" si="44"/>
        <v>21</v>
      </c>
      <c r="O138" s="11">
        <f t="shared" si="78"/>
        <v>43388</v>
      </c>
      <c r="P138" s="3">
        <f t="shared" si="78"/>
        <v>146</v>
      </c>
      <c r="Q138" s="3">
        <f>SUMIF(MORTALIDAD!$J:$J,RESUMEN!O138,MORTALIDAD!$N:$N)</f>
        <v>0</v>
      </c>
      <c r="R138" s="19">
        <f t="shared" si="51"/>
        <v>-680</v>
      </c>
      <c r="S138" s="3">
        <f>SUMIF(MORTALIDAD!$J:$J,RESUMEN!O138,MORTALIDAD!$O:$O)</f>
        <v>0</v>
      </c>
      <c r="T138" s="3">
        <f>SUMIF(TRASLADOS!$K:$K,RESUMEN!O138,TRASLADOS!$N:$N)</f>
        <v>0</v>
      </c>
      <c r="U138" s="3">
        <f>SUMIF(TRASLADOS!$K:$K,RESUMEN!O138,TRASLADOS!$O:$O)</f>
        <v>0</v>
      </c>
      <c r="V138" s="3">
        <f>SUMIF(VENTAS!$J:$J,RESUMEN!O138,VENTAS!$N:$N)</f>
        <v>0</v>
      </c>
      <c r="W138" s="3">
        <f>SUMIF(VENTAS!$J:$J,RESUMEN!O138,VENTAS!$O:$O)</f>
        <v>0</v>
      </c>
      <c r="X138" s="97">
        <f t="shared" si="52"/>
        <v>1520</v>
      </c>
      <c r="Y138" s="96"/>
      <c r="Z138" s="99">
        <f t="shared" si="45"/>
        <v>21</v>
      </c>
      <c r="AA138" s="11">
        <f t="shared" si="79"/>
        <v>43392</v>
      </c>
      <c r="AB138" s="3">
        <f t="shared" si="79"/>
        <v>145</v>
      </c>
      <c r="AC138" s="3">
        <f>SUMIF(MORTALIDAD!$R:$R,RESUMEN!AA138,MORTALIDAD!$V:$V)</f>
        <v>0</v>
      </c>
      <c r="AD138" s="19">
        <f t="shared" si="54"/>
        <v>-476</v>
      </c>
      <c r="AE138" s="3">
        <f>SUMIF(MORTALIDAD!$R:$R,RESUMEN!AA138,MORTALIDAD!$W:$W)</f>
        <v>0</v>
      </c>
      <c r="AF138" s="3">
        <f>SUMIF(TRASLADOS!$T:$T,RESUMEN!AA138,TRASLADOS!$W:$W)</f>
        <v>0</v>
      </c>
      <c r="AG138" s="3">
        <f>SUMIF(TRASLADOS!$T:$T,RESUMEN!AA138,TRASLADOS!$X:$X)</f>
        <v>0</v>
      </c>
      <c r="AH138" s="3">
        <f>SUMIF(VENTAS!$R:$R,RESUMEN!AA138,VENTAS!$V:$V)</f>
        <v>0</v>
      </c>
      <c r="AI138" s="3">
        <f>SUMIF(VENTAS!$R:$R,RESUMEN!AA138,VENTAS!$W:$W)</f>
        <v>0</v>
      </c>
      <c r="AJ138" s="97">
        <f t="shared" si="55"/>
        <v>1724</v>
      </c>
      <c r="AK138" s="96"/>
      <c r="AL138" s="99">
        <f t="shared" si="46"/>
        <v>21</v>
      </c>
      <c r="AM138" s="11">
        <f t="shared" si="80"/>
        <v>43399</v>
      </c>
      <c r="AN138" s="3">
        <f t="shared" si="80"/>
        <v>145</v>
      </c>
      <c r="AO138" s="3">
        <f>SUMIF(MORTALIDAD!$Z:$Z,RESUMEN!AM138,MORTALIDAD!$AD:$AD)</f>
        <v>0</v>
      </c>
      <c r="AP138" s="19">
        <f t="shared" si="57"/>
        <v>-124</v>
      </c>
      <c r="AQ138" s="3">
        <f>SUMIF(MORTALIDAD!$Z:$Z,RESUMEN!AM138,MORTALIDAD!$AE:$AE)</f>
        <v>0</v>
      </c>
      <c r="AR138" s="3">
        <f>SUMIF(TRASLADOS!$AC:$AC,RESUMEN!AM138,TRASLADOS!$AF:$AF)</f>
        <v>0</v>
      </c>
      <c r="AS138" s="3">
        <f>SUMIF(TRASLADOS!$AC:$AC,RESUMEN!AM138,TRASLADOS!$AG:$AG)</f>
        <v>0</v>
      </c>
      <c r="AT138" s="3">
        <f>SUMIF(VENTAS!$Z:$Z,RESUMEN!AM138,VENTAS!$AD:$AD)</f>
        <v>0</v>
      </c>
      <c r="AU138" s="3">
        <f>SUMIF(VENTAS!$Z:$Z,RESUMEN!AM138,VENTAS!$AE:$AE)</f>
        <v>0</v>
      </c>
      <c r="AV138" s="97">
        <f t="shared" si="58"/>
        <v>2076</v>
      </c>
      <c r="AW138" s="96"/>
      <c r="AX138" s="99">
        <f t="shared" si="47"/>
        <v>21</v>
      </c>
      <c r="AY138" s="11">
        <f t="shared" si="81"/>
        <v>43406</v>
      </c>
      <c r="AZ138" s="3">
        <f t="shared" si="81"/>
        <v>145</v>
      </c>
      <c r="BA138" s="3">
        <f>SUMIF(MORTALIDAD!$AH:$AH,RESUMEN!AY138,MORTALIDAD!$AL:$AL)</f>
        <v>0</v>
      </c>
      <c r="BB138" s="19">
        <f t="shared" si="60"/>
        <v>-119</v>
      </c>
      <c r="BC138" s="3">
        <f>SUMIF(MORTALIDAD!$AH:$AH,RESUMEN!AY138,MORTALIDAD!$AM:$AM)</f>
        <v>0</v>
      </c>
      <c r="BD138" s="3">
        <f>SUMIF(TRASLADOS!$AL:$AL,RESUMEN!AY138,TRASLADOS!$AO:$AO)</f>
        <v>0</v>
      </c>
      <c r="BE138" s="3">
        <f>SUMIF(TRASLADOS!$AL:$AL,RESUMEN!AY138,TRASLADOS!$AP:$AP)</f>
        <v>0</v>
      </c>
      <c r="BF138" s="3">
        <f>SUMIF(VENTAS!$AH:$AH,RESUMEN!AY138,VENTAS!$AL:$AL)</f>
        <v>0</v>
      </c>
      <c r="BG138" s="3">
        <f>SUMIF(VENTAS!$AH:$AH,RESUMEN!AY138,VENTAS!$AM:$AM)</f>
        <v>0</v>
      </c>
      <c r="BH138" s="97">
        <f t="shared" si="61"/>
        <v>2081</v>
      </c>
      <c r="BI138" s="96"/>
      <c r="BJ138" s="99">
        <f t="shared" si="48"/>
        <v>22</v>
      </c>
      <c r="BK138" s="11">
        <f t="shared" si="82"/>
        <v>43415</v>
      </c>
      <c r="BL138" s="3">
        <f t="shared" si="82"/>
        <v>148</v>
      </c>
      <c r="BM138" s="3">
        <f>SUMIF(MORTALIDAD!$AP:$AP,RESUMEN!BK138,MORTALIDAD!$AT:$AT)</f>
        <v>0</v>
      </c>
      <c r="BN138" s="19">
        <f t="shared" si="63"/>
        <v>-73</v>
      </c>
      <c r="BO138" s="3">
        <f>SUMIF(MORTALIDAD!$AP$6:$AP$200,RESUMEN!BK138,MORTALIDAD!$AU$6:$AU$200)</f>
        <v>0</v>
      </c>
      <c r="BP138" s="3">
        <f>SUMIF(TRASLADOS!$AU:$AU,RESUMEN!BK138,TRASLADOS!$AX:$AX)</f>
        <v>0</v>
      </c>
      <c r="BQ138" s="3">
        <f>SUMIF(TRASLADOS!$AU:$AU,RESUMEN!BK138,TRASLADOS!$AY:$AY)</f>
        <v>0</v>
      </c>
      <c r="BR138" s="3">
        <f>SUMIF(VENTAS!$AP:$AP,RESUMEN!BK138,VENTAS!$AT:$AT)</f>
        <v>0</v>
      </c>
      <c r="BS138" s="3">
        <f>SUMIF(VENTAS!$AP:$AP,RESUMEN!BK138,VENTAS!$AU:$AU)</f>
        <v>0</v>
      </c>
      <c r="BT138" s="36">
        <f t="shared" si="64"/>
        <v>2241</v>
      </c>
    </row>
    <row r="139" spans="2:72" x14ac:dyDescent="0.2">
      <c r="B139" s="3">
        <f t="shared" si="43"/>
        <v>22</v>
      </c>
      <c r="C139" s="11">
        <f t="shared" si="75"/>
        <v>43386</v>
      </c>
      <c r="D139" s="3">
        <f t="shared" si="76"/>
        <v>148</v>
      </c>
      <c r="E139" s="3">
        <f>SUMIF(MORTALIDAD!$B$6:$B$200,RESUMEN!C139,MORTALIDAD!$F$6:$F$200)</f>
        <v>0</v>
      </c>
      <c r="F139" s="17">
        <f t="shared" si="77"/>
        <v>-740</v>
      </c>
      <c r="G139" s="3">
        <f>SUMIF(MORTALIDAD!$B$6:$B$200,RESUMEN!C139,MORTALIDAD!$G$6:$G$200)</f>
        <v>0</v>
      </c>
      <c r="H139" s="3">
        <f>SUMIF(TRASLADOS!$B$6:$B$200,C139,TRASLADOS!$E$6:$E$200)</f>
        <v>0</v>
      </c>
      <c r="I139" s="3">
        <f>SUMIF(TRASLADOS!$B$6:$B$200,C139,TRASLADOS!$F$6:$F$200)</f>
        <v>0</v>
      </c>
      <c r="J139" s="3">
        <f>SUMIF(VENTAS!$B$6:$B$200,RESUMEN!C139,VENTAS!$F$6:$F$200)</f>
        <v>0</v>
      </c>
      <c r="K139" s="3">
        <f>SUMIF(VENTAS!$B$6:$B$200,RESUMEN!C139,VENTAS!$G$6:$G$200)</f>
        <v>0</v>
      </c>
      <c r="L139" s="97">
        <f t="shared" si="49"/>
        <v>1460</v>
      </c>
      <c r="M139" s="96"/>
      <c r="N139" s="99">
        <f t="shared" si="44"/>
        <v>21</v>
      </c>
      <c r="O139" s="11">
        <f t="shared" si="78"/>
        <v>43389</v>
      </c>
      <c r="P139" s="3">
        <f t="shared" si="78"/>
        <v>147</v>
      </c>
      <c r="Q139" s="3">
        <f>SUMIF(MORTALIDAD!$J:$J,RESUMEN!O139,MORTALIDAD!$N:$N)</f>
        <v>0</v>
      </c>
      <c r="R139" s="19">
        <f t="shared" si="51"/>
        <v>-680</v>
      </c>
      <c r="S139" s="3">
        <f>SUMIF(MORTALIDAD!$J:$J,RESUMEN!O139,MORTALIDAD!$O:$O)</f>
        <v>0</v>
      </c>
      <c r="T139" s="3">
        <f>SUMIF(TRASLADOS!$K:$K,RESUMEN!O139,TRASLADOS!$N:$N)</f>
        <v>0</v>
      </c>
      <c r="U139" s="3">
        <f>SUMIF(TRASLADOS!$K:$K,RESUMEN!O139,TRASLADOS!$O:$O)</f>
        <v>0</v>
      </c>
      <c r="V139" s="3">
        <f>SUMIF(VENTAS!$J:$J,RESUMEN!O139,VENTAS!$N:$N)</f>
        <v>0</v>
      </c>
      <c r="W139" s="3">
        <f>SUMIF(VENTAS!$J:$J,RESUMEN!O139,VENTAS!$O:$O)</f>
        <v>0</v>
      </c>
      <c r="X139" s="97">
        <f t="shared" si="52"/>
        <v>1520</v>
      </c>
      <c r="Y139" s="96"/>
      <c r="Z139" s="99">
        <f t="shared" si="45"/>
        <v>21</v>
      </c>
      <c r="AA139" s="11">
        <f t="shared" si="79"/>
        <v>43393</v>
      </c>
      <c r="AB139" s="3">
        <f t="shared" si="79"/>
        <v>146</v>
      </c>
      <c r="AC139" s="3">
        <f>SUMIF(MORTALIDAD!$R:$R,RESUMEN!AA139,MORTALIDAD!$V:$V)</f>
        <v>0</v>
      </c>
      <c r="AD139" s="19">
        <f t="shared" si="54"/>
        <v>-476</v>
      </c>
      <c r="AE139" s="3">
        <f>SUMIF(MORTALIDAD!$R:$R,RESUMEN!AA139,MORTALIDAD!$W:$W)</f>
        <v>0</v>
      </c>
      <c r="AF139" s="3">
        <f>SUMIF(TRASLADOS!$T:$T,RESUMEN!AA139,TRASLADOS!$W:$W)</f>
        <v>0</v>
      </c>
      <c r="AG139" s="3">
        <f>SUMIF(TRASLADOS!$T:$T,RESUMEN!AA139,TRASLADOS!$X:$X)</f>
        <v>0</v>
      </c>
      <c r="AH139" s="3">
        <f>SUMIF(VENTAS!$R:$R,RESUMEN!AA139,VENTAS!$V:$V)</f>
        <v>0</v>
      </c>
      <c r="AI139" s="3">
        <f>SUMIF(VENTAS!$R:$R,RESUMEN!AA139,VENTAS!$W:$W)</f>
        <v>0</v>
      </c>
      <c r="AJ139" s="97">
        <f t="shared" si="55"/>
        <v>1724</v>
      </c>
      <c r="AK139" s="96"/>
      <c r="AL139" s="99">
        <f t="shared" si="46"/>
        <v>21</v>
      </c>
      <c r="AM139" s="11">
        <f t="shared" si="80"/>
        <v>43400</v>
      </c>
      <c r="AN139" s="3">
        <f t="shared" si="80"/>
        <v>146</v>
      </c>
      <c r="AO139" s="3">
        <f>SUMIF(MORTALIDAD!$Z:$Z,RESUMEN!AM139,MORTALIDAD!$AD:$AD)</f>
        <v>0</v>
      </c>
      <c r="AP139" s="19">
        <f t="shared" si="57"/>
        <v>-124</v>
      </c>
      <c r="AQ139" s="3">
        <f>SUMIF(MORTALIDAD!$Z:$Z,RESUMEN!AM139,MORTALIDAD!$AE:$AE)</f>
        <v>0</v>
      </c>
      <c r="AR139" s="3">
        <f>SUMIF(TRASLADOS!$AC:$AC,RESUMEN!AM139,TRASLADOS!$AF:$AF)</f>
        <v>0</v>
      </c>
      <c r="AS139" s="3">
        <f>SUMIF(TRASLADOS!$AC:$AC,RESUMEN!AM139,TRASLADOS!$AG:$AG)</f>
        <v>0</v>
      </c>
      <c r="AT139" s="3">
        <f>SUMIF(VENTAS!$Z:$Z,RESUMEN!AM139,VENTAS!$AD:$AD)</f>
        <v>0</v>
      </c>
      <c r="AU139" s="3">
        <f>SUMIF(VENTAS!$Z:$Z,RESUMEN!AM139,VENTAS!$AE:$AE)</f>
        <v>0</v>
      </c>
      <c r="AV139" s="97">
        <f t="shared" si="58"/>
        <v>2076</v>
      </c>
      <c r="AW139" s="96"/>
      <c r="AX139" s="99">
        <f t="shared" si="47"/>
        <v>21</v>
      </c>
      <c r="AY139" s="11">
        <f t="shared" si="81"/>
        <v>43407</v>
      </c>
      <c r="AZ139" s="3">
        <f t="shared" si="81"/>
        <v>146</v>
      </c>
      <c r="BA139" s="3">
        <f>SUMIF(MORTALIDAD!$AH:$AH,RESUMEN!AY139,MORTALIDAD!$AL:$AL)</f>
        <v>0</v>
      </c>
      <c r="BB139" s="19">
        <f t="shared" si="60"/>
        <v>-119</v>
      </c>
      <c r="BC139" s="3">
        <f>SUMIF(MORTALIDAD!$AH:$AH,RESUMEN!AY139,MORTALIDAD!$AM:$AM)</f>
        <v>0</v>
      </c>
      <c r="BD139" s="3">
        <f>SUMIF(TRASLADOS!$AL:$AL,RESUMEN!AY139,TRASLADOS!$AO:$AO)</f>
        <v>0</v>
      </c>
      <c r="BE139" s="3">
        <f>SUMIF(TRASLADOS!$AL:$AL,RESUMEN!AY139,TRASLADOS!$AP:$AP)</f>
        <v>0</v>
      </c>
      <c r="BF139" s="3">
        <f>SUMIF(VENTAS!$AH:$AH,RESUMEN!AY139,VENTAS!$AL:$AL)</f>
        <v>0</v>
      </c>
      <c r="BG139" s="3">
        <f>SUMIF(VENTAS!$AH:$AH,RESUMEN!AY139,VENTAS!$AM:$AM)</f>
        <v>0</v>
      </c>
      <c r="BH139" s="97">
        <f t="shared" si="61"/>
        <v>2081</v>
      </c>
      <c r="BI139" s="96"/>
      <c r="BJ139" s="99">
        <f t="shared" si="48"/>
        <v>22</v>
      </c>
      <c r="BK139" s="11">
        <f t="shared" si="82"/>
        <v>43416</v>
      </c>
      <c r="BL139" s="3">
        <f t="shared" si="82"/>
        <v>149</v>
      </c>
      <c r="BM139" s="3">
        <f>SUMIF(MORTALIDAD!$AP:$AP,RESUMEN!BK139,MORTALIDAD!$AT:$AT)</f>
        <v>0</v>
      </c>
      <c r="BN139" s="19">
        <f t="shared" si="63"/>
        <v>-73</v>
      </c>
      <c r="BO139" s="3">
        <f>SUMIF(MORTALIDAD!$AP$6:$AP$200,RESUMEN!BK139,MORTALIDAD!$AU$6:$AU$200)</f>
        <v>0</v>
      </c>
      <c r="BP139" s="3">
        <f>SUMIF(TRASLADOS!$AU:$AU,RESUMEN!BK139,TRASLADOS!$AX:$AX)</f>
        <v>0</v>
      </c>
      <c r="BQ139" s="3">
        <f>SUMIF(TRASLADOS!$AU:$AU,RESUMEN!BK139,TRASLADOS!$AY:$AY)</f>
        <v>0</v>
      </c>
      <c r="BR139" s="3">
        <f>SUMIF(VENTAS!$AP:$AP,RESUMEN!BK139,VENTAS!$AT:$AT)</f>
        <v>0</v>
      </c>
      <c r="BS139" s="3">
        <f>SUMIF(VENTAS!$AP:$AP,RESUMEN!BK139,VENTAS!$AU:$AU)</f>
        <v>0</v>
      </c>
      <c r="BT139" s="36">
        <f t="shared" si="64"/>
        <v>2241</v>
      </c>
    </row>
    <row r="140" spans="2:72" x14ac:dyDescent="0.2">
      <c r="B140" s="3">
        <f t="shared" si="43"/>
        <v>22</v>
      </c>
      <c r="C140" s="11">
        <f t="shared" si="75"/>
        <v>43387</v>
      </c>
      <c r="D140" s="3">
        <f t="shared" si="76"/>
        <v>149</v>
      </c>
      <c r="E140" s="3">
        <f>SUMIF(MORTALIDAD!$B$6:$B$200,RESUMEN!C140,MORTALIDAD!$F$6:$F$200)</f>
        <v>0</v>
      </c>
      <c r="F140" s="17">
        <f t="shared" si="77"/>
        <v>-740</v>
      </c>
      <c r="G140" s="3">
        <f>SUMIF(MORTALIDAD!$B$6:$B$200,RESUMEN!C140,MORTALIDAD!$G$6:$G$200)</f>
        <v>0</v>
      </c>
      <c r="H140" s="3">
        <f>SUMIF(TRASLADOS!$B$6:$B$200,C140,TRASLADOS!$E$6:$E$200)</f>
        <v>0</v>
      </c>
      <c r="I140" s="3">
        <f>SUMIF(TRASLADOS!$B$6:$B$200,C140,TRASLADOS!$F$6:$F$200)</f>
        <v>0</v>
      </c>
      <c r="J140" s="3">
        <f>SUMIF(VENTAS!$B$6:$B$200,RESUMEN!C140,VENTAS!$F$6:$F$200)</f>
        <v>0</v>
      </c>
      <c r="K140" s="3">
        <f>SUMIF(VENTAS!$B$6:$B$200,RESUMEN!C140,VENTAS!$G$6:$G$200)</f>
        <v>0</v>
      </c>
      <c r="L140" s="97">
        <f t="shared" si="49"/>
        <v>1460</v>
      </c>
      <c r="M140" s="96"/>
      <c r="N140" s="99">
        <f t="shared" si="44"/>
        <v>22</v>
      </c>
      <c r="O140" s="11">
        <f t="shared" si="78"/>
        <v>43390</v>
      </c>
      <c r="P140" s="3">
        <f t="shared" si="78"/>
        <v>148</v>
      </c>
      <c r="Q140" s="3">
        <f>SUMIF(MORTALIDAD!$J:$J,RESUMEN!O140,MORTALIDAD!$N:$N)</f>
        <v>0</v>
      </c>
      <c r="R140" s="19">
        <f t="shared" si="51"/>
        <v>-680</v>
      </c>
      <c r="S140" s="3">
        <f>SUMIF(MORTALIDAD!$J:$J,RESUMEN!O140,MORTALIDAD!$O:$O)</f>
        <v>0</v>
      </c>
      <c r="T140" s="3">
        <f>SUMIF(TRASLADOS!$K:$K,RESUMEN!O140,TRASLADOS!$N:$N)</f>
        <v>0</v>
      </c>
      <c r="U140" s="3">
        <f>SUMIF(TRASLADOS!$K:$K,RESUMEN!O140,TRASLADOS!$O:$O)</f>
        <v>0</v>
      </c>
      <c r="V140" s="3">
        <f>SUMIF(VENTAS!$J:$J,RESUMEN!O140,VENTAS!$N:$N)</f>
        <v>0</v>
      </c>
      <c r="W140" s="3">
        <f>SUMIF(VENTAS!$J:$J,RESUMEN!O140,VENTAS!$O:$O)</f>
        <v>0</v>
      </c>
      <c r="X140" s="97">
        <f t="shared" si="52"/>
        <v>1520</v>
      </c>
      <c r="Y140" s="96"/>
      <c r="Z140" s="99">
        <f t="shared" si="45"/>
        <v>21</v>
      </c>
      <c r="AA140" s="11">
        <f t="shared" si="79"/>
        <v>43394</v>
      </c>
      <c r="AB140" s="3">
        <f t="shared" si="79"/>
        <v>147</v>
      </c>
      <c r="AC140" s="3">
        <f>SUMIF(MORTALIDAD!$R:$R,RESUMEN!AA140,MORTALIDAD!$V:$V)</f>
        <v>0</v>
      </c>
      <c r="AD140" s="19">
        <f t="shared" si="54"/>
        <v>-476</v>
      </c>
      <c r="AE140" s="3">
        <f>SUMIF(MORTALIDAD!$R:$R,RESUMEN!AA140,MORTALIDAD!$W:$W)</f>
        <v>0</v>
      </c>
      <c r="AF140" s="3">
        <f>SUMIF(TRASLADOS!$T:$T,RESUMEN!AA140,TRASLADOS!$W:$W)</f>
        <v>0</v>
      </c>
      <c r="AG140" s="3">
        <f>SUMIF(TRASLADOS!$T:$T,RESUMEN!AA140,TRASLADOS!$X:$X)</f>
        <v>0</v>
      </c>
      <c r="AH140" s="3">
        <f>SUMIF(VENTAS!$R:$R,RESUMEN!AA140,VENTAS!$V:$V)</f>
        <v>0</v>
      </c>
      <c r="AI140" s="3">
        <f>SUMIF(VENTAS!$R:$R,RESUMEN!AA140,VENTAS!$W:$W)</f>
        <v>0</v>
      </c>
      <c r="AJ140" s="97">
        <f t="shared" si="55"/>
        <v>1724</v>
      </c>
      <c r="AK140" s="96"/>
      <c r="AL140" s="99">
        <f t="shared" si="46"/>
        <v>21</v>
      </c>
      <c r="AM140" s="11">
        <f t="shared" si="80"/>
        <v>43401</v>
      </c>
      <c r="AN140" s="3">
        <f t="shared" si="80"/>
        <v>147</v>
      </c>
      <c r="AO140" s="3">
        <f>SUMIF(MORTALIDAD!$Z:$Z,RESUMEN!AM140,MORTALIDAD!$AD:$AD)</f>
        <v>0</v>
      </c>
      <c r="AP140" s="19">
        <f t="shared" si="57"/>
        <v>-124</v>
      </c>
      <c r="AQ140" s="3">
        <f>SUMIF(MORTALIDAD!$Z:$Z,RESUMEN!AM140,MORTALIDAD!$AE:$AE)</f>
        <v>0</v>
      </c>
      <c r="AR140" s="3">
        <f>SUMIF(TRASLADOS!$AC:$AC,RESUMEN!AM140,TRASLADOS!$AF:$AF)</f>
        <v>0</v>
      </c>
      <c r="AS140" s="3">
        <f>SUMIF(TRASLADOS!$AC:$AC,RESUMEN!AM140,TRASLADOS!$AG:$AG)</f>
        <v>0</v>
      </c>
      <c r="AT140" s="3">
        <f>SUMIF(VENTAS!$Z:$Z,RESUMEN!AM140,VENTAS!$AD:$AD)</f>
        <v>0</v>
      </c>
      <c r="AU140" s="3">
        <f>SUMIF(VENTAS!$Z:$Z,RESUMEN!AM140,VENTAS!$AE:$AE)</f>
        <v>0</v>
      </c>
      <c r="AV140" s="97">
        <f t="shared" si="58"/>
        <v>2076</v>
      </c>
      <c r="AW140" s="96"/>
      <c r="AX140" s="99">
        <f t="shared" si="47"/>
        <v>21</v>
      </c>
      <c r="AY140" s="11">
        <f t="shared" si="81"/>
        <v>43408</v>
      </c>
      <c r="AZ140" s="3">
        <f t="shared" si="81"/>
        <v>147</v>
      </c>
      <c r="BA140" s="3">
        <f>SUMIF(MORTALIDAD!$AH:$AH,RESUMEN!AY140,MORTALIDAD!$AL:$AL)</f>
        <v>0</v>
      </c>
      <c r="BB140" s="19">
        <f t="shared" si="60"/>
        <v>-119</v>
      </c>
      <c r="BC140" s="3">
        <f>SUMIF(MORTALIDAD!$AH:$AH,RESUMEN!AY140,MORTALIDAD!$AM:$AM)</f>
        <v>0</v>
      </c>
      <c r="BD140" s="3">
        <f>SUMIF(TRASLADOS!$AL:$AL,RESUMEN!AY140,TRASLADOS!$AO:$AO)</f>
        <v>0</v>
      </c>
      <c r="BE140" s="3">
        <f>SUMIF(TRASLADOS!$AL:$AL,RESUMEN!AY140,TRASLADOS!$AP:$AP)</f>
        <v>0</v>
      </c>
      <c r="BF140" s="3">
        <f>SUMIF(VENTAS!$AH:$AH,RESUMEN!AY140,VENTAS!$AL:$AL)</f>
        <v>0</v>
      </c>
      <c r="BG140" s="3">
        <f>SUMIF(VENTAS!$AH:$AH,RESUMEN!AY140,VENTAS!$AM:$AM)</f>
        <v>0</v>
      </c>
      <c r="BH140" s="97">
        <f t="shared" si="61"/>
        <v>2081</v>
      </c>
      <c r="BI140" s="96"/>
      <c r="BJ140" s="99">
        <f t="shared" si="48"/>
        <v>22</v>
      </c>
      <c r="BK140" s="11">
        <f t="shared" si="82"/>
        <v>43417</v>
      </c>
      <c r="BL140" s="3">
        <f t="shared" si="82"/>
        <v>150</v>
      </c>
      <c r="BM140" s="3">
        <f>SUMIF(MORTALIDAD!$AP:$AP,RESUMEN!BK140,MORTALIDAD!$AT:$AT)</f>
        <v>0</v>
      </c>
      <c r="BN140" s="19">
        <f t="shared" si="63"/>
        <v>-73</v>
      </c>
      <c r="BO140" s="3">
        <f>SUMIF(MORTALIDAD!$AP$6:$AP$200,RESUMEN!BK140,MORTALIDAD!$AU$6:$AU$200)</f>
        <v>0</v>
      </c>
      <c r="BP140" s="3">
        <f>SUMIF(TRASLADOS!$AU:$AU,RESUMEN!BK140,TRASLADOS!$AX:$AX)</f>
        <v>0</v>
      </c>
      <c r="BQ140" s="3">
        <f>SUMIF(TRASLADOS!$AU:$AU,RESUMEN!BK140,TRASLADOS!$AY:$AY)</f>
        <v>0</v>
      </c>
      <c r="BR140" s="3">
        <f>SUMIF(VENTAS!$AP:$AP,RESUMEN!BK140,VENTAS!$AT:$AT)</f>
        <v>0</v>
      </c>
      <c r="BS140" s="3">
        <f>SUMIF(VENTAS!$AP:$AP,RESUMEN!BK140,VENTAS!$AU:$AU)</f>
        <v>0</v>
      </c>
      <c r="BT140" s="36">
        <f t="shared" si="64"/>
        <v>2241</v>
      </c>
    </row>
    <row r="141" spans="2:72" x14ac:dyDescent="0.2">
      <c r="B141" s="3">
        <f t="shared" si="43"/>
        <v>22</v>
      </c>
      <c r="C141" s="11">
        <f t="shared" si="75"/>
        <v>43388</v>
      </c>
      <c r="D141" s="3">
        <f t="shared" si="76"/>
        <v>150</v>
      </c>
      <c r="E141" s="3">
        <f>SUMIF(MORTALIDAD!$B$6:$B$200,RESUMEN!C141,MORTALIDAD!$F$6:$F$200)</f>
        <v>0</v>
      </c>
      <c r="F141" s="17">
        <f t="shared" si="77"/>
        <v>-740</v>
      </c>
      <c r="G141" s="3">
        <f>SUMIF(MORTALIDAD!$B$6:$B$200,RESUMEN!C141,MORTALIDAD!$G$6:$G$200)</f>
        <v>0</v>
      </c>
      <c r="H141" s="3">
        <f>SUMIF(TRASLADOS!$B$6:$B$200,C141,TRASLADOS!$E$6:$E$200)</f>
        <v>0</v>
      </c>
      <c r="I141" s="3">
        <f>SUMIF(TRASLADOS!$B$6:$B$200,C141,TRASLADOS!$F$6:$F$200)</f>
        <v>0</v>
      </c>
      <c r="J141" s="3">
        <f>SUMIF(VENTAS!$B$6:$B$200,RESUMEN!C141,VENTAS!$F$6:$F$200)</f>
        <v>0</v>
      </c>
      <c r="K141" s="3">
        <f>SUMIF(VENTAS!$B$6:$B$200,RESUMEN!C141,VENTAS!$G$6:$G$200)</f>
        <v>0</v>
      </c>
      <c r="L141" s="97">
        <f t="shared" si="49"/>
        <v>1460</v>
      </c>
      <c r="M141" s="96"/>
      <c r="N141" s="99">
        <f t="shared" si="44"/>
        <v>22</v>
      </c>
      <c r="O141" s="11">
        <f t="shared" si="78"/>
        <v>43391</v>
      </c>
      <c r="P141" s="3">
        <f t="shared" si="78"/>
        <v>149</v>
      </c>
      <c r="Q141" s="3">
        <f>SUMIF(MORTALIDAD!$J:$J,RESUMEN!O141,MORTALIDAD!$N:$N)</f>
        <v>0</v>
      </c>
      <c r="R141" s="19">
        <f t="shared" si="51"/>
        <v>-680</v>
      </c>
      <c r="S141" s="3">
        <f>SUMIF(MORTALIDAD!$J:$J,RESUMEN!O141,MORTALIDAD!$O:$O)</f>
        <v>0</v>
      </c>
      <c r="T141" s="3">
        <f>SUMIF(TRASLADOS!$K:$K,RESUMEN!O141,TRASLADOS!$N:$N)</f>
        <v>0</v>
      </c>
      <c r="U141" s="3">
        <f>SUMIF(TRASLADOS!$K:$K,RESUMEN!O141,TRASLADOS!$O:$O)</f>
        <v>0</v>
      </c>
      <c r="V141" s="3">
        <f>SUMIF(VENTAS!$J:$J,RESUMEN!O141,VENTAS!$N:$N)</f>
        <v>0</v>
      </c>
      <c r="W141" s="3">
        <f>SUMIF(VENTAS!$J:$J,RESUMEN!O141,VENTAS!$O:$O)</f>
        <v>0</v>
      </c>
      <c r="X141" s="97">
        <f t="shared" si="52"/>
        <v>1520</v>
      </c>
      <c r="Y141" s="96"/>
      <c r="Z141" s="99">
        <f t="shared" si="45"/>
        <v>22</v>
      </c>
      <c r="AA141" s="11">
        <f t="shared" si="79"/>
        <v>43395</v>
      </c>
      <c r="AB141" s="3">
        <f t="shared" si="79"/>
        <v>148</v>
      </c>
      <c r="AC141" s="3">
        <f>SUMIF(MORTALIDAD!$R:$R,RESUMEN!AA141,MORTALIDAD!$V:$V)</f>
        <v>0</v>
      </c>
      <c r="AD141" s="19">
        <f t="shared" si="54"/>
        <v>-476</v>
      </c>
      <c r="AE141" s="3">
        <f>SUMIF(MORTALIDAD!$R:$R,RESUMEN!AA141,MORTALIDAD!$W:$W)</f>
        <v>0</v>
      </c>
      <c r="AF141" s="3">
        <f>SUMIF(TRASLADOS!$T:$T,RESUMEN!AA141,TRASLADOS!$W:$W)</f>
        <v>0</v>
      </c>
      <c r="AG141" s="3">
        <f>SUMIF(TRASLADOS!$T:$T,RESUMEN!AA141,TRASLADOS!$X:$X)</f>
        <v>0</v>
      </c>
      <c r="AH141" s="3">
        <f>SUMIF(VENTAS!$R:$R,RESUMEN!AA141,VENTAS!$V:$V)</f>
        <v>0</v>
      </c>
      <c r="AI141" s="3">
        <f>SUMIF(VENTAS!$R:$R,RESUMEN!AA141,VENTAS!$W:$W)</f>
        <v>0</v>
      </c>
      <c r="AJ141" s="97">
        <f t="shared" si="55"/>
        <v>1724</v>
      </c>
      <c r="AK141" s="96"/>
      <c r="AL141" s="99">
        <f t="shared" si="46"/>
        <v>22</v>
      </c>
      <c r="AM141" s="11">
        <f t="shared" si="80"/>
        <v>43402</v>
      </c>
      <c r="AN141" s="3">
        <f t="shared" si="80"/>
        <v>148</v>
      </c>
      <c r="AO141" s="3">
        <f>SUMIF(MORTALIDAD!$Z:$Z,RESUMEN!AM141,MORTALIDAD!$AD:$AD)</f>
        <v>0</v>
      </c>
      <c r="AP141" s="19">
        <f t="shared" si="57"/>
        <v>-124</v>
      </c>
      <c r="AQ141" s="3">
        <f>SUMIF(MORTALIDAD!$Z:$Z,RESUMEN!AM141,MORTALIDAD!$AE:$AE)</f>
        <v>0</v>
      </c>
      <c r="AR141" s="3">
        <f>SUMIF(TRASLADOS!$AC:$AC,RESUMEN!AM141,TRASLADOS!$AF:$AF)</f>
        <v>0</v>
      </c>
      <c r="AS141" s="3">
        <f>SUMIF(TRASLADOS!$AC:$AC,RESUMEN!AM141,TRASLADOS!$AG:$AG)</f>
        <v>0</v>
      </c>
      <c r="AT141" s="3">
        <f>SUMIF(VENTAS!$Z:$Z,RESUMEN!AM141,VENTAS!$AD:$AD)</f>
        <v>0</v>
      </c>
      <c r="AU141" s="3">
        <f>SUMIF(VENTAS!$Z:$Z,RESUMEN!AM141,VENTAS!$AE:$AE)</f>
        <v>0</v>
      </c>
      <c r="AV141" s="97">
        <f t="shared" si="58"/>
        <v>2076</v>
      </c>
      <c r="AW141" s="96"/>
      <c r="AX141" s="99">
        <f t="shared" si="47"/>
        <v>22</v>
      </c>
      <c r="AY141" s="11">
        <f t="shared" si="81"/>
        <v>43409</v>
      </c>
      <c r="AZ141" s="3">
        <f t="shared" si="81"/>
        <v>148</v>
      </c>
      <c r="BA141" s="3">
        <f>SUMIF(MORTALIDAD!$AH:$AH,RESUMEN!AY141,MORTALIDAD!$AL:$AL)</f>
        <v>0</v>
      </c>
      <c r="BB141" s="19">
        <f t="shared" si="60"/>
        <v>-119</v>
      </c>
      <c r="BC141" s="3">
        <f>SUMIF(MORTALIDAD!$AH:$AH,RESUMEN!AY141,MORTALIDAD!$AM:$AM)</f>
        <v>0</v>
      </c>
      <c r="BD141" s="3">
        <f>SUMIF(TRASLADOS!$AL:$AL,RESUMEN!AY141,TRASLADOS!$AO:$AO)</f>
        <v>0</v>
      </c>
      <c r="BE141" s="3">
        <f>SUMIF(TRASLADOS!$AL:$AL,RESUMEN!AY141,TRASLADOS!$AP:$AP)</f>
        <v>0</v>
      </c>
      <c r="BF141" s="3">
        <f>SUMIF(VENTAS!$AH:$AH,RESUMEN!AY141,VENTAS!$AL:$AL)</f>
        <v>0</v>
      </c>
      <c r="BG141" s="3">
        <f>SUMIF(VENTAS!$AH:$AH,RESUMEN!AY141,VENTAS!$AM:$AM)</f>
        <v>0</v>
      </c>
      <c r="BH141" s="97">
        <f t="shared" si="61"/>
        <v>2081</v>
      </c>
      <c r="BI141" s="96"/>
      <c r="BJ141" s="99">
        <f t="shared" si="48"/>
        <v>22</v>
      </c>
      <c r="BK141" s="11">
        <f t="shared" si="82"/>
        <v>43418</v>
      </c>
      <c r="BL141" s="3">
        <f t="shared" si="82"/>
        <v>151</v>
      </c>
      <c r="BM141" s="3">
        <f>SUMIF(MORTALIDAD!$AP:$AP,RESUMEN!BK141,MORTALIDAD!$AT:$AT)</f>
        <v>0</v>
      </c>
      <c r="BN141" s="19">
        <f t="shared" si="63"/>
        <v>-73</v>
      </c>
      <c r="BO141" s="3">
        <f>SUMIF(MORTALIDAD!$AP$6:$AP$200,RESUMEN!BK141,MORTALIDAD!$AU$6:$AU$200)</f>
        <v>0</v>
      </c>
      <c r="BP141" s="3">
        <f>SUMIF(TRASLADOS!$AU:$AU,RESUMEN!BK141,TRASLADOS!$AX:$AX)</f>
        <v>0</v>
      </c>
      <c r="BQ141" s="3">
        <f>SUMIF(TRASLADOS!$AU:$AU,RESUMEN!BK141,TRASLADOS!$AY:$AY)</f>
        <v>0</v>
      </c>
      <c r="BR141" s="3">
        <f>SUMIF(VENTAS!$AP:$AP,RESUMEN!BK141,VENTAS!$AT:$AT)</f>
        <v>0</v>
      </c>
      <c r="BS141" s="3">
        <f>SUMIF(VENTAS!$AP:$AP,RESUMEN!BK141,VENTAS!$AU:$AU)</f>
        <v>0</v>
      </c>
      <c r="BT141" s="36">
        <f t="shared" si="64"/>
        <v>2241</v>
      </c>
    </row>
    <row r="142" spans="2:72" x14ac:dyDescent="0.2">
      <c r="B142" s="3">
        <f t="shared" si="43"/>
        <v>22</v>
      </c>
      <c r="C142" s="11">
        <f t="shared" si="75"/>
        <v>43389</v>
      </c>
      <c r="D142" s="3">
        <f t="shared" si="76"/>
        <v>151</v>
      </c>
      <c r="E142" s="3">
        <f>SUMIF(MORTALIDAD!$B$6:$B$200,RESUMEN!C142,MORTALIDAD!$F$6:$F$200)</f>
        <v>0</v>
      </c>
      <c r="F142" s="17">
        <f t="shared" si="77"/>
        <v>-740</v>
      </c>
      <c r="G142" s="3">
        <f>SUMIF(MORTALIDAD!$B$6:$B$200,RESUMEN!C142,MORTALIDAD!$G$6:$G$200)</f>
        <v>0</v>
      </c>
      <c r="H142" s="3">
        <f>SUMIF(TRASLADOS!$B$6:$B$200,C142,TRASLADOS!$E$6:$E$200)</f>
        <v>0</v>
      </c>
      <c r="I142" s="3">
        <f>SUMIF(TRASLADOS!$B$6:$B$200,C142,TRASLADOS!$F$6:$F$200)</f>
        <v>0</v>
      </c>
      <c r="J142" s="3">
        <f>SUMIF(VENTAS!$B$6:$B$200,RESUMEN!C142,VENTAS!$F$6:$F$200)</f>
        <v>0</v>
      </c>
      <c r="K142" s="3">
        <f>SUMIF(VENTAS!$B$6:$B$200,RESUMEN!C142,VENTAS!$G$6:$G$200)</f>
        <v>0</v>
      </c>
      <c r="L142" s="97">
        <f t="shared" si="49"/>
        <v>1460</v>
      </c>
      <c r="M142" s="96"/>
      <c r="N142" s="99">
        <f t="shared" si="44"/>
        <v>22</v>
      </c>
      <c r="O142" s="11">
        <f t="shared" si="78"/>
        <v>43392</v>
      </c>
      <c r="P142" s="3">
        <f t="shared" si="78"/>
        <v>150</v>
      </c>
      <c r="Q142" s="3">
        <f>SUMIF(MORTALIDAD!$J:$J,RESUMEN!O142,MORTALIDAD!$N:$N)</f>
        <v>0</v>
      </c>
      <c r="R142" s="19">
        <f t="shared" si="51"/>
        <v>-680</v>
      </c>
      <c r="S142" s="3">
        <f>SUMIF(MORTALIDAD!$J:$J,RESUMEN!O142,MORTALIDAD!$O:$O)</f>
        <v>0</v>
      </c>
      <c r="T142" s="3">
        <f>SUMIF(TRASLADOS!$K:$K,RESUMEN!O142,TRASLADOS!$N:$N)</f>
        <v>0</v>
      </c>
      <c r="U142" s="3">
        <f>SUMIF(TRASLADOS!$K:$K,RESUMEN!O142,TRASLADOS!$O:$O)</f>
        <v>0</v>
      </c>
      <c r="V142" s="3">
        <f>SUMIF(VENTAS!$J:$J,RESUMEN!O142,VENTAS!$N:$N)</f>
        <v>0</v>
      </c>
      <c r="W142" s="3">
        <f>SUMIF(VENTAS!$J:$J,RESUMEN!O142,VENTAS!$O:$O)</f>
        <v>0</v>
      </c>
      <c r="X142" s="97">
        <f t="shared" si="52"/>
        <v>1520</v>
      </c>
      <c r="Y142" s="96"/>
      <c r="Z142" s="99">
        <f t="shared" si="45"/>
        <v>22</v>
      </c>
      <c r="AA142" s="11">
        <f t="shared" si="79"/>
        <v>43396</v>
      </c>
      <c r="AB142" s="3">
        <f t="shared" si="79"/>
        <v>149</v>
      </c>
      <c r="AC142" s="3">
        <f>SUMIF(MORTALIDAD!$R:$R,RESUMEN!AA142,MORTALIDAD!$V:$V)</f>
        <v>0</v>
      </c>
      <c r="AD142" s="19">
        <f t="shared" si="54"/>
        <v>-476</v>
      </c>
      <c r="AE142" s="3">
        <f>SUMIF(MORTALIDAD!$R:$R,RESUMEN!AA142,MORTALIDAD!$W:$W)</f>
        <v>0</v>
      </c>
      <c r="AF142" s="3">
        <f>SUMIF(TRASLADOS!$T:$T,RESUMEN!AA142,TRASLADOS!$W:$W)</f>
        <v>0</v>
      </c>
      <c r="AG142" s="3">
        <f>SUMIF(TRASLADOS!$T:$T,RESUMEN!AA142,TRASLADOS!$X:$X)</f>
        <v>0</v>
      </c>
      <c r="AH142" s="3">
        <f>SUMIF(VENTAS!$R:$R,RESUMEN!AA142,VENTAS!$V:$V)</f>
        <v>0</v>
      </c>
      <c r="AI142" s="3">
        <f>SUMIF(VENTAS!$R:$R,RESUMEN!AA142,VENTAS!$W:$W)</f>
        <v>0</v>
      </c>
      <c r="AJ142" s="97">
        <f t="shared" si="55"/>
        <v>1724</v>
      </c>
      <c r="AK142" s="96"/>
      <c r="AL142" s="99">
        <f t="shared" si="46"/>
        <v>22</v>
      </c>
      <c r="AM142" s="11">
        <f t="shared" si="80"/>
        <v>43403</v>
      </c>
      <c r="AN142" s="3">
        <f t="shared" si="80"/>
        <v>149</v>
      </c>
      <c r="AO142" s="3">
        <f>SUMIF(MORTALIDAD!$Z:$Z,RESUMEN!AM142,MORTALIDAD!$AD:$AD)</f>
        <v>0</v>
      </c>
      <c r="AP142" s="19">
        <f t="shared" si="57"/>
        <v>-124</v>
      </c>
      <c r="AQ142" s="3">
        <f>SUMIF(MORTALIDAD!$Z:$Z,RESUMEN!AM142,MORTALIDAD!$AE:$AE)</f>
        <v>0</v>
      </c>
      <c r="AR142" s="3">
        <f>SUMIF(TRASLADOS!$AC:$AC,RESUMEN!AM142,TRASLADOS!$AF:$AF)</f>
        <v>0</v>
      </c>
      <c r="AS142" s="3">
        <f>SUMIF(TRASLADOS!$AC:$AC,RESUMEN!AM142,TRASLADOS!$AG:$AG)</f>
        <v>0</v>
      </c>
      <c r="AT142" s="3">
        <f>SUMIF(VENTAS!$Z:$Z,RESUMEN!AM142,VENTAS!$AD:$AD)</f>
        <v>0</v>
      </c>
      <c r="AU142" s="3">
        <f>SUMIF(VENTAS!$Z:$Z,RESUMEN!AM142,VENTAS!$AE:$AE)</f>
        <v>0</v>
      </c>
      <c r="AV142" s="97">
        <f t="shared" si="58"/>
        <v>2076</v>
      </c>
      <c r="AW142" s="96"/>
      <c r="AX142" s="99">
        <f t="shared" si="47"/>
        <v>22</v>
      </c>
      <c r="AY142" s="11">
        <f t="shared" si="81"/>
        <v>43410</v>
      </c>
      <c r="AZ142" s="3">
        <f t="shared" si="81"/>
        <v>149</v>
      </c>
      <c r="BA142" s="3">
        <f>SUMIF(MORTALIDAD!$AH:$AH,RESUMEN!AY142,MORTALIDAD!$AL:$AL)</f>
        <v>0</v>
      </c>
      <c r="BB142" s="19">
        <f t="shared" si="60"/>
        <v>-119</v>
      </c>
      <c r="BC142" s="3">
        <f>SUMIF(MORTALIDAD!$AH:$AH,RESUMEN!AY142,MORTALIDAD!$AM:$AM)</f>
        <v>0</v>
      </c>
      <c r="BD142" s="3">
        <f>SUMIF(TRASLADOS!$AL:$AL,RESUMEN!AY142,TRASLADOS!$AO:$AO)</f>
        <v>0</v>
      </c>
      <c r="BE142" s="3">
        <f>SUMIF(TRASLADOS!$AL:$AL,RESUMEN!AY142,TRASLADOS!$AP:$AP)</f>
        <v>0</v>
      </c>
      <c r="BF142" s="3">
        <f>SUMIF(VENTAS!$AH:$AH,RESUMEN!AY142,VENTAS!$AL:$AL)</f>
        <v>0</v>
      </c>
      <c r="BG142" s="3">
        <f>SUMIF(VENTAS!$AH:$AH,RESUMEN!AY142,VENTAS!$AM:$AM)</f>
        <v>0</v>
      </c>
      <c r="BH142" s="97">
        <f t="shared" si="61"/>
        <v>2081</v>
      </c>
      <c r="BI142" s="96"/>
      <c r="BJ142" s="99">
        <f t="shared" si="48"/>
        <v>22</v>
      </c>
      <c r="BK142" s="11">
        <f t="shared" si="82"/>
        <v>43419</v>
      </c>
      <c r="BL142" s="3">
        <f t="shared" si="82"/>
        <v>152</v>
      </c>
      <c r="BM142" s="3">
        <f>SUMIF(MORTALIDAD!$AP:$AP,RESUMEN!BK142,MORTALIDAD!$AT:$AT)</f>
        <v>0</v>
      </c>
      <c r="BN142" s="19">
        <f t="shared" si="63"/>
        <v>-73</v>
      </c>
      <c r="BO142" s="3">
        <f>SUMIF(MORTALIDAD!$AP$6:$AP$200,RESUMEN!BK142,MORTALIDAD!$AU$6:$AU$200)</f>
        <v>0</v>
      </c>
      <c r="BP142" s="3">
        <f>SUMIF(TRASLADOS!$AU:$AU,RESUMEN!BK142,TRASLADOS!$AX:$AX)</f>
        <v>0</v>
      </c>
      <c r="BQ142" s="3">
        <f>SUMIF(TRASLADOS!$AU:$AU,RESUMEN!BK142,TRASLADOS!$AY:$AY)</f>
        <v>0</v>
      </c>
      <c r="BR142" s="3">
        <f>SUMIF(VENTAS!$AP:$AP,RESUMEN!BK142,VENTAS!$AT:$AT)</f>
        <v>0</v>
      </c>
      <c r="BS142" s="3">
        <f>SUMIF(VENTAS!$AP:$AP,RESUMEN!BK142,VENTAS!$AU:$AU)</f>
        <v>0</v>
      </c>
      <c r="BT142" s="36">
        <f t="shared" si="64"/>
        <v>2241</v>
      </c>
    </row>
    <row r="143" spans="2:72" x14ac:dyDescent="0.2">
      <c r="B143" s="3">
        <f t="shared" si="43"/>
        <v>22</v>
      </c>
      <c r="C143" s="11">
        <f t="shared" si="75"/>
        <v>43390</v>
      </c>
      <c r="D143" s="3">
        <f t="shared" si="76"/>
        <v>152</v>
      </c>
      <c r="E143" s="3">
        <f>SUMIF(MORTALIDAD!$B$6:$B$200,RESUMEN!C143,MORTALIDAD!$F$6:$F$200)</f>
        <v>0</v>
      </c>
      <c r="F143" s="17">
        <f t="shared" si="77"/>
        <v>-740</v>
      </c>
      <c r="G143" s="3">
        <f>SUMIF(MORTALIDAD!$B$6:$B$200,RESUMEN!C143,MORTALIDAD!$G$6:$G$200)</f>
        <v>0</v>
      </c>
      <c r="H143" s="3">
        <f>SUMIF(TRASLADOS!$B$6:$B$200,C143,TRASLADOS!$E$6:$E$200)</f>
        <v>0</v>
      </c>
      <c r="I143" s="3">
        <f>SUMIF(TRASLADOS!$B$6:$B$200,C143,TRASLADOS!$F$6:$F$200)</f>
        <v>0</v>
      </c>
      <c r="J143" s="3">
        <f>SUMIF(VENTAS!$B$6:$B$200,RESUMEN!C143,VENTAS!$F$6:$F$200)</f>
        <v>0</v>
      </c>
      <c r="K143" s="3">
        <f>SUMIF(VENTAS!$B$6:$B$200,RESUMEN!C143,VENTAS!$G$6:$G$200)</f>
        <v>0</v>
      </c>
      <c r="L143" s="97">
        <f t="shared" si="49"/>
        <v>1460</v>
      </c>
      <c r="M143" s="96"/>
      <c r="N143" s="99">
        <f t="shared" si="44"/>
        <v>22</v>
      </c>
      <c r="O143" s="11">
        <f t="shared" si="78"/>
        <v>43393</v>
      </c>
      <c r="P143" s="3">
        <f t="shared" si="78"/>
        <v>151</v>
      </c>
      <c r="Q143" s="3">
        <f>SUMIF(MORTALIDAD!$J:$J,RESUMEN!O143,MORTALIDAD!$N:$N)</f>
        <v>0</v>
      </c>
      <c r="R143" s="19">
        <f t="shared" si="51"/>
        <v>-680</v>
      </c>
      <c r="S143" s="3">
        <f>SUMIF(MORTALIDAD!$J:$J,RESUMEN!O143,MORTALIDAD!$O:$O)</f>
        <v>0</v>
      </c>
      <c r="T143" s="3">
        <f>SUMIF(TRASLADOS!$K:$K,RESUMEN!O143,TRASLADOS!$N:$N)</f>
        <v>0</v>
      </c>
      <c r="U143" s="3">
        <f>SUMIF(TRASLADOS!$K:$K,RESUMEN!O143,TRASLADOS!$O:$O)</f>
        <v>0</v>
      </c>
      <c r="V143" s="3">
        <f>SUMIF(VENTAS!$J:$J,RESUMEN!O143,VENTAS!$N:$N)</f>
        <v>0</v>
      </c>
      <c r="W143" s="3">
        <f>SUMIF(VENTAS!$J:$J,RESUMEN!O143,VENTAS!$O:$O)</f>
        <v>0</v>
      </c>
      <c r="X143" s="97">
        <f t="shared" si="52"/>
        <v>1520</v>
      </c>
      <c r="Y143" s="96"/>
      <c r="Z143" s="99">
        <f t="shared" si="45"/>
        <v>22</v>
      </c>
      <c r="AA143" s="11">
        <f t="shared" si="79"/>
        <v>43397</v>
      </c>
      <c r="AB143" s="3">
        <f t="shared" si="79"/>
        <v>150</v>
      </c>
      <c r="AC143" s="3">
        <f>SUMIF(MORTALIDAD!$R:$R,RESUMEN!AA143,MORTALIDAD!$V:$V)</f>
        <v>0</v>
      </c>
      <c r="AD143" s="19">
        <f t="shared" si="54"/>
        <v>-476</v>
      </c>
      <c r="AE143" s="3">
        <f>SUMIF(MORTALIDAD!$R:$R,RESUMEN!AA143,MORTALIDAD!$W:$W)</f>
        <v>0</v>
      </c>
      <c r="AF143" s="3">
        <f>SUMIF(TRASLADOS!$T:$T,RESUMEN!AA143,TRASLADOS!$W:$W)</f>
        <v>0</v>
      </c>
      <c r="AG143" s="3">
        <f>SUMIF(TRASLADOS!$T:$T,RESUMEN!AA143,TRASLADOS!$X:$X)</f>
        <v>0</v>
      </c>
      <c r="AH143" s="3">
        <f>SUMIF(VENTAS!$R:$R,RESUMEN!AA143,VENTAS!$V:$V)</f>
        <v>0</v>
      </c>
      <c r="AI143" s="3">
        <f>SUMIF(VENTAS!$R:$R,RESUMEN!AA143,VENTAS!$W:$W)</f>
        <v>0</v>
      </c>
      <c r="AJ143" s="97">
        <f t="shared" si="55"/>
        <v>1724</v>
      </c>
      <c r="AK143" s="96"/>
      <c r="AL143" s="99">
        <f t="shared" si="46"/>
        <v>22</v>
      </c>
      <c r="AM143" s="11">
        <f t="shared" si="80"/>
        <v>43404</v>
      </c>
      <c r="AN143" s="3">
        <f t="shared" si="80"/>
        <v>150</v>
      </c>
      <c r="AO143" s="3">
        <f>SUMIF(MORTALIDAD!$Z:$Z,RESUMEN!AM143,MORTALIDAD!$AD:$AD)</f>
        <v>0</v>
      </c>
      <c r="AP143" s="19">
        <f t="shared" si="57"/>
        <v>-124</v>
      </c>
      <c r="AQ143" s="3">
        <f>SUMIF(MORTALIDAD!$Z:$Z,RESUMEN!AM143,MORTALIDAD!$AE:$AE)</f>
        <v>0</v>
      </c>
      <c r="AR143" s="3">
        <f>SUMIF(TRASLADOS!$AC:$AC,RESUMEN!AM143,TRASLADOS!$AF:$AF)</f>
        <v>0</v>
      </c>
      <c r="AS143" s="3">
        <f>SUMIF(TRASLADOS!$AC:$AC,RESUMEN!AM143,TRASLADOS!$AG:$AG)</f>
        <v>0</v>
      </c>
      <c r="AT143" s="3">
        <f>SUMIF(VENTAS!$Z:$Z,RESUMEN!AM143,VENTAS!$AD:$AD)</f>
        <v>0</v>
      </c>
      <c r="AU143" s="3">
        <f>SUMIF(VENTAS!$Z:$Z,RESUMEN!AM143,VENTAS!$AE:$AE)</f>
        <v>0</v>
      </c>
      <c r="AV143" s="97">
        <f t="shared" si="58"/>
        <v>2076</v>
      </c>
      <c r="AW143" s="96"/>
      <c r="AX143" s="99">
        <f t="shared" si="47"/>
        <v>22</v>
      </c>
      <c r="AY143" s="11">
        <f t="shared" si="81"/>
        <v>43411</v>
      </c>
      <c r="AZ143" s="3">
        <f t="shared" si="81"/>
        <v>150</v>
      </c>
      <c r="BA143" s="3">
        <f>SUMIF(MORTALIDAD!$AH:$AH,RESUMEN!AY143,MORTALIDAD!$AL:$AL)</f>
        <v>0</v>
      </c>
      <c r="BB143" s="19">
        <f t="shared" si="60"/>
        <v>-119</v>
      </c>
      <c r="BC143" s="3">
        <f>SUMIF(MORTALIDAD!$AH:$AH,RESUMEN!AY143,MORTALIDAD!$AM:$AM)</f>
        <v>0</v>
      </c>
      <c r="BD143" s="3">
        <f>SUMIF(TRASLADOS!$AL:$AL,RESUMEN!AY143,TRASLADOS!$AO:$AO)</f>
        <v>0</v>
      </c>
      <c r="BE143" s="3">
        <f>SUMIF(TRASLADOS!$AL:$AL,RESUMEN!AY143,TRASLADOS!$AP:$AP)</f>
        <v>0</v>
      </c>
      <c r="BF143" s="3">
        <f>SUMIF(VENTAS!$AH:$AH,RESUMEN!AY143,VENTAS!$AL:$AL)</f>
        <v>0</v>
      </c>
      <c r="BG143" s="3">
        <f>SUMIF(VENTAS!$AH:$AH,RESUMEN!AY143,VENTAS!$AM:$AM)</f>
        <v>0</v>
      </c>
      <c r="BH143" s="97">
        <f t="shared" si="61"/>
        <v>2081</v>
      </c>
      <c r="BI143" s="96"/>
      <c r="BJ143" s="99">
        <f t="shared" si="48"/>
        <v>22</v>
      </c>
      <c r="BK143" s="11">
        <f t="shared" si="82"/>
        <v>43420</v>
      </c>
      <c r="BL143" s="3">
        <f t="shared" si="82"/>
        <v>153</v>
      </c>
      <c r="BM143" s="3">
        <f>SUMIF(MORTALIDAD!$AP:$AP,RESUMEN!BK143,MORTALIDAD!$AT:$AT)</f>
        <v>0</v>
      </c>
      <c r="BN143" s="19">
        <f t="shared" si="63"/>
        <v>-73</v>
      </c>
      <c r="BO143" s="3">
        <f>SUMIF(MORTALIDAD!$AP$6:$AP$200,RESUMEN!BK143,MORTALIDAD!$AU$6:$AU$200)</f>
        <v>0</v>
      </c>
      <c r="BP143" s="3">
        <f>SUMIF(TRASLADOS!$AU:$AU,RESUMEN!BK143,TRASLADOS!$AX:$AX)</f>
        <v>0</v>
      </c>
      <c r="BQ143" s="3">
        <f>SUMIF(TRASLADOS!$AU:$AU,RESUMEN!BK143,TRASLADOS!$AY:$AY)</f>
        <v>0</v>
      </c>
      <c r="BR143" s="3">
        <f>SUMIF(VENTAS!$AP:$AP,RESUMEN!BK143,VENTAS!$AT:$AT)</f>
        <v>0</v>
      </c>
      <c r="BS143" s="3">
        <f>SUMIF(VENTAS!$AP:$AP,RESUMEN!BK143,VENTAS!$AU:$AU)</f>
        <v>0</v>
      </c>
      <c r="BT143" s="36">
        <f t="shared" si="64"/>
        <v>2241</v>
      </c>
    </row>
    <row r="144" spans="2:72" x14ac:dyDescent="0.2">
      <c r="B144" s="3">
        <f t="shared" ref="B144:B207" si="83">WEEKNUM(C144-$D$7)</f>
        <v>22</v>
      </c>
      <c r="C144" s="11">
        <f t="shared" si="75"/>
        <v>43391</v>
      </c>
      <c r="D144" s="3">
        <f t="shared" si="76"/>
        <v>153</v>
      </c>
      <c r="E144" s="3">
        <f>SUMIF(MORTALIDAD!$B$6:$B$200,RESUMEN!C144,MORTALIDAD!$F$6:$F$200)</f>
        <v>0</v>
      </c>
      <c r="F144" s="17">
        <f t="shared" si="77"/>
        <v>-740</v>
      </c>
      <c r="G144" s="3">
        <f>SUMIF(MORTALIDAD!$B$6:$B$200,RESUMEN!C144,MORTALIDAD!$G$6:$G$200)</f>
        <v>0</v>
      </c>
      <c r="H144" s="3">
        <f>SUMIF(TRASLADOS!$B$6:$B$200,C144,TRASLADOS!$E$6:$E$200)</f>
        <v>0</v>
      </c>
      <c r="I144" s="3">
        <f>SUMIF(TRASLADOS!$B$6:$B$200,C144,TRASLADOS!$F$6:$F$200)</f>
        <v>0</v>
      </c>
      <c r="J144" s="3">
        <f>SUMIF(VENTAS!$B$6:$B$200,RESUMEN!C144,VENTAS!$F$6:$F$200)</f>
        <v>0</v>
      </c>
      <c r="K144" s="3">
        <f>SUMIF(VENTAS!$B$6:$B$200,RESUMEN!C144,VENTAS!$G$6:$G$200)</f>
        <v>0</v>
      </c>
      <c r="L144" s="97">
        <f t="shared" si="49"/>
        <v>1460</v>
      </c>
      <c r="M144" s="96"/>
      <c r="N144" s="99">
        <f t="shared" ref="N144:N207" si="84">WEEKNUM(O144-$P$7)</f>
        <v>22</v>
      </c>
      <c r="O144" s="11">
        <f t="shared" si="78"/>
        <v>43394</v>
      </c>
      <c r="P144" s="3">
        <f t="shared" si="78"/>
        <v>152</v>
      </c>
      <c r="Q144" s="3">
        <f>SUMIF(MORTALIDAD!$J:$J,RESUMEN!O144,MORTALIDAD!$N:$N)</f>
        <v>0</v>
      </c>
      <c r="R144" s="19">
        <f t="shared" si="51"/>
        <v>-680</v>
      </c>
      <c r="S144" s="3">
        <f>SUMIF(MORTALIDAD!$J:$J,RESUMEN!O144,MORTALIDAD!$O:$O)</f>
        <v>0</v>
      </c>
      <c r="T144" s="3">
        <f>SUMIF(TRASLADOS!$K:$K,RESUMEN!O144,TRASLADOS!$N:$N)</f>
        <v>0</v>
      </c>
      <c r="U144" s="3">
        <f>SUMIF(TRASLADOS!$K:$K,RESUMEN!O144,TRASLADOS!$O:$O)</f>
        <v>0</v>
      </c>
      <c r="V144" s="3">
        <f>SUMIF(VENTAS!$J:$J,RESUMEN!O144,VENTAS!$N:$N)</f>
        <v>0</v>
      </c>
      <c r="W144" s="3">
        <f>SUMIF(VENTAS!$J:$J,RESUMEN!O144,VENTAS!$O:$O)</f>
        <v>0</v>
      </c>
      <c r="X144" s="97">
        <f t="shared" si="52"/>
        <v>1520</v>
      </c>
      <c r="Y144" s="96"/>
      <c r="Z144" s="99">
        <f t="shared" ref="Z144:Z207" si="85">WEEKNUM(AA144-$AB$7)</f>
        <v>22</v>
      </c>
      <c r="AA144" s="11">
        <f t="shared" si="79"/>
        <v>43398</v>
      </c>
      <c r="AB144" s="3">
        <f t="shared" si="79"/>
        <v>151</v>
      </c>
      <c r="AC144" s="3">
        <f>SUMIF(MORTALIDAD!$R:$R,RESUMEN!AA144,MORTALIDAD!$V:$V)</f>
        <v>0</v>
      </c>
      <c r="AD144" s="19">
        <f t="shared" si="54"/>
        <v>-476</v>
      </c>
      <c r="AE144" s="3">
        <f>SUMIF(MORTALIDAD!$R:$R,RESUMEN!AA144,MORTALIDAD!$W:$W)</f>
        <v>0</v>
      </c>
      <c r="AF144" s="3">
        <f>SUMIF(TRASLADOS!$T:$T,RESUMEN!AA144,TRASLADOS!$W:$W)</f>
        <v>0</v>
      </c>
      <c r="AG144" s="3">
        <f>SUMIF(TRASLADOS!$T:$T,RESUMEN!AA144,TRASLADOS!$X:$X)</f>
        <v>0</v>
      </c>
      <c r="AH144" s="3">
        <f>SUMIF(VENTAS!$R:$R,RESUMEN!AA144,VENTAS!$V:$V)</f>
        <v>0</v>
      </c>
      <c r="AI144" s="3">
        <f>SUMIF(VENTAS!$R:$R,RESUMEN!AA144,VENTAS!$W:$W)</f>
        <v>0</v>
      </c>
      <c r="AJ144" s="97">
        <f t="shared" si="55"/>
        <v>1724</v>
      </c>
      <c r="AK144" s="96"/>
      <c r="AL144" s="99">
        <f t="shared" ref="AL144:AL207" si="86">WEEKNUM(AM144-$AN$7)</f>
        <v>22</v>
      </c>
      <c r="AM144" s="11">
        <f t="shared" si="80"/>
        <v>43405</v>
      </c>
      <c r="AN144" s="3">
        <f t="shared" si="80"/>
        <v>151</v>
      </c>
      <c r="AO144" s="3">
        <f>SUMIF(MORTALIDAD!$Z:$Z,RESUMEN!AM144,MORTALIDAD!$AD:$AD)</f>
        <v>0</v>
      </c>
      <c r="AP144" s="19">
        <f t="shared" si="57"/>
        <v>-124</v>
      </c>
      <c r="AQ144" s="3">
        <f>SUMIF(MORTALIDAD!$Z:$Z,RESUMEN!AM144,MORTALIDAD!$AE:$AE)</f>
        <v>0</v>
      </c>
      <c r="AR144" s="3">
        <f>SUMIF(TRASLADOS!$AC:$AC,RESUMEN!AM144,TRASLADOS!$AF:$AF)</f>
        <v>0</v>
      </c>
      <c r="AS144" s="3">
        <f>SUMIF(TRASLADOS!$AC:$AC,RESUMEN!AM144,TRASLADOS!$AG:$AG)</f>
        <v>0</v>
      </c>
      <c r="AT144" s="3">
        <f>SUMIF(VENTAS!$Z:$Z,RESUMEN!AM144,VENTAS!$AD:$AD)</f>
        <v>0</v>
      </c>
      <c r="AU144" s="3">
        <f>SUMIF(VENTAS!$Z:$Z,RESUMEN!AM144,VENTAS!$AE:$AE)</f>
        <v>0</v>
      </c>
      <c r="AV144" s="97">
        <f t="shared" si="58"/>
        <v>2076</v>
      </c>
      <c r="AW144" s="96"/>
      <c r="AX144" s="99">
        <f t="shared" ref="AX144:AX207" si="87">WEEKNUM(AY144-$AZ$7)</f>
        <v>22</v>
      </c>
      <c r="AY144" s="11">
        <f t="shared" si="81"/>
        <v>43412</v>
      </c>
      <c r="AZ144" s="3">
        <f t="shared" si="81"/>
        <v>151</v>
      </c>
      <c r="BA144" s="3">
        <f>SUMIF(MORTALIDAD!$AH:$AH,RESUMEN!AY144,MORTALIDAD!$AL:$AL)</f>
        <v>0</v>
      </c>
      <c r="BB144" s="19">
        <f t="shared" si="60"/>
        <v>-119</v>
      </c>
      <c r="BC144" s="3">
        <f>SUMIF(MORTALIDAD!$AH:$AH,RESUMEN!AY144,MORTALIDAD!$AM:$AM)</f>
        <v>0</v>
      </c>
      <c r="BD144" s="3">
        <f>SUMIF(TRASLADOS!$AL:$AL,RESUMEN!AY144,TRASLADOS!$AO:$AO)</f>
        <v>0</v>
      </c>
      <c r="BE144" s="3">
        <f>SUMIF(TRASLADOS!$AL:$AL,RESUMEN!AY144,TRASLADOS!$AP:$AP)</f>
        <v>0</v>
      </c>
      <c r="BF144" s="3">
        <f>SUMIF(VENTAS!$AH:$AH,RESUMEN!AY144,VENTAS!$AL:$AL)</f>
        <v>0</v>
      </c>
      <c r="BG144" s="3">
        <f>SUMIF(VENTAS!$AH:$AH,RESUMEN!AY144,VENTAS!$AM:$AM)</f>
        <v>0</v>
      </c>
      <c r="BH144" s="97">
        <f t="shared" si="61"/>
        <v>2081</v>
      </c>
      <c r="BI144" s="96"/>
      <c r="BJ144" s="99">
        <f t="shared" ref="BJ144:BJ207" si="88">WEEKNUM(BK144-$BL$7)</f>
        <v>22</v>
      </c>
      <c r="BK144" s="11">
        <f t="shared" si="82"/>
        <v>43421</v>
      </c>
      <c r="BL144" s="3">
        <f t="shared" si="82"/>
        <v>154</v>
      </c>
      <c r="BM144" s="3">
        <f>SUMIF(MORTALIDAD!$AP:$AP,RESUMEN!BK144,MORTALIDAD!$AT:$AT)</f>
        <v>0</v>
      </c>
      <c r="BN144" s="19">
        <f t="shared" si="63"/>
        <v>-73</v>
      </c>
      <c r="BO144" s="3">
        <f>SUMIF(MORTALIDAD!$AP$6:$AP$200,RESUMEN!BK144,MORTALIDAD!$AU$6:$AU$200)</f>
        <v>0</v>
      </c>
      <c r="BP144" s="3">
        <f>SUMIF(TRASLADOS!$AU:$AU,RESUMEN!BK144,TRASLADOS!$AX:$AX)</f>
        <v>0</v>
      </c>
      <c r="BQ144" s="3">
        <f>SUMIF(TRASLADOS!$AU:$AU,RESUMEN!BK144,TRASLADOS!$AY:$AY)</f>
        <v>0</v>
      </c>
      <c r="BR144" s="3">
        <f>SUMIF(VENTAS!$AP:$AP,RESUMEN!BK144,VENTAS!$AT:$AT)</f>
        <v>0</v>
      </c>
      <c r="BS144" s="3">
        <f>SUMIF(VENTAS!$AP:$AP,RESUMEN!BK144,VENTAS!$AU:$AU)</f>
        <v>0</v>
      </c>
      <c r="BT144" s="36">
        <f t="shared" si="64"/>
        <v>2241</v>
      </c>
    </row>
    <row r="145" spans="2:72" x14ac:dyDescent="0.2">
      <c r="B145" s="3">
        <f t="shared" si="83"/>
        <v>22</v>
      </c>
      <c r="C145" s="11">
        <f t="shared" si="75"/>
        <v>43392</v>
      </c>
      <c r="D145" s="3">
        <f t="shared" si="76"/>
        <v>154</v>
      </c>
      <c r="E145" s="3">
        <f>SUMIF(MORTALIDAD!$B$6:$B$200,RESUMEN!C145,MORTALIDAD!$F$6:$F$200)</f>
        <v>0</v>
      </c>
      <c r="F145" s="17">
        <f t="shared" si="77"/>
        <v>-740</v>
      </c>
      <c r="G145" s="3">
        <f>SUMIF(MORTALIDAD!$B$6:$B$200,RESUMEN!C145,MORTALIDAD!$G$6:$G$200)</f>
        <v>0</v>
      </c>
      <c r="H145" s="3">
        <f>SUMIF(TRASLADOS!$B$6:$B$200,C145,TRASLADOS!$E$6:$E$200)</f>
        <v>0</v>
      </c>
      <c r="I145" s="3">
        <f>SUMIF(TRASLADOS!$B$6:$B$200,C145,TRASLADOS!$F$6:$F$200)</f>
        <v>0</v>
      </c>
      <c r="J145" s="3">
        <f>SUMIF(VENTAS!$B$6:$B$200,RESUMEN!C145,VENTAS!$F$6:$F$200)</f>
        <v>0</v>
      </c>
      <c r="K145" s="3">
        <f>SUMIF(VENTAS!$B$6:$B$200,RESUMEN!C145,VENTAS!$G$6:$G$200)</f>
        <v>0</v>
      </c>
      <c r="L145" s="97">
        <f t="shared" ref="L145:L208" si="89">L144+E145+H145+I145+J145</f>
        <v>1460</v>
      </c>
      <c r="M145" s="96"/>
      <c r="N145" s="99">
        <f t="shared" si="84"/>
        <v>22</v>
      </c>
      <c r="O145" s="11">
        <f t="shared" ref="O145:P160" si="90">O144+1</f>
        <v>43395</v>
      </c>
      <c r="P145" s="3">
        <f t="shared" si="90"/>
        <v>153</v>
      </c>
      <c r="Q145" s="3">
        <f>SUMIF(MORTALIDAD!$J:$J,RESUMEN!O145,MORTALIDAD!$N:$N)</f>
        <v>0</v>
      </c>
      <c r="R145" s="19">
        <f t="shared" ref="R145:R208" si="91">R144+Q145</f>
        <v>-680</v>
      </c>
      <c r="S145" s="3">
        <f>SUMIF(MORTALIDAD!$J:$J,RESUMEN!O145,MORTALIDAD!$O:$O)</f>
        <v>0</v>
      </c>
      <c r="T145" s="3">
        <f>SUMIF(TRASLADOS!$K:$K,RESUMEN!O145,TRASLADOS!$N:$N)</f>
        <v>0</v>
      </c>
      <c r="U145" s="3">
        <f>SUMIF(TRASLADOS!$K:$K,RESUMEN!O145,TRASLADOS!$O:$O)</f>
        <v>0</v>
      </c>
      <c r="V145" s="3">
        <f>SUMIF(VENTAS!$J:$J,RESUMEN!O145,VENTAS!$N:$N)</f>
        <v>0</v>
      </c>
      <c r="W145" s="3">
        <f>SUMIF(VENTAS!$J:$J,RESUMEN!O145,VENTAS!$O:$O)</f>
        <v>0</v>
      </c>
      <c r="X145" s="97">
        <f t="shared" ref="X145:X208" si="92">X144+Q145+T145+U145+V145</f>
        <v>1520</v>
      </c>
      <c r="Y145" s="96"/>
      <c r="Z145" s="99">
        <f t="shared" si="85"/>
        <v>22</v>
      </c>
      <c r="AA145" s="11">
        <f t="shared" ref="AA145:AB160" si="93">AA144+1</f>
        <v>43399</v>
      </c>
      <c r="AB145" s="3">
        <f t="shared" si="93"/>
        <v>152</v>
      </c>
      <c r="AC145" s="3">
        <f>SUMIF(MORTALIDAD!$R:$R,RESUMEN!AA145,MORTALIDAD!$V:$V)</f>
        <v>0</v>
      </c>
      <c r="AD145" s="19">
        <f t="shared" ref="AD145:AD208" si="94">AD144+AC145</f>
        <v>-476</v>
      </c>
      <c r="AE145" s="3">
        <f>SUMIF(MORTALIDAD!$R:$R,RESUMEN!AA145,MORTALIDAD!$W:$W)</f>
        <v>0</v>
      </c>
      <c r="AF145" s="3">
        <f>SUMIF(TRASLADOS!$T:$T,RESUMEN!AA145,TRASLADOS!$W:$W)</f>
        <v>0</v>
      </c>
      <c r="AG145" s="3">
        <f>SUMIF(TRASLADOS!$T:$T,RESUMEN!AA145,TRASLADOS!$X:$X)</f>
        <v>0</v>
      </c>
      <c r="AH145" s="3">
        <f>SUMIF(VENTAS!$R:$R,RESUMEN!AA145,VENTAS!$V:$V)</f>
        <v>0</v>
      </c>
      <c r="AI145" s="3">
        <f>SUMIF(VENTAS!$R:$R,RESUMEN!AA145,VENTAS!$W:$W)</f>
        <v>0</v>
      </c>
      <c r="AJ145" s="97">
        <f t="shared" ref="AJ145:AJ208" si="95">AJ144+AC145+AF145+AG145+AH145</f>
        <v>1724</v>
      </c>
      <c r="AK145" s="96"/>
      <c r="AL145" s="99">
        <f t="shared" si="86"/>
        <v>22</v>
      </c>
      <c r="AM145" s="11">
        <f t="shared" ref="AM145:AN160" si="96">AM144+1</f>
        <v>43406</v>
      </c>
      <c r="AN145" s="3">
        <f t="shared" si="96"/>
        <v>152</v>
      </c>
      <c r="AO145" s="3">
        <f>SUMIF(MORTALIDAD!$Z:$Z,RESUMEN!AM145,MORTALIDAD!$AD:$AD)</f>
        <v>0</v>
      </c>
      <c r="AP145" s="19">
        <f t="shared" ref="AP145:AP208" si="97">AP144+AO145</f>
        <v>-124</v>
      </c>
      <c r="AQ145" s="3">
        <f>SUMIF(MORTALIDAD!$Z:$Z,RESUMEN!AM145,MORTALIDAD!$AE:$AE)</f>
        <v>0</v>
      </c>
      <c r="AR145" s="3">
        <f>SUMIF(TRASLADOS!$AC:$AC,RESUMEN!AM145,TRASLADOS!$AF:$AF)</f>
        <v>0</v>
      </c>
      <c r="AS145" s="3">
        <f>SUMIF(TRASLADOS!$AC:$AC,RESUMEN!AM145,TRASLADOS!$AG:$AG)</f>
        <v>0</v>
      </c>
      <c r="AT145" s="3">
        <f>SUMIF(VENTAS!$Z:$Z,RESUMEN!AM145,VENTAS!$AD:$AD)</f>
        <v>0</v>
      </c>
      <c r="AU145" s="3">
        <f>SUMIF(VENTAS!$Z:$Z,RESUMEN!AM145,VENTAS!$AE:$AE)</f>
        <v>0</v>
      </c>
      <c r="AV145" s="97">
        <f t="shared" ref="AV145:AV208" si="98">AV144+AO145+AR145+AS145+AT145</f>
        <v>2076</v>
      </c>
      <c r="AW145" s="96"/>
      <c r="AX145" s="99">
        <f t="shared" si="87"/>
        <v>22</v>
      </c>
      <c r="AY145" s="11">
        <f t="shared" ref="AY145:AZ160" si="99">AY144+1</f>
        <v>43413</v>
      </c>
      <c r="AZ145" s="3">
        <f t="shared" si="99"/>
        <v>152</v>
      </c>
      <c r="BA145" s="3">
        <f>SUMIF(MORTALIDAD!$AH:$AH,RESUMEN!AY145,MORTALIDAD!$AL:$AL)</f>
        <v>0</v>
      </c>
      <c r="BB145" s="19">
        <f t="shared" ref="BB145:BB208" si="100">BB144+BA145</f>
        <v>-119</v>
      </c>
      <c r="BC145" s="3">
        <f>SUMIF(MORTALIDAD!$AH:$AH,RESUMEN!AY145,MORTALIDAD!$AM:$AM)</f>
        <v>0</v>
      </c>
      <c r="BD145" s="3">
        <f>SUMIF(TRASLADOS!$AL:$AL,RESUMEN!AY145,TRASLADOS!$AO:$AO)</f>
        <v>0</v>
      </c>
      <c r="BE145" s="3">
        <f>SUMIF(TRASLADOS!$AL:$AL,RESUMEN!AY145,TRASLADOS!$AP:$AP)</f>
        <v>0</v>
      </c>
      <c r="BF145" s="3">
        <f>SUMIF(VENTAS!$AH:$AH,RESUMEN!AY145,VENTAS!$AL:$AL)</f>
        <v>0</v>
      </c>
      <c r="BG145" s="3">
        <f>SUMIF(VENTAS!$AH:$AH,RESUMEN!AY145,VENTAS!$AM:$AM)</f>
        <v>0</v>
      </c>
      <c r="BH145" s="97">
        <f t="shared" ref="BH145:BH208" si="101">BH144+BA145+BD145+BE145+BF145</f>
        <v>2081</v>
      </c>
      <c r="BI145" s="96"/>
      <c r="BJ145" s="99">
        <f t="shared" si="88"/>
        <v>23</v>
      </c>
      <c r="BK145" s="11">
        <f t="shared" ref="BK145:BL160" si="102">BK144+1</f>
        <v>43422</v>
      </c>
      <c r="BL145" s="3">
        <f t="shared" si="102"/>
        <v>155</v>
      </c>
      <c r="BM145" s="3">
        <f>SUMIF(MORTALIDAD!$AP:$AP,RESUMEN!BK145,MORTALIDAD!$AT:$AT)</f>
        <v>0</v>
      </c>
      <c r="BN145" s="19">
        <f t="shared" ref="BN145:BN208" si="103">BN144+BM145</f>
        <v>-73</v>
      </c>
      <c r="BO145" s="3">
        <f>SUMIF(MORTALIDAD!$AP$6:$AP$200,RESUMEN!BK145,MORTALIDAD!$AU$6:$AU$200)</f>
        <v>0</v>
      </c>
      <c r="BP145" s="3">
        <f>SUMIF(TRASLADOS!$AU:$AU,RESUMEN!BK145,TRASLADOS!$AX:$AX)</f>
        <v>0</v>
      </c>
      <c r="BQ145" s="3">
        <f>SUMIF(TRASLADOS!$AU:$AU,RESUMEN!BK145,TRASLADOS!$AY:$AY)</f>
        <v>0</v>
      </c>
      <c r="BR145" s="3">
        <f>SUMIF(VENTAS!$AP:$AP,RESUMEN!BK145,VENTAS!$AT:$AT)</f>
        <v>0</v>
      </c>
      <c r="BS145" s="3">
        <f>SUMIF(VENTAS!$AP:$AP,RESUMEN!BK145,VENTAS!$AU:$AU)</f>
        <v>0</v>
      </c>
      <c r="BT145" s="36">
        <f t="shared" ref="BT145:BT208" si="104">BT144+BM145+BP145+BQ145+BR145</f>
        <v>2241</v>
      </c>
    </row>
    <row r="146" spans="2:72" x14ac:dyDescent="0.2">
      <c r="B146" s="3">
        <f t="shared" si="83"/>
        <v>23</v>
      </c>
      <c r="C146" s="11">
        <f t="shared" si="75"/>
        <v>43393</v>
      </c>
      <c r="D146" s="3">
        <f t="shared" si="76"/>
        <v>155</v>
      </c>
      <c r="E146" s="3">
        <f>SUMIF(MORTALIDAD!$B$6:$B$200,RESUMEN!C146,MORTALIDAD!$F$6:$F$200)</f>
        <v>0</v>
      </c>
      <c r="F146" s="17">
        <f t="shared" si="77"/>
        <v>-740</v>
      </c>
      <c r="G146" s="3">
        <f>SUMIF(MORTALIDAD!$B$6:$B$200,RESUMEN!C146,MORTALIDAD!$G$6:$G$200)</f>
        <v>0</v>
      </c>
      <c r="H146" s="3">
        <f>SUMIF(TRASLADOS!$B$6:$B$200,C146,TRASLADOS!$E$6:$E$200)</f>
        <v>0</v>
      </c>
      <c r="I146" s="3">
        <f>SUMIF(TRASLADOS!$B$6:$B$200,C146,TRASLADOS!$F$6:$F$200)</f>
        <v>0</v>
      </c>
      <c r="J146" s="3">
        <f>SUMIF(VENTAS!$B$6:$B$200,RESUMEN!C146,VENTAS!$F$6:$F$200)</f>
        <v>0</v>
      </c>
      <c r="K146" s="3">
        <f>SUMIF(VENTAS!$B$6:$B$200,RESUMEN!C146,VENTAS!$G$6:$G$200)</f>
        <v>0</v>
      </c>
      <c r="L146" s="97">
        <f t="shared" si="89"/>
        <v>1460</v>
      </c>
      <c r="M146" s="96"/>
      <c r="N146" s="99">
        <f t="shared" si="84"/>
        <v>22</v>
      </c>
      <c r="O146" s="11">
        <f t="shared" si="90"/>
        <v>43396</v>
      </c>
      <c r="P146" s="3">
        <f t="shared" si="90"/>
        <v>154</v>
      </c>
      <c r="Q146" s="3">
        <f>SUMIF(MORTALIDAD!$J:$J,RESUMEN!O146,MORTALIDAD!$N:$N)</f>
        <v>0</v>
      </c>
      <c r="R146" s="19">
        <f t="shared" si="91"/>
        <v>-680</v>
      </c>
      <c r="S146" s="3">
        <f>SUMIF(MORTALIDAD!$J:$J,RESUMEN!O146,MORTALIDAD!$O:$O)</f>
        <v>0</v>
      </c>
      <c r="T146" s="3">
        <f>SUMIF(TRASLADOS!$K:$K,RESUMEN!O146,TRASLADOS!$N:$N)</f>
        <v>0</v>
      </c>
      <c r="U146" s="3">
        <f>SUMIF(TRASLADOS!$K:$K,RESUMEN!O146,TRASLADOS!$O:$O)</f>
        <v>0</v>
      </c>
      <c r="V146" s="3">
        <f>SUMIF(VENTAS!$J:$J,RESUMEN!O146,VENTAS!$N:$N)</f>
        <v>0</v>
      </c>
      <c r="W146" s="3">
        <f>SUMIF(VENTAS!$J:$J,RESUMEN!O146,VENTAS!$O:$O)</f>
        <v>0</v>
      </c>
      <c r="X146" s="97">
        <f t="shared" si="92"/>
        <v>1520</v>
      </c>
      <c r="Y146" s="96"/>
      <c r="Z146" s="99">
        <f t="shared" si="85"/>
        <v>22</v>
      </c>
      <c r="AA146" s="11">
        <f t="shared" si="93"/>
        <v>43400</v>
      </c>
      <c r="AB146" s="3">
        <f t="shared" si="93"/>
        <v>153</v>
      </c>
      <c r="AC146" s="3">
        <f>SUMIF(MORTALIDAD!$R:$R,RESUMEN!AA146,MORTALIDAD!$V:$V)</f>
        <v>0</v>
      </c>
      <c r="AD146" s="19">
        <f t="shared" si="94"/>
        <v>-476</v>
      </c>
      <c r="AE146" s="3">
        <f>SUMIF(MORTALIDAD!$R:$R,RESUMEN!AA146,MORTALIDAD!$W:$W)</f>
        <v>0</v>
      </c>
      <c r="AF146" s="3">
        <f>SUMIF(TRASLADOS!$T:$T,RESUMEN!AA146,TRASLADOS!$W:$W)</f>
        <v>0</v>
      </c>
      <c r="AG146" s="3">
        <f>SUMIF(TRASLADOS!$T:$T,RESUMEN!AA146,TRASLADOS!$X:$X)</f>
        <v>0</v>
      </c>
      <c r="AH146" s="3">
        <f>SUMIF(VENTAS!$R:$R,RESUMEN!AA146,VENTAS!$V:$V)</f>
        <v>0</v>
      </c>
      <c r="AI146" s="3">
        <f>SUMIF(VENTAS!$R:$R,RESUMEN!AA146,VENTAS!$W:$W)</f>
        <v>0</v>
      </c>
      <c r="AJ146" s="97">
        <f t="shared" si="95"/>
        <v>1724</v>
      </c>
      <c r="AK146" s="96"/>
      <c r="AL146" s="99">
        <f t="shared" si="86"/>
        <v>22</v>
      </c>
      <c r="AM146" s="11">
        <f t="shared" si="96"/>
        <v>43407</v>
      </c>
      <c r="AN146" s="3">
        <f t="shared" si="96"/>
        <v>153</v>
      </c>
      <c r="AO146" s="3">
        <f>SUMIF(MORTALIDAD!$Z:$Z,RESUMEN!AM146,MORTALIDAD!$AD:$AD)</f>
        <v>0</v>
      </c>
      <c r="AP146" s="19">
        <f t="shared" si="97"/>
        <v>-124</v>
      </c>
      <c r="AQ146" s="3">
        <f>SUMIF(MORTALIDAD!$Z:$Z,RESUMEN!AM146,MORTALIDAD!$AE:$AE)</f>
        <v>0</v>
      </c>
      <c r="AR146" s="3">
        <f>SUMIF(TRASLADOS!$AC:$AC,RESUMEN!AM146,TRASLADOS!$AF:$AF)</f>
        <v>0</v>
      </c>
      <c r="AS146" s="3">
        <f>SUMIF(TRASLADOS!$AC:$AC,RESUMEN!AM146,TRASLADOS!$AG:$AG)</f>
        <v>0</v>
      </c>
      <c r="AT146" s="3">
        <f>SUMIF(VENTAS!$Z:$Z,RESUMEN!AM146,VENTAS!$AD:$AD)</f>
        <v>0</v>
      </c>
      <c r="AU146" s="3">
        <f>SUMIF(VENTAS!$Z:$Z,RESUMEN!AM146,VENTAS!$AE:$AE)</f>
        <v>0</v>
      </c>
      <c r="AV146" s="97">
        <f t="shared" si="98"/>
        <v>2076</v>
      </c>
      <c r="AW146" s="96"/>
      <c r="AX146" s="99">
        <f t="shared" si="87"/>
        <v>22</v>
      </c>
      <c r="AY146" s="11">
        <f t="shared" si="99"/>
        <v>43414</v>
      </c>
      <c r="AZ146" s="3">
        <f t="shared" si="99"/>
        <v>153</v>
      </c>
      <c r="BA146" s="3">
        <f>SUMIF(MORTALIDAD!$AH:$AH,RESUMEN!AY146,MORTALIDAD!$AL:$AL)</f>
        <v>0</v>
      </c>
      <c r="BB146" s="19">
        <f t="shared" si="100"/>
        <v>-119</v>
      </c>
      <c r="BC146" s="3">
        <f>SUMIF(MORTALIDAD!$AH:$AH,RESUMEN!AY146,MORTALIDAD!$AM:$AM)</f>
        <v>0</v>
      </c>
      <c r="BD146" s="3">
        <f>SUMIF(TRASLADOS!$AL:$AL,RESUMEN!AY146,TRASLADOS!$AO:$AO)</f>
        <v>0</v>
      </c>
      <c r="BE146" s="3">
        <f>SUMIF(TRASLADOS!$AL:$AL,RESUMEN!AY146,TRASLADOS!$AP:$AP)</f>
        <v>0</v>
      </c>
      <c r="BF146" s="3">
        <f>SUMIF(VENTAS!$AH:$AH,RESUMEN!AY146,VENTAS!$AL:$AL)</f>
        <v>0</v>
      </c>
      <c r="BG146" s="3">
        <f>SUMIF(VENTAS!$AH:$AH,RESUMEN!AY146,VENTAS!$AM:$AM)</f>
        <v>0</v>
      </c>
      <c r="BH146" s="97">
        <f t="shared" si="101"/>
        <v>2081</v>
      </c>
      <c r="BI146" s="96"/>
      <c r="BJ146" s="99">
        <f t="shared" si="88"/>
        <v>23</v>
      </c>
      <c r="BK146" s="11">
        <f t="shared" si="102"/>
        <v>43423</v>
      </c>
      <c r="BL146" s="3">
        <f t="shared" si="102"/>
        <v>156</v>
      </c>
      <c r="BM146" s="3">
        <f>SUMIF(MORTALIDAD!$AP:$AP,RESUMEN!BK146,MORTALIDAD!$AT:$AT)</f>
        <v>0</v>
      </c>
      <c r="BN146" s="19">
        <f t="shared" si="103"/>
        <v>-73</v>
      </c>
      <c r="BO146" s="3">
        <f>SUMIF(MORTALIDAD!$AP$6:$AP$200,RESUMEN!BK146,MORTALIDAD!$AU$6:$AU$200)</f>
        <v>0</v>
      </c>
      <c r="BP146" s="3">
        <f>SUMIF(TRASLADOS!$AU:$AU,RESUMEN!BK146,TRASLADOS!$AX:$AX)</f>
        <v>0</v>
      </c>
      <c r="BQ146" s="3">
        <f>SUMIF(TRASLADOS!$AU:$AU,RESUMEN!BK146,TRASLADOS!$AY:$AY)</f>
        <v>0</v>
      </c>
      <c r="BR146" s="3">
        <f>SUMIF(VENTAS!$AP:$AP,RESUMEN!BK146,VENTAS!$AT:$AT)</f>
        <v>0</v>
      </c>
      <c r="BS146" s="3">
        <f>SUMIF(VENTAS!$AP:$AP,RESUMEN!BK146,VENTAS!$AU:$AU)</f>
        <v>0</v>
      </c>
      <c r="BT146" s="36">
        <f t="shared" si="104"/>
        <v>2241</v>
      </c>
    </row>
    <row r="147" spans="2:72" x14ac:dyDescent="0.2">
      <c r="B147" s="3">
        <f t="shared" si="83"/>
        <v>23</v>
      </c>
      <c r="C147" s="11">
        <f t="shared" si="75"/>
        <v>43394</v>
      </c>
      <c r="D147" s="3">
        <f t="shared" si="76"/>
        <v>156</v>
      </c>
      <c r="E147" s="3">
        <f>SUMIF(MORTALIDAD!$B$6:$B$200,RESUMEN!C147,MORTALIDAD!$F$6:$F$200)</f>
        <v>0</v>
      </c>
      <c r="F147" s="17">
        <f t="shared" si="77"/>
        <v>-740</v>
      </c>
      <c r="G147" s="3">
        <f>SUMIF(MORTALIDAD!$B$6:$B$200,RESUMEN!C147,MORTALIDAD!$G$6:$G$200)</f>
        <v>0</v>
      </c>
      <c r="H147" s="3">
        <f>SUMIF(TRASLADOS!$B$6:$B$200,C147,TRASLADOS!$E$6:$E$200)</f>
        <v>0</v>
      </c>
      <c r="I147" s="3">
        <f>SUMIF(TRASLADOS!$B$6:$B$200,C147,TRASLADOS!$F$6:$F$200)</f>
        <v>0</v>
      </c>
      <c r="J147" s="3">
        <f>SUMIF(VENTAS!$B$6:$B$200,RESUMEN!C147,VENTAS!$F$6:$F$200)</f>
        <v>0</v>
      </c>
      <c r="K147" s="3">
        <f>SUMIF(VENTAS!$B$6:$B$200,RESUMEN!C147,VENTAS!$G$6:$G$200)</f>
        <v>0</v>
      </c>
      <c r="L147" s="97">
        <f t="shared" si="89"/>
        <v>1460</v>
      </c>
      <c r="M147" s="96"/>
      <c r="N147" s="99">
        <f t="shared" si="84"/>
        <v>23</v>
      </c>
      <c r="O147" s="11">
        <f t="shared" si="90"/>
        <v>43397</v>
      </c>
      <c r="P147" s="3">
        <f t="shared" si="90"/>
        <v>155</v>
      </c>
      <c r="Q147" s="3">
        <f>SUMIF(MORTALIDAD!$J:$J,RESUMEN!O147,MORTALIDAD!$N:$N)</f>
        <v>0</v>
      </c>
      <c r="R147" s="19">
        <f t="shared" si="91"/>
        <v>-680</v>
      </c>
      <c r="S147" s="3">
        <f>SUMIF(MORTALIDAD!$J:$J,RESUMEN!O147,MORTALIDAD!$O:$O)</f>
        <v>0</v>
      </c>
      <c r="T147" s="3">
        <f>SUMIF(TRASLADOS!$K:$K,RESUMEN!O147,TRASLADOS!$N:$N)</f>
        <v>0</v>
      </c>
      <c r="U147" s="3">
        <f>SUMIF(TRASLADOS!$K:$K,RESUMEN!O147,TRASLADOS!$O:$O)</f>
        <v>0</v>
      </c>
      <c r="V147" s="3">
        <f>SUMIF(VENTAS!$J:$J,RESUMEN!O147,VENTAS!$N:$N)</f>
        <v>0</v>
      </c>
      <c r="W147" s="3">
        <f>SUMIF(VENTAS!$J:$J,RESUMEN!O147,VENTAS!$O:$O)</f>
        <v>0</v>
      </c>
      <c r="X147" s="97">
        <f t="shared" si="92"/>
        <v>1520</v>
      </c>
      <c r="Y147" s="96"/>
      <c r="Z147" s="99">
        <f t="shared" si="85"/>
        <v>22</v>
      </c>
      <c r="AA147" s="11">
        <f t="shared" si="93"/>
        <v>43401</v>
      </c>
      <c r="AB147" s="3">
        <f t="shared" si="93"/>
        <v>154</v>
      </c>
      <c r="AC147" s="3">
        <f>SUMIF(MORTALIDAD!$R:$R,RESUMEN!AA147,MORTALIDAD!$V:$V)</f>
        <v>0</v>
      </c>
      <c r="AD147" s="19">
        <f t="shared" si="94"/>
        <v>-476</v>
      </c>
      <c r="AE147" s="3">
        <f>SUMIF(MORTALIDAD!$R:$R,RESUMEN!AA147,MORTALIDAD!$W:$W)</f>
        <v>0</v>
      </c>
      <c r="AF147" s="3">
        <f>SUMIF(TRASLADOS!$T:$T,RESUMEN!AA147,TRASLADOS!$W:$W)</f>
        <v>0</v>
      </c>
      <c r="AG147" s="3">
        <f>SUMIF(TRASLADOS!$T:$T,RESUMEN!AA147,TRASLADOS!$X:$X)</f>
        <v>0</v>
      </c>
      <c r="AH147" s="3">
        <f>SUMIF(VENTAS!$R:$R,RESUMEN!AA147,VENTAS!$V:$V)</f>
        <v>0</v>
      </c>
      <c r="AI147" s="3">
        <f>SUMIF(VENTAS!$R:$R,RESUMEN!AA147,VENTAS!$W:$W)</f>
        <v>0</v>
      </c>
      <c r="AJ147" s="97">
        <f t="shared" si="95"/>
        <v>1724</v>
      </c>
      <c r="AK147" s="96"/>
      <c r="AL147" s="99">
        <f t="shared" si="86"/>
        <v>22</v>
      </c>
      <c r="AM147" s="11">
        <f t="shared" si="96"/>
        <v>43408</v>
      </c>
      <c r="AN147" s="3">
        <f t="shared" si="96"/>
        <v>154</v>
      </c>
      <c r="AO147" s="3">
        <f>SUMIF(MORTALIDAD!$Z:$Z,RESUMEN!AM147,MORTALIDAD!$AD:$AD)</f>
        <v>0</v>
      </c>
      <c r="AP147" s="19">
        <f t="shared" si="97"/>
        <v>-124</v>
      </c>
      <c r="AQ147" s="3">
        <f>SUMIF(MORTALIDAD!$Z:$Z,RESUMEN!AM147,MORTALIDAD!$AE:$AE)</f>
        <v>0</v>
      </c>
      <c r="AR147" s="3">
        <f>SUMIF(TRASLADOS!$AC:$AC,RESUMEN!AM147,TRASLADOS!$AF:$AF)</f>
        <v>0</v>
      </c>
      <c r="AS147" s="3">
        <f>SUMIF(TRASLADOS!$AC:$AC,RESUMEN!AM147,TRASLADOS!$AG:$AG)</f>
        <v>0</v>
      </c>
      <c r="AT147" s="3">
        <f>SUMIF(VENTAS!$Z:$Z,RESUMEN!AM147,VENTAS!$AD:$AD)</f>
        <v>0</v>
      </c>
      <c r="AU147" s="3">
        <f>SUMIF(VENTAS!$Z:$Z,RESUMEN!AM147,VENTAS!$AE:$AE)</f>
        <v>0</v>
      </c>
      <c r="AV147" s="97">
        <f t="shared" si="98"/>
        <v>2076</v>
      </c>
      <c r="AW147" s="96"/>
      <c r="AX147" s="99">
        <f t="shared" si="87"/>
        <v>22</v>
      </c>
      <c r="AY147" s="11">
        <f t="shared" si="99"/>
        <v>43415</v>
      </c>
      <c r="AZ147" s="3">
        <f t="shared" si="99"/>
        <v>154</v>
      </c>
      <c r="BA147" s="3">
        <f>SUMIF(MORTALIDAD!$AH:$AH,RESUMEN!AY147,MORTALIDAD!$AL:$AL)</f>
        <v>0</v>
      </c>
      <c r="BB147" s="19">
        <f t="shared" si="100"/>
        <v>-119</v>
      </c>
      <c r="BC147" s="3">
        <f>SUMIF(MORTALIDAD!$AH:$AH,RESUMEN!AY147,MORTALIDAD!$AM:$AM)</f>
        <v>0</v>
      </c>
      <c r="BD147" s="3">
        <f>SUMIF(TRASLADOS!$AL:$AL,RESUMEN!AY147,TRASLADOS!$AO:$AO)</f>
        <v>0</v>
      </c>
      <c r="BE147" s="3">
        <f>SUMIF(TRASLADOS!$AL:$AL,RESUMEN!AY147,TRASLADOS!$AP:$AP)</f>
        <v>0</v>
      </c>
      <c r="BF147" s="3">
        <f>SUMIF(VENTAS!$AH:$AH,RESUMEN!AY147,VENTAS!$AL:$AL)</f>
        <v>0</v>
      </c>
      <c r="BG147" s="3">
        <f>SUMIF(VENTAS!$AH:$AH,RESUMEN!AY147,VENTAS!$AM:$AM)</f>
        <v>0</v>
      </c>
      <c r="BH147" s="97">
        <f t="shared" si="101"/>
        <v>2081</v>
      </c>
      <c r="BI147" s="96"/>
      <c r="BJ147" s="99">
        <f t="shared" si="88"/>
        <v>23</v>
      </c>
      <c r="BK147" s="11">
        <f t="shared" si="102"/>
        <v>43424</v>
      </c>
      <c r="BL147" s="3">
        <f t="shared" si="102"/>
        <v>157</v>
      </c>
      <c r="BM147" s="3">
        <f>SUMIF(MORTALIDAD!$AP:$AP,RESUMEN!BK147,MORTALIDAD!$AT:$AT)</f>
        <v>0</v>
      </c>
      <c r="BN147" s="19">
        <f t="shared" si="103"/>
        <v>-73</v>
      </c>
      <c r="BO147" s="3">
        <f>SUMIF(MORTALIDAD!$AP$6:$AP$200,RESUMEN!BK147,MORTALIDAD!$AU$6:$AU$200)</f>
        <v>0</v>
      </c>
      <c r="BP147" s="3">
        <f>SUMIF(TRASLADOS!$AU:$AU,RESUMEN!BK147,TRASLADOS!$AX:$AX)</f>
        <v>0</v>
      </c>
      <c r="BQ147" s="3">
        <f>SUMIF(TRASLADOS!$AU:$AU,RESUMEN!BK147,TRASLADOS!$AY:$AY)</f>
        <v>0</v>
      </c>
      <c r="BR147" s="3">
        <f>SUMIF(VENTAS!$AP:$AP,RESUMEN!BK147,VENTAS!$AT:$AT)</f>
        <v>0</v>
      </c>
      <c r="BS147" s="3">
        <f>SUMIF(VENTAS!$AP:$AP,RESUMEN!BK147,VENTAS!$AU:$AU)</f>
        <v>0</v>
      </c>
      <c r="BT147" s="36">
        <f t="shared" si="104"/>
        <v>2241</v>
      </c>
    </row>
    <row r="148" spans="2:72" x14ac:dyDescent="0.2">
      <c r="B148" s="3">
        <f t="shared" si="83"/>
        <v>23</v>
      </c>
      <c r="C148" s="11">
        <f t="shared" si="75"/>
        <v>43395</v>
      </c>
      <c r="D148" s="3">
        <f t="shared" si="76"/>
        <v>157</v>
      </c>
      <c r="E148" s="3">
        <f>SUMIF(MORTALIDAD!$B$6:$B$200,RESUMEN!C148,MORTALIDAD!$F$6:$F$200)</f>
        <v>0</v>
      </c>
      <c r="F148" s="17">
        <f t="shared" si="77"/>
        <v>-740</v>
      </c>
      <c r="G148" s="3">
        <f>SUMIF(MORTALIDAD!$B$6:$B$200,RESUMEN!C148,MORTALIDAD!$G$6:$G$200)</f>
        <v>0</v>
      </c>
      <c r="H148" s="3">
        <f>SUMIF(TRASLADOS!$B$6:$B$200,C148,TRASLADOS!$E$6:$E$200)</f>
        <v>0</v>
      </c>
      <c r="I148" s="3">
        <f>SUMIF(TRASLADOS!$B$6:$B$200,C148,TRASLADOS!$F$6:$F$200)</f>
        <v>0</v>
      </c>
      <c r="J148" s="3">
        <f>SUMIF(VENTAS!$B$6:$B$200,RESUMEN!C148,VENTAS!$F$6:$F$200)</f>
        <v>0</v>
      </c>
      <c r="K148" s="3">
        <f>SUMIF(VENTAS!$B$6:$B$200,RESUMEN!C148,VENTAS!$G$6:$G$200)</f>
        <v>0</v>
      </c>
      <c r="L148" s="97">
        <f t="shared" si="89"/>
        <v>1460</v>
      </c>
      <c r="M148" s="96"/>
      <c r="N148" s="99">
        <f t="shared" si="84"/>
        <v>23</v>
      </c>
      <c r="O148" s="11">
        <f t="shared" si="90"/>
        <v>43398</v>
      </c>
      <c r="P148" s="3">
        <f t="shared" si="90"/>
        <v>156</v>
      </c>
      <c r="Q148" s="3">
        <f>SUMIF(MORTALIDAD!$J:$J,RESUMEN!O148,MORTALIDAD!$N:$N)</f>
        <v>0</v>
      </c>
      <c r="R148" s="19">
        <f t="shared" si="91"/>
        <v>-680</v>
      </c>
      <c r="S148" s="3">
        <f>SUMIF(MORTALIDAD!$J:$J,RESUMEN!O148,MORTALIDAD!$O:$O)</f>
        <v>0</v>
      </c>
      <c r="T148" s="3">
        <f>SUMIF(TRASLADOS!$K:$K,RESUMEN!O148,TRASLADOS!$N:$N)</f>
        <v>0</v>
      </c>
      <c r="U148" s="3">
        <f>SUMIF(TRASLADOS!$K:$K,RESUMEN!O148,TRASLADOS!$O:$O)</f>
        <v>0</v>
      </c>
      <c r="V148" s="3">
        <f>SUMIF(VENTAS!$J:$J,RESUMEN!O148,VENTAS!$N:$N)</f>
        <v>0</v>
      </c>
      <c r="W148" s="3">
        <f>SUMIF(VENTAS!$J:$J,RESUMEN!O148,VENTAS!$O:$O)</f>
        <v>0</v>
      </c>
      <c r="X148" s="97">
        <f t="shared" si="92"/>
        <v>1520</v>
      </c>
      <c r="Y148" s="96"/>
      <c r="Z148" s="99">
        <f t="shared" si="85"/>
        <v>23</v>
      </c>
      <c r="AA148" s="11">
        <f t="shared" si="93"/>
        <v>43402</v>
      </c>
      <c r="AB148" s="3">
        <f t="shared" si="93"/>
        <v>155</v>
      </c>
      <c r="AC148" s="3">
        <f>SUMIF(MORTALIDAD!$R:$R,RESUMEN!AA148,MORTALIDAD!$V:$V)</f>
        <v>0</v>
      </c>
      <c r="AD148" s="19">
        <f t="shared" si="94"/>
        <v>-476</v>
      </c>
      <c r="AE148" s="3">
        <f>SUMIF(MORTALIDAD!$R:$R,RESUMEN!AA148,MORTALIDAD!$W:$W)</f>
        <v>0</v>
      </c>
      <c r="AF148" s="3">
        <f>SUMIF(TRASLADOS!$T:$T,RESUMEN!AA148,TRASLADOS!$W:$W)</f>
        <v>0</v>
      </c>
      <c r="AG148" s="3">
        <f>SUMIF(TRASLADOS!$T:$T,RESUMEN!AA148,TRASLADOS!$X:$X)</f>
        <v>0</v>
      </c>
      <c r="AH148" s="3">
        <f>SUMIF(VENTAS!$R:$R,RESUMEN!AA148,VENTAS!$V:$V)</f>
        <v>0</v>
      </c>
      <c r="AI148" s="3">
        <f>SUMIF(VENTAS!$R:$R,RESUMEN!AA148,VENTAS!$W:$W)</f>
        <v>0</v>
      </c>
      <c r="AJ148" s="97">
        <f t="shared" si="95"/>
        <v>1724</v>
      </c>
      <c r="AK148" s="96"/>
      <c r="AL148" s="99">
        <f t="shared" si="86"/>
        <v>23</v>
      </c>
      <c r="AM148" s="11">
        <f t="shared" si="96"/>
        <v>43409</v>
      </c>
      <c r="AN148" s="3">
        <f t="shared" si="96"/>
        <v>155</v>
      </c>
      <c r="AO148" s="3">
        <f>SUMIF(MORTALIDAD!$Z:$Z,RESUMEN!AM148,MORTALIDAD!$AD:$AD)</f>
        <v>0</v>
      </c>
      <c r="AP148" s="19">
        <f t="shared" si="97"/>
        <v>-124</v>
      </c>
      <c r="AQ148" s="3">
        <f>SUMIF(MORTALIDAD!$Z:$Z,RESUMEN!AM148,MORTALIDAD!$AE:$AE)</f>
        <v>0</v>
      </c>
      <c r="AR148" s="3">
        <f>SUMIF(TRASLADOS!$AC:$AC,RESUMEN!AM148,TRASLADOS!$AF:$AF)</f>
        <v>0</v>
      </c>
      <c r="AS148" s="3">
        <f>SUMIF(TRASLADOS!$AC:$AC,RESUMEN!AM148,TRASLADOS!$AG:$AG)</f>
        <v>0</v>
      </c>
      <c r="AT148" s="3">
        <f>SUMIF(VENTAS!$Z:$Z,RESUMEN!AM148,VENTAS!$AD:$AD)</f>
        <v>0</v>
      </c>
      <c r="AU148" s="3">
        <f>SUMIF(VENTAS!$Z:$Z,RESUMEN!AM148,VENTAS!$AE:$AE)</f>
        <v>0</v>
      </c>
      <c r="AV148" s="97">
        <f t="shared" si="98"/>
        <v>2076</v>
      </c>
      <c r="AW148" s="96"/>
      <c r="AX148" s="99">
        <f t="shared" si="87"/>
        <v>23</v>
      </c>
      <c r="AY148" s="11">
        <f t="shared" si="99"/>
        <v>43416</v>
      </c>
      <c r="AZ148" s="3">
        <f t="shared" si="99"/>
        <v>155</v>
      </c>
      <c r="BA148" s="3">
        <f>SUMIF(MORTALIDAD!$AH:$AH,RESUMEN!AY148,MORTALIDAD!$AL:$AL)</f>
        <v>0</v>
      </c>
      <c r="BB148" s="19">
        <f t="shared" si="100"/>
        <v>-119</v>
      </c>
      <c r="BC148" s="3">
        <f>SUMIF(MORTALIDAD!$AH:$AH,RESUMEN!AY148,MORTALIDAD!$AM:$AM)</f>
        <v>0</v>
      </c>
      <c r="BD148" s="3">
        <f>SUMIF(TRASLADOS!$AL:$AL,RESUMEN!AY148,TRASLADOS!$AO:$AO)</f>
        <v>0</v>
      </c>
      <c r="BE148" s="3">
        <f>SUMIF(TRASLADOS!$AL:$AL,RESUMEN!AY148,TRASLADOS!$AP:$AP)</f>
        <v>0</v>
      </c>
      <c r="BF148" s="3">
        <f>SUMIF(VENTAS!$AH:$AH,RESUMEN!AY148,VENTAS!$AL:$AL)</f>
        <v>0</v>
      </c>
      <c r="BG148" s="3">
        <f>SUMIF(VENTAS!$AH:$AH,RESUMEN!AY148,VENTAS!$AM:$AM)</f>
        <v>0</v>
      </c>
      <c r="BH148" s="97">
        <f t="shared" si="101"/>
        <v>2081</v>
      </c>
      <c r="BI148" s="96"/>
      <c r="BJ148" s="99">
        <f t="shared" si="88"/>
        <v>23</v>
      </c>
      <c r="BK148" s="11">
        <f t="shared" si="102"/>
        <v>43425</v>
      </c>
      <c r="BL148" s="3">
        <f t="shared" si="102"/>
        <v>158</v>
      </c>
      <c r="BM148" s="3">
        <f>SUMIF(MORTALIDAD!$AP:$AP,RESUMEN!BK148,MORTALIDAD!$AT:$AT)</f>
        <v>0</v>
      </c>
      <c r="BN148" s="19">
        <f t="shared" si="103"/>
        <v>-73</v>
      </c>
      <c r="BO148" s="3">
        <f>SUMIF(MORTALIDAD!$AP$6:$AP$200,RESUMEN!BK148,MORTALIDAD!$AU$6:$AU$200)</f>
        <v>0</v>
      </c>
      <c r="BP148" s="3">
        <f>SUMIF(TRASLADOS!$AU:$AU,RESUMEN!BK148,TRASLADOS!$AX:$AX)</f>
        <v>0</v>
      </c>
      <c r="BQ148" s="3">
        <f>SUMIF(TRASLADOS!$AU:$AU,RESUMEN!BK148,TRASLADOS!$AY:$AY)</f>
        <v>0</v>
      </c>
      <c r="BR148" s="3">
        <f>SUMIF(VENTAS!$AP:$AP,RESUMEN!BK148,VENTAS!$AT:$AT)</f>
        <v>0</v>
      </c>
      <c r="BS148" s="3">
        <f>SUMIF(VENTAS!$AP:$AP,RESUMEN!BK148,VENTAS!$AU:$AU)</f>
        <v>0</v>
      </c>
      <c r="BT148" s="36">
        <f t="shared" si="104"/>
        <v>2241</v>
      </c>
    </row>
    <row r="149" spans="2:72" x14ac:dyDescent="0.2">
      <c r="B149" s="3">
        <f t="shared" si="83"/>
        <v>23</v>
      </c>
      <c r="C149" s="11">
        <f t="shared" si="75"/>
        <v>43396</v>
      </c>
      <c r="D149" s="3">
        <f t="shared" si="76"/>
        <v>158</v>
      </c>
      <c r="E149" s="3">
        <f>SUMIF(MORTALIDAD!$B$6:$B$200,RESUMEN!C149,MORTALIDAD!$F$6:$F$200)</f>
        <v>0</v>
      </c>
      <c r="F149" s="17">
        <f t="shared" si="77"/>
        <v>-740</v>
      </c>
      <c r="G149" s="3">
        <f>SUMIF(MORTALIDAD!$B$6:$B$200,RESUMEN!C149,MORTALIDAD!$G$6:$G$200)</f>
        <v>0</v>
      </c>
      <c r="H149" s="3">
        <f>SUMIF(TRASLADOS!$B$6:$B$200,C149,TRASLADOS!$E$6:$E$200)</f>
        <v>0</v>
      </c>
      <c r="I149" s="3">
        <f>SUMIF(TRASLADOS!$B$6:$B$200,C149,TRASLADOS!$F$6:$F$200)</f>
        <v>0</v>
      </c>
      <c r="J149" s="3">
        <f>SUMIF(VENTAS!$B$6:$B$200,RESUMEN!C149,VENTAS!$F$6:$F$200)</f>
        <v>0</v>
      </c>
      <c r="K149" s="3">
        <f>SUMIF(VENTAS!$B$6:$B$200,RESUMEN!C149,VENTAS!$G$6:$G$200)</f>
        <v>0</v>
      </c>
      <c r="L149" s="97">
        <f t="shared" si="89"/>
        <v>1460</v>
      </c>
      <c r="M149" s="96"/>
      <c r="N149" s="99">
        <f t="shared" si="84"/>
        <v>23</v>
      </c>
      <c r="O149" s="11">
        <f t="shared" si="90"/>
        <v>43399</v>
      </c>
      <c r="P149" s="3">
        <f t="shared" si="90"/>
        <v>157</v>
      </c>
      <c r="Q149" s="3">
        <f>SUMIF(MORTALIDAD!$J:$J,RESUMEN!O149,MORTALIDAD!$N:$N)</f>
        <v>0</v>
      </c>
      <c r="R149" s="19">
        <f t="shared" si="91"/>
        <v>-680</v>
      </c>
      <c r="S149" s="3">
        <f>SUMIF(MORTALIDAD!$J:$J,RESUMEN!O149,MORTALIDAD!$O:$O)</f>
        <v>0</v>
      </c>
      <c r="T149" s="3">
        <f>SUMIF(TRASLADOS!$K:$K,RESUMEN!O149,TRASLADOS!$N:$N)</f>
        <v>0</v>
      </c>
      <c r="U149" s="3">
        <f>SUMIF(TRASLADOS!$K:$K,RESUMEN!O149,TRASLADOS!$O:$O)</f>
        <v>0</v>
      </c>
      <c r="V149" s="3">
        <f>SUMIF(VENTAS!$J:$J,RESUMEN!O149,VENTAS!$N:$N)</f>
        <v>0</v>
      </c>
      <c r="W149" s="3">
        <f>SUMIF(VENTAS!$J:$J,RESUMEN!O149,VENTAS!$O:$O)</f>
        <v>0</v>
      </c>
      <c r="X149" s="97">
        <f t="shared" si="92"/>
        <v>1520</v>
      </c>
      <c r="Y149" s="96"/>
      <c r="Z149" s="99">
        <f t="shared" si="85"/>
        <v>23</v>
      </c>
      <c r="AA149" s="11">
        <f t="shared" si="93"/>
        <v>43403</v>
      </c>
      <c r="AB149" s="3">
        <f t="shared" si="93"/>
        <v>156</v>
      </c>
      <c r="AC149" s="3">
        <f>SUMIF(MORTALIDAD!$R:$R,RESUMEN!AA149,MORTALIDAD!$V:$V)</f>
        <v>0</v>
      </c>
      <c r="AD149" s="19">
        <f t="shared" si="94"/>
        <v>-476</v>
      </c>
      <c r="AE149" s="3">
        <f>SUMIF(MORTALIDAD!$R:$R,RESUMEN!AA149,MORTALIDAD!$W:$W)</f>
        <v>0</v>
      </c>
      <c r="AF149" s="3">
        <f>SUMIF(TRASLADOS!$T:$T,RESUMEN!AA149,TRASLADOS!$W:$W)</f>
        <v>0</v>
      </c>
      <c r="AG149" s="3">
        <f>SUMIF(TRASLADOS!$T:$T,RESUMEN!AA149,TRASLADOS!$X:$X)</f>
        <v>0</v>
      </c>
      <c r="AH149" s="3">
        <f>SUMIF(VENTAS!$R:$R,RESUMEN!AA149,VENTAS!$V:$V)</f>
        <v>0</v>
      </c>
      <c r="AI149" s="3">
        <f>SUMIF(VENTAS!$R:$R,RESUMEN!AA149,VENTAS!$W:$W)</f>
        <v>0</v>
      </c>
      <c r="AJ149" s="97">
        <f t="shared" si="95"/>
        <v>1724</v>
      </c>
      <c r="AK149" s="96"/>
      <c r="AL149" s="99">
        <f t="shared" si="86"/>
        <v>23</v>
      </c>
      <c r="AM149" s="11">
        <f t="shared" si="96"/>
        <v>43410</v>
      </c>
      <c r="AN149" s="3">
        <f t="shared" si="96"/>
        <v>156</v>
      </c>
      <c r="AO149" s="3">
        <f>SUMIF(MORTALIDAD!$Z:$Z,RESUMEN!AM149,MORTALIDAD!$AD:$AD)</f>
        <v>0</v>
      </c>
      <c r="AP149" s="19">
        <f t="shared" si="97"/>
        <v>-124</v>
      </c>
      <c r="AQ149" s="3">
        <f>SUMIF(MORTALIDAD!$Z:$Z,RESUMEN!AM149,MORTALIDAD!$AE:$AE)</f>
        <v>0</v>
      </c>
      <c r="AR149" s="3">
        <f>SUMIF(TRASLADOS!$AC:$AC,RESUMEN!AM149,TRASLADOS!$AF:$AF)</f>
        <v>0</v>
      </c>
      <c r="AS149" s="3">
        <f>SUMIF(TRASLADOS!$AC:$AC,RESUMEN!AM149,TRASLADOS!$AG:$AG)</f>
        <v>0</v>
      </c>
      <c r="AT149" s="3">
        <f>SUMIF(VENTAS!$Z:$Z,RESUMEN!AM149,VENTAS!$AD:$AD)</f>
        <v>0</v>
      </c>
      <c r="AU149" s="3">
        <f>SUMIF(VENTAS!$Z:$Z,RESUMEN!AM149,VENTAS!$AE:$AE)</f>
        <v>0</v>
      </c>
      <c r="AV149" s="97">
        <f t="shared" si="98"/>
        <v>2076</v>
      </c>
      <c r="AW149" s="96"/>
      <c r="AX149" s="99">
        <f t="shared" si="87"/>
        <v>23</v>
      </c>
      <c r="AY149" s="11">
        <f t="shared" si="99"/>
        <v>43417</v>
      </c>
      <c r="AZ149" s="3">
        <f t="shared" si="99"/>
        <v>156</v>
      </c>
      <c r="BA149" s="3">
        <f>SUMIF(MORTALIDAD!$AH:$AH,RESUMEN!AY149,MORTALIDAD!$AL:$AL)</f>
        <v>0</v>
      </c>
      <c r="BB149" s="19">
        <f t="shared" si="100"/>
        <v>-119</v>
      </c>
      <c r="BC149" s="3">
        <f>SUMIF(MORTALIDAD!$AH:$AH,RESUMEN!AY149,MORTALIDAD!$AM:$AM)</f>
        <v>0</v>
      </c>
      <c r="BD149" s="3">
        <f>SUMIF(TRASLADOS!$AL:$AL,RESUMEN!AY149,TRASLADOS!$AO:$AO)</f>
        <v>0</v>
      </c>
      <c r="BE149" s="3">
        <f>SUMIF(TRASLADOS!$AL:$AL,RESUMEN!AY149,TRASLADOS!$AP:$AP)</f>
        <v>0</v>
      </c>
      <c r="BF149" s="3">
        <f>SUMIF(VENTAS!$AH:$AH,RESUMEN!AY149,VENTAS!$AL:$AL)</f>
        <v>0</v>
      </c>
      <c r="BG149" s="3">
        <f>SUMIF(VENTAS!$AH:$AH,RESUMEN!AY149,VENTAS!$AM:$AM)</f>
        <v>0</v>
      </c>
      <c r="BH149" s="97">
        <f t="shared" si="101"/>
        <v>2081</v>
      </c>
      <c r="BI149" s="96"/>
      <c r="BJ149" s="99">
        <f t="shared" si="88"/>
        <v>23</v>
      </c>
      <c r="BK149" s="11">
        <f t="shared" si="102"/>
        <v>43426</v>
      </c>
      <c r="BL149" s="3">
        <f t="shared" si="102"/>
        <v>159</v>
      </c>
      <c r="BM149" s="3">
        <f>SUMIF(MORTALIDAD!$AP:$AP,RESUMEN!BK149,MORTALIDAD!$AT:$AT)</f>
        <v>0</v>
      </c>
      <c r="BN149" s="19">
        <f t="shared" si="103"/>
        <v>-73</v>
      </c>
      <c r="BO149" s="3">
        <f>SUMIF(MORTALIDAD!$AP$6:$AP$200,RESUMEN!BK149,MORTALIDAD!$AU$6:$AU$200)</f>
        <v>0</v>
      </c>
      <c r="BP149" s="3">
        <f>SUMIF(TRASLADOS!$AU:$AU,RESUMEN!BK149,TRASLADOS!$AX:$AX)</f>
        <v>0</v>
      </c>
      <c r="BQ149" s="3">
        <f>SUMIF(TRASLADOS!$AU:$AU,RESUMEN!BK149,TRASLADOS!$AY:$AY)</f>
        <v>0</v>
      </c>
      <c r="BR149" s="3">
        <f>SUMIF(VENTAS!$AP:$AP,RESUMEN!BK149,VENTAS!$AT:$AT)</f>
        <v>0</v>
      </c>
      <c r="BS149" s="3">
        <f>SUMIF(VENTAS!$AP:$AP,RESUMEN!BK149,VENTAS!$AU:$AU)</f>
        <v>0</v>
      </c>
      <c r="BT149" s="36">
        <f t="shared" si="104"/>
        <v>2241</v>
      </c>
    </row>
    <row r="150" spans="2:72" x14ac:dyDescent="0.2">
      <c r="B150" s="3">
        <f t="shared" si="83"/>
        <v>23</v>
      </c>
      <c r="C150" s="11">
        <f t="shared" si="75"/>
        <v>43397</v>
      </c>
      <c r="D150" s="3">
        <f t="shared" si="76"/>
        <v>159</v>
      </c>
      <c r="E150" s="3">
        <f>SUMIF(MORTALIDAD!$B$6:$B$200,RESUMEN!C150,MORTALIDAD!$F$6:$F$200)</f>
        <v>0</v>
      </c>
      <c r="F150" s="17">
        <f t="shared" si="77"/>
        <v>-740</v>
      </c>
      <c r="G150" s="3">
        <f>SUMIF(MORTALIDAD!$B$6:$B$200,RESUMEN!C150,MORTALIDAD!$G$6:$G$200)</f>
        <v>0</v>
      </c>
      <c r="H150" s="3">
        <f>SUMIF(TRASLADOS!$B$6:$B$200,C150,TRASLADOS!$E$6:$E$200)</f>
        <v>0</v>
      </c>
      <c r="I150" s="3">
        <f>SUMIF(TRASLADOS!$B$6:$B$200,C150,TRASLADOS!$F$6:$F$200)</f>
        <v>0</v>
      </c>
      <c r="J150" s="3">
        <f>SUMIF(VENTAS!$B$6:$B$200,RESUMEN!C150,VENTAS!$F$6:$F$200)</f>
        <v>0</v>
      </c>
      <c r="K150" s="3">
        <f>SUMIF(VENTAS!$B$6:$B$200,RESUMEN!C150,VENTAS!$G$6:$G$200)</f>
        <v>0</v>
      </c>
      <c r="L150" s="97">
        <f t="shared" si="89"/>
        <v>1460</v>
      </c>
      <c r="M150" s="96"/>
      <c r="N150" s="99">
        <f t="shared" si="84"/>
        <v>23</v>
      </c>
      <c r="O150" s="11">
        <f t="shared" si="90"/>
        <v>43400</v>
      </c>
      <c r="P150" s="3">
        <f t="shared" si="90"/>
        <v>158</v>
      </c>
      <c r="Q150" s="3">
        <f>SUMIF(MORTALIDAD!$J:$J,RESUMEN!O150,MORTALIDAD!$N:$N)</f>
        <v>0</v>
      </c>
      <c r="R150" s="19">
        <f t="shared" si="91"/>
        <v>-680</v>
      </c>
      <c r="S150" s="3">
        <f>SUMIF(MORTALIDAD!$J:$J,RESUMEN!O150,MORTALIDAD!$O:$O)</f>
        <v>0</v>
      </c>
      <c r="T150" s="3">
        <f>SUMIF(TRASLADOS!$K:$K,RESUMEN!O150,TRASLADOS!$N:$N)</f>
        <v>0</v>
      </c>
      <c r="U150" s="3">
        <f>SUMIF(TRASLADOS!$K:$K,RESUMEN!O150,TRASLADOS!$O:$O)</f>
        <v>0</v>
      </c>
      <c r="V150" s="3">
        <f>SUMIF(VENTAS!$J:$J,RESUMEN!O150,VENTAS!$N:$N)</f>
        <v>0</v>
      </c>
      <c r="W150" s="3">
        <f>SUMIF(VENTAS!$J:$J,RESUMEN!O150,VENTAS!$O:$O)</f>
        <v>0</v>
      </c>
      <c r="X150" s="97">
        <f t="shared" si="92"/>
        <v>1520</v>
      </c>
      <c r="Y150" s="96"/>
      <c r="Z150" s="99">
        <f t="shared" si="85"/>
        <v>23</v>
      </c>
      <c r="AA150" s="11">
        <f t="shared" si="93"/>
        <v>43404</v>
      </c>
      <c r="AB150" s="3">
        <f t="shared" si="93"/>
        <v>157</v>
      </c>
      <c r="AC150" s="3">
        <f>SUMIF(MORTALIDAD!$R:$R,RESUMEN!AA150,MORTALIDAD!$V:$V)</f>
        <v>0</v>
      </c>
      <c r="AD150" s="19">
        <f t="shared" si="94"/>
        <v>-476</v>
      </c>
      <c r="AE150" s="3">
        <f>SUMIF(MORTALIDAD!$R:$R,RESUMEN!AA150,MORTALIDAD!$W:$W)</f>
        <v>0</v>
      </c>
      <c r="AF150" s="3">
        <f>SUMIF(TRASLADOS!$T:$T,RESUMEN!AA150,TRASLADOS!$W:$W)</f>
        <v>0</v>
      </c>
      <c r="AG150" s="3">
        <f>SUMIF(TRASLADOS!$T:$T,RESUMEN!AA150,TRASLADOS!$X:$X)</f>
        <v>0</v>
      </c>
      <c r="AH150" s="3">
        <f>SUMIF(VENTAS!$R:$R,RESUMEN!AA150,VENTAS!$V:$V)</f>
        <v>0</v>
      </c>
      <c r="AI150" s="3">
        <f>SUMIF(VENTAS!$R:$R,RESUMEN!AA150,VENTAS!$W:$W)</f>
        <v>0</v>
      </c>
      <c r="AJ150" s="97">
        <f t="shared" si="95"/>
        <v>1724</v>
      </c>
      <c r="AK150" s="96"/>
      <c r="AL150" s="99">
        <f t="shared" si="86"/>
        <v>23</v>
      </c>
      <c r="AM150" s="11">
        <f t="shared" si="96"/>
        <v>43411</v>
      </c>
      <c r="AN150" s="3">
        <f t="shared" si="96"/>
        <v>157</v>
      </c>
      <c r="AO150" s="3">
        <f>SUMIF(MORTALIDAD!$Z:$Z,RESUMEN!AM150,MORTALIDAD!$AD:$AD)</f>
        <v>0</v>
      </c>
      <c r="AP150" s="19">
        <f t="shared" si="97"/>
        <v>-124</v>
      </c>
      <c r="AQ150" s="3">
        <f>SUMIF(MORTALIDAD!$Z:$Z,RESUMEN!AM150,MORTALIDAD!$AE:$AE)</f>
        <v>0</v>
      </c>
      <c r="AR150" s="3">
        <f>SUMIF(TRASLADOS!$AC:$AC,RESUMEN!AM150,TRASLADOS!$AF:$AF)</f>
        <v>0</v>
      </c>
      <c r="AS150" s="3">
        <f>SUMIF(TRASLADOS!$AC:$AC,RESUMEN!AM150,TRASLADOS!$AG:$AG)</f>
        <v>0</v>
      </c>
      <c r="AT150" s="3">
        <f>SUMIF(VENTAS!$Z:$Z,RESUMEN!AM150,VENTAS!$AD:$AD)</f>
        <v>0</v>
      </c>
      <c r="AU150" s="3">
        <f>SUMIF(VENTAS!$Z:$Z,RESUMEN!AM150,VENTAS!$AE:$AE)</f>
        <v>0</v>
      </c>
      <c r="AV150" s="97">
        <f t="shared" si="98"/>
        <v>2076</v>
      </c>
      <c r="AW150" s="96"/>
      <c r="AX150" s="99">
        <f t="shared" si="87"/>
        <v>23</v>
      </c>
      <c r="AY150" s="11">
        <f t="shared" si="99"/>
        <v>43418</v>
      </c>
      <c r="AZ150" s="3">
        <f t="shared" si="99"/>
        <v>157</v>
      </c>
      <c r="BA150" s="3">
        <f>SUMIF(MORTALIDAD!$AH:$AH,RESUMEN!AY150,MORTALIDAD!$AL:$AL)</f>
        <v>0</v>
      </c>
      <c r="BB150" s="19">
        <f t="shared" si="100"/>
        <v>-119</v>
      </c>
      <c r="BC150" s="3">
        <f>SUMIF(MORTALIDAD!$AH:$AH,RESUMEN!AY150,MORTALIDAD!$AM:$AM)</f>
        <v>0</v>
      </c>
      <c r="BD150" s="3">
        <f>SUMIF(TRASLADOS!$AL:$AL,RESUMEN!AY150,TRASLADOS!$AO:$AO)</f>
        <v>0</v>
      </c>
      <c r="BE150" s="3">
        <f>SUMIF(TRASLADOS!$AL:$AL,RESUMEN!AY150,TRASLADOS!$AP:$AP)</f>
        <v>0</v>
      </c>
      <c r="BF150" s="3">
        <f>SUMIF(VENTAS!$AH:$AH,RESUMEN!AY150,VENTAS!$AL:$AL)</f>
        <v>0</v>
      </c>
      <c r="BG150" s="3">
        <f>SUMIF(VENTAS!$AH:$AH,RESUMEN!AY150,VENTAS!$AM:$AM)</f>
        <v>0</v>
      </c>
      <c r="BH150" s="97">
        <f t="shared" si="101"/>
        <v>2081</v>
      </c>
      <c r="BI150" s="96"/>
      <c r="BJ150" s="99">
        <f t="shared" si="88"/>
        <v>23</v>
      </c>
      <c r="BK150" s="11">
        <f t="shared" si="102"/>
        <v>43427</v>
      </c>
      <c r="BL150" s="3">
        <f t="shared" si="102"/>
        <v>160</v>
      </c>
      <c r="BM150" s="3">
        <f>SUMIF(MORTALIDAD!$AP:$AP,RESUMEN!BK150,MORTALIDAD!$AT:$AT)</f>
        <v>0</v>
      </c>
      <c r="BN150" s="19">
        <f t="shared" si="103"/>
        <v>-73</v>
      </c>
      <c r="BO150" s="3">
        <f>SUMIF(MORTALIDAD!$AP$6:$AP$200,RESUMEN!BK150,MORTALIDAD!$AU$6:$AU$200)</f>
        <v>0</v>
      </c>
      <c r="BP150" s="3">
        <f>SUMIF(TRASLADOS!$AU:$AU,RESUMEN!BK150,TRASLADOS!$AX:$AX)</f>
        <v>0</v>
      </c>
      <c r="BQ150" s="3">
        <f>SUMIF(TRASLADOS!$AU:$AU,RESUMEN!BK150,TRASLADOS!$AY:$AY)</f>
        <v>0</v>
      </c>
      <c r="BR150" s="3">
        <f>SUMIF(VENTAS!$AP:$AP,RESUMEN!BK150,VENTAS!$AT:$AT)</f>
        <v>0</v>
      </c>
      <c r="BS150" s="3">
        <f>SUMIF(VENTAS!$AP:$AP,RESUMEN!BK150,VENTAS!$AU:$AU)</f>
        <v>0</v>
      </c>
      <c r="BT150" s="36">
        <f t="shared" si="104"/>
        <v>2241</v>
      </c>
    </row>
    <row r="151" spans="2:72" x14ac:dyDescent="0.2">
      <c r="B151" s="3">
        <f t="shared" si="83"/>
        <v>23</v>
      </c>
      <c r="C151" s="11">
        <f t="shared" si="75"/>
        <v>43398</v>
      </c>
      <c r="D151" s="3">
        <f t="shared" si="76"/>
        <v>160</v>
      </c>
      <c r="E151" s="3">
        <f>SUMIF(MORTALIDAD!$B$6:$B$200,RESUMEN!C151,MORTALIDAD!$F$6:$F$200)</f>
        <v>0</v>
      </c>
      <c r="F151" s="17">
        <f t="shared" si="77"/>
        <v>-740</v>
      </c>
      <c r="G151" s="3">
        <f>SUMIF(MORTALIDAD!$B$6:$B$200,RESUMEN!C151,MORTALIDAD!$G$6:$G$200)</f>
        <v>0</v>
      </c>
      <c r="H151" s="3">
        <f>SUMIF(TRASLADOS!$B$6:$B$200,C151,TRASLADOS!$E$6:$E$200)</f>
        <v>0</v>
      </c>
      <c r="I151" s="3">
        <f>SUMIF(TRASLADOS!$B$6:$B$200,C151,TRASLADOS!$F$6:$F$200)</f>
        <v>0</v>
      </c>
      <c r="J151" s="3">
        <f>SUMIF(VENTAS!$B$6:$B$200,RESUMEN!C151,VENTAS!$F$6:$F$200)</f>
        <v>0</v>
      </c>
      <c r="K151" s="3">
        <f>SUMIF(VENTAS!$B$6:$B$200,RESUMEN!C151,VENTAS!$G$6:$G$200)</f>
        <v>0</v>
      </c>
      <c r="L151" s="97">
        <f t="shared" si="89"/>
        <v>1460</v>
      </c>
      <c r="M151" s="96"/>
      <c r="N151" s="99">
        <f t="shared" si="84"/>
        <v>23</v>
      </c>
      <c r="O151" s="11">
        <f t="shared" si="90"/>
        <v>43401</v>
      </c>
      <c r="P151" s="3">
        <f t="shared" si="90"/>
        <v>159</v>
      </c>
      <c r="Q151" s="3">
        <f>SUMIF(MORTALIDAD!$J:$J,RESUMEN!O151,MORTALIDAD!$N:$N)</f>
        <v>0</v>
      </c>
      <c r="R151" s="19">
        <f t="shared" si="91"/>
        <v>-680</v>
      </c>
      <c r="S151" s="3">
        <f>SUMIF(MORTALIDAD!$J:$J,RESUMEN!O151,MORTALIDAD!$O:$O)</f>
        <v>0</v>
      </c>
      <c r="T151" s="3">
        <f>SUMIF(TRASLADOS!$K:$K,RESUMEN!O151,TRASLADOS!$N:$N)</f>
        <v>0</v>
      </c>
      <c r="U151" s="3">
        <f>SUMIF(TRASLADOS!$K:$K,RESUMEN!O151,TRASLADOS!$O:$O)</f>
        <v>0</v>
      </c>
      <c r="V151" s="3">
        <f>SUMIF(VENTAS!$J:$J,RESUMEN!O151,VENTAS!$N:$N)</f>
        <v>0</v>
      </c>
      <c r="W151" s="3">
        <f>SUMIF(VENTAS!$J:$J,RESUMEN!O151,VENTAS!$O:$O)</f>
        <v>0</v>
      </c>
      <c r="X151" s="97">
        <f t="shared" si="92"/>
        <v>1520</v>
      </c>
      <c r="Y151" s="96"/>
      <c r="Z151" s="99">
        <f t="shared" si="85"/>
        <v>23</v>
      </c>
      <c r="AA151" s="11">
        <f t="shared" si="93"/>
        <v>43405</v>
      </c>
      <c r="AB151" s="3">
        <f t="shared" si="93"/>
        <v>158</v>
      </c>
      <c r="AC151" s="3">
        <f>SUMIF(MORTALIDAD!$R:$R,RESUMEN!AA151,MORTALIDAD!$V:$V)</f>
        <v>0</v>
      </c>
      <c r="AD151" s="19">
        <f t="shared" si="94"/>
        <v>-476</v>
      </c>
      <c r="AE151" s="3">
        <f>SUMIF(MORTALIDAD!$R:$R,RESUMEN!AA151,MORTALIDAD!$W:$W)</f>
        <v>0</v>
      </c>
      <c r="AF151" s="3">
        <f>SUMIF(TRASLADOS!$T:$T,RESUMEN!AA151,TRASLADOS!$W:$W)</f>
        <v>0</v>
      </c>
      <c r="AG151" s="3">
        <f>SUMIF(TRASLADOS!$T:$T,RESUMEN!AA151,TRASLADOS!$X:$X)</f>
        <v>0</v>
      </c>
      <c r="AH151" s="3">
        <f>SUMIF(VENTAS!$R:$R,RESUMEN!AA151,VENTAS!$V:$V)</f>
        <v>0</v>
      </c>
      <c r="AI151" s="3">
        <f>SUMIF(VENTAS!$R:$R,RESUMEN!AA151,VENTAS!$W:$W)</f>
        <v>0</v>
      </c>
      <c r="AJ151" s="97">
        <f t="shared" si="95"/>
        <v>1724</v>
      </c>
      <c r="AK151" s="96"/>
      <c r="AL151" s="99">
        <f t="shared" si="86"/>
        <v>23</v>
      </c>
      <c r="AM151" s="11">
        <f t="shared" si="96"/>
        <v>43412</v>
      </c>
      <c r="AN151" s="3">
        <f t="shared" si="96"/>
        <v>158</v>
      </c>
      <c r="AO151" s="3">
        <f>SUMIF(MORTALIDAD!$Z:$Z,RESUMEN!AM151,MORTALIDAD!$AD:$AD)</f>
        <v>0</v>
      </c>
      <c r="AP151" s="19">
        <f t="shared" si="97"/>
        <v>-124</v>
      </c>
      <c r="AQ151" s="3">
        <f>SUMIF(MORTALIDAD!$Z:$Z,RESUMEN!AM151,MORTALIDAD!$AE:$AE)</f>
        <v>0</v>
      </c>
      <c r="AR151" s="3">
        <f>SUMIF(TRASLADOS!$AC:$AC,RESUMEN!AM151,TRASLADOS!$AF:$AF)</f>
        <v>0</v>
      </c>
      <c r="AS151" s="3">
        <f>SUMIF(TRASLADOS!$AC:$AC,RESUMEN!AM151,TRASLADOS!$AG:$AG)</f>
        <v>0</v>
      </c>
      <c r="AT151" s="3">
        <f>SUMIF(VENTAS!$Z:$Z,RESUMEN!AM151,VENTAS!$AD:$AD)</f>
        <v>0</v>
      </c>
      <c r="AU151" s="3">
        <f>SUMIF(VENTAS!$Z:$Z,RESUMEN!AM151,VENTAS!$AE:$AE)</f>
        <v>0</v>
      </c>
      <c r="AV151" s="97">
        <f t="shared" si="98"/>
        <v>2076</v>
      </c>
      <c r="AW151" s="96"/>
      <c r="AX151" s="99">
        <f t="shared" si="87"/>
        <v>23</v>
      </c>
      <c r="AY151" s="11">
        <f t="shared" si="99"/>
        <v>43419</v>
      </c>
      <c r="AZ151" s="3">
        <f t="shared" si="99"/>
        <v>158</v>
      </c>
      <c r="BA151" s="3">
        <f>SUMIF(MORTALIDAD!$AH:$AH,RESUMEN!AY151,MORTALIDAD!$AL:$AL)</f>
        <v>0</v>
      </c>
      <c r="BB151" s="19">
        <f t="shared" si="100"/>
        <v>-119</v>
      </c>
      <c r="BC151" s="3">
        <f>SUMIF(MORTALIDAD!$AH:$AH,RESUMEN!AY151,MORTALIDAD!$AM:$AM)</f>
        <v>0</v>
      </c>
      <c r="BD151" s="3">
        <f>SUMIF(TRASLADOS!$AL:$AL,RESUMEN!AY151,TRASLADOS!$AO:$AO)</f>
        <v>0</v>
      </c>
      <c r="BE151" s="3">
        <f>SUMIF(TRASLADOS!$AL:$AL,RESUMEN!AY151,TRASLADOS!$AP:$AP)</f>
        <v>0</v>
      </c>
      <c r="BF151" s="3">
        <f>SUMIF(VENTAS!$AH:$AH,RESUMEN!AY151,VENTAS!$AL:$AL)</f>
        <v>0</v>
      </c>
      <c r="BG151" s="3">
        <f>SUMIF(VENTAS!$AH:$AH,RESUMEN!AY151,VENTAS!$AM:$AM)</f>
        <v>0</v>
      </c>
      <c r="BH151" s="97">
        <f t="shared" si="101"/>
        <v>2081</v>
      </c>
      <c r="BI151" s="96"/>
      <c r="BJ151" s="99">
        <f t="shared" si="88"/>
        <v>23</v>
      </c>
      <c r="BK151" s="11">
        <f t="shared" si="102"/>
        <v>43428</v>
      </c>
      <c r="BL151" s="3">
        <f t="shared" si="102"/>
        <v>161</v>
      </c>
      <c r="BM151" s="3">
        <f>SUMIF(MORTALIDAD!$AP:$AP,RESUMEN!BK151,MORTALIDAD!$AT:$AT)</f>
        <v>0</v>
      </c>
      <c r="BN151" s="19">
        <f t="shared" si="103"/>
        <v>-73</v>
      </c>
      <c r="BO151" s="3">
        <f>SUMIF(MORTALIDAD!$AP$6:$AP$200,RESUMEN!BK151,MORTALIDAD!$AU$6:$AU$200)</f>
        <v>0</v>
      </c>
      <c r="BP151" s="3">
        <f>SUMIF(TRASLADOS!$AU:$AU,RESUMEN!BK151,TRASLADOS!$AX:$AX)</f>
        <v>0</v>
      </c>
      <c r="BQ151" s="3">
        <f>SUMIF(TRASLADOS!$AU:$AU,RESUMEN!BK151,TRASLADOS!$AY:$AY)</f>
        <v>0</v>
      </c>
      <c r="BR151" s="3">
        <f>SUMIF(VENTAS!$AP:$AP,RESUMEN!BK151,VENTAS!$AT:$AT)</f>
        <v>0</v>
      </c>
      <c r="BS151" s="3">
        <f>SUMIF(VENTAS!$AP:$AP,RESUMEN!BK151,VENTAS!$AU:$AU)</f>
        <v>0</v>
      </c>
      <c r="BT151" s="36">
        <f t="shared" si="104"/>
        <v>2241</v>
      </c>
    </row>
    <row r="152" spans="2:72" x14ac:dyDescent="0.2">
      <c r="B152" s="3">
        <f t="shared" si="83"/>
        <v>23</v>
      </c>
      <c r="C152" s="11">
        <f t="shared" si="75"/>
        <v>43399</v>
      </c>
      <c r="D152" s="3">
        <f t="shared" si="76"/>
        <v>161</v>
      </c>
      <c r="E152" s="3">
        <f>SUMIF(MORTALIDAD!$B$6:$B$200,RESUMEN!C152,MORTALIDAD!$F$6:$F$200)</f>
        <v>0</v>
      </c>
      <c r="F152" s="17">
        <f t="shared" si="77"/>
        <v>-740</v>
      </c>
      <c r="G152" s="3">
        <f>SUMIF(MORTALIDAD!$B$6:$B$200,RESUMEN!C152,MORTALIDAD!$G$6:$G$200)</f>
        <v>0</v>
      </c>
      <c r="H152" s="3">
        <f>SUMIF(TRASLADOS!$B$6:$B$200,C152,TRASLADOS!$E$6:$E$200)</f>
        <v>0</v>
      </c>
      <c r="I152" s="3">
        <f>SUMIF(TRASLADOS!$B$6:$B$200,C152,TRASLADOS!$F$6:$F$200)</f>
        <v>0</v>
      </c>
      <c r="J152" s="3">
        <f>SUMIF(VENTAS!$B$6:$B$200,RESUMEN!C152,VENTAS!$F$6:$F$200)</f>
        <v>0</v>
      </c>
      <c r="K152" s="3">
        <f>SUMIF(VENTAS!$B$6:$B$200,RESUMEN!C152,VENTAS!$G$6:$G$200)</f>
        <v>0</v>
      </c>
      <c r="L152" s="97">
        <f t="shared" si="89"/>
        <v>1460</v>
      </c>
      <c r="M152" s="96"/>
      <c r="N152" s="99">
        <f t="shared" si="84"/>
        <v>23</v>
      </c>
      <c r="O152" s="11">
        <f t="shared" si="90"/>
        <v>43402</v>
      </c>
      <c r="P152" s="3">
        <f t="shared" si="90"/>
        <v>160</v>
      </c>
      <c r="Q152" s="3">
        <f>SUMIF(MORTALIDAD!$J:$J,RESUMEN!O152,MORTALIDAD!$N:$N)</f>
        <v>0</v>
      </c>
      <c r="R152" s="19">
        <f t="shared" si="91"/>
        <v>-680</v>
      </c>
      <c r="S152" s="3">
        <f>SUMIF(MORTALIDAD!$J:$J,RESUMEN!O152,MORTALIDAD!$O:$O)</f>
        <v>0</v>
      </c>
      <c r="T152" s="3">
        <f>SUMIF(TRASLADOS!$K:$K,RESUMEN!O152,TRASLADOS!$N:$N)</f>
        <v>0</v>
      </c>
      <c r="U152" s="3">
        <f>SUMIF(TRASLADOS!$K:$K,RESUMEN!O152,TRASLADOS!$O:$O)</f>
        <v>0</v>
      </c>
      <c r="V152" s="3">
        <f>SUMIF(VENTAS!$J:$J,RESUMEN!O152,VENTAS!$N:$N)</f>
        <v>0</v>
      </c>
      <c r="W152" s="3">
        <f>SUMIF(VENTAS!$J:$J,RESUMEN!O152,VENTAS!$O:$O)</f>
        <v>0</v>
      </c>
      <c r="X152" s="97">
        <f t="shared" si="92"/>
        <v>1520</v>
      </c>
      <c r="Y152" s="96"/>
      <c r="Z152" s="99">
        <f t="shared" si="85"/>
        <v>23</v>
      </c>
      <c r="AA152" s="11">
        <f t="shared" si="93"/>
        <v>43406</v>
      </c>
      <c r="AB152" s="3">
        <f t="shared" si="93"/>
        <v>159</v>
      </c>
      <c r="AC152" s="3">
        <f>SUMIF(MORTALIDAD!$R:$R,RESUMEN!AA152,MORTALIDAD!$V:$V)</f>
        <v>0</v>
      </c>
      <c r="AD152" s="19">
        <f t="shared" si="94"/>
        <v>-476</v>
      </c>
      <c r="AE152" s="3">
        <f>SUMIF(MORTALIDAD!$R:$R,RESUMEN!AA152,MORTALIDAD!$W:$W)</f>
        <v>0</v>
      </c>
      <c r="AF152" s="3">
        <f>SUMIF(TRASLADOS!$T:$T,RESUMEN!AA152,TRASLADOS!$W:$W)</f>
        <v>0</v>
      </c>
      <c r="AG152" s="3">
        <f>SUMIF(TRASLADOS!$T:$T,RESUMEN!AA152,TRASLADOS!$X:$X)</f>
        <v>0</v>
      </c>
      <c r="AH152" s="3">
        <f>SUMIF(VENTAS!$R:$R,RESUMEN!AA152,VENTAS!$V:$V)</f>
        <v>0</v>
      </c>
      <c r="AI152" s="3">
        <f>SUMIF(VENTAS!$R:$R,RESUMEN!AA152,VENTAS!$W:$W)</f>
        <v>0</v>
      </c>
      <c r="AJ152" s="97">
        <f t="shared" si="95"/>
        <v>1724</v>
      </c>
      <c r="AK152" s="96"/>
      <c r="AL152" s="99">
        <f t="shared" si="86"/>
        <v>23</v>
      </c>
      <c r="AM152" s="11">
        <f t="shared" si="96"/>
        <v>43413</v>
      </c>
      <c r="AN152" s="3">
        <f t="shared" si="96"/>
        <v>159</v>
      </c>
      <c r="AO152" s="3">
        <f>SUMIF(MORTALIDAD!$Z:$Z,RESUMEN!AM152,MORTALIDAD!$AD:$AD)</f>
        <v>0</v>
      </c>
      <c r="AP152" s="19">
        <f t="shared" si="97"/>
        <v>-124</v>
      </c>
      <c r="AQ152" s="3">
        <f>SUMIF(MORTALIDAD!$Z:$Z,RESUMEN!AM152,MORTALIDAD!$AE:$AE)</f>
        <v>0</v>
      </c>
      <c r="AR152" s="3">
        <f>SUMIF(TRASLADOS!$AC:$AC,RESUMEN!AM152,TRASLADOS!$AF:$AF)</f>
        <v>0</v>
      </c>
      <c r="AS152" s="3">
        <f>SUMIF(TRASLADOS!$AC:$AC,RESUMEN!AM152,TRASLADOS!$AG:$AG)</f>
        <v>0</v>
      </c>
      <c r="AT152" s="3">
        <f>SUMIF(VENTAS!$Z:$Z,RESUMEN!AM152,VENTAS!$AD:$AD)</f>
        <v>0</v>
      </c>
      <c r="AU152" s="3">
        <f>SUMIF(VENTAS!$Z:$Z,RESUMEN!AM152,VENTAS!$AE:$AE)</f>
        <v>0</v>
      </c>
      <c r="AV152" s="97">
        <f t="shared" si="98"/>
        <v>2076</v>
      </c>
      <c r="AW152" s="96"/>
      <c r="AX152" s="99">
        <f t="shared" si="87"/>
        <v>23</v>
      </c>
      <c r="AY152" s="11">
        <f t="shared" si="99"/>
        <v>43420</v>
      </c>
      <c r="AZ152" s="3">
        <f t="shared" si="99"/>
        <v>159</v>
      </c>
      <c r="BA152" s="3">
        <f>SUMIF(MORTALIDAD!$AH:$AH,RESUMEN!AY152,MORTALIDAD!$AL:$AL)</f>
        <v>0</v>
      </c>
      <c r="BB152" s="19">
        <f t="shared" si="100"/>
        <v>-119</v>
      </c>
      <c r="BC152" s="3">
        <f>SUMIF(MORTALIDAD!$AH:$AH,RESUMEN!AY152,MORTALIDAD!$AM:$AM)</f>
        <v>0</v>
      </c>
      <c r="BD152" s="3">
        <f>SUMIF(TRASLADOS!$AL:$AL,RESUMEN!AY152,TRASLADOS!$AO:$AO)</f>
        <v>0</v>
      </c>
      <c r="BE152" s="3">
        <f>SUMIF(TRASLADOS!$AL:$AL,RESUMEN!AY152,TRASLADOS!$AP:$AP)</f>
        <v>0</v>
      </c>
      <c r="BF152" s="3">
        <f>SUMIF(VENTAS!$AH:$AH,RESUMEN!AY152,VENTAS!$AL:$AL)</f>
        <v>0</v>
      </c>
      <c r="BG152" s="3">
        <f>SUMIF(VENTAS!$AH:$AH,RESUMEN!AY152,VENTAS!$AM:$AM)</f>
        <v>0</v>
      </c>
      <c r="BH152" s="97">
        <f t="shared" si="101"/>
        <v>2081</v>
      </c>
      <c r="BI152" s="96"/>
      <c r="BJ152" s="99">
        <f t="shared" si="88"/>
        <v>24</v>
      </c>
      <c r="BK152" s="11">
        <f t="shared" si="102"/>
        <v>43429</v>
      </c>
      <c r="BL152" s="3">
        <f t="shared" si="102"/>
        <v>162</v>
      </c>
      <c r="BM152" s="3">
        <f>SUMIF(MORTALIDAD!$AP:$AP,RESUMEN!BK152,MORTALIDAD!$AT:$AT)</f>
        <v>0</v>
      </c>
      <c r="BN152" s="19">
        <f t="shared" si="103"/>
        <v>-73</v>
      </c>
      <c r="BO152" s="3">
        <f>SUMIF(MORTALIDAD!$AP$6:$AP$200,RESUMEN!BK152,MORTALIDAD!$AU$6:$AU$200)</f>
        <v>0</v>
      </c>
      <c r="BP152" s="3">
        <f>SUMIF(TRASLADOS!$AU:$AU,RESUMEN!BK152,TRASLADOS!$AX:$AX)</f>
        <v>0</v>
      </c>
      <c r="BQ152" s="3">
        <f>SUMIF(TRASLADOS!$AU:$AU,RESUMEN!BK152,TRASLADOS!$AY:$AY)</f>
        <v>0</v>
      </c>
      <c r="BR152" s="3">
        <f>SUMIF(VENTAS!$AP:$AP,RESUMEN!BK152,VENTAS!$AT:$AT)</f>
        <v>0</v>
      </c>
      <c r="BS152" s="3">
        <f>SUMIF(VENTAS!$AP:$AP,RESUMEN!BK152,VENTAS!$AU:$AU)</f>
        <v>0</v>
      </c>
      <c r="BT152" s="36">
        <f t="shared" si="104"/>
        <v>2241</v>
      </c>
    </row>
    <row r="153" spans="2:72" x14ac:dyDescent="0.2">
      <c r="B153" s="3">
        <f t="shared" si="83"/>
        <v>24</v>
      </c>
      <c r="C153" s="11">
        <f t="shared" si="75"/>
        <v>43400</v>
      </c>
      <c r="D153" s="3">
        <f t="shared" si="76"/>
        <v>162</v>
      </c>
      <c r="E153" s="3">
        <f>SUMIF(MORTALIDAD!$B$6:$B$200,RESUMEN!C153,MORTALIDAD!$F$6:$F$200)</f>
        <v>0</v>
      </c>
      <c r="F153" s="17">
        <f t="shared" si="77"/>
        <v>-740</v>
      </c>
      <c r="G153" s="3">
        <f>SUMIF(MORTALIDAD!$B$6:$B$200,RESUMEN!C153,MORTALIDAD!$G$6:$G$200)</f>
        <v>0</v>
      </c>
      <c r="H153" s="3">
        <f>SUMIF(TRASLADOS!$B$6:$B$200,C153,TRASLADOS!$E$6:$E$200)</f>
        <v>0</v>
      </c>
      <c r="I153" s="3">
        <f>SUMIF(TRASLADOS!$B$6:$B$200,C153,TRASLADOS!$F$6:$F$200)</f>
        <v>0</v>
      </c>
      <c r="J153" s="3">
        <f>SUMIF(VENTAS!$B$6:$B$200,RESUMEN!C153,VENTAS!$F$6:$F$200)</f>
        <v>0</v>
      </c>
      <c r="K153" s="3">
        <f>SUMIF(VENTAS!$B$6:$B$200,RESUMEN!C153,VENTAS!$G$6:$G$200)</f>
        <v>0</v>
      </c>
      <c r="L153" s="97">
        <f t="shared" si="89"/>
        <v>1460</v>
      </c>
      <c r="M153" s="96"/>
      <c r="N153" s="99">
        <f t="shared" si="84"/>
        <v>23</v>
      </c>
      <c r="O153" s="11">
        <f t="shared" si="90"/>
        <v>43403</v>
      </c>
      <c r="P153" s="3">
        <f t="shared" si="90"/>
        <v>161</v>
      </c>
      <c r="Q153" s="3">
        <f>SUMIF(MORTALIDAD!$J:$J,RESUMEN!O153,MORTALIDAD!$N:$N)</f>
        <v>0</v>
      </c>
      <c r="R153" s="19">
        <f t="shared" si="91"/>
        <v>-680</v>
      </c>
      <c r="S153" s="3">
        <f>SUMIF(MORTALIDAD!$J:$J,RESUMEN!O153,MORTALIDAD!$O:$O)</f>
        <v>0</v>
      </c>
      <c r="T153" s="3">
        <f>SUMIF(TRASLADOS!$K:$K,RESUMEN!O153,TRASLADOS!$N:$N)</f>
        <v>0</v>
      </c>
      <c r="U153" s="3">
        <f>SUMIF(TRASLADOS!$K:$K,RESUMEN!O153,TRASLADOS!$O:$O)</f>
        <v>0</v>
      </c>
      <c r="V153" s="3">
        <f>SUMIF(VENTAS!$J:$J,RESUMEN!O153,VENTAS!$N:$N)</f>
        <v>0</v>
      </c>
      <c r="W153" s="3">
        <f>SUMIF(VENTAS!$J:$J,RESUMEN!O153,VENTAS!$O:$O)</f>
        <v>0</v>
      </c>
      <c r="X153" s="97">
        <f t="shared" si="92"/>
        <v>1520</v>
      </c>
      <c r="Y153" s="96"/>
      <c r="Z153" s="99">
        <f t="shared" si="85"/>
        <v>23</v>
      </c>
      <c r="AA153" s="11">
        <f t="shared" si="93"/>
        <v>43407</v>
      </c>
      <c r="AB153" s="3">
        <f t="shared" si="93"/>
        <v>160</v>
      </c>
      <c r="AC153" s="3">
        <f>SUMIF(MORTALIDAD!$R:$R,RESUMEN!AA153,MORTALIDAD!$V:$V)</f>
        <v>0</v>
      </c>
      <c r="AD153" s="19">
        <f t="shared" si="94"/>
        <v>-476</v>
      </c>
      <c r="AE153" s="3">
        <f>SUMIF(MORTALIDAD!$R:$R,RESUMEN!AA153,MORTALIDAD!$W:$W)</f>
        <v>0</v>
      </c>
      <c r="AF153" s="3">
        <f>SUMIF(TRASLADOS!$T:$T,RESUMEN!AA153,TRASLADOS!$W:$W)</f>
        <v>0</v>
      </c>
      <c r="AG153" s="3">
        <f>SUMIF(TRASLADOS!$T:$T,RESUMEN!AA153,TRASLADOS!$X:$X)</f>
        <v>0</v>
      </c>
      <c r="AH153" s="3">
        <f>SUMIF(VENTAS!$R:$R,RESUMEN!AA153,VENTAS!$V:$V)</f>
        <v>0</v>
      </c>
      <c r="AI153" s="3">
        <f>SUMIF(VENTAS!$R:$R,RESUMEN!AA153,VENTAS!$W:$W)</f>
        <v>0</v>
      </c>
      <c r="AJ153" s="97">
        <f t="shared" si="95"/>
        <v>1724</v>
      </c>
      <c r="AK153" s="96"/>
      <c r="AL153" s="99">
        <f t="shared" si="86"/>
        <v>23</v>
      </c>
      <c r="AM153" s="11">
        <f t="shared" si="96"/>
        <v>43414</v>
      </c>
      <c r="AN153" s="3">
        <f t="shared" si="96"/>
        <v>160</v>
      </c>
      <c r="AO153" s="3">
        <f>SUMIF(MORTALIDAD!$Z:$Z,RESUMEN!AM153,MORTALIDAD!$AD:$AD)</f>
        <v>0</v>
      </c>
      <c r="AP153" s="19">
        <f t="shared" si="97"/>
        <v>-124</v>
      </c>
      <c r="AQ153" s="3">
        <f>SUMIF(MORTALIDAD!$Z:$Z,RESUMEN!AM153,MORTALIDAD!$AE:$AE)</f>
        <v>0</v>
      </c>
      <c r="AR153" s="3">
        <f>SUMIF(TRASLADOS!$AC:$AC,RESUMEN!AM153,TRASLADOS!$AF:$AF)</f>
        <v>0</v>
      </c>
      <c r="AS153" s="3">
        <f>SUMIF(TRASLADOS!$AC:$AC,RESUMEN!AM153,TRASLADOS!$AG:$AG)</f>
        <v>0</v>
      </c>
      <c r="AT153" s="3">
        <f>SUMIF(VENTAS!$Z:$Z,RESUMEN!AM153,VENTAS!$AD:$AD)</f>
        <v>0</v>
      </c>
      <c r="AU153" s="3">
        <f>SUMIF(VENTAS!$Z:$Z,RESUMEN!AM153,VENTAS!$AE:$AE)</f>
        <v>0</v>
      </c>
      <c r="AV153" s="97">
        <f t="shared" si="98"/>
        <v>2076</v>
      </c>
      <c r="AW153" s="96"/>
      <c r="AX153" s="99">
        <f t="shared" si="87"/>
        <v>23</v>
      </c>
      <c r="AY153" s="11">
        <f t="shared" si="99"/>
        <v>43421</v>
      </c>
      <c r="AZ153" s="3">
        <f t="shared" si="99"/>
        <v>160</v>
      </c>
      <c r="BA153" s="3">
        <f>SUMIF(MORTALIDAD!$AH:$AH,RESUMEN!AY153,MORTALIDAD!$AL:$AL)</f>
        <v>0</v>
      </c>
      <c r="BB153" s="19">
        <f t="shared" si="100"/>
        <v>-119</v>
      </c>
      <c r="BC153" s="3">
        <f>SUMIF(MORTALIDAD!$AH:$AH,RESUMEN!AY153,MORTALIDAD!$AM:$AM)</f>
        <v>0</v>
      </c>
      <c r="BD153" s="3">
        <f>SUMIF(TRASLADOS!$AL:$AL,RESUMEN!AY153,TRASLADOS!$AO:$AO)</f>
        <v>0</v>
      </c>
      <c r="BE153" s="3">
        <f>SUMIF(TRASLADOS!$AL:$AL,RESUMEN!AY153,TRASLADOS!$AP:$AP)</f>
        <v>0</v>
      </c>
      <c r="BF153" s="3">
        <f>SUMIF(VENTAS!$AH:$AH,RESUMEN!AY153,VENTAS!$AL:$AL)</f>
        <v>0</v>
      </c>
      <c r="BG153" s="3">
        <f>SUMIF(VENTAS!$AH:$AH,RESUMEN!AY153,VENTAS!$AM:$AM)</f>
        <v>0</v>
      </c>
      <c r="BH153" s="97">
        <f t="shared" si="101"/>
        <v>2081</v>
      </c>
      <c r="BI153" s="96"/>
      <c r="BJ153" s="99">
        <f t="shared" si="88"/>
        <v>24</v>
      </c>
      <c r="BK153" s="11">
        <f t="shared" si="102"/>
        <v>43430</v>
      </c>
      <c r="BL153" s="3">
        <f t="shared" si="102"/>
        <v>163</v>
      </c>
      <c r="BM153" s="3">
        <f>SUMIF(MORTALIDAD!$AP:$AP,RESUMEN!BK153,MORTALIDAD!$AT:$AT)</f>
        <v>0</v>
      </c>
      <c r="BN153" s="19">
        <f t="shared" si="103"/>
        <v>-73</v>
      </c>
      <c r="BO153" s="3">
        <f>SUMIF(MORTALIDAD!$AP$6:$AP$200,RESUMEN!BK153,MORTALIDAD!$AU$6:$AU$200)</f>
        <v>0</v>
      </c>
      <c r="BP153" s="3">
        <f>SUMIF(TRASLADOS!$AU:$AU,RESUMEN!BK153,TRASLADOS!$AX:$AX)</f>
        <v>0</v>
      </c>
      <c r="BQ153" s="3">
        <f>SUMIF(TRASLADOS!$AU:$AU,RESUMEN!BK153,TRASLADOS!$AY:$AY)</f>
        <v>0</v>
      </c>
      <c r="BR153" s="3">
        <f>SUMIF(VENTAS!$AP:$AP,RESUMEN!BK153,VENTAS!$AT:$AT)</f>
        <v>0</v>
      </c>
      <c r="BS153" s="3">
        <f>SUMIF(VENTAS!$AP:$AP,RESUMEN!BK153,VENTAS!$AU:$AU)</f>
        <v>0</v>
      </c>
      <c r="BT153" s="36">
        <f t="shared" si="104"/>
        <v>2241</v>
      </c>
    </row>
    <row r="154" spans="2:72" x14ac:dyDescent="0.2">
      <c r="B154" s="3">
        <f t="shared" si="83"/>
        <v>24</v>
      </c>
      <c r="C154" s="11">
        <f t="shared" si="75"/>
        <v>43401</v>
      </c>
      <c r="D154" s="3">
        <f t="shared" si="76"/>
        <v>163</v>
      </c>
      <c r="E154" s="3">
        <f>SUMIF(MORTALIDAD!$B$6:$B$200,RESUMEN!C154,MORTALIDAD!$F$6:$F$200)</f>
        <v>0</v>
      </c>
      <c r="F154" s="17">
        <f t="shared" si="77"/>
        <v>-740</v>
      </c>
      <c r="G154" s="3">
        <f>SUMIF(MORTALIDAD!$B$6:$B$200,RESUMEN!C154,MORTALIDAD!$G$6:$G$200)</f>
        <v>0</v>
      </c>
      <c r="H154" s="3">
        <f>SUMIF(TRASLADOS!$B$6:$B$200,C154,TRASLADOS!$E$6:$E$200)</f>
        <v>0</v>
      </c>
      <c r="I154" s="3">
        <f>SUMIF(TRASLADOS!$B$6:$B$200,C154,TRASLADOS!$F$6:$F$200)</f>
        <v>0</v>
      </c>
      <c r="J154" s="3">
        <f>SUMIF(VENTAS!$B$6:$B$200,RESUMEN!C154,VENTAS!$F$6:$F$200)</f>
        <v>0</v>
      </c>
      <c r="K154" s="3">
        <f>SUMIF(VENTAS!$B$6:$B$200,RESUMEN!C154,VENTAS!$G$6:$G$200)</f>
        <v>0</v>
      </c>
      <c r="L154" s="97">
        <f t="shared" si="89"/>
        <v>1460</v>
      </c>
      <c r="M154" s="96"/>
      <c r="N154" s="99">
        <f t="shared" si="84"/>
        <v>24</v>
      </c>
      <c r="O154" s="11">
        <f t="shared" si="90"/>
        <v>43404</v>
      </c>
      <c r="P154" s="3">
        <f t="shared" si="90"/>
        <v>162</v>
      </c>
      <c r="Q154" s="3">
        <f>SUMIF(MORTALIDAD!$J:$J,RESUMEN!O154,MORTALIDAD!$N:$N)</f>
        <v>0</v>
      </c>
      <c r="R154" s="19">
        <f t="shared" si="91"/>
        <v>-680</v>
      </c>
      <c r="S154" s="3">
        <f>SUMIF(MORTALIDAD!$J:$J,RESUMEN!O154,MORTALIDAD!$O:$O)</f>
        <v>0</v>
      </c>
      <c r="T154" s="3">
        <f>SUMIF(TRASLADOS!$K:$K,RESUMEN!O154,TRASLADOS!$N:$N)</f>
        <v>0</v>
      </c>
      <c r="U154" s="3">
        <f>SUMIF(TRASLADOS!$K:$K,RESUMEN!O154,TRASLADOS!$O:$O)</f>
        <v>0</v>
      </c>
      <c r="V154" s="3">
        <f>SUMIF(VENTAS!$J:$J,RESUMEN!O154,VENTAS!$N:$N)</f>
        <v>0</v>
      </c>
      <c r="W154" s="3">
        <f>SUMIF(VENTAS!$J:$J,RESUMEN!O154,VENTAS!$O:$O)</f>
        <v>0</v>
      </c>
      <c r="X154" s="97">
        <f t="shared" si="92"/>
        <v>1520</v>
      </c>
      <c r="Y154" s="96"/>
      <c r="Z154" s="99">
        <f t="shared" si="85"/>
        <v>23</v>
      </c>
      <c r="AA154" s="11">
        <f t="shared" si="93"/>
        <v>43408</v>
      </c>
      <c r="AB154" s="3">
        <f t="shared" si="93"/>
        <v>161</v>
      </c>
      <c r="AC154" s="3">
        <f>SUMIF(MORTALIDAD!$R:$R,RESUMEN!AA154,MORTALIDAD!$V:$V)</f>
        <v>0</v>
      </c>
      <c r="AD154" s="19">
        <f t="shared" si="94"/>
        <v>-476</v>
      </c>
      <c r="AE154" s="3">
        <f>SUMIF(MORTALIDAD!$R:$R,RESUMEN!AA154,MORTALIDAD!$W:$W)</f>
        <v>0</v>
      </c>
      <c r="AF154" s="3">
        <f>SUMIF(TRASLADOS!$T:$T,RESUMEN!AA154,TRASLADOS!$W:$W)</f>
        <v>0</v>
      </c>
      <c r="AG154" s="3">
        <f>SUMIF(TRASLADOS!$T:$T,RESUMEN!AA154,TRASLADOS!$X:$X)</f>
        <v>0</v>
      </c>
      <c r="AH154" s="3">
        <f>SUMIF(VENTAS!$R:$R,RESUMEN!AA154,VENTAS!$V:$V)</f>
        <v>0</v>
      </c>
      <c r="AI154" s="3">
        <f>SUMIF(VENTAS!$R:$R,RESUMEN!AA154,VENTAS!$W:$W)</f>
        <v>0</v>
      </c>
      <c r="AJ154" s="97">
        <f t="shared" si="95"/>
        <v>1724</v>
      </c>
      <c r="AK154" s="96"/>
      <c r="AL154" s="99">
        <f t="shared" si="86"/>
        <v>23</v>
      </c>
      <c r="AM154" s="11">
        <f t="shared" si="96"/>
        <v>43415</v>
      </c>
      <c r="AN154" s="3">
        <f t="shared" si="96"/>
        <v>161</v>
      </c>
      <c r="AO154" s="3">
        <f>SUMIF(MORTALIDAD!$Z:$Z,RESUMEN!AM154,MORTALIDAD!$AD:$AD)</f>
        <v>0</v>
      </c>
      <c r="AP154" s="19">
        <f t="shared" si="97"/>
        <v>-124</v>
      </c>
      <c r="AQ154" s="3">
        <f>SUMIF(MORTALIDAD!$Z:$Z,RESUMEN!AM154,MORTALIDAD!$AE:$AE)</f>
        <v>0</v>
      </c>
      <c r="AR154" s="3">
        <f>SUMIF(TRASLADOS!$AC:$AC,RESUMEN!AM154,TRASLADOS!$AF:$AF)</f>
        <v>0</v>
      </c>
      <c r="AS154" s="3">
        <f>SUMIF(TRASLADOS!$AC:$AC,RESUMEN!AM154,TRASLADOS!$AG:$AG)</f>
        <v>0</v>
      </c>
      <c r="AT154" s="3">
        <f>SUMIF(VENTAS!$Z:$Z,RESUMEN!AM154,VENTAS!$AD:$AD)</f>
        <v>0</v>
      </c>
      <c r="AU154" s="3">
        <f>SUMIF(VENTAS!$Z:$Z,RESUMEN!AM154,VENTAS!$AE:$AE)</f>
        <v>0</v>
      </c>
      <c r="AV154" s="97">
        <f t="shared" si="98"/>
        <v>2076</v>
      </c>
      <c r="AW154" s="96"/>
      <c r="AX154" s="99">
        <f t="shared" si="87"/>
        <v>23</v>
      </c>
      <c r="AY154" s="11">
        <f t="shared" si="99"/>
        <v>43422</v>
      </c>
      <c r="AZ154" s="3">
        <f t="shared" si="99"/>
        <v>161</v>
      </c>
      <c r="BA154" s="3">
        <f>SUMIF(MORTALIDAD!$AH:$AH,RESUMEN!AY154,MORTALIDAD!$AL:$AL)</f>
        <v>0</v>
      </c>
      <c r="BB154" s="19">
        <f t="shared" si="100"/>
        <v>-119</v>
      </c>
      <c r="BC154" s="3">
        <f>SUMIF(MORTALIDAD!$AH:$AH,RESUMEN!AY154,MORTALIDAD!$AM:$AM)</f>
        <v>0</v>
      </c>
      <c r="BD154" s="3">
        <f>SUMIF(TRASLADOS!$AL:$AL,RESUMEN!AY154,TRASLADOS!$AO:$AO)</f>
        <v>0</v>
      </c>
      <c r="BE154" s="3">
        <f>SUMIF(TRASLADOS!$AL:$AL,RESUMEN!AY154,TRASLADOS!$AP:$AP)</f>
        <v>0</v>
      </c>
      <c r="BF154" s="3">
        <f>SUMIF(VENTAS!$AH:$AH,RESUMEN!AY154,VENTAS!$AL:$AL)</f>
        <v>0</v>
      </c>
      <c r="BG154" s="3">
        <f>SUMIF(VENTAS!$AH:$AH,RESUMEN!AY154,VENTAS!$AM:$AM)</f>
        <v>0</v>
      </c>
      <c r="BH154" s="97">
        <f t="shared" si="101"/>
        <v>2081</v>
      </c>
      <c r="BI154" s="96"/>
      <c r="BJ154" s="99">
        <f t="shared" si="88"/>
        <v>24</v>
      </c>
      <c r="BK154" s="11">
        <f t="shared" si="102"/>
        <v>43431</v>
      </c>
      <c r="BL154" s="3">
        <f t="shared" si="102"/>
        <v>164</v>
      </c>
      <c r="BM154" s="3">
        <f>SUMIF(MORTALIDAD!$AP:$AP,RESUMEN!BK154,MORTALIDAD!$AT:$AT)</f>
        <v>0</v>
      </c>
      <c r="BN154" s="19">
        <f t="shared" si="103"/>
        <v>-73</v>
      </c>
      <c r="BO154" s="3">
        <f>SUMIF(MORTALIDAD!$AP$6:$AP$200,RESUMEN!BK154,MORTALIDAD!$AU$6:$AU$200)</f>
        <v>0</v>
      </c>
      <c r="BP154" s="3">
        <f>SUMIF(TRASLADOS!$AU:$AU,RESUMEN!BK154,TRASLADOS!$AX:$AX)</f>
        <v>0</v>
      </c>
      <c r="BQ154" s="3">
        <f>SUMIF(TRASLADOS!$AU:$AU,RESUMEN!BK154,TRASLADOS!$AY:$AY)</f>
        <v>0</v>
      </c>
      <c r="BR154" s="3">
        <f>SUMIF(VENTAS!$AP:$AP,RESUMEN!BK154,VENTAS!$AT:$AT)</f>
        <v>0</v>
      </c>
      <c r="BS154" s="3">
        <f>SUMIF(VENTAS!$AP:$AP,RESUMEN!BK154,VENTAS!$AU:$AU)</f>
        <v>0</v>
      </c>
      <c r="BT154" s="36">
        <f t="shared" si="104"/>
        <v>2241</v>
      </c>
    </row>
    <row r="155" spans="2:72" x14ac:dyDescent="0.2">
      <c r="B155" s="3">
        <f t="shared" si="83"/>
        <v>24</v>
      </c>
      <c r="C155" s="11">
        <f t="shared" si="75"/>
        <v>43402</v>
      </c>
      <c r="D155" s="3">
        <f t="shared" si="76"/>
        <v>164</v>
      </c>
      <c r="E155" s="3">
        <f>SUMIF(MORTALIDAD!$B$6:$B$200,RESUMEN!C155,MORTALIDAD!$F$6:$F$200)</f>
        <v>0</v>
      </c>
      <c r="F155" s="17">
        <f t="shared" si="77"/>
        <v>-740</v>
      </c>
      <c r="G155" s="3">
        <f>SUMIF(MORTALIDAD!$B$6:$B$200,RESUMEN!C155,MORTALIDAD!$G$6:$G$200)</f>
        <v>0</v>
      </c>
      <c r="H155" s="3">
        <f>SUMIF(TRASLADOS!$B$6:$B$200,C155,TRASLADOS!$E$6:$E$200)</f>
        <v>0</v>
      </c>
      <c r="I155" s="3">
        <f>SUMIF(TRASLADOS!$B$6:$B$200,C155,TRASLADOS!$F$6:$F$200)</f>
        <v>0</v>
      </c>
      <c r="J155" s="3">
        <f>SUMIF(VENTAS!$B$6:$B$200,RESUMEN!C155,VENTAS!$F$6:$F$200)</f>
        <v>0</v>
      </c>
      <c r="K155" s="3">
        <f>SUMIF(VENTAS!$B$6:$B$200,RESUMEN!C155,VENTAS!$G$6:$G$200)</f>
        <v>0</v>
      </c>
      <c r="L155" s="97">
        <f t="shared" si="89"/>
        <v>1460</v>
      </c>
      <c r="M155" s="96"/>
      <c r="N155" s="99">
        <f t="shared" si="84"/>
        <v>24</v>
      </c>
      <c r="O155" s="11">
        <f t="shared" si="90"/>
        <v>43405</v>
      </c>
      <c r="P155" s="3">
        <f t="shared" si="90"/>
        <v>163</v>
      </c>
      <c r="Q155" s="3">
        <f>SUMIF(MORTALIDAD!$J:$J,RESUMEN!O155,MORTALIDAD!$N:$N)</f>
        <v>0</v>
      </c>
      <c r="R155" s="19">
        <f t="shared" si="91"/>
        <v>-680</v>
      </c>
      <c r="S155" s="3">
        <f>SUMIF(MORTALIDAD!$J:$J,RESUMEN!O155,MORTALIDAD!$O:$O)</f>
        <v>0</v>
      </c>
      <c r="T155" s="3">
        <f>SUMIF(TRASLADOS!$K:$K,RESUMEN!O155,TRASLADOS!$N:$N)</f>
        <v>0</v>
      </c>
      <c r="U155" s="3">
        <f>SUMIF(TRASLADOS!$K:$K,RESUMEN!O155,TRASLADOS!$O:$O)</f>
        <v>0</v>
      </c>
      <c r="V155" s="3">
        <f>SUMIF(VENTAS!$J:$J,RESUMEN!O155,VENTAS!$N:$N)</f>
        <v>0</v>
      </c>
      <c r="W155" s="3">
        <f>SUMIF(VENTAS!$J:$J,RESUMEN!O155,VENTAS!$O:$O)</f>
        <v>0</v>
      </c>
      <c r="X155" s="97">
        <f t="shared" si="92"/>
        <v>1520</v>
      </c>
      <c r="Y155" s="96"/>
      <c r="Z155" s="99">
        <f t="shared" si="85"/>
        <v>24</v>
      </c>
      <c r="AA155" s="11">
        <f t="shared" si="93"/>
        <v>43409</v>
      </c>
      <c r="AB155" s="3">
        <f t="shared" si="93"/>
        <v>162</v>
      </c>
      <c r="AC155" s="3">
        <f>SUMIF(MORTALIDAD!$R:$R,RESUMEN!AA155,MORTALIDAD!$V:$V)</f>
        <v>0</v>
      </c>
      <c r="AD155" s="19">
        <f t="shared" si="94"/>
        <v>-476</v>
      </c>
      <c r="AE155" s="3">
        <f>SUMIF(MORTALIDAD!$R:$R,RESUMEN!AA155,MORTALIDAD!$W:$W)</f>
        <v>0</v>
      </c>
      <c r="AF155" s="3">
        <f>SUMIF(TRASLADOS!$T:$T,RESUMEN!AA155,TRASLADOS!$W:$W)</f>
        <v>0</v>
      </c>
      <c r="AG155" s="3">
        <f>SUMIF(TRASLADOS!$T:$T,RESUMEN!AA155,TRASLADOS!$X:$X)</f>
        <v>0</v>
      </c>
      <c r="AH155" s="3">
        <f>SUMIF(VENTAS!$R:$R,RESUMEN!AA155,VENTAS!$V:$V)</f>
        <v>0</v>
      </c>
      <c r="AI155" s="3">
        <f>SUMIF(VENTAS!$R:$R,RESUMEN!AA155,VENTAS!$W:$W)</f>
        <v>0</v>
      </c>
      <c r="AJ155" s="97">
        <f t="shared" si="95"/>
        <v>1724</v>
      </c>
      <c r="AK155" s="96"/>
      <c r="AL155" s="99">
        <f t="shared" si="86"/>
        <v>24</v>
      </c>
      <c r="AM155" s="11">
        <f t="shared" si="96"/>
        <v>43416</v>
      </c>
      <c r="AN155" s="3">
        <f t="shared" si="96"/>
        <v>162</v>
      </c>
      <c r="AO155" s="3">
        <f>SUMIF(MORTALIDAD!$Z:$Z,RESUMEN!AM155,MORTALIDAD!$AD:$AD)</f>
        <v>0</v>
      </c>
      <c r="AP155" s="19">
        <f t="shared" si="97"/>
        <v>-124</v>
      </c>
      <c r="AQ155" s="3">
        <f>SUMIF(MORTALIDAD!$Z:$Z,RESUMEN!AM155,MORTALIDAD!$AE:$AE)</f>
        <v>0</v>
      </c>
      <c r="AR155" s="3">
        <f>SUMIF(TRASLADOS!$AC:$AC,RESUMEN!AM155,TRASLADOS!$AF:$AF)</f>
        <v>0</v>
      </c>
      <c r="AS155" s="3">
        <f>SUMIF(TRASLADOS!$AC:$AC,RESUMEN!AM155,TRASLADOS!$AG:$AG)</f>
        <v>0</v>
      </c>
      <c r="AT155" s="3">
        <f>SUMIF(VENTAS!$Z:$Z,RESUMEN!AM155,VENTAS!$AD:$AD)</f>
        <v>0</v>
      </c>
      <c r="AU155" s="3">
        <f>SUMIF(VENTAS!$Z:$Z,RESUMEN!AM155,VENTAS!$AE:$AE)</f>
        <v>0</v>
      </c>
      <c r="AV155" s="97">
        <f t="shared" si="98"/>
        <v>2076</v>
      </c>
      <c r="AW155" s="96"/>
      <c r="AX155" s="99">
        <f t="shared" si="87"/>
        <v>24</v>
      </c>
      <c r="AY155" s="11">
        <f t="shared" si="99"/>
        <v>43423</v>
      </c>
      <c r="AZ155" s="3">
        <f t="shared" si="99"/>
        <v>162</v>
      </c>
      <c r="BA155" s="3">
        <f>SUMIF(MORTALIDAD!$AH:$AH,RESUMEN!AY155,MORTALIDAD!$AL:$AL)</f>
        <v>0</v>
      </c>
      <c r="BB155" s="19">
        <f t="shared" si="100"/>
        <v>-119</v>
      </c>
      <c r="BC155" s="3">
        <f>SUMIF(MORTALIDAD!$AH:$AH,RESUMEN!AY155,MORTALIDAD!$AM:$AM)</f>
        <v>0</v>
      </c>
      <c r="BD155" s="3">
        <f>SUMIF(TRASLADOS!$AL:$AL,RESUMEN!AY155,TRASLADOS!$AO:$AO)</f>
        <v>0</v>
      </c>
      <c r="BE155" s="3">
        <f>SUMIF(TRASLADOS!$AL:$AL,RESUMEN!AY155,TRASLADOS!$AP:$AP)</f>
        <v>0</v>
      </c>
      <c r="BF155" s="3">
        <f>SUMIF(VENTAS!$AH:$AH,RESUMEN!AY155,VENTAS!$AL:$AL)</f>
        <v>0</v>
      </c>
      <c r="BG155" s="3">
        <f>SUMIF(VENTAS!$AH:$AH,RESUMEN!AY155,VENTAS!$AM:$AM)</f>
        <v>0</v>
      </c>
      <c r="BH155" s="97">
        <f t="shared" si="101"/>
        <v>2081</v>
      </c>
      <c r="BI155" s="96"/>
      <c r="BJ155" s="99">
        <f t="shared" si="88"/>
        <v>24</v>
      </c>
      <c r="BK155" s="11">
        <f t="shared" si="102"/>
        <v>43432</v>
      </c>
      <c r="BL155" s="3">
        <f t="shared" si="102"/>
        <v>165</v>
      </c>
      <c r="BM155" s="3">
        <f>SUMIF(MORTALIDAD!$AP:$AP,RESUMEN!BK155,MORTALIDAD!$AT:$AT)</f>
        <v>0</v>
      </c>
      <c r="BN155" s="19">
        <f t="shared" si="103"/>
        <v>-73</v>
      </c>
      <c r="BO155" s="3">
        <f>SUMIF(MORTALIDAD!$AP$6:$AP$200,RESUMEN!BK155,MORTALIDAD!$AU$6:$AU$200)</f>
        <v>0</v>
      </c>
      <c r="BP155" s="3">
        <f>SUMIF(TRASLADOS!$AU:$AU,RESUMEN!BK155,TRASLADOS!$AX:$AX)</f>
        <v>0</v>
      </c>
      <c r="BQ155" s="3">
        <f>SUMIF(TRASLADOS!$AU:$AU,RESUMEN!BK155,TRASLADOS!$AY:$AY)</f>
        <v>0</v>
      </c>
      <c r="BR155" s="3">
        <f>SUMIF(VENTAS!$AP:$AP,RESUMEN!BK155,VENTAS!$AT:$AT)</f>
        <v>0</v>
      </c>
      <c r="BS155" s="3">
        <f>SUMIF(VENTAS!$AP:$AP,RESUMEN!BK155,VENTAS!$AU:$AU)</f>
        <v>0</v>
      </c>
      <c r="BT155" s="36">
        <f t="shared" si="104"/>
        <v>2241</v>
      </c>
    </row>
    <row r="156" spans="2:72" x14ac:dyDescent="0.2">
      <c r="B156" s="3">
        <f t="shared" si="83"/>
        <v>24</v>
      </c>
      <c r="C156" s="11">
        <f t="shared" si="75"/>
        <v>43403</v>
      </c>
      <c r="D156" s="3">
        <f t="shared" si="76"/>
        <v>165</v>
      </c>
      <c r="E156" s="3">
        <f>SUMIF(MORTALIDAD!$B$6:$B$200,RESUMEN!C156,MORTALIDAD!$F$6:$F$200)</f>
        <v>0</v>
      </c>
      <c r="F156" s="17">
        <f t="shared" si="77"/>
        <v>-740</v>
      </c>
      <c r="G156" s="3">
        <f>SUMIF(MORTALIDAD!$B$6:$B$200,RESUMEN!C156,MORTALIDAD!$G$6:$G$200)</f>
        <v>0</v>
      </c>
      <c r="H156" s="3">
        <f>SUMIF(TRASLADOS!$B$6:$B$200,C156,TRASLADOS!$E$6:$E$200)</f>
        <v>0</v>
      </c>
      <c r="I156" s="3">
        <f>SUMIF(TRASLADOS!$B$6:$B$200,C156,TRASLADOS!$F$6:$F$200)</f>
        <v>0</v>
      </c>
      <c r="J156" s="3">
        <f>SUMIF(VENTAS!$B$6:$B$200,RESUMEN!C156,VENTAS!$F$6:$F$200)</f>
        <v>0</v>
      </c>
      <c r="K156" s="3">
        <f>SUMIF(VENTAS!$B$6:$B$200,RESUMEN!C156,VENTAS!$G$6:$G$200)</f>
        <v>0</v>
      </c>
      <c r="L156" s="97">
        <f t="shared" si="89"/>
        <v>1460</v>
      </c>
      <c r="M156" s="96"/>
      <c r="N156" s="99">
        <f t="shared" si="84"/>
        <v>24</v>
      </c>
      <c r="O156" s="11">
        <f t="shared" si="90"/>
        <v>43406</v>
      </c>
      <c r="P156" s="3">
        <f t="shared" si="90"/>
        <v>164</v>
      </c>
      <c r="Q156" s="3">
        <f>SUMIF(MORTALIDAD!$J:$J,RESUMEN!O156,MORTALIDAD!$N:$N)</f>
        <v>0</v>
      </c>
      <c r="R156" s="19">
        <f t="shared" si="91"/>
        <v>-680</v>
      </c>
      <c r="S156" s="3">
        <f>SUMIF(MORTALIDAD!$J:$J,RESUMEN!O156,MORTALIDAD!$O:$O)</f>
        <v>0</v>
      </c>
      <c r="T156" s="3">
        <f>SUMIF(TRASLADOS!$K:$K,RESUMEN!O156,TRASLADOS!$N:$N)</f>
        <v>0</v>
      </c>
      <c r="U156" s="3">
        <f>SUMIF(TRASLADOS!$K:$K,RESUMEN!O156,TRASLADOS!$O:$O)</f>
        <v>0</v>
      </c>
      <c r="V156" s="3">
        <f>SUMIF(VENTAS!$J:$J,RESUMEN!O156,VENTAS!$N:$N)</f>
        <v>0</v>
      </c>
      <c r="W156" s="3">
        <f>SUMIF(VENTAS!$J:$J,RESUMEN!O156,VENTAS!$O:$O)</f>
        <v>0</v>
      </c>
      <c r="X156" s="97">
        <f t="shared" si="92"/>
        <v>1520</v>
      </c>
      <c r="Y156" s="96"/>
      <c r="Z156" s="99">
        <f t="shared" si="85"/>
        <v>24</v>
      </c>
      <c r="AA156" s="11">
        <f t="shared" si="93"/>
        <v>43410</v>
      </c>
      <c r="AB156" s="3">
        <f t="shared" si="93"/>
        <v>163</v>
      </c>
      <c r="AC156" s="3">
        <f>SUMIF(MORTALIDAD!$R:$R,RESUMEN!AA156,MORTALIDAD!$V:$V)</f>
        <v>0</v>
      </c>
      <c r="AD156" s="19">
        <f t="shared" si="94"/>
        <v>-476</v>
      </c>
      <c r="AE156" s="3">
        <f>SUMIF(MORTALIDAD!$R:$R,RESUMEN!AA156,MORTALIDAD!$W:$W)</f>
        <v>0</v>
      </c>
      <c r="AF156" s="3">
        <f>SUMIF(TRASLADOS!$T:$T,RESUMEN!AA156,TRASLADOS!$W:$W)</f>
        <v>0</v>
      </c>
      <c r="AG156" s="3">
        <f>SUMIF(TRASLADOS!$T:$T,RESUMEN!AA156,TRASLADOS!$X:$X)</f>
        <v>0</v>
      </c>
      <c r="AH156" s="3">
        <f>SUMIF(VENTAS!$R:$R,RESUMEN!AA156,VENTAS!$V:$V)</f>
        <v>0</v>
      </c>
      <c r="AI156" s="3">
        <f>SUMIF(VENTAS!$R:$R,RESUMEN!AA156,VENTAS!$W:$W)</f>
        <v>0</v>
      </c>
      <c r="AJ156" s="97">
        <f t="shared" si="95"/>
        <v>1724</v>
      </c>
      <c r="AK156" s="96"/>
      <c r="AL156" s="99">
        <f t="shared" si="86"/>
        <v>24</v>
      </c>
      <c r="AM156" s="11">
        <f t="shared" si="96"/>
        <v>43417</v>
      </c>
      <c r="AN156" s="3">
        <f t="shared" si="96"/>
        <v>163</v>
      </c>
      <c r="AO156" s="3">
        <f>SUMIF(MORTALIDAD!$Z:$Z,RESUMEN!AM156,MORTALIDAD!$AD:$AD)</f>
        <v>0</v>
      </c>
      <c r="AP156" s="19">
        <f t="shared" si="97"/>
        <v>-124</v>
      </c>
      <c r="AQ156" s="3">
        <f>SUMIF(MORTALIDAD!$Z:$Z,RESUMEN!AM156,MORTALIDAD!$AE:$AE)</f>
        <v>0</v>
      </c>
      <c r="AR156" s="3">
        <f>SUMIF(TRASLADOS!$AC:$AC,RESUMEN!AM156,TRASLADOS!$AF:$AF)</f>
        <v>0</v>
      </c>
      <c r="AS156" s="3">
        <f>SUMIF(TRASLADOS!$AC:$AC,RESUMEN!AM156,TRASLADOS!$AG:$AG)</f>
        <v>0</v>
      </c>
      <c r="AT156" s="3">
        <f>SUMIF(VENTAS!$Z:$Z,RESUMEN!AM156,VENTAS!$AD:$AD)</f>
        <v>0</v>
      </c>
      <c r="AU156" s="3">
        <f>SUMIF(VENTAS!$Z:$Z,RESUMEN!AM156,VENTAS!$AE:$AE)</f>
        <v>0</v>
      </c>
      <c r="AV156" s="97">
        <f t="shared" si="98"/>
        <v>2076</v>
      </c>
      <c r="AW156" s="96"/>
      <c r="AX156" s="99">
        <f t="shared" si="87"/>
        <v>24</v>
      </c>
      <c r="AY156" s="11">
        <f t="shared" si="99"/>
        <v>43424</v>
      </c>
      <c r="AZ156" s="3">
        <f t="shared" si="99"/>
        <v>163</v>
      </c>
      <c r="BA156" s="3">
        <f>SUMIF(MORTALIDAD!$AH:$AH,RESUMEN!AY156,MORTALIDAD!$AL:$AL)</f>
        <v>0</v>
      </c>
      <c r="BB156" s="19">
        <f t="shared" si="100"/>
        <v>-119</v>
      </c>
      <c r="BC156" s="3">
        <f>SUMIF(MORTALIDAD!$AH:$AH,RESUMEN!AY156,MORTALIDAD!$AM:$AM)</f>
        <v>0</v>
      </c>
      <c r="BD156" s="3">
        <f>SUMIF(TRASLADOS!$AL:$AL,RESUMEN!AY156,TRASLADOS!$AO:$AO)</f>
        <v>0</v>
      </c>
      <c r="BE156" s="3">
        <f>SUMIF(TRASLADOS!$AL:$AL,RESUMEN!AY156,TRASLADOS!$AP:$AP)</f>
        <v>0</v>
      </c>
      <c r="BF156" s="3">
        <f>SUMIF(VENTAS!$AH:$AH,RESUMEN!AY156,VENTAS!$AL:$AL)</f>
        <v>0</v>
      </c>
      <c r="BG156" s="3">
        <f>SUMIF(VENTAS!$AH:$AH,RESUMEN!AY156,VENTAS!$AM:$AM)</f>
        <v>0</v>
      </c>
      <c r="BH156" s="97">
        <f t="shared" si="101"/>
        <v>2081</v>
      </c>
      <c r="BI156" s="96"/>
      <c r="BJ156" s="99">
        <f t="shared" si="88"/>
        <v>24</v>
      </c>
      <c r="BK156" s="11">
        <f t="shared" si="102"/>
        <v>43433</v>
      </c>
      <c r="BL156" s="3">
        <f t="shared" si="102"/>
        <v>166</v>
      </c>
      <c r="BM156" s="3">
        <f>SUMIF(MORTALIDAD!$AP:$AP,RESUMEN!BK156,MORTALIDAD!$AT:$AT)</f>
        <v>0</v>
      </c>
      <c r="BN156" s="19">
        <f t="shared" si="103"/>
        <v>-73</v>
      </c>
      <c r="BO156" s="3">
        <f>SUMIF(MORTALIDAD!$AP$6:$AP$200,RESUMEN!BK156,MORTALIDAD!$AU$6:$AU$200)</f>
        <v>0</v>
      </c>
      <c r="BP156" s="3">
        <f>SUMIF(TRASLADOS!$AU:$AU,RESUMEN!BK156,TRASLADOS!$AX:$AX)</f>
        <v>0</v>
      </c>
      <c r="BQ156" s="3">
        <f>SUMIF(TRASLADOS!$AU:$AU,RESUMEN!BK156,TRASLADOS!$AY:$AY)</f>
        <v>0</v>
      </c>
      <c r="BR156" s="3">
        <f>SUMIF(VENTAS!$AP:$AP,RESUMEN!BK156,VENTAS!$AT:$AT)</f>
        <v>0</v>
      </c>
      <c r="BS156" s="3">
        <f>SUMIF(VENTAS!$AP:$AP,RESUMEN!BK156,VENTAS!$AU:$AU)</f>
        <v>0</v>
      </c>
      <c r="BT156" s="36">
        <f t="shared" si="104"/>
        <v>2241</v>
      </c>
    </row>
    <row r="157" spans="2:72" x14ac:dyDescent="0.2">
      <c r="B157" s="3">
        <f t="shared" si="83"/>
        <v>24</v>
      </c>
      <c r="C157" s="11">
        <f t="shared" si="75"/>
        <v>43404</v>
      </c>
      <c r="D157" s="3">
        <f t="shared" si="76"/>
        <v>166</v>
      </c>
      <c r="E157" s="3">
        <f>SUMIF(MORTALIDAD!$B$6:$B$200,RESUMEN!C157,MORTALIDAD!$F$6:$F$200)</f>
        <v>0</v>
      </c>
      <c r="F157" s="17">
        <f t="shared" si="77"/>
        <v>-740</v>
      </c>
      <c r="G157" s="3">
        <f>SUMIF(MORTALIDAD!$B$6:$B$200,RESUMEN!C157,MORTALIDAD!$G$6:$G$200)</f>
        <v>0</v>
      </c>
      <c r="H157" s="3">
        <f>SUMIF(TRASLADOS!$B$6:$B$200,C157,TRASLADOS!$E$6:$E$200)</f>
        <v>0</v>
      </c>
      <c r="I157" s="3">
        <f>SUMIF(TRASLADOS!$B$6:$B$200,C157,TRASLADOS!$F$6:$F$200)</f>
        <v>0</v>
      </c>
      <c r="J157" s="3">
        <f>SUMIF(VENTAS!$B$6:$B$200,RESUMEN!C157,VENTAS!$F$6:$F$200)</f>
        <v>0</v>
      </c>
      <c r="K157" s="3">
        <f>SUMIF(VENTAS!$B$6:$B$200,RESUMEN!C157,VENTAS!$G$6:$G$200)</f>
        <v>0</v>
      </c>
      <c r="L157" s="97">
        <f t="shared" si="89"/>
        <v>1460</v>
      </c>
      <c r="M157" s="96"/>
      <c r="N157" s="99">
        <f t="shared" si="84"/>
        <v>24</v>
      </c>
      <c r="O157" s="11">
        <f t="shared" si="90"/>
        <v>43407</v>
      </c>
      <c r="P157" s="3">
        <f t="shared" si="90"/>
        <v>165</v>
      </c>
      <c r="Q157" s="3">
        <f>SUMIF(MORTALIDAD!$J:$J,RESUMEN!O157,MORTALIDAD!$N:$N)</f>
        <v>0</v>
      </c>
      <c r="R157" s="19">
        <f t="shared" si="91"/>
        <v>-680</v>
      </c>
      <c r="S157" s="3">
        <f>SUMIF(MORTALIDAD!$J:$J,RESUMEN!O157,MORTALIDAD!$O:$O)</f>
        <v>0</v>
      </c>
      <c r="T157" s="3">
        <f>SUMIF(TRASLADOS!$K:$K,RESUMEN!O157,TRASLADOS!$N:$N)</f>
        <v>0</v>
      </c>
      <c r="U157" s="3">
        <f>SUMIF(TRASLADOS!$K:$K,RESUMEN!O157,TRASLADOS!$O:$O)</f>
        <v>0</v>
      </c>
      <c r="V157" s="3">
        <f>SUMIF(VENTAS!$J:$J,RESUMEN!O157,VENTAS!$N:$N)</f>
        <v>0</v>
      </c>
      <c r="W157" s="3">
        <f>SUMIF(VENTAS!$J:$J,RESUMEN!O157,VENTAS!$O:$O)</f>
        <v>0</v>
      </c>
      <c r="X157" s="97">
        <f t="shared" si="92"/>
        <v>1520</v>
      </c>
      <c r="Y157" s="96"/>
      <c r="Z157" s="99">
        <f t="shared" si="85"/>
        <v>24</v>
      </c>
      <c r="AA157" s="11">
        <f t="shared" si="93"/>
        <v>43411</v>
      </c>
      <c r="AB157" s="3">
        <f t="shared" si="93"/>
        <v>164</v>
      </c>
      <c r="AC157" s="3">
        <f>SUMIF(MORTALIDAD!$R:$R,RESUMEN!AA157,MORTALIDAD!$V:$V)</f>
        <v>0</v>
      </c>
      <c r="AD157" s="19">
        <f t="shared" si="94"/>
        <v>-476</v>
      </c>
      <c r="AE157" s="3">
        <f>SUMIF(MORTALIDAD!$R:$R,RESUMEN!AA157,MORTALIDAD!$W:$W)</f>
        <v>0</v>
      </c>
      <c r="AF157" s="3">
        <f>SUMIF(TRASLADOS!$T:$T,RESUMEN!AA157,TRASLADOS!$W:$W)</f>
        <v>0</v>
      </c>
      <c r="AG157" s="3">
        <f>SUMIF(TRASLADOS!$T:$T,RESUMEN!AA157,TRASLADOS!$X:$X)</f>
        <v>0</v>
      </c>
      <c r="AH157" s="3">
        <f>SUMIF(VENTAS!$R:$R,RESUMEN!AA157,VENTAS!$V:$V)</f>
        <v>0</v>
      </c>
      <c r="AI157" s="3">
        <f>SUMIF(VENTAS!$R:$R,RESUMEN!AA157,VENTAS!$W:$W)</f>
        <v>0</v>
      </c>
      <c r="AJ157" s="97">
        <f t="shared" si="95"/>
        <v>1724</v>
      </c>
      <c r="AK157" s="96"/>
      <c r="AL157" s="99">
        <f t="shared" si="86"/>
        <v>24</v>
      </c>
      <c r="AM157" s="11">
        <f t="shared" si="96"/>
        <v>43418</v>
      </c>
      <c r="AN157" s="3">
        <f t="shared" si="96"/>
        <v>164</v>
      </c>
      <c r="AO157" s="3">
        <f>SUMIF(MORTALIDAD!$Z:$Z,RESUMEN!AM157,MORTALIDAD!$AD:$AD)</f>
        <v>0</v>
      </c>
      <c r="AP157" s="19">
        <f t="shared" si="97"/>
        <v>-124</v>
      </c>
      <c r="AQ157" s="3">
        <f>SUMIF(MORTALIDAD!$Z:$Z,RESUMEN!AM157,MORTALIDAD!$AE:$AE)</f>
        <v>0</v>
      </c>
      <c r="AR157" s="3">
        <f>SUMIF(TRASLADOS!$AC:$AC,RESUMEN!AM157,TRASLADOS!$AF:$AF)</f>
        <v>0</v>
      </c>
      <c r="AS157" s="3">
        <f>SUMIF(TRASLADOS!$AC:$AC,RESUMEN!AM157,TRASLADOS!$AG:$AG)</f>
        <v>0</v>
      </c>
      <c r="AT157" s="3">
        <f>SUMIF(VENTAS!$Z:$Z,RESUMEN!AM157,VENTAS!$AD:$AD)</f>
        <v>0</v>
      </c>
      <c r="AU157" s="3">
        <f>SUMIF(VENTAS!$Z:$Z,RESUMEN!AM157,VENTAS!$AE:$AE)</f>
        <v>0</v>
      </c>
      <c r="AV157" s="97">
        <f t="shared" si="98"/>
        <v>2076</v>
      </c>
      <c r="AW157" s="96"/>
      <c r="AX157" s="99">
        <f t="shared" si="87"/>
        <v>24</v>
      </c>
      <c r="AY157" s="11">
        <f t="shared" si="99"/>
        <v>43425</v>
      </c>
      <c r="AZ157" s="3">
        <f t="shared" si="99"/>
        <v>164</v>
      </c>
      <c r="BA157" s="3">
        <f>SUMIF(MORTALIDAD!$AH:$AH,RESUMEN!AY157,MORTALIDAD!$AL:$AL)</f>
        <v>0</v>
      </c>
      <c r="BB157" s="19">
        <f t="shared" si="100"/>
        <v>-119</v>
      </c>
      <c r="BC157" s="3">
        <f>SUMIF(MORTALIDAD!$AH:$AH,RESUMEN!AY157,MORTALIDAD!$AM:$AM)</f>
        <v>0</v>
      </c>
      <c r="BD157" s="3">
        <f>SUMIF(TRASLADOS!$AL:$AL,RESUMEN!AY157,TRASLADOS!$AO:$AO)</f>
        <v>0</v>
      </c>
      <c r="BE157" s="3">
        <f>SUMIF(TRASLADOS!$AL:$AL,RESUMEN!AY157,TRASLADOS!$AP:$AP)</f>
        <v>0</v>
      </c>
      <c r="BF157" s="3">
        <f>SUMIF(VENTAS!$AH:$AH,RESUMEN!AY157,VENTAS!$AL:$AL)</f>
        <v>0</v>
      </c>
      <c r="BG157" s="3">
        <f>SUMIF(VENTAS!$AH:$AH,RESUMEN!AY157,VENTAS!$AM:$AM)</f>
        <v>0</v>
      </c>
      <c r="BH157" s="97">
        <f t="shared" si="101"/>
        <v>2081</v>
      </c>
      <c r="BI157" s="96"/>
      <c r="BJ157" s="99">
        <f t="shared" si="88"/>
        <v>24</v>
      </c>
      <c r="BK157" s="11">
        <f t="shared" si="102"/>
        <v>43434</v>
      </c>
      <c r="BL157" s="3">
        <f t="shared" si="102"/>
        <v>167</v>
      </c>
      <c r="BM157" s="3">
        <f>SUMIF(MORTALIDAD!$AP:$AP,RESUMEN!BK157,MORTALIDAD!$AT:$AT)</f>
        <v>0</v>
      </c>
      <c r="BN157" s="19">
        <f t="shared" si="103"/>
        <v>-73</v>
      </c>
      <c r="BO157" s="3">
        <f>SUMIF(MORTALIDAD!$AP$6:$AP$200,RESUMEN!BK157,MORTALIDAD!$AU$6:$AU$200)</f>
        <v>0</v>
      </c>
      <c r="BP157" s="3">
        <f>SUMIF(TRASLADOS!$AU:$AU,RESUMEN!BK157,TRASLADOS!$AX:$AX)</f>
        <v>0</v>
      </c>
      <c r="BQ157" s="3">
        <f>SUMIF(TRASLADOS!$AU:$AU,RESUMEN!BK157,TRASLADOS!$AY:$AY)</f>
        <v>0</v>
      </c>
      <c r="BR157" s="3">
        <f>SUMIF(VENTAS!$AP:$AP,RESUMEN!BK157,VENTAS!$AT:$AT)</f>
        <v>0</v>
      </c>
      <c r="BS157" s="3">
        <f>SUMIF(VENTAS!$AP:$AP,RESUMEN!BK157,VENTAS!$AU:$AU)</f>
        <v>0</v>
      </c>
      <c r="BT157" s="36">
        <f t="shared" si="104"/>
        <v>2241</v>
      </c>
    </row>
    <row r="158" spans="2:72" x14ac:dyDescent="0.2">
      <c r="B158" s="3">
        <f t="shared" si="83"/>
        <v>24</v>
      </c>
      <c r="C158" s="11">
        <f t="shared" si="75"/>
        <v>43405</v>
      </c>
      <c r="D158" s="3">
        <f t="shared" si="76"/>
        <v>167</v>
      </c>
      <c r="E158" s="3">
        <f>SUMIF(MORTALIDAD!$B$6:$B$200,RESUMEN!C158,MORTALIDAD!$F$6:$F$200)</f>
        <v>0</v>
      </c>
      <c r="F158" s="17">
        <f t="shared" si="77"/>
        <v>-740</v>
      </c>
      <c r="G158" s="3">
        <f>SUMIF(MORTALIDAD!$B$6:$B$200,RESUMEN!C158,MORTALIDAD!$G$6:$G$200)</f>
        <v>0</v>
      </c>
      <c r="H158" s="3">
        <f>SUMIF(TRASLADOS!$B$6:$B$200,C158,TRASLADOS!$E$6:$E$200)</f>
        <v>0</v>
      </c>
      <c r="I158" s="3">
        <f>SUMIF(TRASLADOS!$B$6:$B$200,C158,TRASLADOS!$F$6:$F$200)</f>
        <v>0</v>
      </c>
      <c r="J158" s="3">
        <f>SUMIF(VENTAS!$B$6:$B$200,RESUMEN!C158,VENTAS!$F$6:$F$200)</f>
        <v>0</v>
      </c>
      <c r="K158" s="3">
        <f>SUMIF(VENTAS!$B$6:$B$200,RESUMEN!C158,VENTAS!$G$6:$G$200)</f>
        <v>0</v>
      </c>
      <c r="L158" s="97">
        <f t="shared" si="89"/>
        <v>1460</v>
      </c>
      <c r="M158" s="96"/>
      <c r="N158" s="99">
        <f t="shared" si="84"/>
        <v>24</v>
      </c>
      <c r="O158" s="11">
        <f t="shared" si="90"/>
        <v>43408</v>
      </c>
      <c r="P158" s="3">
        <f t="shared" si="90"/>
        <v>166</v>
      </c>
      <c r="Q158" s="3">
        <f>SUMIF(MORTALIDAD!$J:$J,RESUMEN!O158,MORTALIDAD!$N:$N)</f>
        <v>0</v>
      </c>
      <c r="R158" s="19">
        <f t="shared" si="91"/>
        <v>-680</v>
      </c>
      <c r="S158" s="3">
        <f>SUMIF(MORTALIDAD!$J:$J,RESUMEN!O158,MORTALIDAD!$O:$O)</f>
        <v>0</v>
      </c>
      <c r="T158" s="3">
        <f>SUMIF(TRASLADOS!$K:$K,RESUMEN!O158,TRASLADOS!$N:$N)</f>
        <v>0</v>
      </c>
      <c r="U158" s="3">
        <f>SUMIF(TRASLADOS!$K:$K,RESUMEN!O158,TRASLADOS!$O:$O)</f>
        <v>0</v>
      </c>
      <c r="V158" s="3">
        <f>SUMIF(VENTAS!$J:$J,RESUMEN!O158,VENTAS!$N:$N)</f>
        <v>0</v>
      </c>
      <c r="W158" s="3">
        <f>SUMIF(VENTAS!$J:$J,RESUMEN!O158,VENTAS!$O:$O)</f>
        <v>0</v>
      </c>
      <c r="X158" s="97">
        <f t="shared" si="92"/>
        <v>1520</v>
      </c>
      <c r="Y158" s="96"/>
      <c r="Z158" s="99">
        <f t="shared" si="85"/>
        <v>24</v>
      </c>
      <c r="AA158" s="11">
        <f t="shared" si="93"/>
        <v>43412</v>
      </c>
      <c r="AB158" s="3">
        <f t="shared" si="93"/>
        <v>165</v>
      </c>
      <c r="AC158" s="3">
        <f>SUMIF(MORTALIDAD!$R:$R,RESUMEN!AA158,MORTALIDAD!$V:$V)</f>
        <v>0</v>
      </c>
      <c r="AD158" s="19">
        <f t="shared" si="94"/>
        <v>-476</v>
      </c>
      <c r="AE158" s="3">
        <f>SUMIF(MORTALIDAD!$R:$R,RESUMEN!AA158,MORTALIDAD!$W:$W)</f>
        <v>0</v>
      </c>
      <c r="AF158" s="3">
        <f>SUMIF(TRASLADOS!$T:$T,RESUMEN!AA158,TRASLADOS!$W:$W)</f>
        <v>0</v>
      </c>
      <c r="AG158" s="3">
        <f>SUMIF(TRASLADOS!$T:$T,RESUMEN!AA158,TRASLADOS!$X:$X)</f>
        <v>0</v>
      </c>
      <c r="AH158" s="3">
        <f>SUMIF(VENTAS!$R:$R,RESUMEN!AA158,VENTAS!$V:$V)</f>
        <v>0</v>
      </c>
      <c r="AI158" s="3">
        <f>SUMIF(VENTAS!$R:$R,RESUMEN!AA158,VENTAS!$W:$W)</f>
        <v>0</v>
      </c>
      <c r="AJ158" s="97">
        <f t="shared" si="95"/>
        <v>1724</v>
      </c>
      <c r="AK158" s="96"/>
      <c r="AL158" s="99">
        <f t="shared" si="86"/>
        <v>24</v>
      </c>
      <c r="AM158" s="11">
        <f t="shared" si="96"/>
        <v>43419</v>
      </c>
      <c r="AN158" s="3">
        <f t="shared" si="96"/>
        <v>165</v>
      </c>
      <c r="AO158" s="3">
        <f>SUMIF(MORTALIDAD!$Z:$Z,RESUMEN!AM158,MORTALIDAD!$AD:$AD)</f>
        <v>0</v>
      </c>
      <c r="AP158" s="19">
        <f t="shared" si="97"/>
        <v>-124</v>
      </c>
      <c r="AQ158" s="3">
        <f>SUMIF(MORTALIDAD!$Z:$Z,RESUMEN!AM158,MORTALIDAD!$AE:$AE)</f>
        <v>0</v>
      </c>
      <c r="AR158" s="3">
        <f>SUMIF(TRASLADOS!$AC:$AC,RESUMEN!AM158,TRASLADOS!$AF:$AF)</f>
        <v>0</v>
      </c>
      <c r="AS158" s="3">
        <f>SUMIF(TRASLADOS!$AC:$AC,RESUMEN!AM158,TRASLADOS!$AG:$AG)</f>
        <v>0</v>
      </c>
      <c r="AT158" s="3">
        <f>SUMIF(VENTAS!$Z:$Z,RESUMEN!AM158,VENTAS!$AD:$AD)</f>
        <v>0</v>
      </c>
      <c r="AU158" s="3">
        <f>SUMIF(VENTAS!$Z:$Z,RESUMEN!AM158,VENTAS!$AE:$AE)</f>
        <v>0</v>
      </c>
      <c r="AV158" s="97">
        <f t="shared" si="98"/>
        <v>2076</v>
      </c>
      <c r="AW158" s="96"/>
      <c r="AX158" s="99">
        <f t="shared" si="87"/>
        <v>24</v>
      </c>
      <c r="AY158" s="11">
        <f t="shared" si="99"/>
        <v>43426</v>
      </c>
      <c r="AZ158" s="3">
        <f t="shared" si="99"/>
        <v>165</v>
      </c>
      <c r="BA158" s="3">
        <f>SUMIF(MORTALIDAD!$AH:$AH,RESUMEN!AY158,MORTALIDAD!$AL:$AL)</f>
        <v>0</v>
      </c>
      <c r="BB158" s="19">
        <f t="shared" si="100"/>
        <v>-119</v>
      </c>
      <c r="BC158" s="3">
        <f>SUMIF(MORTALIDAD!$AH:$AH,RESUMEN!AY158,MORTALIDAD!$AM:$AM)</f>
        <v>0</v>
      </c>
      <c r="BD158" s="3">
        <f>SUMIF(TRASLADOS!$AL:$AL,RESUMEN!AY158,TRASLADOS!$AO:$AO)</f>
        <v>0</v>
      </c>
      <c r="BE158" s="3">
        <f>SUMIF(TRASLADOS!$AL:$AL,RESUMEN!AY158,TRASLADOS!$AP:$AP)</f>
        <v>0</v>
      </c>
      <c r="BF158" s="3">
        <f>SUMIF(VENTAS!$AH:$AH,RESUMEN!AY158,VENTAS!$AL:$AL)</f>
        <v>0</v>
      </c>
      <c r="BG158" s="3">
        <f>SUMIF(VENTAS!$AH:$AH,RESUMEN!AY158,VENTAS!$AM:$AM)</f>
        <v>0</v>
      </c>
      <c r="BH158" s="97">
        <f t="shared" si="101"/>
        <v>2081</v>
      </c>
      <c r="BI158" s="96"/>
      <c r="BJ158" s="99">
        <f t="shared" si="88"/>
        <v>24</v>
      </c>
      <c r="BK158" s="11">
        <f t="shared" si="102"/>
        <v>43435</v>
      </c>
      <c r="BL158" s="3">
        <f t="shared" si="102"/>
        <v>168</v>
      </c>
      <c r="BM158" s="3">
        <f>SUMIF(MORTALIDAD!$AP:$AP,RESUMEN!BK158,MORTALIDAD!$AT:$AT)</f>
        <v>0</v>
      </c>
      <c r="BN158" s="19">
        <f t="shared" si="103"/>
        <v>-73</v>
      </c>
      <c r="BO158" s="3">
        <f>SUMIF(MORTALIDAD!$AP$6:$AP$200,RESUMEN!BK158,MORTALIDAD!$AU$6:$AU$200)</f>
        <v>0</v>
      </c>
      <c r="BP158" s="3">
        <f>SUMIF(TRASLADOS!$AU:$AU,RESUMEN!BK158,TRASLADOS!$AX:$AX)</f>
        <v>0</v>
      </c>
      <c r="BQ158" s="3">
        <f>SUMIF(TRASLADOS!$AU:$AU,RESUMEN!BK158,TRASLADOS!$AY:$AY)</f>
        <v>0</v>
      </c>
      <c r="BR158" s="3">
        <f>SUMIF(VENTAS!$AP:$AP,RESUMEN!BK158,VENTAS!$AT:$AT)</f>
        <v>0</v>
      </c>
      <c r="BS158" s="3">
        <f>SUMIF(VENTAS!$AP:$AP,RESUMEN!BK158,VENTAS!$AU:$AU)</f>
        <v>0</v>
      </c>
      <c r="BT158" s="36">
        <f t="shared" si="104"/>
        <v>2241</v>
      </c>
    </row>
    <row r="159" spans="2:72" x14ac:dyDescent="0.2">
      <c r="B159" s="3">
        <f t="shared" si="83"/>
        <v>24</v>
      </c>
      <c r="C159" s="11">
        <f t="shared" si="75"/>
        <v>43406</v>
      </c>
      <c r="D159" s="3">
        <f t="shared" si="76"/>
        <v>168</v>
      </c>
      <c r="E159" s="3">
        <f>SUMIF(MORTALIDAD!$B$6:$B$200,RESUMEN!C159,MORTALIDAD!$F$6:$F$200)</f>
        <v>0</v>
      </c>
      <c r="F159" s="17">
        <f t="shared" si="77"/>
        <v>-740</v>
      </c>
      <c r="G159" s="3">
        <f>SUMIF(MORTALIDAD!$B$6:$B$200,RESUMEN!C159,MORTALIDAD!$G$6:$G$200)</f>
        <v>0</v>
      </c>
      <c r="H159" s="3">
        <f>SUMIF(TRASLADOS!$B$6:$B$200,C159,TRASLADOS!$E$6:$E$200)</f>
        <v>0</v>
      </c>
      <c r="I159" s="3">
        <f>SUMIF(TRASLADOS!$B$6:$B$200,C159,TRASLADOS!$F$6:$F$200)</f>
        <v>0</v>
      </c>
      <c r="J159" s="3">
        <f>SUMIF(VENTAS!$B$6:$B$200,RESUMEN!C159,VENTAS!$F$6:$F$200)</f>
        <v>0</v>
      </c>
      <c r="K159" s="3">
        <f>SUMIF(VENTAS!$B$6:$B$200,RESUMEN!C159,VENTAS!$G$6:$G$200)</f>
        <v>0</v>
      </c>
      <c r="L159" s="97">
        <f t="shared" si="89"/>
        <v>1460</v>
      </c>
      <c r="M159" s="96"/>
      <c r="N159" s="99">
        <f t="shared" si="84"/>
        <v>24</v>
      </c>
      <c r="O159" s="11">
        <f t="shared" si="90"/>
        <v>43409</v>
      </c>
      <c r="P159" s="3">
        <f t="shared" si="90"/>
        <v>167</v>
      </c>
      <c r="Q159" s="3">
        <f>SUMIF(MORTALIDAD!$J:$J,RESUMEN!O159,MORTALIDAD!$N:$N)</f>
        <v>0</v>
      </c>
      <c r="R159" s="19">
        <f t="shared" si="91"/>
        <v>-680</v>
      </c>
      <c r="S159" s="3">
        <f>SUMIF(MORTALIDAD!$J:$J,RESUMEN!O159,MORTALIDAD!$O:$O)</f>
        <v>0</v>
      </c>
      <c r="T159" s="3">
        <f>SUMIF(TRASLADOS!$K:$K,RESUMEN!O159,TRASLADOS!$N:$N)</f>
        <v>0</v>
      </c>
      <c r="U159" s="3">
        <f>SUMIF(TRASLADOS!$K:$K,RESUMEN!O159,TRASLADOS!$O:$O)</f>
        <v>0</v>
      </c>
      <c r="V159" s="3">
        <f>SUMIF(VENTAS!$J:$J,RESUMEN!O159,VENTAS!$N:$N)</f>
        <v>0</v>
      </c>
      <c r="W159" s="3">
        <f>SUMIF(VENTAS!$J:$J,RESUMEN!O159,VENTAS!$O:$O)</f>
        <v>0</v>
      </c>
      <c r="X159" s="97">
        <f t="shared" si="92"/>
        <v>1520</v>
      </c>
      <c r="Y159" s="96"/>
      <c r="Z159" s="99">
        <f t="shared" si="85"/>
        <v>24</v>
      </c>
      <c r="AA159" s="11">
        <f t="shared" si="93"/>
        <v>43413</v>
      </c>
      <c r="AB159" s="3">
        <f t="shared" si="93"/>
        <v>166</v>
      </c>
      <c r="AC159" s="3">
        <f>SUMIF(MORTALIDAD!$R:$R,RESUMEN!AA159,MORTALIDAD!$V:$V)</f>
        <v>0</v>
      </c>
      <c r="AD159" s="19">
        <f t="shared" si="94"/>
        <v>-476</v>
      </c>
      <c r="AE159" s="3">
        <f>SUMIF(MORTALIDAD!$R:$R,RESUMEN!AA159,MORTALIDAD!$W:$W)</f>
        <v>0</v>
      </c>
      <c r="AF159" s="3">
        <f>SUMIF(TRASLADOS!$T:$T,RESUMEN!AA159,TRASLADOS!$W:$W)</f>
        <v>0</v>
      </c>
      <c r="AG159" s="3">
        <f>SUMIF(TRASLADOS!$T:$T,RESUMEN!AA159,TRASLADOS!$X:$X)</f>
        <v>0</v>
      </c>
      <c r="AH159" s="3">
        <f>SUMIF(VENTAS!$R:$R,RESUMEN!AA159,VENTAS!$V:$V)</f>
        <v>0</v>
      </c>
      <c r="AI159" s="3">
        <f>SUMIF(VENTAS!$R:$R,RESUMEN!AA159,VENTAS!$W:$W)</f>
        <v>0</v>
      </c>
      <c r="AJ159" s="97">
        <f t="shared" si="95"/>
        <v>1724</v>
      </c>
      <c r="AK159" s="96"/>
      <c r="AL159" s="99">
        <f t="shared" si="86"/>
        <v>24</v>
      </c>
      <c r="AM159" s="11">
        <f t="shared" si="96"/>
        <v>43420</v>
      </c>
      <c r="AN159" s="3">
        <f t="shared" si="96"/>
        <v>166</v>
      </c>
      <c r="AO159" s="3">
        <f>SUMIF(MORTALIDAD!$Z:$Z,RESUMEN!AM159,MORTALIDAD!$AD:$AD)</f>
        <v>0</v>
      </c>
      <c r="AP159" s="19">
        <f t="shared" si="97"/>
        <v>-124</v>
      </c>
      <c r="AQ159" s="3">
        <f>SUMIF(MORTALIDAD!$Z:$Z,RESUMEN!AM159,MORTALIDAD!$AE:$AE)</f>
        <v>0</v>
      </c>
      <c r="AR159" s="3">
        <f>SUMIF(TRASLADOS!$AC:$AC,RESUMEN!AM159,TRASLADOS!$AF:$AF)</f>
        <v>0</v>
      </c>
      <c r="AS159" s="3">
        <f>SUMIF(TRASLADOS!$AC:$AC,RESUMEN!AM159,TRASLADOS!$AG:$AG)</f>
        <v>0</v>
      </c>
      <c r="AT159" s="3">
        <f>SUMIF(VENTAS!$Z:$Z,RESUMEN!AM159,VENTAS!$AD:$AD)</f>
        <v>0</v>
      </c>
      <c r="AU159" s="3">
        <f>SUMIF(VENTAS!$Z:$Z,RESUMEN!AM159,VENTAS!$AE:$AE)</f>
        <v>0</v>
      </c>
      <c r="AV159" s="97">
        <f t="shared" si="98"/>
        <v>2076</v>
      </c>
      <c r="AW159" s="96"/>
      <c r="AX159" s="99">
        <f t="shared" si="87"/>
        <v>24</v>
      </c>
      <c r="AY159" s="11">
        <f t="shared" si="99"/>
        <v>43427</v>
      </c>
      <c r="AZ159" s="3">
        <f t="shared" si="99"/>
        <v>166</v>
      </c>
      <c r="BA159" s="3">
        <f>SUMIF(MORTALIDAD!$AH:$AH,RESUMEN!AY159,MORTALIDAD!$AL:$AL)</f>
        <v>0</v>
      </c>
      <c r="BB159" s="19">
        <f t="shared" si="100"/>
        <v>-119</v>
      </c>
      <c r="BC159" s="3">
        <f>SUMIF(MORTALIDAD!$AH:$AH,RESUMEN!AY159,MORTALIDAD!$AM:$AM)</f>
        <v>0</v>
      </c>
      <c r="BD159" s="3">
        <f>SUMIF(TRASLADOS!$AL:$AL,RESUMEN!AY159,TRASLADOS!$AO:$AO)</f>
        <v>0</v>
      </c>
      <c r="BE159" s="3">
        <f>SUMIF(TRASLADOS!$AL:$AL,RESUMEN!AY159,TRASLADOS!$AP:$AP)</f>
        <v>0</v>
      </c>
      <c r="BF159" s="3">
        <f>SUMIF(VENTAS!$AH:$AH,RESUMEN!AY159,VENTAS!$AL:$AL)</f>
        <v>0</v>
      </c>
      <c r="BG159" s="3">
        <f>SUMIF(VENTAS!$AH:$AH,RESUMEN!AY159,VENTAS!$AM:$AM)</f>
        <v>0</v>
      </c>
      <c r="BH159" s="97">
        <f t="shared" si="101"/>
        <v>2081</v>
      </c>
      <c r="BI159" s="96"/>
      <c r="BJ159" s="99">
        <f t="shared" si="88"/>
        <v>25</v>
      </c>
      <c r="BK159" s="11">
        <f t="shared" si="102"/>
        <v>43436</v>
      </c>
      <c r="BL159" s="3">
        <f t="shared" si="102"/>
        <v>169</v>
      </c>
      <c r="BM159" s="3">
        <f>SUMIF(MORTALIDAD!$AP:$AP,RESUMEN!BK159,MORTALIDAD!$AT:$AT)</f>
        <v>0</v>
      </c>
      <c r="BN159" s="19">
        <f t="shared" si="103"/>
        <v>-73</v>
      </c>
      <c r="BO159" s="3">
        <f>SUMIF(MORTALIDAD!$AP$6:$AP$200,RESUMEN!BK159,MORTALIDAD!$AU$6:$AU$200)</f>
        <v>0</v>
      </c>
      <c r="BP159" s="3">
        <f>SUMIF(TRASLADOS!$AU:$AU,RESUMEN!BK159,TRASLADOS!$AX:$AX)</f>
        <v>0</v>
      </c>
      <c r="BQ159" s="3">
        <f>SUMIF(TRASLADOS!$AU:$AU,RESUMEN!BK159,TRASLADOS!$AY:$AY)</f>
        <v>0</v>
      </c>
      <c r="BR159" s="3">
        <f>SUMIF(VENTAS!$AP:$AP,RESUMEN!BK159,VENTAS!$AT:$AT)</f>
        <v>0</v>
      </c>
      <c r="BS159" s="3">
        <f>SUMIF(VENTAS!$AP:$AP,RESUMEN!BK159,VENTAS!$AU:$AU)</f>
        <v>0</v>
      </c>
      <c r="BT159" s="36">
        <f t="shared" si="104"/>
        <v>2241</v>
      </c>
    </row>
    <row r="160" spans="2:72" x14ac:dyDescent="0.2">
      <c r="B160" s="3">
        <f t="shared" si="83"/>
        <v>25</v>
      </c>
      <c r="C160" s="11">
        <f t="shared" si="75"/>
        <v>43407</v>
      </c>
      <c r="D160" s="3">
        <f t="shared" si="76"/>
        <v>169</v>
      </c>
      <c r="E160" s="3">
        <f>SUMIF(MORTALIDAD!$B$6:$B$200,RESUMEN!C160,MORTALIDAD!$F$6:$F$200)</f>
        <v>0</v>
      </c>
      <c r="F160" s="17">
        <f t="shared" si="77"/>
        <v>-740</v>
      </c>
      <c r="G160" s="3">
        <f>SUMIF(MORTALIDAD!$B$6:$B$200,RESUMEN!C160,MORTALIDAD!$G$6:$G$200)</f>
        <v>0</v>
      </c>
      <c r="H160" s="3">
        <f>SUMIF(TRASLADOS!$B$6:$B$200,C160,TRASLADOS!$E$6:$E$200)</f>
        <v>0</v>
      </c>
      <c r="I160" s="3">
        <f>SUMIF(TRASLADOS!$B$6:$B$200,C160,TRASLADOS!$F$6:$F$200)</f>
        <v>0</v>
      </c>
      <c r="J160" s="3">
        <f>SUMIF(VENTAS!$B$6:$B$200,RESUMEN!C160,VENTAS!$F$6:$F$200)</f>
        <v>0</v>
      </c>
      <c r="K160" s="3">
        <f>SUMIF(VENTAS!$B$6:$B$200,RESUMEN!C160,VENTAS!$G$6:$G$200)</f>
        <v>0</v>
      </c>
      <c r="L160" s="97">
        <f t="shared" si="89"/>
        <v>1460</v>
      </c>
      <c r="M160" s="96"/>
      <c r="N160" s="99">
        <f t="shared" si="84"/>
        <v>24</v>
      </c>
      <c r="O160" s="11">
        <f t="shared" si="90"/>
        <v>43410</v>
      </c>
      <c r="P160" s="3">
        <f t="shared" si="90"/>
        <v>168</v>
      </c>
      <c r="Q160" s="3">
        <f>SUMIF(MORTALIDAD!$J:$J,RESUMEN!O160,MORTALIDAD!$N:$N)</f>
        <v>0</v>
      </c>
      <c r="R160" s="19">
        <f t="shared" si="91"/>
        <v>-680</v>
      </c>
      <c r="S160" s="3">
        <f>SUMIF(MORTALIDAD!$J:$J,RESUMEN!O160,MORTALIDAD!$O:$O)</f>
        <v>0</v>
      </c>
      <c r="T160" s="3">
        <f>SUMIF(TRASLADOS!$K:$K,RESUMEN!O160,TRASLADOS!$N:$N)</f>
        <v>0</v>
      </c>
      <c r="U160" s="3">
        <f>SUMIF(TRASLADOS!$K:$K,RESUMEN!O160,TRASLADOS!$O:$O)</f>
        <v>0</v>
      </c>
      <c r="V160" s="3">
        <f>SUMIF(VENTAS!$J:$J,RESUMEN!O160,VENTAS!$N:$N)</f>
        <v>0</v>
      </c>
      <c r="W160" s="3">
        <f>SUMIF(VENTAS!$J:$J,RESUMEN!O160,VENTAS!$O:$O)</f>
        <v>0</v>
      </c>
      <c r="X160" s="97">
        <f t="shared" si="92"/>
        <v>1520</v>
      </c>
      <c r="Y160" s="96"/>
      <c r="Z160" s="99">
        <f t="shared" si="85"/>
        <v>24</v>
      </c>
      <c r="AA160" s="11">
        <f t="shared" si="93"/>
        <v>43414</v>
      </c>
      <c r="AB160" s="3">
        <f t="shared" si="93"/>
        <v>167</v>
      </c>
      <c r="AC160" s="3">
        <f>SUMIF(MORTALIDAD!$R:$R,RESUMEN!AA160,MORTALIDAD!$V:$V)</f>
        <v>0</v>
      </c>
      <c r="AD160" s="19">
        <f t="shared" si="94"/>
        <v>-476</v>
      </c>
      <c r="AE160" s="3">
        <f>SUMIF(MORTALIDAD!$R:$R,RESUMEN!AA160,MORTALIDAD!$W:$W)</f>
        <v>0</v>
      </c>
      <c r="AF160" s="3">
        <f>SUMIF(TRASLADOS!$T:$T,RESUMEN!AA160,TRASLADOS!$W:$W)</f>
        <v>0</v>
      </c>
      <c r="AG160" s="3">
        <f>SUMIF(TRASLADOS!$T:$T,RESUMEN!AA160,TRASLADOS!$X:$X)</f>
        <v>0</v>
      </c>
      <c r="AH160" s="3">
        <f>SUMIF(VENTAS!$R:$R,RESUMEN!AA160,VENTAS!$V:$V)</f>
        <v>0</v>
      </c>
      <c r="AI160" s="3">
        <f>SUMIF(VENTAS!$R:$R,RESUMEN!AA160,VENTAS!$W:$W)</f>
        <v>0</v>
      </c>
      <c r="AJ160" s="97">
        <f t="shared" si="95"/>
        <v>1724</v>
      </c>
      <c r="AK160" s="96"/>
      <c r="AL160" s="99">
        <f t="shared" si="86"/>
        <v>24</v>
      </c>
      <c r="AM160" s="11">
        <f t="shared" si="96"/>
        <v>43421</v>
      </c>
      <c r="AN160" s="3">
        <f t="shared" si="96"/>
        <v>167</v>
      </c>
      <c r="AO160" s="3">
        <f>SUMIF(MORTALIDAD!$Z:$Z,RESUMEN!AM160,MORTALIDAD!$AD:$AD)</f>
        <v>0</v>
      </c>
      <c r="AP160" s="19">
        <f t="shared" si="97"/>
        <v>-124</v>
      </c>
      <c r="AQ160" s="3">
        <f>SUMIF(MORTALIDAD!$Z:$Z,RESUMEN!AM160,MORTALIDAD!$AE:$AE)</f>
        <v>0</v>
      </c>
      <c r="AR160" s="3">
        <f>SUMIF(TRASLADOS!$AC:$AC,RESUMEN!AM160,TRASLADOS!$AF:$AF)</f>
        <v>0</v>
      </c>
      <c r="AS160" s="3">
        <f>SUMIF(TRASLADOS!$AC:$AC,RESUMEN!AM160,TRASLADOS!$AG:$AG)</f>
        <v>0</v>
      </c>
      <c r="AT160" s="3">
        <f>SUMIF(VENTAS!$Z:$Z,RESUMEN!AM160,VENTAS!$AD:$AD)</f>
        <v>0</v>
      </c>
      <c r="AU160" s="3">
        <f>SUMIF(VENTAS!$Z:$Z,RESUMEN!AM160,VENTAS!$AE:$AE)</f>
        <v>0</v>
      </c>
      <c r="AV160" s="97">
        <f t="shared" si="98"/>
        <v>2076</v>
      </c>
      <c r="AW160" s="96"/>
      <c r="AX160" s="99">
        <f t="shared" si="87"/>
        <v>24</v>
      </c>
      <c r="AY160" s="11">
        <f t="shared" si="99"/>
        <v>43428</v>
      </c>
      <c r="AZ160" s="3">
        <f t="shared" si="99"/>
        <v>167</v>
      </c>
      <c r="BA160" s="3">
        <f>SUMIF(MORTALIDAD!$AH:$AH,RESUMEN!AY160,MORTALIDAD!$AL:$AL)</f>
        <v>0</v>
      </c>
      <c r="BB160" s="19">
        <f t="shared" si="100"/>
        <v>-119</v>
      </c>
      <c r="BC160" s="3">
        <f>SUMIF(MORTALIDAD!$AH:$AH,RESUMEN!AY160,MORTALIDAD!$AM:$AM)</f>
        <v>0</v>
      </c>
      <c r="BD160" s="3">
        <f>SUMIF(TRASLADOS!$AL:$AL,RESUMEN!AY160,TRASLADOS!$AO:$AO)</f>
        <v>0</v>
      </c>
      <c r="BE160" s="3">
        <f>SUMIF(TRASLADOS!$AL:$AL,RESUMEN!AY160,TRASLADOS!$AP:$AP)</f>
        <v>0</v>
      </c>
      <c r="BF160" s="3">
        <f>SUMIF(VENTAS!$AH:$AH,RESUMEN!AY160,VENTAS!$AL:$AL)</f>
        <v>0</v>
      </c>
      <c r="BG160" s="3">
        <f>SUMIF(VENTAS!$AH:$AH,RESUMEN!AY160,VENTAS!$AM:$AM)</f>
        <v>0</v>
      </c>
      <c r="BH160" s="97">
        <f t="shared" si="101"/>
        <v>2081</v>
      </c>
      <c r="BI160" s="96"/>
      <c r="BJ160" s="99">
        <f t="shared" si="88"/>
        <v>25</v>
      </c>
      <c r="BK160" s="11">
        <f t="shared" si="102"/>
        <v>43437</v>
      </c>
      <c r="BL160" s="3">
        <f t="shared" si="102"/>
        <v>170</v>
      </c>
      <c r="BM160" s="3">
        <f>SUMIF(MORTALIDAD!$AP:$AP,RESUMEN!BK160,MORTALIDAD!$AT:$AT)</f>
        <v>0</v>
      </c>
      <c r="BN160" s="19">
        <f t="shared" si="103"/>
        <v>-73</v>
      </c>
      <c r="BO160" s="3">
        <f>SUMIF(MORTALIDAD!$AP$6:$AP$200,RESUMEN!BK160,MORTALIDAD!$AU$6:$AU$200)</f>
        <v>0</v>
      </c>
      <c r="BP160" s="3">
        <f>SUMIF(TRASLADOS!$AU:$AU,RESUMEN!BK160,TRASLADOS!$AX:$AX)</f>
        <v>0</v>
      </c>
      <c r="BQ160" s="3">
        <f>SUMIF(TRASLADOS!$AU:$AU,RESUMEN!BK160,TRASLADOS!$AY:$AY)</f>
        <v>0</v>
      </c>
      <c r="BR160" s="3">
        <f>SUMIF(VENTAS!$AP:$AP,RESUMEN!BK160,VENTAS!$AT:$AT)</f>
        <v>0</v>
      </c>
      <c r="BS160" s="3">
        <f>SUMIF(VENTAS!$AP:$AP,RESUMEN!BK160,VENTAS!$AU:$AU)</f>
        <v>0</v>
      </c>
      <c r="BT160" s="36">
        <f t="shared" si="104"/>
        <v>2241</v>
      </c>
    </row>
    <row r="161" spans="2:72" x14ac:dyDescent="0.2">
      <c r="B161" s="3">
        <f t="shared" si="83"/>
        <v>25</v>
      </c>
      <c r="C161" s="11">
        <f t="shared" si="75"/>
        <v>43408</v>
      </c>
      <c r="D161" s="3">
        <f t="shared" si="76"/>
        <v>170</v>
      </c>
      <c r="E161" s="3">
        <f>SUMIF(MORTALIDAD!$B$6:$B$200,RESUMEN!C161,MORTALIDAD!$F$6:$F$200)</f>
        <v>0</v>
      </c>
      <c r="F161" s="17">
        <f t="shared" si="77"/>
        <v>-740</v>
      </c>
      <c r="G161" s="3">
        <f>SUMIF(MORTALIDAD!$B$6:$B$200,RESUMEN!C161,MORTALIDAD!$G$6:$G$200)</f>
        <v>0</v>
      </c>
      <c r="H161" s="3">
        <f>SUMIF(TRASLADOS!$B$6:$B$200,C161,TRASLADOS!$E$6:$E$200)</f>
        <v>0</v>
      </c>
      <c r="I161" s="3">
        <f>SUMIF(TRASLADOS!$B$6:$B$200,C161,TRASLADOS!$F$6:$F$200)</f>
        <v>0</v>
      </c>
      <c r="J161" s="3">
        <f>SUMIF(VENTAS!$B$6:$B$200,RESUMEN!C161,VENTAS!$F$6:$F$200)</f>
        <v>0</v>
      </c>
      <c r="K161" s="3">
        <f>SUMIF(VENTAS!$B$6:$B$200,RESUMEN!C161,VENTAS!$G$6:$G$200)</f>
        <v>0</v>
      </c>
      <c r="L161" s="97">
        <f t="shared" si="89"/>
        <v>1460</v>
      </c>
      <c r="M161" s="96"/>
      <c r="N161" s="99">
        <f t="shared" si="84"/>
        <v>25</v>
      </c>
      <c r="O161" s="11">
        <f t="shared" ref="O161:P176" si="105">O160+1</f>
        <v>43411</v>
      </c>
      <c r="P161" s="3">
        <f t="shared" si="105"/>
        <v>169</v>
      </c>
      <c r="Q161" s="3">
        <f>SUMIF(MORTALIDAD!$J:$J,RESUMEN!O161,MORTALIDAD!$N:$N)</f>
        <v>0</v>
      </c>
      <c r="R161" s="19">
        <f t="shared" si="91"/>
        <v>-680</v>
      </c>
      <c r="S161" s="3">
        <f>SUMIF(MORTALIDAD!$J:$J,RESUMEN!O161,MORTALIDAD!$O:$O)</f>
        <v>0</v>
      </c>
      <c r="T161" s="3">
        <f>SUMIF(TRASLADOS!$K:$K,RESUMEN!O161,TRASLADOS!$N:$N)</f>
        <v>0</v>
      </c>
      <c r="U161" s="3">
        <f>SUMIF(TRASLADOS!$K:$K,RESUMEN!O161,TRASLADOS!$O:$O)</f>
        <v>0</v>
      </c>
      <c r="V161" s="3">
        <f>SUMIF(VENTAS!$J:$J,RESUMEN!O161,VENTAS!$N:$N)</f>
        <v>0</v>
      </c>
      <c r="W161" s="3">
        <f>SUMIF(VENTAS!$J:$J,RESUMEN!O161,VENTAS!$O:$O)</f>
        <v>0</v>
      </c>
      <c r="X161" s="97">
        <f t="shared" si="92"/>
        <v>1520</v>
      </c>
      <c r="Y161" s="96"/>
      <c r="Z161" s="99">
        <f t="shared" si="85"/>
        <v>24</v>
      </c>
      <c r="AA161" s="11">
        <f t="shared" ref="AA161:AB176" si="106">AA160+1</f>
        <v>43415</v>
      </c>
      <c r="AB161" s="3">
        <f t="shared" si="106"/>
        <v>168</v>
      </c>
      <c r="AC161" s="3">
        <f>SUMIF(MORTALIDAD!$R:$R,RESUMEN!AA161,MORTALIDAD!$V:$V)</f>
        <v>0</v>
      </c>
      <c r="AD161" s="19">
        <f t="shared" si="94"/>
        <v>-476</v>
      </c>
      <c r="AE161" s="3">
        <f>SUMIF(MORTALIDAD!$R:$R,RESUMEN!AA161,MORTALIDAD!$W:$W)</f>
        <v>0</v>
      </c>
      <c r="AF161" s="3">
        <f>SUMIF(TRASLADOS!$T:$T,RESUMEN!AA161,TRASLADOS!$W:$W)</f>
        <v>0</v>
      </c>
      <c r="AG161" s="3">
        <f>SUMIF(TRASLADOS!$T:$T,RESUMEN!AA161,TRASLADOS!$X:$X)</f>
        <v>0</v>
      </c>
      <c r="AH161" s="3">
        <f>SUMIF(VENTAS!$R:$R,RESUMEN!AA161,VENTAS!$V:$V)</f>
        <v>0</v>
      </c>
      <c r="AI161" s="3">
        <f>SUMIF(VENTAS!$R:$R,RESUMEN!AA161,VENTAS!$W:$W)</f>
        <v>0</v>
      </c>
      <c r="AJ161" s="97">
        <f t="shared" si="95"/>
        <v>1724</v>
      </c>
      <c r="AK161" s="96"/>
      <c r="AL161" s="99">
        <f t="shared" si="86"/>
        <v>24</v>
      </c>
      <c r="AM161" s="11">
        <f t="shared" ref="AM161:AN176" si="107">AM160+1</f>
        <v>43422</v>
      </c>
      <c r="AN161" s="3">
        <f t="shared" si="107"/>
        <v>168</v>
      </c>
      <c r="AO161" s="3">
        <f>SUMIF(MORTALIDAD!$Z:$Z,RESUMEN!AM161,MORTALIDAD!$AD:$AD)</f>
        <v>0</v>
      </c>
      <c r="AP161" s="19">
        <f t="shared" si="97"/>
        <v>-124</v>
      </c>
      <c r="AQ161" s="3">
        <f>SUMIF(MORTALIDAD!$Z:$Z,RESUMEN!AM161,MORTALIDAD!$AE:$AE)</f>
        <v>0</v>
      </c>
      <c r="AR161" s="3">
        <f>SUMIF(TRASLADOS!$AC:$AC,RESUMEN!AM161,TRASLADOS!$AF:$AF)</f>
        <v>0</v>
      </c>
      <c r="AS161" s="3">
        <f>SUMIF(TRASLADOS!$AC:$AC,RESUMEN!AM161,TRASLADOS!$AG:$AG)</f>
        <v>0</v>
      </c>
      <c r="AT161" s="3">
        <f>SUMIF(VENTAS!$Z:$Z,RESUMEN!AM161,VENTAS!$AD:$AD)</f>
        <v>0</v>
      </c>
      <c r="AU161" s="3">
        <f>SUMIF(VENTAS!$Z:$Z,RESUMEN!AM161,VENTAS!$AE:$AE)</f>
        <v>0</v>
      </c>
      <c r="AV161" s="97">
        <f t="shared" si="98"/>
        <v>2076</v>
      </c>
      <c r="AW161" s="96"/>
      <c r="AX161" s="99">
        <f t="shared" si="87"/>
        <v>24</v>
      </c>
      <c r="AY161" s="11">
        <f t="shared" ref="AY161:AZ176" si="108">AY160+1</f>
        <v>43429</v>
      </c>
      <c r="AZ161" s="3">
        <f t="shared" si="108"/>
        <v>168</v>
      </c>
      <c r="BA161" s="3">
        <f>SUMIF(MORTALIDAD!$AH:$AH,RESUMEN!AY161,MORTALIDAD!$AL:$AL)</f>
        <v>0</v>
      </c>
      <c r="BB161" s="19">
        <f t="shared" si="100"/>
        <v>-119</v>
      </c>
      <c r="BC161" s="3">
        <f>SUMIF(MORTALIDAD!$AH:$AH,RESUMEN!AY161,MORTALIDAD!$AM:$AM)</f>
        <v>0</v>
      </c>
      <c r="BD161" s="3">
        <f>SUMIF(TRASLADOS!$AL:$AL,RESUMEN!AY161,TRASLADOS!$AO:$AO)</f>
        <v>0</v>
      </c>
      <c r="BE161" s="3">
        <f>SUMIF(TRASLADOS!$AL:$AL,RESUMEN!AY161,TRASLADOS!$AP:$AP)</f>
        <v>0</v>
      </c>
      <c r="BF161" s="3">
        <f>SUMIF(VENTAS!$AH:$AH,RESUMEN!AY161,VENTAS!$AL:$AL)</f>
        <v>0</v>
      </c>
      <c r="BG161" s="3">
        <f>SUMIF(VENTAS!$AH:$AH,RESUMEN!AY161,VENTAS!$AM:$AM)</f>
        <v>0</v>
      </c>
      <c r="BH161" s="97">
        <f t="shared" si="101"/>
        <v>2081</v>
      </c>
      <c r="BI161" s="96"/>
      <c r="BJ161" s="99">
        <f t="shared" si="88"/>
        <v>25</v>
      </c>
      <c r="BK161" s="11">
        <f t="shared" ref="BK161:BL176" si="109">BK160+1</f>
        <v>43438</v>
      </c>
      <c r="BL161" s="3">
        <f t="shared" si="109"/>
        <v>171</v>
      </c>
      <c r="BM161" s="3">
        <f>SUMIF(MORTALIDAD!$AP:$AP,RESUMEN!BK161,MORTALIDAD!$AT:$AT)</f>
        <v>0</v>
      </c>
      <c r="BN161" s="19">
        <f t="shared" si="103"/>
        <v>-73</v>
      </c>
      <c r="BO161" s="3">
        <f>SUMIF(MORTALIDAD!$AP$6:$AP$200,RESUMEN!BK161,MORTALIDAD!$AU$6:$AU$200)</f>
        <v>0</v>
      </c>
      <c r="BP161" s="3">
        <f>SUMIF(TRASLADOS!$AU:$AU,RESUMEN!BK161,TRASLADOS!$AX:$AX)</f>
        <v>0</v>
      </c>
      <c r="BQ161" s="3">
        <f>SUMIF(TRASLADOS!$AU:$AU,RESUMEN!BK161,TRASLADOS!$AY:$AY)</f>
        <v>0</v>
      </c>
      <c r="BR161" s="3">
        <f>SUMIF(VENTAS!$AP:$AP,RESUMEN!BK161,VENTAS!$AT:$AT)</f>
        <v>0</v>
      </c>
      <c r="BS161" s="3">
        <f>SUMIF(VENTAS!$AP:$AP,RESUMEN!BK161,VENTAS!$AU:$AU)</f>
        <v>0</v>
      </c>
      <c r="BT161" s="36">
        <f t="shared" si="104"/>
        <v>2241</v>
      </c>
    </row>
    <row r="162" spans="2:72" x14ac:dyDescent="0.2">
      <c r="B162" s="3">
        <f t="shared" si="83"/>
        <v>25</v>
      </c>
      <c r="C162" s="11">
        <f t="shared" si="75"/>
        <v>43409</v>
      </c>
      <c r="D162" s="3">
        <f t="shared" si="76"/>
        <v>171</v>
      </c>
      <c r="E162" s="3">
        <f>SUMIF(MORTALIDAD!$B$6:$B$200,RESUMEN!C162,MORTALIDAD!$F$6:$F$200)</f>
        <v>0</v>
      </c>
      <c r="F162" s="17">
        <f t="shared" si="77"/>
        <v>-740</v>
      </c>
      <c r="G162" s="3">
        <f>SUMIF(MORTALIDAD!$B$6:$B$200,RESUMEN!C162,MORTALIDAD!$G$6:$G$200)</f>
        <v>0</v>
      </c>
      <c r="H162" s="3">
        <f>SUMIF(TRASLADOS!$B$6:$B$200,C162,TRASLADOS!$E$6:$E$200)</f>
        <v>0</v>
      </c>
      <c r="I162" s="3">
        <f>SUMIF(TRASLADOS!$B$6:$B$200,C162,TRASLADOS!$F$6:$F$200)</f>
        <v>0</v>
      </c>
      <c r="J162" s="3">
        <f>SUMIF(VENTAS!$B$6:$B$200,RESUMEN!C162,VENTAS!$F$6:$F$200)</f>
        <v>0</v>
      </c>
      <c r="K162" s="3">
        <f>SUMIF(VENTAS!$B$6:$B$200,RESUMEN!C162,VENTAS!$G$6:$G$200)</f>
        <v>0</v>
      </c>
      <c r="L162" s="97">
        <f t="shared" si="89"/>
        <v>1460</v>
      </c>
      <c r="M162" s="96"/>
      <c r="N162" s="99">
        <f t="shared" si="84"/>
        <v>25</v>
      </c>
      <c r="O162" s="11">
        <f t="shared" si="105"/>
        <v>43412</v>
      </c>
      <c r="P162" s="3">
        <f t="shared" si="105"/>
        <v>170</v>
      </c>
      <c r="Q162" s="3">
        <f>SUMIF(MORTALIDAD!$J:$J,RESUMEN!O162,MORTALIDAD!$N:$N)</f>
        <v>0</v>
      </c>
      <c r="R162" s="19">
        <f t="shared" si="91"/>
        <v>-680</v>
      </c>
      <c r="S162" s="3">
        <f>SUMIF(MORTALIDAD!$J:$J,RESUMEN!O162,MORTALIDAD!$O:$O)</f>
        <v>0</v>
      </c>
      <c r="T162" s="3">
        <f>SUMIF(TRASLADOS!$K:$K,RESUMEN!O162,TRASLADOS!$N:$N)</f>
        <v>0</v>
      </c>
      <c r="U162" s="3">
        <f>SUMIF(TRASLADOS!$K:$K,RESUMEN!O162,TRASLADOS!$O:$O)</f>
        <v>0</v>
      </c>
      <c r="V162" s="3">
        <f>SUMIF(VENTAS!$J:$J,RESUMEN!O162,VENTAS!$N:$N)</f>
        <v>0</v>
      </c>
      <c r="W162" s="3">
        <f>SUMIF(VENTAS!$J:$J,RESUMEN!O162,VENTAS!$O:$O)</f>
        <v>0</v>
      </c>
      <c r="X162" s="97">
        <f t="shared" si="92"/>
        <v>1520</v>
      </c>
      <c r="Y162" s="96"/>
      <c r="Z162" s="99">
        <f t="shared" si="85"/>
        <v>25</v>
      </c>
      <c r="AA162" s="11">
        <f t="shared" si="106"/>
        <v>43416</v>
      </c>
      <c r="AB162" s="3">
        <f t="shared" si="106"/>
        <v>169</v>
      </c>
      <c r="AC162" s="3">
        <f>SUMIF(MORTALIDAD!$R:$R,RESUMEN!AA162,MORTALIDAD!$V:$V)</f>
        <v>0</v>
      </c>
      <c r="AD162" s="19">
        <f t="shared" si="94"/>
        <v>-476</v>
      </c>
      <c r="AE162" s="3">
        <f>SUMIF(MORTALIDAD!$R:$R,RESUMEN!AA162,MORTALIDAD!$W:$W)</f>
        <v>0</v>
      </c>
      <c r="AF162" s="3">
        <f>SUMIF(TRASLADOS!$T:$T,RESUMEN!AA162,TRASLADOS!$W:$W)</f>
        <v>0</v>
      </c>
      <c r="AG162" s="3">
        <f>SUMIF(TRASLADOS!$T:$T,RESUMEN!AA162,TRASLADOS!$X:$X)</f>
        <v>0</v>
      </c>
      <c r="AH162" s="3">
        <f>SUMIF(VENTAS!$R:$R,RESUMEN!AA162,VENTAS!$V:$V)</f>
        <v>0</v>
      </c>
      <c r="AI162" s="3">
        <f>SUMIF(VENTAS!$R:$R,RESUMEN!AA162,VENTAS!$W:$W)</f>
        <v>0</v>
      </c>
      <c r="AJ162" s="97">
        <f t="shared" si="95"/>
        <v>1724</v>
      </c>
      <c r="AK162" s="96"/>
      <c r="AL162" s="99">
        <f t="shared" si="86"/>
        <v>25</v>
      </c>
      <c r="AM162" s="11">
        <f t="shared" si="107"/>
        <v>43423</v>
      </c>
      <c r="AN162" s="3">
        <f t="shared" si="107"/>
        <v>169</v>
      </c>
      <c r="AO162" s="3">
        <f>SUMIF(MORTALIDAD!$Z:$Z,RESUMEN!AM162,MORTALIDAD!$AD:$AD)</f>
        <v>0</v>
      </c>
      <c r="AP162" s="19">
        <f t="shared" si="97"/>
        <v>-124</v>
      </c>
      <c r="AQ162" s="3">
        <f>SUMIF(MORTALIDAD!$Z:$Z,RESUMEN!AM162,MORTALIDAD!$AE:$AE)</f>
        <v>0</v>
      </c>
      <c r="AR162" s="3">
        <f>SUMIF(TRASLADOS!$AC:$AC,RESUMEN!AM162,TRASLADOS!$AF:$AF)</f>
        <v>0</v>
      </c>
      <c r="AS162" s="3">
        <f>SUMIF(TRASLADOS!$AC:$AC,RESUMEN!AM162,TRASLADOS!$AG:$AG)</f>
        <v>0</v>
      </c>
      <c r="AT162" s="3">
        <f>SUMIF(VENTAS!$Z:$Z,RESUMEN!AM162,VENTAS!$AD:$AD)</f>
        <v>0</v>
      </c>
      <c r="AU162" s="3">
        <f>SUMIF(VENTAS!$Z:$Z,RESUMEN!AM162,VENTAS!$AE:$AE)</f>
        <v>0</v>
      </c>
      <c r="AV162" s="97">
        <f t="shared" si="98"/>
        <v>2076</v>
      </c>
      <c r="AW162" s="96"/>
      <c r="AX162" s="99">
        <f t="shared" si="87"/>
        <v>25</v>
      </c>
      <c r="AY162" s="11">
        <f t="shared" si="108"/>
        <v>43430</v>
      </c>
      <c r="AZ162" s="3">
        <f t="shared" si="108"/>
        <v>169</v>
      </c>
      <c r="BA162" s="3">
        <f>SUMIF(MORTALIDAD!$AH:$AH,RESUMEN!AY162,MORTALIDAD!$AL:$AL)</f>
        <v>0</v>
      </c>
      <c r="BB162" s="19">
        <f t="shared" si="100"/>
        <v>-119</v>
      </c>
      <c r="BC162" s="3">
        <f>SUMIF(MORTALIDAD!$AH:$AH,RESUMEN!AY162,MORTALIDAD!$AM:$AM)</f>
        <v>0</v>
      </c>
      <c r="BD162" s="3">
        <f>SUMIF(TRASLADOS!$AL:$AL,RESUMEN!AY162,TRASLADOS!$AO:$AO)</f>
        <v>0</v>
      </c>
      <c r="BE162" s="3">
        <f>SUMIF(TRASLADOS!$AL:$AL,RESUMEN!AY162,TRASLADOS!$AP:$AP)</f>
        <v>0</v>
      </c>
      <c r="BF162" s="3">
        <f>SUMIF(VENTAS!$AH:$AH,RESUMEN!AY162,VENTAS!$AL:$AL)</f>
        <v>0</v>
      </c>
      <c r="BG162" s="3">
        <f>SUMIF(VENTAS!$AH:$AH,RESUMEN!AY162,VENTAS!$AM:$AM)</f>
        <v>0</v>
      </c>
      <c r="BH162" s="97">
        <f t="shared" si="101"/>
        <v>2081</v>
      </c>
      <c r="BI162" s="96"/>
      <c r="BJ162" s="99">
        <f t="shared" si="88"/>
        <v>25</v>
      </c>
      <c r="BK162" s="11">
        <f t="shared" si="109"/>
        <v>43439</v>
      </c>
      <c r="BL162" s="3">
        <f t="shared" si="109"/>
        <v>172</v>
      </c>
      <c r="BM162" s="3">
        <f>SUMIF(MORTALIDAD!$AP:$AP,RESUMEN!BK162,MORTALIDAD!$AT:$AT)</f>
        <v>0</v>
      </c>
      <c r="BN162" s="19">
        <f t="shared" si="103"/>
        <v>-73</v>
      </c>
      <c r="BO162" s="3">
        <f>SUMIF(MORTALIDAD!$AP$6:$AP$200,RESUMEN!BK162,MORTALIDAD!$AU$6:$AU$200)</f>
        <v>0</v>
      </c>
      <c r="BP162" s="3">
        <f>SUMIF(TRASLADOS!$AU:$AU,RESUMEN!BK162,TRASLADOS!$AX:$AX)</f>
        <v>0</v>
      </c>
      <c r="BQ162" s="3">
        <f>SUMIF(TRASLADOS!$AU:$AU,RESUMEN!BK162,TRASLADOS!$AY:$AY)</f>
        <v>0</v>
      </c>
      <c r="BR162" s="3">
        <f>SUMIF(VENTAS!$AP:$AP,RESUMEN!BK162,VENTAS!$AT:$AT)</f>
        <v>0</v>
      </c>
      <c r="BS162" s="3">
        <f>SUMIF(VENTAS!$AP:$AP,RESUMEN!BK162,VENTAS!$AU:$AU)</f>
        <v>0</v>
      </c>
      <c r="BT162" s="36">
        <f t="shared" si="104"/>
        <v>2241</v>
      </c>
    </row>
    <row r="163" spans="2:72" x14ac:dyDescent="0.2">
      <c r="B163" s="3">
        <f t="shared" si="83"/>
        <v>25</v>
      </c>
      <c r="C163" s="11">
        <f t="shared" si="75"/>
        <v>43410</v>
      </c>
      <c r="D163" s="3">
        <f t="shared" si="76"/>
        <v>172</v>
      </c>
      <c r="E163" s="3">
        <f>SUMIF(MORTALIDAD!$B$6:$B$200,RESUMEN!C163,MORTALIDAD!$F$6:$F$200)</f>
        <v>0</v>
      </c>
      <c r="F163" s="17">
        <f t="shared" si="77"/>
        <v>-740</v>
      </c>
      <c r="G163" s="3">
        <f>SUMIF(MORTALIDAD!$B$6:$B$200,RESUMEN!C163,MORTALIDAD!$G$6:$G$200)</f>
        <v>0</v>
      </c>
      <c r="H163" s="3">
        <f>SUMIF(TRASLADOS!$B$6:$B$200,C163,TRASLADOS!$E$6:$E$200)</f>
        <v>0</v>
      </c>
      <c r="I163" s="3">
        <f>SUMIF(TRASLADOS!$B$6:$B$200,C163,TRASLADOS!$F$6:$F$200)</f>
        <v>0</v>
      </c>
      <c r="J163" s="3">
        <f>SUMIF(VENTAS!$B$6:$B$200,RESUMEN!C163,VENTAS!$F$6:$F$200)</f>
        <v>0</v>
      </c>
      <c r="K163" s="3">
        <f>SUMIF(VENTAS!$B$6:$B$200,RESUMEN!C163,VENTAS!$G$6:$G$200)</f>
        <v>0</v>
      </c>
      <c r="L163" s="97">
        <f t="shared" si="89"/>
        <v>1460</v>
      </c>
      <c r="M163" s="96"/>
      <c r="N163" s="99">
        <f t="shared" si="84"/>
        <v>25</v>
      </c>
      <c r="O163" s="11">
        <f t="shared" si="105"/>
        <v>43413</v>
      </c>
      <c r="P163" s="3">
        <f t="shared" si="105"/>
        <v>171</v>
      </c>
      <c r="Q163" s="3">
        <f>SUMIF(MORTALIDAD!$J:$J,RESUMEN!O163,MORTALIDAD!$N:$N)</f>
        <v>0</v>
      </c>
      <c r="R163" s="19">
        <f t="shared" si="91"/>
        <v>-680</v>
      </c>
      <c r="S163" s="3">
        <f>SUMIF(MORTALIDAD!$J:$J,RESUMEN!O163,MORTALIDAD!$O:$O)</f>
        <v>0</v>
      </c>
      <c r="T163" s="3">
        <f>SUMIF(TRASLADOS!$K:$K,RESUMEN!O163,TRASLADOS!$N:$N)</f>
        <v>0</v>
      </c>
      <c r="U163" s="3">
        <f>SUMIF(TRASLADOS!$K:$K,RESUMEN!O163,TRASLADOS!$O:$O)</f>
        <v>0</v>
      </c>
      <c r="V163" s="3">
        <f>SUMIF(VENTAS!$J:$J,RESUMEN!O163,VENTAS!$N:$N)</f>
        <v>0</v>
      </c>
      <c r="W163" s="3">
        <f>SUMIF(VENTAS!$J:$J,RESUMEN!O163,VENTAS!$O:$O)</f>
        <v>0</v>
      </c>
      <c r="X163" s="97">
        <f t="shared" si="92"/>
        <v>1520</v>
      </c>
      <c r="Y163" s="96"/>
      <c r="Z163" s="99">
        <f t="shared" si="85"/>
        <v>25</v>
      </c>
      <c r="AA163" s="11">
        <f t="shared" si="106"/>
        <v>43417</v>
      </c>
      <c r="AB163" s="3">
        <f t="shared" si="106"/>
        <v>170</v>
      </c>
      <c r="AC163" s="3">
        <f>SUMIF(MORTALIDAD!$R:$R,RESUMEN!AA163,MORTALIDAD!$V:$V)</f>
        <v>0</v>
      </c>
      <c r="AD163" s="19">
        <f t="shared" si="94"/>
        <v>-476</v>
      </c>
      <c r="AE163" s="3">
        <f>SUMIF(MORTALIDAD!$R:$R,RESUMEN!AA163,MORTALIDAD!$W:$W)</f>
        <v>0</v>
      </c>
      <c r="AF163" s="3">
        <f>SUMIF(TRASLADOS!$T:$T,RESUMEN!AA163,TRASLADOS!$W:$W)</f>
        <v>0</v>
      </c>
      <c r="AG163" s="3">
        <f>SUMIF(TRASLADOS!$T:$T,RESUMEN!AA163,TRASLADOS!$X:$X)</f>
        <v>0</v>
      </c>
      <c r="AH163" s="3">
        <f>SUMIF(VENTAS!$R:$R,RESUMEN!AA163,VENTAS!$V:$V)</f>
        <v>0</v>
      </c>
      <c r="AI163" s="3">
        <f>SUMIF(VENTAS!$R:$R,RESUMEN!AA163,VENTAS!$W:$W)</f>
        <v>0</v>
      </c>
      <c r="AJ163" s="97">
        <f t="shared" si="95"/>
        <v>1724</v>
      </c>
      <c r="AK163" s="96"/>
      <c r="AL163" s="99">
        <f t="shared" si="86"/>
        <v>25</v>
      </c>
      <c r="AM163" s="11">
        <f t="shared" si="107"/>
        <v>43424</v>
      </c>
      <c r="AN163" s="3">
        <f t="shared" si="107"/>
        <v>170</v>
      </c>
      <c r="AO163" s="3">
        <f>SUMIF(MORTALIDAD!$Z:$Z,RESUMEN!AM163,MORTALIDAD!$AD:$AD)</f>
        <v>0</v>
      </c>
      <c r="AP163" s="19">
        <f t="shared" si="97"/>
        <v>-124</v>
      </c>
      <c r="AQ163" s="3">
        <f>SUMIF(MORTALIDAD!$Z:$Z,RESUMEN!AM163,MORTALIDAD!$AE:$AE)</f>
        <v>0</v>
      </c>
      <c r="AR163" s="3">
        <f>SUMIF(TRASLADOS!$AC:$AC,RESUMEN!AM163,TRASLADOS!$AF:$AF)</f>
        <v>0</v>
      </c>
      <c r="AS163" s="3">
        <f>SUMIF(TRASLADOS!$AC:$AC,RESUMEN!AM163,TRASLADOS!$AG:$AG)</f>
        <v>0</v>
      </c>
      <c r="AT163" s="3">
        <f>SUMIF(VENTAS!$Z:$Z,RESUMEN!AM163,VENTAS!$AD:$AD)</f>
        <v>0</v>
      </c>
      <c r="AU163" s="3">
        <f>SUMIF(VENTAS!$Z:$Z,RESUMEN!AM163,VENTAS!$AE:$AE)</f>
        <v>0</v>
      </c>
      <c r="AV163" s="97">
        <f t="shared" si="98"/>
        <v>2076</v>
      </c>
      <c r="AW163" s="96"/>
      <c r="AX163" s="99">
        <f t="shared" si="87"/>
        <v>25</v>
      </c>
      <c r="AY163" s="11">
        <f t="shared" si="108"/>
        <v>43431</v>
      </c>
      <c r="AZ163" s="3">
        <f t="shared" si="108"/>
        <v>170</v>
      </c>
      <c r="BA163" s="3">
        <f>SUMIF(MORTALIDAD!$AH:$AH,RESUMEN!AY163,MORTALIDAD!$AL:$AL)</f>
        <v>0</v>
      </c>
      <c r="BB163" s="19">
        <f t="shared" si="100"/>
        <v>-119</v>
      </c>
      <c r="BC163" s="3">
        <f>SUMIF(MORTALIDAD!$AH:$AH,RESUMEN!AY163,MORTALIDAD!$AM:$AM)</f>
        <v>0</v>
      </c>
      <c r="BD163" s="3">
        <f>SUMIF(TRASLADOS!$AL:$AL,RESUMEN!AY163,TRASLADOS!$AO:$AO)</f>
        <v>0</v>
      </c>
      <c r="BE163" s="3">
        <f>SUMIF(TRASLADOS!$AL:$AL,RESUMEN!AY163,TRASLADOS!$AP:$AP)</f>
        <v>0</v>
      </c>
      <c r="BF163" s="3">
        <f>SUMIF(VENTAS!$AH:$AH,RESUMEN!AY163,VENTAS!$AL:$AL)</f>
        <v>0</v>
      </c>
      <c r="BG163" s="3">
        <f>SUMIF(VENTAS!$AH:$AH,RESUMEN!AY163,VENTAS!$AM:$AM)</f>
        <v>0</v>
      </c>
      <c r="BH163" s="97">
        <f t="shared" si="101"/>
        <v>2081</v>
      </c>
      <c r="BI163" s="96"/>
      <c r="BJ163" s="99">
        <f t="shared" si="88"/>
        <v>25</v>
      </c>
      <c r="BK163" s="11">
        <f t="shared" si="109"/>
        <v>43440</v>
      </c>
      <c r="BL163" s="3">
        <f t="shared" si="109"/>
        <v>173</v>
      </c>
      <c r="BM163" s="3">
        <f>SUMIF(MORTALIDAD!$AP:$AP,RESUMEN!BK163,MORTALIDAD!$AT:$AT)</f>
        <v>0</v>
      </c>
      <c r="BN163" s="19">
        <f t="shared" si="103"/>
        <v>-73</v>
      </c>
      <c r="BO163" s="3">
        <f>SUMIF(MORTALIDAD!$AP$6:$AP$200,RESUMEN!BK163,MORTALIDAD!$AU$6:$AU$200)</f>
        <v>0</v>
      </c>
      <c r="BP163" s="3">
        <f>SUMIF(TRASLADOS!$AU:$AU,RESUMEN!BK163,TRASLADOS!$AX:$AX)</f>
        <v>0</v>
      </c>
      <c r="BQ163" s="3">
        <f>SUMIF(TRASLADOS!$AU:$AU,RESUMEN!BK163,TRASLADOS!$AY:$AY)</f>
        <v>0</v>
      </c>
      <c r="BR163" s="3">
        <f>SUMIF(VENTAS!$AP:$AP,RESUMEN!BK163,VENTAS!$AT:$AT)</f>
        <v>0</v>
      </c>
      <c r="BS163" s="3">
        <f>SUMIF(VENTAS!$AP:$AP,RESUMEN!BK163,VENTAS!$AU:$AU)</f>
        <v>0</v>
      </c>
      <c r="BT163" s="36">
        <f t="shared" si="104"/>
        <v>2241</v>
      </c>
    </row>
    <row r="164" spans="2:72" x14ac:dyDescent="0.2">
      <c r="B164" s="3">
        <f t="shared" si="83"/>
        <v>25</v>
      </c>
      <c r="C164" s="11">
        <f t="shared" si="75"/>
        <v>43411</v>
      </c>
      <c r="D164" s="3">
        <f t="shared" si="76"/>
        <v>173</v>
      </c>
      <c r="E164" s="3">
        <f>SUMIF(MORTALIDAD!$B$6:$B$200,RESUMEN!C164,MORTALIDAD!$F$6:$F$200)</f>
        <v>0</v>
      </c>
      <c r="F164" s="17">
        <f t="shared" si="77"/>
        <v>-740</v>
      </c>
      <c r="G164" s="3">
        <f>SUMIF(MORTALIDAD!$B$6:$B$200,RESUMEN!C164,MORTALIDAD!$G$6:$G$200)</f>
        <v>0</v>
      </c>
      <c r="H164" s="3">
        <f>SUMIF(TRASLADOS!$B$6:$B$200,C164,TRASLADOS!$E$6:$E$200)</f>
        <v>0</v>
      </c>
      <c r="I164" s="3">
        <f>SUMIF(TRASLADOS!$B$6:$B$200,C164,TRASLADOS!$F$6:$F$200)</f>
        <v>0</v>
      </c>
      <c r="J164" s="3">
        <f>SUMIF(VENTAS!$B$6:$B$200,RESUMEN!C164,VENTAS!$F$6:$F$200)</f>
        <v>0</v>
      </c>
      <c r="K164" s="3">
        <f>SUMIF(VENTAS!$B$6:$B$200,RESUMEN!C164,VENTAS!$G$6:$G$200)</f>
        <v>0</v>
      </c>
      <c r="L164" s="97">
        <f t="shared" si="89"/>
        <v>1460</v>
      </c>
      <c r="M164" s="96"/>
      <c r="N164" s="99">
        <f t="shared" si="84"/>
        <v>25</v>
      </c>
      <c r="O164" s="11">
        <f t="shared" si="105"/>
        <v>43414</v>
      </c>
      <c r="P164" s="3">
        <f t="shared" si="105"/>
        <v>172</v>
      </c>
      <c r="Q164" s="3">
        <f>SUMIF(MORTALIDAD!$J:$J,RESUMEN!O164,MORTALIDAD!$N:$N)</f>
        <v>0</v>
      </c>
      <c r="R164" s="19">
        <f t="shared" si="91"/>
        <v>-680</v>
      </c>
      <c r="S164" s="3">
        <f>SUMIF(MORTALIDAD!$J:$J,RESUMEN!O164,MORTALIDAD!$O:$O)</f>
        <v>0</v>
      </c>
      <c r="T164" s="3">
        <f>SUMIF(TRASLADOS!$K:$K,RESUMEN!O164,TRASLADOS!$N:$N)</f>
        <v>0</v>
      </c>
      <c r="U164" s="3">
        <f>SUMIF(TRASLADOS!$K:$K,RESUMEN!O164,TRASLADOS!$O:$O)</f>
        <v>0</v>
      </c>
      <c r="V164" s="3">
        <f>SUMIF(VENTAS!$J:$J,RESUMEN!O164,VENTAS!$N:$N)</f>
        <v>0</v>
      </c>
      <c r="W164" s="3">
        <f>SUMIF(VENTAS!$J:$J,RESUMEN!O164,VENTAS!$O:$O)</f>
        <v>0</v>
      </c>
      <c r="X164" s="97">
        <f t="shared" si="92"/>
        <v>1520</v>
      </c>
      <c r="Y164" s="96"/>
      <c r="Z164" s="99">
        <f t="shared" si="85"/>
        <v>25</v>
      </c>
      <c r="AA164" s="11">
        <f t="shared" si="106"/>
        <v>43418</v>
      </c>
      <c r="AB164" s="3">
        <f t="shared" si="106"/>
        <v>171</v>
      </c>
      <c r="AC164" s="3">
        <f>SUMIF(MORTALIDAD!$R:$R,RESUMEN!AA164,MORTALIDAD!$V:$V)</f>
        <v>0</v>
      </c>
      <c r="AD164" s="19">
        <f t="shared" si="94"/>
        <v>-476</v>
      </c>
      <c r="AE164" s="3">
        <f>SUMIF(MORTALIDAD!$R:$R,RESUMEN!AA164,MORTALIDAD!$W:$W)</f>
        <v>0</v>
      </c>
      <c r="AF164" s="3">
        <f>SUMIF(TRASLADOS!$T:$T,RESUMEN!AA164,TRASLADOS!$W:$W)</f>
        <v>0</v>
      </c>
      <c r="AG164" s="3">
        <f>SUMIF(TRASLADOS!$T:$T,RESUMEN!AA164,TRASLADOS!$X:$X)</f>
        <v>0</v>
      </c>
      <c r="AH164" s="3">
        <f>SUMIF(VENTAS!$R:$R,RESUMEN!AA164,VENTAS!$V:$V)</f>
        <v>0</v>
      </c>
      <c r="AI164" s="3">
        <f>SUMIF(VENTAS!$R:$R,RESUMEN!AA164,VENTAS!$W:$W)</f>
        <v>0</v>
      </c>
      <c r="AJ164" s="97">
        <f t="shared" si="95"/>
        <v>1724</v>
      </c>
      <c r="AK164" s="96"/>
      <c r="AL164" s="99">
        <f t="shared" si="86"/>
        <v>25</v>
      </c>
      <c r="AM164" s="11">
        <f t="shared" si="107"/>
        <v>43425</v>
      </c>
      <c r="AN164" s="3">
        <f t="shared" si="107"/>
        <v>171</v>
      </c>
      <c r="AO164" s="3">
        <f>SUMIF(MORTALIDAD!$Z:$Z,RESUMEN!AM164,MORTALIDAD!$AD:$AD)</f>
        <v>0</v>
      </c>
      <c r="AP164" s="19">
        <f t="shared" si="97"/>
        <v>-124</v>
      </c>
      <c r="AQ164" s="3">
        <f>SUMIF(MORTALIDAD!$Z:$Z,RESUMEN!AM164,MORTALIDAD!$AE:$AE)</f>
        <v>0</v>
      </c>
      <c r="AR164" s="3">
        <f>SUMIF(TRASLADOS!$AC:$AC,RESUMEN!AM164,TRASLADOS!$AF:$AF)</f>
        <v>0</v>
      </c>
      <c r="AS164" s="3">
        <f>SUMIF(TRASLADOS!$AC:$AC,RESUMEN!AM164,TRASLADOS!$AG:$AG)</f>
        <v>0</v>
      </c>
      <c r="AT164" s="3">
        <f>SUMIF(VENTAS!$Z:$Z,RESUMEN!AM164,VENTAS!$AD:$AD)</f>
        <v>0</v>
      </c>
      <c r="AU164" s="3">
        <f>SUMIF(VENTAS!$Z:$Z,RESUMEN!AM164,VENTAS!$AE:$AE)</f>
        <v>0</v>
      </c>
      <c r="AV164" s="97">
        <f t="shared" si="98"/>
        <v>2076</v>
      </c>
      <c r="AW164" s="96"/>
      <c r="AX164" s="99">
        <f t="shared" si="87"/>
        <v>25</v>
      </c>
      <c r="AY164" s="11">
        <f t="shared" si="108"/>
        <v>43432</v>
      </c>
      <c r="AZ164" s="3">
        <f t="shared" si="108"/>
        <v>171</v>
      </c>
      <c r="BA164" s="3">
        <f>SUMIF(MORTALIDAD!$AH:$AH,RESUMEN!AY164,MORTALIDAD!$AL:$AL)</f>
        <v>0</v>
      </c>
      <c r="BB164" s="19">
        <f t="shared" si="100"/>
        <v>-119</v>
      </c>
      <c r="BC164" s="3">
        <f>SUMIF(MORTALIDAD!$AH:$AH,RESUMEN!AY164,MORTALIDAD!$AM:$AM)</f>
        <v>0</v>
      </c>
      <c r="BD164" s="3">
        <f>SUMIF(TRASLADOS!$AL:$AL,RESUMEN!AY164,TRASLADOS!$AO:$AO)</f>
        <v>0</v>
      </c>
      <c r="BE164" s="3">
        <f>SUMIF(TRASLADOS!$AL:$AL,RESUMEN!AY164,TRASLADOS!$AP:$AP)</f>
        <v>0</v>
      </c>
      <c r="BF164" s="3">
        <f>SUMIF(VENTAS!$AH:$AH,RESUMEN!AY164,VENTAS!$AL:$AL)</f>
        <v>0</v>
      </c>
      <c r="BG164" s="3">
        <f>SUMIF(VENTAS!$AH:$AH,RESUMEN!AY164,VENTAS!$AM:$AM)</f>
        <v>0</v>
      </c>
      <c r="BH164" s="97">
        <f t="shared" si="101"/>
        <v>2081</v>
      </c>
      <c r="BI164" s="96"/>
      <c r="BJ164" s="99">
        <f t="shared" si="88"/>
        <v>25</v>
      </c>
      <c r="BK164" s="11">
        <f t="shared" si="109"/>
        <v>43441</v>
      </c>
      <c r="BL164" s="3">
        <f t="shared" si="109"/>
        <v>174</v>
      </c>
      <c r="BM164" s="3">
        <f>SUMIF(MORTALIDAD!$AP:$AP,RESUMEN!BK164,MORTALIDAD!$AT:$AT)</f>
        <v>0</v>
      </c>
      <c r="BN164" s="19">
        <f t="shared" si="103"/>
        <v>-73</v>
      </c>
      <c r="BO164" s="3">
        <f>SUMIF(MORTALIDAD!$AP$6:$AP$200,RESUMEN!BK164,MORTALIDAD!$AU$6:$AU$200)</f>
        <v>0</v>
      </c>
      <c r="BP164" s="3">
        <f>SUMIF(TRASLADOS!$AU:$AU,RESUMEN!BK164,TRASLADOS!$AX:$AX)</f>
        <v>0</v>
      </c>
      <c r="BQ164" s="3">
        <f>SUMIF(TRASLADOS!$AU:$AU,RESUMEN!BK164,TRASLADOS!$AY:$AY)</f>
        <v>0</v>
      </c>
      <c r="BR164" s="3">
        <f>SUMIF(VENTAS!$AP:$AP,RESUMEN!BK164,VENTAS!$AT:$AT)</f>
        <v>0</v>
      </c>
      <c r="BS164" s="3">
        <f>SUMIF(VENTAS!$AP:$AP,RESUMEN!BK164,VENTAS!$AU:$AU)</f>
        <v>0</v>
      </c>
      <c r="BT164" s="36">
        <f t="shared" si="104"/>
        <v>2241</v>
      </c>
    </row>
    <row r="165" spans="2:72" x14ac:dyDescent="0.2">
      <c r="B165" s="3">
        <f t="shared" si="83"/>
        <v>25</v>
      </c>
      <c r="C165" s="11">
        <f t="shared" si="75"/>
        <v>43412</v>
      </c>
      <c r="D165" s="3">
        <f t="shared" si="76"/>
        <v>174</v>
      </c>
      <c r="E165" s="3">
        <f>SUMIF(MORTALIDAD!$B$6:$B$200,RESUMEN!C165,MORTALIDAD!$F$6:$F$200)</f>
        <v>0</v>
      </c>
      <c r="F165" s="17">
        <f t="shared" si="77"/>
        <v>-740</v>
      </c>
      <c r="G165" s="3">
        <f>SUMIF(MORTALIDAD!$B$6:$B$200,RESUMEN!C165,MORTALIDAD!$G$6:$G$200)</f>
        <v>0</v>
      </c>
      <c r="H165" s="3">
        <f>SUMIF(TRASLADOS!$B$6:$B$200,C165,TRASLADOS!$E$6:$E$200)</f>
        <v>0</v>
      </c>
      <c r="I165" s="3">
        <f>SUMIF(TRASLADOS!$B$6:$B$200,C165,TRASLADOS!$F$6:$F$200)</f>
        <v>0</v>
      </c>
      <c r="J165" s="3">
        <f>SUMIF(VENTAS!$B$6:$B$200,RESUMEN!C165,VENTAS!$F$6:$F$200)</f>
        <v>0</v>
      </c>
      <c r="K165" s="3">
        <f>SUMIF(VENTAS!$B$6:$B$200,RESUMEN!C165,VENTAS!$G$6:$G$200)</f>
        <v>0</v>
      </c>
      <c r="L165" s="97">
        <f t="shared" si="89"/>
        <v>1460</v>
      </c>
      <c r="M165" s="96"/>
      <c r="N165" s="99">
        <f t="shared" si="84"/>
        <v>25</v>
      </c>
      <c r="O165" s="11">
        <f t="shared" si="105"/>
        <v>43415</v>
      </c>
      <c r="P165" s="3">
        <f t="shared" si="105"/>
        <v>173</v>
      </c>
      <c r="Q165" s="3">
        <f>SUMIF(MORTALIDAD!$J:$J,RESUMEN!O165,MORTALIDAD!$N:$N)</f>
        <v>0</v>
      </c>
      <c r="R165" s="19">
        <f t="shared" si="91"/>
        <v>-680</v>
      </c>
      <c r="S165" s="3">
        <f>SUMIF(MORTALIDAD!$J:$J,RESUMEN!O165,MORTALIDAD!$O:$O)</f>
        <v>0</v>
      </c>
      <c r="T165" s="3">
        <f>SUMIF(TRASLADOS!$K:$K,RESUMEN!O165,TRASLADOS!$N:$N)</f>
        <v>0</v>
      </c>
      <c r="U165" s="3">
        <f>SUMIF(TRASLADOS!$K:$K,RESUMEN!O165,TRASLADOS!$O:$O)</f>
        <v>0</v>
      </c>
      <c r="V165" s="3">
        <f>SUMIF(VENTAS!$J:$J,RESUMEN!O165,VENTAS!$N:$N)</f>
        <v>0</v>
      </c>
      <c r="W165" s="3">
        <f>SUMIF(VENTAS!$J:$J,RESUMEN!O165,VENTAS!$O:$O)</f>
        <v>0</v>
      </c>
      <c r="X165" s="97">
        <f t="shared" si="92"/>
        <v>1520</v>
      </c>
      <c r="Y165" s="96"/>
      <c r="Z165" s="99">
        <f t="shared" si="85"/>
        <v>25</v>
      </c>
      <c r="AA165" s="11">
        <f t="shared" si="106"/>
        <v>43419</v>
      </c>
      <c r="AB165" s="3">
        <f t="shared" si="106"/>
        <v>172</v>
      </c>
      <c r="AC165" s="3">
        <f>SUMIF(MORTALIDAD!$R:$R,RESUMEN!AA165,MORTALIDAD!$V:$V)</f>
        <v>0</v>
      </c>
      <c r="AD165" s="19">
        <f t="shared" si="94"/>
        <v>-476</v>
      </c>
      <c r="AE165" s="3">
        <f>SUMIF(MORTALIDAD!$R:$R,RESUMEN!AA165,MORTALIDAD!$W:$W)</f>
        <v>0</v>
      </c>
      <c r="AF165" s="3">
        <f>SUMIF(TRASLADOS!$T:$T,RESUMEN!AA165,TRASLADOS!$W:$W)</f>
        <v>0</v>
      </c>
      <c r="AG165" s="3">
        <f>SUMIF(TRASLADOS!$T:$T,RESUMEN!AA165,TRASLADOS!$X:$X)</f>
        <v>0</v>
      </c>
      <c r="AH165" s="3">
        <f>SUMIF(VENTAS!$R:$R,RESUMEN!AA165,VENTAS!$V:$V)</f>
        <v>0</v>
      </c>
      <c r="AI165" s="3">
        <f>SUMIF(VENTAS!$R:$R,RESUMEN!AA165,VENTAS!$W:$W)</f>
        <v>0</v>
      </c>
      <c r="AJ165" s="97">
        <f t="shared" si="95"/>
        <v>1724</v>
      </c>
      <c r="AK165" s="96"/>
      <c r="AL165" s="99">
        <f t="shared" si="86"/>
        <v>25</v>
      </c>
      <c r="AM165" s="11">
        <f t="shared" si="107"/>
        <v>43426</v>
      </c>
      <c r="AN165" s="3">
        <f t="shared" si="107"/>
        <v>172</v>
      </c>
      <c r="AO165" s="3">
        <f>SUMIF(MORTALIDAD!$Z:$Z,RESUMEN!AM165,MORTALIDAD!$AD:$AD)</f>
        <v>0</v>
      </c>
      <c r="AP165" s="19">
        <f t="shared" si="97"/>
        <v>-124</v>
      </c>
      <c r="AQ165" s="3">
        <f>SUMIF(MORTALIDAD!$Z:$Z,RESUMEN!AM165,MORTALIDAD!$AE:$AE)</f>
        <v>0</v>
      </c>
      <c r="AR165" s="3">
        <f>SUMIF(TRASLADOS!$AC:$AC,RESUMEN!AM165,TRASLADOS!$AF:$AF)</f>
        <v>0</v>
      </c>
      <c r="AS165" s="3">
        <f>SUMIF(TRASLADOS!$AC:$AC,RESUMEN!AM165,TRASLADOS!$AG:$AG)</f>
        <v>0</v>
      </c>
      <c r="AT165" s="3">
        <f>SUMIF(VENTAS!$Z:$Z,RESUMEN!AM165,VENTAS!$AD:$AD)</f>
        <v>0</v>
      </c>
      <c r="AU165" s="3">
        <f>SUMIF(VENTAS!$Z:$Z,RESUMEN!AM165,VENTAS!$AE:$AE)</f>
        <v>0</v>
      </c>
      <c r="AV165" s="97">
        <f t="shared" si="98"/>
        <v>2076</v>
      </c>
      <c r="AW165" s="96"/>
      <c r="AX165" s="99">
        <f t="shared" si="87"/>
        <v>25</v>
      </c>
      <c r="AY165" s="11">
        <f t="shared" si="108"/>
        <v>43433</v>
      </c>
      <c r="AZ165" s="3">
        <f t="shared" si="108"/>
        <v>172</v>
      </c>
      <c r="BA165" s="3">
        <f>SUMIF(MORTALIDAD!$AH:$AH,RESUMEN!AY165,MORTALIDAD!$AL:$AL)</f>
        <v>0</v>
      </c>
      <c r="BB165" s="19">
        <f t="shared" si="100"/>
        <v>-119</v>
      </c>
      <c r="BC165" s="3">
        <f>SUMIF(MORTALIDAD!$AH:$AH,RESUMEN!AY165,MORTALIDAD!$AM:$AM)</f>
        <v>0</v>
      </c>
      <c r="BD165" s="3">
        <f>SUMIF(TRASLADOS!$AL:$AL,RESUMEN!AY165,TRASLADOS!$AO:$AO)</f>
        <v>0</v>
      </c>
      <c r="BE165" s="3">
        <f>SUMIF(TRASLADOS!$AL:$AL,RESUMEN!AY165,TRASLADOS!$AP:$AP)</f>
        <v>0</v>
      </c>
      <c r="BF165" s="3">
        <f>SUMIF(VENTAS!$AH:$AH,RESUMEN!AY165,VENTAS!$AL:$AL)</f>
        <v>0</v>
      </c>
      <c r="BG165" s="3">
        <f>SUMIF(VENTAS!$AH:$AH,RESUMEN!AY165,VENTAS!$AM:$AM)</f>
        <v>0</v>
      </c>
      <c r="BH165" s="97">
        <f t="shared" si="101"/>
        <v>2081</v>
      </c>
      <c r="BI165" s="96"/>
      <c r="BJ165" s="99">
        <f t="shared" si="88"/>
        <v>25</v>
      </c>
      <c r="BK165" s="11">
        <f t="shared" si="109"/>
        <v>43442</v>
      </c>
      <c r="BL165" s="3">
        <f t="shared" si="109"/>
        <v>175</v>
      </c>
      <c r="BM165" s="3">
        <f>SUMIF(MORTALIDAD!$AP:$AP,RESUMEN!BK165,MORTALIDAD!$AT:$AT)</f>
        <v>0</v>
      </c>
      <c r="BN165" s="19">
        <f t="shared" si="103"/>
        <v>-73</v>
      </c>
      <c r="BO165" s="3">
        <f>SUMIF(MORTALIDAD!$AP$6:$AP$200,RESUMEN!BK165,MORTALIDAD!$AU$6:$AU$200)</f>
        <v>0</v>
      </c>
      <c r="BP165" s="3">
        <f>SUMIF(TRASLADOS!$AU:$AU,RESUMEN!BK165,TRASLADOS!$AX:$AX)</f>
        <v>0</v>
      </c>
      <c r="BQ165" s="3">
        <f>SUMIF(TRASLADOS!$AU:$AU,RESUMEN!BK165,TRASLADOS!$AY:$AY)</f>
        <v>0</v>
      </c>
      <c r="BR165" s="3">
        <f>SUMIF(VENTAS!$AP:$AP,RESUMEN!BK165,VENTAS!$AT:$AT)</f>
        <v>0</v>
      </c>
      <c r="BS165" s="3">
        <f>SUMIF(VENTAS!$AP:$AP,RESUMEN!BK165,VENTAS!$AU:$AU)</f>
        <v>0</v>
      </c>
      <c r="BT165" s="36">
        <f t="shared" si="104"/>
        <v>2241</v>
      </c>
    </row>
    <row r="166" spans="2:72" x14ac:dyDescent="0.2">
      <c r="B166" s="3">
        <f t="shared" si="83"/>
        <v>25</v>
      </c>
      <c r="C166" s="11">
        <f t="shared" si="75"/>
        <v>43413</v>
      </c>
      <c r="D166" s="3">
        <f t="shared" si="76"/>
        <v>175</v>
      </c>
      <c r="E166" s="3">
        <f>SUMIF(MORTALIDAD!$B$6:$B$200,RESUMEN!C166,MORTALIDAD!$F$6:$F$200)</f>
        <v>0</v>
      </c>
      <c r="F166" s="17">
        <f t="shared" si="77"/>
        <v>-740</v>
      </c>
      <c r="G166" s="3">
        <f>SUMIF(MORTALIDAD!$B$6:$B$200,RESUMEN!C166,MORTALIDAD!$G$6:$G$200)</f>
        <v>0</v>
      </c>
      <c r="H166" s="3">
        <f>SUMIF(TRASLADOS!$B$6:$B$200,C166,TRASLADOS!$E$6:$E$200)</f>
        <v>0</v>
      </c>
      <c r="I166" s="3">
        <f>SUMIF(TRASLADOS!$B$6:$B$200,C166,TRASLADOS!$F$6:$F$200)</f>
        <v>0</v>
      </c>
      <c r="J166" s="3">
        <f>SUMIF(VENTAS!$B$6:$B$200,RESUMEN!C166,VENTAS!$F$6:$F$200)</f>
        <v>0</v>
      </c>
      <c r="K166" s="3">
        <f>SUMIF(VENTAS!$B$6:$B$200,RESUMEN!C166,VENTAS!$G$6:$G$200)</f>
        <v>0</v>
      </c>
      <c r="L166" s="97">
        <f t="shared" si="89"/>
        <v>1460</v>
      </c>
      <c r="M166" s="96"/>
      <c r="N166" s="99">
        <f t="shared" si="84"/>
        <v>25</v>
      </c>
      <c r="O166" s="11">
        <f t="shared" si="105"/>
        <v>43416</v>
      </c>
      <c r="P166" s="3">
        <f t="shared" si="105"/>
        <v>174</v>
      </c>
      <c r="Q166" s="3">
        <f>SUMIF(MORTALIDAD!$J:$J,RESUMEN!O166,MORTALIDAD!$N:$N)</f>
        <v>0</v>
      </c>
      <c r="R166" s="19">
        <f t="shared" si="91"/>
        <v>-680</v>
      </c>
      <c r="S166" s="3">
        <f>SUMIF(MORTALIDAD!$J:$J,RESUMEN!O166,MORTALIDAD!$O:$O)</f>
        <v>0</v>
      </c>
      <c r="T166" s="3">
        <f>SUMIF(TRASLADOS!$K:$K,RESUMEN!O166,TRASLADOS!$N:$N)</f>
        <v>0</v>
      </c>
      <c r="U166" s="3">
        <f>SUMIF(TRASLADOS!$K:$K,RESUMEN!O166,TRASLADOS!$O:$O)</f>
        <v>0</v>
      </c>
      <c r="V166" s="3">
        <f>SUMIF(VENTAS!$J:$J,RESUMEN!O166,VENTAS!$N:$N)</f>
        <v>0</v>
      </c>
      <c r="W166" s="3">
        <f>SUMIF(VENTAS!$J:$J,RESUMEN!O166,VENTAS!$O:$O)</f>
        <v>0</v>
      </c>
      <c r="X166" s="97">
        <f t="shared" si="92"/>
        <v>1520</v>
      </c>
      <c r="Y166" s="96"/>
      <c r="Z166" s="99">
        <f t="shared" si="85"/>
        <v>25</v>
      </c>
      <c r="AA166" s="11">
        <f t="shared" si="106"/>
        <v>43420</v>
      </c>
      <c r="AB166" s="3">
        <f t="shared" si="106"/>
        <v>173</v>
      </c>
      <c r="AC166" s="3">
        <f>SUMIF(MORTALIDAD!$R:$R,RESUMEN!AA166,MORTALIDAD!$V:$V)</f>
        <v>0</v>
      </c>
      <c r="AD166" s="19">
        <f t="shared" si="94"/>
        <v>-476</v>
      </c>
      <c r="AE166" s="3">
        <f>SUMIF(MORTALIDAD!$R:$R,RESUMEN!AA166,MORTALIDAD!$W:$W)</f>
        <v>0</v>
      </c>
      <c r="AF166" s="3">
        <f>SUMIF(TRASLADOS!$T:$T,RESUMEN!AA166,TRASLADOS!$W:$W)</f>
        <v>0</v>
      </c>
      <c r="AG166" s="3">
        <f>SUMIF(TRASLADOS!$T:$T,RESUMEN!AA166,TRASLADOS!$X:$X)</f>
        <v>0</v>
      </c>
      <c r="AH166" s="3">
        <f>SUMIF(VENTAS!$R:$R,RESUMEN!AA166,VENTAS!$V:$V)</f>
        <v>0</v>
      </c>
      <c r="AI166" s="3">
        <f>SUMIF(VENTAS!$R:$R,RESUMEN!AA166,VENTAS!$W:$W)</f>
        <v>0</v>
      </c>
      <c r="AJ166" s="97">
        <f t="shared" si="95"/>
        <v>1724</v>
      </c>
      <c r="AK166" s="96"/>
      <c r="AL166" s="99">
        <f t="shared" si="86"/>
        <v>25</v>
      </c>
      <c r="AM166" s="11">
        <f t="shared" si="107"/>
        <v>43427</v>
      </c>
      <c r="AN166" s="3">
        <f t="shared" si="107"/>
        <v>173</v>
      </c>
      <c r="AO166" s="3">
        <f>SUMIF(MORTALIDAD!$Z:$Z,RESUMEN!AM166,MORTALIDAD!$AD:$AD)</f>
        <v>0</v>
      </c>
      <c r="AP166" s="19">
        <f t="shared" si="97"/>
        <v>-124</v>
      </c>
      <c r="AQ166" s="3">
        <f>SUMIF(MORTALIDAD!$Z:$Z,RESUMEN!AM166,MORTALIDAD!$AE:$AE)</f>
        <v>0</v>
      </c>
      <c r="AR166" s="3">
        <f>SUMIF(TRASLADOS!$AC:$AC,RESUMEN!AM166,TRASLADOS!$AF:$AF)</f>
        <v>0</v>
      </c>
      <c r="AS166" s="3">
        <f>SUMIF(TRASLADOS!$AC:$AC,RESUMEN!AM166,TRASLADOS!$AG:$AG)</f>
        <v>0</v>
      </c>
      <c r="AT166" s="3">
        <f>SUMIF(VENTAS!$Z:$Z,RESUMEN!AM166,VENTAS!$AD:$AD)</f>
        <v>0</v>
      </c>
      <c r="AU166" s="3">
        <f>SUMIF(VENTAS!$Z:$Z,RESUMEN!AM166,VENTAS!$AE:$AE)</f>
        <v>0</v>
      </c>
      <c r="AV166" s="97">
        <f t="shared" si="98"/>
        <v>2076</v>
      </c>
      <c r="AW166" s="96"/>
      <c r="AX166" s="99">
        <f t="shared" si="87"/>
        <v>25</v>
      </c>
      <c r="AY166" s="11">
        <f t="shared" si="108"/>
        <v>43434</v>
      </c>
      <c r="AZ166" s="3">
        <f t="shared" si="108"/>
        <v>173</v>
      </c>
      <c r="BA166" s="3">
        <f>SUMIF(MORTALIDAD!$AH:$AH,RESUMEN!AY166,MORTALIDAD!$AL:$AL)</f>
        <v>0</v>
      </c>
      <c r="BB166" s="19">
        <f t="shared" si="100"/>
        <v>-119</v>
      </c>
      <c r="BC166" s="3">
        <f>SUMIF(MORTALIDAD!$AH:$AH,RESUMEN!AY166,MORTALIDAD!$AM:$AM)</f>
        <v>0</v>
      </c>
      <c r="BD166" s="3">
        <f>SUMIF(TRASLADOS!$AL:$AL,RESUMEN!AY166,TRASLADOS!$AO:$AO)</f>
        <v>0</v>
      </c>
      <c r="BE166" s="3">
        <f>SUMIF(TRASLADOS!$AL:$AL,RESUMEN!AY166,TRASLADOS!$AP:$AP)</f>
        <v>0</v>
      </c>
      <c r="BF166" s="3">
        <f>SUMIF(VENTAS!$AH:$AH,RESUMEN!AY166,VENTAS!$AL:$AL)</f>
        <v>0</v>
      </c>
      <c r="BG166" s="3">
        <f>SUMIF(VENTAS!$AH:$AH,RESUMEN!AY166,VENTAS!$AM:$AM)</f>
        <v>0</v>
      </c>
      <c r="BH166" s="97">
        <f t="shared" si="101"/>
        <v>2081</v>
      </c>
      <c r="BI166" s="96"/>
      <c r="BJ166" s="99">
        <f t="shared" si="88"/>
        <v>26</v>
      </c>
      <c r="BK166" s="11">
        <f t="shared" si="109"/>
        <v>43443</v>
      </c>
      <c r="BL166" s="3">
        <f t="shared" si="109"/>
        <v>176</v>
      </c>
      <c r="BM166" s="3">
        <f>SUMIF(MORTALIDAD!$AP:$AP,RESUMEN!BK166,MORTALIDAD!$AT:$AT)</f>
        <v>0</v>
      </c>
      <c r="BN166" s="19">
        <f t="shared" si="103"/>
        <v>-73</v>
      </c>
      <c r="BO166" s="3">
        <f>SUMIF(MORTALIDAD!$AP$6:$AP$200,RESUMEN!BK166,MORTALIDAD!$AU$6:$AU$200)</f>
        <v>0</v>
      </c>
      <c r="BP166" s="3">
        <f>SUMIF(TRASLADOS!$AU:$AU,RESUMEN!BK166,TRASLADOS!$AX:$AX)</f>
        <v>0</v>
      </c>
      <c r="BQ166" s="3">
        <f>SUMIF(TRASLADOS!$AU:$AU,RESUMEN!BK166,TRASLADOS!$AY:$AY)</f>
        <v>0</v>
      </c>
      <c r="BR166" s="3">
        <f>SUMIF(VENTAS!$AP:$AP,RESUMEN!BK166,VENTAS!$AT:$AT)</f>
        <v>0</v>
      </c>
      <c r="BS166" s="3">
        <f>SUMIF(VENTAS!$AP:$AP,RESUMEN!BK166,VENTAS!$AU:$AU)</f>
        <v>0</v>
      </c>
      <c r="BT166" s="36">
        <f t="shared" si="104"/>
        <v>2241</v>
      </c>
    </row>
    <row r="167" spans="2:72" x14ac:dyDescent="0.2">
      <c r="B167" s="3">
        <f t="shared" si="83"/>
        <v>26</v>
      </c>
      <c r="C167" s="11">
        <f t="shared" si="75"/>
        <v>43414</v>
      </c>
      <c r="D167" s="3">
        <f t="shared" si="76"/>
        <v>176</v>
      </c>
      <c r="E167" s="3">
        <f>SUMIF(MORTALIDAD!$B$6:$B$200,RESUMEN!C167,MORTALIDAD!$F$6:$F$200)</f>
        <v>0</v>
      </c>
      <c r="F167" s="17">
        <f t="shared" si="77"/>
        <v>-740</v>
      </c>
      <c r="G167" s="3">
        <f>SUMIF(MORTALIDAD!$B$6:$B$200,RESUMEN!C167,MORTALIDAD!$G$6:$G$200)</f>
        <v>0</v>
      </c>
      <c r="H167" s="3">
        <f>SUMIF(TRASLADOS!$B$6:$B$200,C167,TRASLADOS!$E$6:$E$200)</f>
        <v>0</v>
      </c>
      <c r="I167" s="3">
        <f>SUMIF(TRASLADOS!$B$6:$B$200,C167,TRASLADOS!$F$6:$F$200)</f>
        <v>0</v>
      </c>
      <c r="J167" s="3">
        <f>SUMIF(VENTAS!$B$6:$B$200,RESUMEN!C167,VENTAS!$F$6:$F$200)</f>
        <v>0</v>
      </c>
      <c r="K167" s="3">
        <f>SUMIF(VENTAS!$B$6:$B$200,RESUMEN!C167,VENTAS!$G$6:$G$200)</f>
        <v>0</v>
      </c>
      <c r="L167" s="97">
        <f t="shared" si="89"/>
        <v>1460</v>
      </c>
      <c r="M167" s="96"/>
      <c r="N167" s="99">
        <f t="shared" si="84"/>
        <v>25</v>
      </c>
      <c r="O167" s="11">
        <f t="shared" si="105"/>
        <v>43417</v>
      </c>
      <c r="P167" s="3">
        <f t="shared" si="105"/>
        <v>175</v>
      </c>
      <c r="Q167" s="3">
        <f>SUMIF(MORTALIDAD!$J:$J,RESUMEN!O167,MORTALIDAD!$N:$N)</f>
        <v>0</v>
      </c>
      <c r="R167" s="19">
        <f t="shared" si="91"/>
        <v>-680</v>
      </c>
      <c r="S167" s="3">
        <f>SUMIF(MORTALIDAD!$J:$J,RESUMEN!O167,MORTALIDAD!$O:$O)</f>
        <v>0</v>
      </c>
      <c r="T167" s="3">
        <f>SUMIF(TRASLADOS!$K:$K,RESUMEN!O167,TRASLADOS!$N:$N)</f>
        <v>0</v>
      </c>
      <c r="U167" s="3">
        <f>SUMIF(TRASLADOS!$K:$K,RESUMEN!O167,TRASLADOS!$O:$O)</f>
        <v>0</v>
      </c>
      <c r="V167" s="3">
        <f>SUMIF(VENTAS!$J:$J,RESUMEN!O167,VENTAS!$N:$N)</f>
        <v>0</v>
      </c>
      <c r="W167" s="3">
        <f>SUMIF(VENTAS!$J:$J,RESUMEN!O167,VENTAS!$O:$O)</f>
        <v>0</v>
      </c>
      <c r="X167" s="97">
        <f t="shared" si="92"/>
        <v>1520</v>
      </c>
      <c r="Y167" s="96"/>
      <c r="Z167" s="99">
        <f t="shared" si="85"/>
        <v>25</v>
      </c>
      <c r="AA167" s="11">
        <f t="shared" si="106"/>
        <v>43421</v>
      </c>
      <c r="AB167" s="3">
        <f t="shared" si="106"/>
        <v>174</v>
      </c>
      <c r="AC167" s="3">
        <f>SUMIF(MORTALIDAD!$R:$R,RESUMEN!AA167,MORTALIDAD!$V:$V)</f>
        <v>0</v>
      </c>
      <c r="AD167" s="19">
        <f t="shared" si="94"/>
        <v>-476</v>
      </c>
      <c r="AE167" s="3">
        <f>SUMIF(MORTALIDAD!$R:$R,RESUMEN!AA167,MORTALIDAD!$W:$W)</f>
        <v>0</v>
      </c>
      <c r="AF167" s="3">
        <f>SUMIF(TRASLADOS!$T:$T,RESUMEN!AA167,TRASLADOS!$W:$W)</f>
        <v>0</v>
      </c>
      <c r="AG167" s="3">
        <f>SUMIF(TRASLADOS!$T:$T,RESUMEN!AA167,TRASLADOS!$X:$X)</f>
        <v>0</v>
      </c>
      <c r="AH167" s="3">
        <f>SUMIF(VENTAS!$R:$R,RESUMEN!AA167,VENTAS!$V:$V)</f>
        <v>0</v>
      </c>
      <c r="AI167" s="3">
        <f>SUMIF(VENTAS!$R:$R,RESUMEN!AA167,VENTAS!$W:$W)</f>
        <v>0</v>
      </c>
      <c r="AJ167" s="97">
        <f t="shared" si="95"/>
        <v>1724</v>
      </c>
      <c r="AK167" s="96"/>
      <c r="AL167" s="99">
        <f t="shared" si="86"/>
        <v>25</v>
      </c>
      <c r="AM167" s="11">
        <f t="shared" si="107"/>
        <v>43428</v>
      </c>
      <c r="AN167" s="3">
        <f t="shared" si="107"/>
        <v>174</v>
      </c>
      <c r="AO167" s="3">
        <f>SUMIF(MORTALIDAD!$Z:$Z,RESUMEN!AM167,MORTALIDAD!$AD:$AD)</f>
        <v>0</v>
      </c>
      <c r="AP167" s="19">
        <f t="shared" si="97"/>
        <v>-124</v>
      </c>
      <c r="AQ167" s="3">
        <f>SUMIF(MORTALIDAD!$Z:$Z,RESUMEN!AM167,MORTALIDAD!$AE:$AE)</f>
        <v>0</v>
      </c>
      <c r="AR167" s="3">
        <f>SUMIF(TRASLADOS!$AC:$AC,RESUMEN!AM167,TRASLADOS!$AF:$AF)</f>
        <v>0</v>
      </c>
      <c r="AS167" s="3">
        <f>SUMIF(TRASLADOS!$AC:$AC,RESUMEN!AM167,TRASLADOS!$AG:$AG)</f>
        <v>0</v>
      </c>
      <c r="AT167" s="3">
        <f>SUMIF(VENTAS!$Z:$Z,RESUMEN!AM167,VENTAS!$AD:$AD)</f>
        <v>0</v>
      </c>
      <c r="AU167" s="3">
        <f>SUMIF(VENTAS!$Z:$Z,RESUMEN!AM167,VENTAS!$AE:$AE)</f>
        <v>0</v>
      </c>
      <c r="AV167" s="97">
        <f t="shared" si="98"/>
        <v>2076</v>
      </c>
      <c r="AW167" s="96"/>
      <c r="AX167" s="99">
        <f t="shared" si="87"/>
        <v>25</v>
      </c>
      <c r="AY167" s="11">
        <f t="shared" si="108"/>
        <v>43435</v>
      </c>
      <c r="AZ167" s="3">
        <f t="shared" si="108"/>
        <v>174</v>
      </c>
      <c r="BA167" s="3">
        <f>SUMIF(MORTALIDAD!$AH:$AH,RESUMEN!AY167,MORTALIDAD!$AL:$AL)</f>
        <v>0</v>
      </c>
      <c r="BB167" s="19">
        <f t="shared" si="100"/>
        <v>-119</v>
      </c>
      <c r="BC167" s="3">
        <f>SUMIF(MORTALIDAD!$AH:$AH,RESUMEN!AY167,MORTALIDAD!$AM:$AM)</f>
        <v>0</v>
      </c>
      <c r="BD167" s="3">
        <f>SUMIF(TRASLADOS!$AL:$AL,RESUMEN!AY167,TRASLADOS!$AO:$AO)</f>
        <v>0</v>
      </c>
      <c r="BE167" s="3">
        <f>SUMIF(TRASLADOS!$AL:$AL,RESUMEN!AY167,TRASLADOS!$AP:$AP)</f>
        <v>0</v>
      </c>
      <c r="BF167" s="3">
        <f>SUMIF(VENTAS!$AH:$AH,RESUMEN!AY167,VENTAS!$AL:$AL)</f>
        <v>0</v>
      </c>
      <c r="BG167" s="3">
        <f>SUMIF(VENTAS!$AH:$AH,RESUMEN!AY167,VENTAS!$AM:$AM)</f>
        <v>0</v>
      </c>
      <c r="BH167" s="97">
        <f t="shared" si="101"/>
        <v>2081</v>
      </c>
      <c r="BI167" s="96"/>
      <c r="BJ167" s="99">
        <f t="shared" si="88"/>
        <v>26</v>
      </c>
      <c r="BK167" s="11">
        <f t="shared" si="109"/>
        <v>43444</v>
      </c>
      <c r="BL167" s="3">
        <f t="shared" si="109"/>
        <v>177</v>
      </c>
      <c r="BM167" s="3">
        <f>SUMIF(MORTALIDAD!$AP:$AP,RESUMEN!BK167,MORTALIDAD!$AT:$AT)</f>
        <v>0</v>
      </c>
      <c r="BN167" s="19">
        <f t="shared" si="103"/>
        <v>-73</v>
      </c>
      <c r="BO167" s="3">
        <f>SUMIF(MORTALIDAD!$AP$6:$AP$200,RESUMEN!BK167,MORTALIDAD!$AU$6:$AU$200)</f>
        <v>0</v>
      </c>
      <c r="BP167" s="3">
        <f>SUMIF(TRASLADOS!$AU:$AU,RESUMEN!BK167,TRASLADOS!$AX:$AX)</f>
        <v>0</v>
      </c>
      <c r="BQ167" s="3">
        <f>SUMIF(TRASLADOS!$AU:$AU,RESUMEN!BK167,TRASLADOS!$AY:$AY)</f>
        <v>0</v>
      </c>
      <c r="BR167" s="3">
        <f>SUMIF(VENTAS!$AP:$AP,RESUMEN!BK167,VENTAS!$AT:$AT)</f>
        <v>0</v>
      </c>
      <c r="BS167" s="3">
        <f>SUMIF(VENTAS!$AP:$AP,RESUMEN!BK167,VENTAS!$AU:$AU)</f>
        <v>0</v>
      </c>
      <c r="BT167" s="36">
        <f t="shared" si="104"/>
        <v>2241</v>
      </c>
    </row>
    <row r="168" spans="2:72" x14ac:dyDescent="0.2">
      <c r="B168" s="3">
        <f t="shared" si="83"/>
        <v>26</v>
      </c>
      <c r="C168" s="11">
        <f t="shared" si="75"/>
        <v>43415</v>
      </c>
      <c r="D168" s="3">
        <f t="shared" si="76"/>
        <v>177</v>
      </c>
      <c r="E168" s="3">
        <f>SUMIF(MORTALIDAD!$B$6:$B$200,RESUMEN!C168,MORTALIDAD!$F$6:$F$200)</f>
        <v>0</v>
      </c>
      <c r="F168" s="17">
        <f t="shared" si="77"/>
        <v>-740</v>
      </c>
      <c r="G168" s="3">
        <f>SUMIF(MORTALIDAD!$B$6:$B$200,RESUMEN!C168,MORTALIDAD!$G$6:$G$200)</f>
        <v>0</v>
      </c>
      <c r="H168" s="3">
        <f>SUMIF(TRASLADOS!$B$6:$B$200,C168,TRASLADOS!$E$6:$E$200)</f>
        <v>0</v>
      </c>
      <c r="I168" s="3">
        <f>SUMIF(TRASLADOS!$B$6:$B$200,C168,TRASLADOS!$F$6:$F$200)</f>
        <v>0</v>
      </c>
      <c r="J168" s="3">
        <f>SUMIF(VENTAS!$B$6:$B$200,RESUMEN!C168,VENTAS!$F$6:$F$200)</f>
        <v>0</v>
      </c>
      <c r="K168" s="3">
        <f>SUMIF(VENTAS!$B$6:$B$200,RESUMEN!C168,VENTAS!$G$6:$G$200)</f>
        <v>0</v>
      </c>
      <c r="L168" s="97">
        <f t="shared" si="89"/>
        <v>1460</v>
      </c>
      <c r="M168" s="96"/>
      <c r="N168" s="99">
        <f t="shared" si="84"/>
        <v>26</v>
      </c>
      <c r="O168" s="11">
        <f t="shared" si="105"/>
        <v>43418</v>
      </c>
      <c r="P168" s="3">
        <f t="shared" si="105"/>
        <v>176</v>
      </c>
      <c r="Q168" s="3">
        <f>SUMIF(MORTALIDAD!$J:$J,RESUMEN!O168,MORTALIDAD!$N:$N)</f>
        <v>0</v>
      </c>
      <c r="R168" s="19">
        <f t="shared" si="91"/>
        <v>-680</v>
      </c>
      <c r="S168" s="3">
        <f>SUMIF(MORTALIDAD!$J:$J,RESUMEN!O168,MORTALIDAD!$O:$O)</f>
        <v>0</v>
      </c>
      <c r="T168" s="3">
        <f>SUMIF(TRASLADOS!$K:$K,RESUMEN!O168,TRASLADOS!$N:$N)</f>
        <v>0</v>
      </c>
      <c r="U168" s="3">
        <f>SUMIF(TRASLADOS!$K:$K,RESUMEN!O168,TRASLADOS!$O:$O)</f>
        <v>0</v>
      </c>
      <c r="V168" s="3">
        <f>SUMIF(VENTAS!$J:$J,RESUMEN!O168,VENTAS!$N:$N)</f>
        <v>0</v>
      </c>
      <c r="W168" s="3">
        <f>SUMIF(VENTAS!$J:$J,RESUMEN!O168,VENTAS!$O:$O)</f>
        <v>0</v>
      </c>
      <c r="X168" s="97">
        <f t="shared" si="92"/>
        <v>1520</v>
      </c>
      <c r="Y168" s="96"/>
      <c r="Z168" s="99">
        <f t="shared" si="85"/>
        <v>25</v>
      </c>
      <c r="AA168" s="11">
        <f t="shared" si="106"/>
        <v>43422</v>
      </c>
      <c r="AB168" s="3">
        <f t="shared" si="106"/>
        <v>175</v>
      </c>
      <c r="AC168" s="3">
        <f>SUMIF(MORTALIDAD!$R:$R,RESUMEN!AA168,MORTALIDAD!$V:$V)</f>
        <v>0</v>
      </c>
      <c r="AD168" s="19">
        <f t="shared" si="94"/>
        <v>-476</v>
      </c>
      <c r="AE168" s="3">
        <f>SUMIF(MORTALIDAD!$R:$R,RESUMEN!AA168,MORTALIDAD!$W:$W)</f>
        <v>0</v>
      </c>
      <c r="AF168" s="3">
        <f>SUMIF(TRASLADOS!$T:$T,RESUMEN!AA168,TRASLADOS!$W:$W)</f>
        <v>0</v>
      </c>
      <c r="AG168" s="3">
        <f>SUMIF(TRASLADOS!$T:$T,RESUMEN!AA168,TRASLADOS!$X:$X)</f>
        <v>0</v>
      </c>
      <c r="AH168" s="3">
        <f>SUMIF(VENTAS!$R:$R,RESUMEN!AA168,VENTAS!$V:$V)</f>
        <v>0</v>
      </c>
      <c r="AI168" s="3">
        <f>SUMIF(VENTAS!$R:$R,RESUMEN!AA168,VENTAS!$W:$W)</f>
        <v>0</v>
      </c>
      <c r="AJ168" s="97">
        <f t="shared" si="95"/>
        <v>1724</v>
      </c>
      <c r="AK168" s="96"/>
      <c r="AL168" s="99">
        <f t="shared" si="86"/>
        <v>25</v>
      </c>
      <c r="AM168" s="11">
        <f t="shared" si="107"/>
        <v>43429</v>
      </c>
      <c r="AN168" s="3">
        <f t="shared" si="107"/>
        <v>175</v>
      </c>
      <c r="AO168" s="3">
        <f>SUMIF(MORTALIDAD!$Z:$Z,RESUMEN!AM168,MORTALIDAD!$AD:$AD)</f>
        <v>0</v>
      </c>
      <c r="AP168" s="19">
        <f t="shared" si="97"/>
        <v>-124</v>
      </c>
      <c r="AQ168" s="3">
        <f>SUMIF(MORTALIDAD!$Z:$Z,RESUMEN!AM168,MORTALIDAD!$AE:$AE)</f>
        <v>0</v>
      </c>
      <c r="AR168" s="3">
        <f>SUMIF(TRASLADOS!$AC:$AC,RESUMEN!AM168,TRASLADOS!$AF:$AF)</f>
        <v>0</v>
      </c>
      <c r="AS168" s="3">
        <f>SUMIF(TRASLADOS!$AC:$AC,RESUMEN!AM168,TRASLADOS!$AG:$AG)</f>
        <v>0</v>
      </c>
      <c r="AT168" s="3">
        <f>SUMIF(VENTAS!$Z:$Z,RESUMEN!AM168,VENTAS!$AD:$AD)</f>
        <v>0</v>
      </c>
      <c r="AU168" s="3">
        <f>SUMIF(VENTAS!$Z:$Z,RESUMEN!AM168,VENTAS!$AE:$AE)</f>
        <v>0</v>
      </c>
      <c r="AV168" s="97">
        <f t="shared" si="98"/>
        <v>2076</v>
      </c>
      <c r="AW168" s="96"/>
      <c r="AX168" s="99">
        <f t="shared" si="87"/>
        <v>25</v>
      </c>
      <c r="AY168" s="11">
        <f t="shared" si="108"/>
        <v>43436</v>
      </c>
      <c r="AZ168" s="3">
        <f t="shared" si="108"/>
        <v>175</v>
      </c>
      <c r="BA168" s="3">
        <f>SUMIF(MORTALIDAD!$AH:$AH,RESUMEN!AY168,MORTALIDAD!$AL:$AL)</f>
        <v>0</v>
      </c>
      <c r="BB168" s="19">
        <f t="shared" si="100"/>
        <v>-119</v>
      </c>
      <c r="BC168" s="3">
        <f>SUMIF(MORTALIDAD!$AH:$AH,RESUMEN!AY168,MORTALIDAD!$AM:$AM)</f>
        <v>0</v>
      </c>
      <c r="BD168" s="3">
        <f>SUMIF(TRASLADOS!$AL:$AL,RESUMEN!AY168,TRASLADOS!$AO:$AO)</f>
        <v>0</v>
      </c>
      <c r="BE168" s="3">
        <f>SUMIF(TRASLADOS!$AL:$AL,RESUMEN!AY168,TRASLADOS!$AP:$AP)</f>
        <v>0</v>
      </c>
      <c r="BF168" s="3">
        <f>SUMIF(VENTAS!$AH:$AH,RESUMEN!AY168,VENTAS!$AL:$AL)</f>
        <v>0</v>
      </c>
      <c r="BG168" s="3">
        <f>SUMIF(VENTAS!$AH:$AH,RESUMEN!AY168,VENTAS!$AM:$AM)</f>
        <v>0</v>
      </c>
      <c r="BH168" s="97">
        <f t="shared" si="101"/>
        <v>2081</v>
      </c>
      <c r="BI168" s="96"/>
      <c r="BJ168" s="99">
        <f t="shared" si="88"/>
        <v>26</v>
      </c>
      <c r="BK168" s="11">
        <f t="shared" si="109"/>
        <v>43445</v>
      </c>
      <c r="BL168" s="3">
        <f t="shared" si="109"/>
        <v>178</v>
      </c>
      <c r="BM168" s="3">
        <f>SUMIF(MORTALIDAD!$AP:$AP,RESUMEN!BK168,MORTALIDAD!$AT:$AT)</f>
        <v>0</v>
      </c>
      <c r="BN168" s="19">
        <f t="shared" si="103"/>
        <v>-73</v>
      </c>
      <c r="BO168" s="3">
        <f>SUMIF(MORTALIDAD!$AP$6:$AP$200,RESUMEN!BK168,MORTALIDAD!$AU$6:$AU$200)</f>
        <v>0</v>
      </c>
      <c r="BP168" s="3">
        <f>SUMIF(TRASLADOS!$AU:$AU,RESUMEN!BK168,TRASLADOS!$AX:$AX)</f>
        <v>0</v>
      </c>
      <c r="BQ168" s="3">
        <f>SUMIF(TRASLADOS!$AU:$AU,RESUMEN!BK168,TRASLADOS!$AY:$AY)</f>
        <v>0</v>
      </c>
      <c r="BR168" s="3">
        <f>SUMIF(VENTAS!$AP:$AP,RESUMEN!BK168,VENTAS!$AT:$AT)</f>
        <v>0</v>
      </c>
      <c r="BS168" s="3">
        <f>SUMIF(VENTAS!$AP:$AP,RESUMEN!BK168,VENTAS!$AU:$AU)</f>
        <v>0</v>
      </c>
      <c r="BT168" s="36">
        <f t="shared" si="104"/>
        <v>2241</v>
      </c>
    </row>
    <row r="169" spans="2:72" x14ac:dyDescent="0.2">
      <c r="B169" s="3">
        <f t="shared" si="83"/>
        <v>26</v>
      </c>
      <c r="C169" s="11">
        <f t="shared" si="75"/>
        <v>43416</v>
      </c>
      <c r="D169" s="3">
        <f t="shared" si="76"/>
        <v>178</v>
      </c>
      <c r="E169" s="3">
        <f>SUMIF(MORTALIDAD!$B$6:$B$200,RESUMEN!C169,MORTALIDAD!$F$6:$F$200)</f>
        <v>0</v>
      </c>
      <c r="F169" s="17">
        <f t="shared" si="77"/>
        <v>-740</v>
      </c>
      <c r="G169" s="3">
        <f>SUMIF(MORTALIDAD!$B$6:$B$200,RESUMEN!C169,MORTALIDAD!$G$6:$G$200)</f>
        <v>0</v>
      </c>
      <c r="H169" s="3">
        <f>SUMIF(TRASLADOS!$B$6:$B$200,C169,TRASLADOS!$E$6:$E$200)</f>
        <v>0</v>
      </c>
      <c r="I169" s="3">
        <f>SUMIF(TRASLADOS!$B$6:$B$200,C169,TRASLADOS!$F$6:$F$200)</f>
        <v>0</v>
      </c>
      <c r="J169" s="3">
        <f>SUMIF(VENTAS!$B$6:$B$200,RESUMEN!C169,VENTAS!$F$6:$F$200)</f>
        <v>0</v>
      </c>
      <c r="K169" s="3">
        <f>SUMIF(VENTAS!$B$6:$B$200,RESUMEN!C169,VENTAS!$G$6:$G$200)</f>
        <v>0</v>
      </c>
      <c r="L169" s="97">
        <f t="shared" si="89"/>
        <v>1460</v>
      </c>
      <c r="M169" s="96"/>
      <c r="N169" s="99">
        <f t="shared" si="84"/>
        <v>26</v>
      </c>
      <c r="O169" s="11">
        <f t="shared" si="105"/>
        <v>43419</v>
      </c>
      <c r="P169" s="3">
        <f t="shared" si="105"/>
        <v>177</v>
      </c>
      <c r="Q169" s="3">
        <f>SUMIF(MORTALIDAD!$J:$J,RESUMEN!O169,MORTALIDAD!$N:$N)</f>
        <v>0</v>
      </c>
      <c r="R169" s="19">
        <f t="shared" si="91"/>
        <v>-680</v>
      </c>
      <c r="S169" s="3">
        <f>SUMIF(MORTALIDAD!$J:$J,RESUMEN!O169,MORTALIDAD!$O:$O)</f>
        <v>0</v>
      </c>
      <c r="T169" s="3">
        <f>SUMIF(TRASLADOS!$K:$K,RESUMEN!O169,TRASLADOS!$N:$N)</f>
        <v>0</v>
      </c>
      <c r="U169" s="3">
        <f>SUMIF(TRASLADOS!$K:$K,RESUMEN!O169,TRASLADOS!$O:$O)</f>
        <v>0</v>
      </c>
      <c r="V169" s="3">
        <f>SUMIF(VENTAS!$J:$J,RESUMEN!O169,VENTAS!$N:$N)</f>
        <v>0</v>
      </c>
      <c r="W169" s="3">
        <f>SUMIF(VENTAS!$J:$J,RESUMEN!O169,VENTAS!$O:$O)</f>
        <v>0</v>
      </c>
      <c r="X169" s="97">
        <f t="shared" si="92"/>
        <v>1520</v>
      </c>
      <c r="Y169" s="96"/>
      <c r="Z169" s="99">
        <f t="shared" si="85"/>
        <v>26</v>
      </c>
      <c r="AA169" s="11">
        <f t="shared" si="106"/>
        <v>43423</v>
      </c>
      <c r="AB169" s="3">
        <f t="shared" si="106"/>
        <v>176</v>
      </c>
      <c r="AC169" s="3">
        <f>SUMIF(MORTALIDAD!$R:$R,RESUMEN!AA169,MORTALIDAD!$V:$V)</f>
        <v>0</v>
      </c>
      <c r="AD169" s="19">
        <f t="shared" si="94"/>
        <v>-476</v>
      </c>
      <c r="AE169" s="3">
        <f>SUMIF(MORTALIDAD!$R:$R,RESUMEN!AA169,MORTALIDAD!$W:$W)</f>
        <v>0</v>
      </c>
      <c r="AF169" s="3">
        <f>SUMIF(TRASLADOS!$T:$T,RESUMEN!AA169,TRASLADOS!$W:$W)</f>
        <v>0</v>
      </c>
      <c r="AG169" s="3">
        <f>SUMIF(TRASLADOS!$T:$T,RESUMEN!AA169,TRASLADOS!$X:$X)</f>
        <v>0</v>
      </c>
      <c r="AH169" s="3">
        <f>SUMIF(VENTAS!$R:$R,RESUMEN!AA169,VENTAS!$V:$V)</f>
        <v>0</v>
      </c>
      <c r="AI169" s="3">
        <f>SUMIF(VENTAS!$R:$R,RESUMEN!AA169,VENTAS!$W:$W)</f>
        <v>0</v>
      </c>
      <c r="AJ169" s="97">
        <f t="shared" si="95"/>
        <v>1724</v>
      </c>
      <c r="AK169" s="96"/>
      <c r="AL169" s="99">
        <f t="shared" si="86"/>
        <v>26</v>
      </c>
      <c r="AM169" s="11">
        <f t="shared" si="107"/>
        <v>43430</v>
      </c>
      <c r="AN169" s="3">
        <f t="shared" si="107"/>
        <v>176</v>
      </c>
      <c r="AO169" s="3">
        <f>SUMIF(MORTALIDAD!$Z:$Z,RESUMEN!AM169,MORTALIDAD!$AD:$AD)</f>
        <v>0</v>
      </c>
      <c r="AP169" s="19">
        <f t="shared" si="97"/>
        <v>-124</v>
      </c>
      <c r="AQ169" s="3">
        <f>SUMIF(MORTALIDAD!$Z:$Z,RESUMEN!AM169,MORTALIDAD!$AE:$AE)</f>
        <v>0</v>
      </c>
      <c r="AR169" s="3">
        <f>SUMIF(TRASLADOS!$AC:$AC,RESUMEN!AM169,TRASLADOS!$AF:$AF)</f>
        <v>0</v>
      </c>
      <c r="AS169" s="3">
        <f>SUMIF(TRASLADOS!$AC:$AC,RESUMEN!AM169,TRASLADOS!$AG:$AG)</f>
        <v>0</v>
      </c>
      <c r="AT169" s="3">
        <f>SUMIF(VENTAS!$Z:$Z,RESUMEN!AM169,VENTAS!$AD:$AD)</f>
        <v>0</v>
      </c>
      <c r="AU169" s="3">
        <f>SUMIF(VENTAS!$Z:$Z,RESUMEN!AM169,VENTAS!$AE:$AE)</f>
        <v>0</v>
      </c>
      <c r="AV169" s="97">
        <f t="shared" si="98"/>
        <v>2076</v>
      </c>
      <c r="AW169" s="96"/>
      <c r="AX169" s="99">
        <f t="shared" si="87"/>
        <v>26</v>
      </c>
      <c r="AY169" s="11">
        <f t="shared" si="108"/>
        <v>43437</v>
      </c>
      <c r="AZ169" s="3">
        <f t="shared" si="108"/>
        <v>176</v>
      </c>
      <c r="BA169" s="3">
        <f>SUMIF(MORTALIDAD!$AH:$AH,RESUMEN!AY169,MORTALIDAD!$AL:$AL)</f>
        <v>0</v>
      </c>
      <c r="BB169" s="19">
        <f t="shared" si="100"/>
        <v>-119</v>
      </c>
      <c r="BC169" s="3">
        <f>SUMIF(MORTALIDAD!$AH:$AH,RESUMEN!AY169,MORTALIDAD!$AM:$AM)</f>
        <v>0</v>
      </c>
      <c r="BD169" s="3">
        <f>SUMIF(TRASLADOS!$AL:$AL,RESUMEN!AY169,TRASLADOS!$AO:$AO)</f>
        <v>0</v>
      </c>
      <c r="BE169" s="3">
        <f>SUMIF(TRASLADOS!$AL:$AL,RESUMEN!AY169,TRASLADOS!$AP:$AP)</f>
        <v>0</v>
      </c>
      <c r="BF169" s="3">
        <f>SUMIF(VENTAS!$AH:$AH,RESUMEN!AY169,VENTAS!$AL:$AL)</f>
        <v>0</v>
      </c>
      <c r="BG169" s="3">
        <f>SUMIF(VENTAS!$AH:$AH,RESUMEN!AY169,VENTAS!$AM:$AM)</f>
        <v>0</v>
      </c>
      <c r="BH169" s="97">
        <f t="shared" si="101"/>
        <v>2081</v>
      </c>
      <c r="BI169" s="96"/>
      <c r="BJ169" s="99">
        <f t="shared" si="88"/>
        <v>26</v>
      </c>
      <c r="BK169" s="11">
        <f t="shared" si="109"/>
        <v>43446</v>
      </c>
      <c r="BL169" s="3">
        <f t="shared" si="109"/>
        <v>179</v>
      </c>
      <c r="BM169" s="3">
        <f>SUMIF(MORTALIDAD!$AP:$AP,RESUMEN!BK169,MORTALIDAD!$AT:$AT)</f>
        <v>0</v>
      </c>
      <c r="BN169" s="19">
        <f t="shared" si="103"/>
        <v>-73</v>
      </c>
      <c r="BO169" s="3">
        <f>SUMIF(MORTALIDAD!$AP$6:$AP$200,RESUMEN!BK169,MORTALIDAD!$AU$6:$AU$200)</f>
        <v>0</v>
      </c>
      <c r="BP169" s="3">
        <f>SUMIF(TRASLADOS!$AU:$AU,RESUMEN!BK169,TRASLADOS!$AX:$AX)</f>
        <v>0</v>
      </c>
      <c r="BQ169" s="3">
        <f>SUMIF(TRASLADOS!$AU:$AU,RESUMEN!BK169,TRASLADOS!$AY:$AY)</f>
        <v>0</v>
      </c>
      <c r="BR169" s="3">
        <f>SUMIF(VENTAS!$AP:$AP,RESUMEN!BK169,VENTAS!$AT:$AT)</f>
        <v>0</v>
      </c>
      <c r="BS169" s="3">
        <f>SUMIF(VENTAS!$AP:$AP,RESUMEN!BK169,VENTAS!$AU:$AU)</f>
        <v>0</v>
      </c>
      <c r="BT169" s="36">
        <f t="shared" si="104"/>
        <v>2241</v>
      </c>
    </row>
    <row r="170" spans="2:72" x14ac:dyDescent="0.2">
      <c r="B170" s="3">
        <f t="shared" si="83"/>
        <v>26</v>
      </c>
      <c r="C170" s="11">
        <f t="shared" si="75"/>
        <v>43417</v>
      </c>
      <c r="D170" s="3">
        <f t="shared" si="76"/>
        <v>179</v>
      </c>
      <c r="E170" s="3">
        <f>SUMIF(MORTALIDAD!$B$6:$B$200,RESUMEN!C170,MORTALIDAD!$F$6:$F$200)</f>
        <v>0</v>
      </c>
      <c r="F170" s="17">
        <f t="shared" si="77"/>
        <v>-740</v>
      </c>
      <c r="G170" s="3">
        <f>SUMIF(MORTALIDAD!$B$6:$B$200,RESUMEN!C170,MORTALIDAD!$G$6:$G$200)</f>
        <v>0</v>
      </c>
      <c r="H170" s="3">
        <f>SUMIF(TRASLADOS!$B$6:$B$200,C170,TRASLADOS!$E$6:$E$200)</f>
        <v>0</v>
      </c>
      <c r="I170" s="3">
        <f>SUMIF(TRASLADOS!$B$6:$B$200,C170,TRASLADOS!$F$6:$F$200)</f>
        <v>0</v>
      </c>
      <c r="J170" s="3">
        <f>SUMIF(VENTAS!$B$6:$B$200,RESUMEN!C170,VENTAS!$F$6:$F$200)</f>
        <v>0</v>
      </c>
      <c r="K170" s="3">
        <f>SUMIF(VENTAS!$B$6:$B$200,RESUMEN!C170,VENTAS!$G$6:$G$200)</f>
        <v>0</v>
      </c>
      <c r="L170" s="97">
        <f t="shared" si="89"/>
        <v>1460</v>
      </c>
      <c r="M170" s="96"/>
      <c r="N170" s="99">
        <f t="shared" si="84"/>
        <v>26</v>
      </c>
      <c r="O170" s="11">
        <f t="shared" si="105"/>
        <v>43420</v>
      </c>
      <c r="P170" s="3">
        <f t="shared" si="105"/>
        <v>178</v>
      </c>
      <c r="Q170" s="3">
        <f>SUMIF(MORTALIDAD!$J:$J,RESUMEN!O170,MORTALIDAD!$N:$N)</f>
        <v>0</v>
      </c>
      <c r="R170" s="19">
        <f t="shared" si="91"/>
        <v>-680</v>
      </c>
      <c r="S170" s="3">
        <f>SUMIF(MORTALIDAD!$J:$J,RESUMEN!O170,MORTALIDAD!$O:$O)</f>
        <v>0</v>
      </c>
      <c r="T170" s="3">
        <f>SUMIF(TRASLADOS!$K:$K,RESUMEN!O170,TRASLADOS!$N:$N)</f>
        <v>0</v>
      </c>
      <c r="U170" s="3">
        <f>SUMIF(TRASLADOS!$K:$K,RESUMEN!O170,TRASLADOS!$O:$O)</f>
        <v>0</v>
      </c>
      <c r="V170" s="3">
        <f>SUMIF(VENTAS!$J:$J,RESUMEN!O170,VENTAS!$N:$N)</f>
        <v>0</v>
      </c>
      <c r="W170" s="3">
        <f>SUMIF(VENTAS!$J:$J,RESUMEN!O170,VENTAS!$O:$O)</f>
        <v>0</v>
      </c>
      <c r="X170" s="97">
        <f t="shared" si="92"/>
        <v>1520</v>
      </c>
      <c r="Y170" s="96"/>
      <c r="Z170" s="99">
        <f t="shared" si="85"/>
        <v>26</v>
      </c>
      <c r="AA170" s="11">
        <f t="shared" si="106"/>
        <v>43424</v>
      </c>
      <c r="AB170" s="3">
        <f t="shared" si="106"/>
        <v>177</v>
      </c>
      <c r="AC170" s="3">
        <f>SUMIF(MORTALIDAD!$R:$R,RESUMEN!AA170,MORTALIDAD!$V:$V)</f>
        <v>0</v>
      </c>
      <c r="AD170" s="19">
        <f t="shared" si="94"/>
        <v>-476</v>
      </c>
      <c r="AE170" s="3">
        <f>SUMIF(MORTALIDAD!$R:$R,RESUMEN!AA170,MORTALIDAD!$W:$W)</f>
        <v>0</v>
      </c>
      <c r="AF170" s="3">
        <f>SUMIF(TRASLADOS!$T:$T,RESUMEN!AA170,TRASLADOS!$W:$W)</f>
        <v>0</v>
      </c>
      <c r="AG170" s="3">
        <f>SUMIF(TRASLADOS!$T:$T,RESUMEN!AA170,TRASLADOS!$X:$X)</f>
        <v>0</v>
      </c>
      <c r="AH170" s="3">
        <f>SUMIF(VENTAS!$R:$R,RESUMEN!AA170,VENTAS!$V:$V)</f>
        <v>0</v>
      </c>
      <c r="AI170" s="3">
        <f>SUMIF(VENTAS!$R:$R,RESUMEN!AA170,VENTAS!$W:$W)</f>
        <v>0</v>
      </c>
      <c r="AJ170" s="97">
        <f t="shared" si="95"/>
        <v>1724</v>
      </c>
      <c r="AK170" s="96"/>
      <c r="AL170" s="99">
        <f t="shared" si="86"/>
        <v>26</v>
      </c>
      <c r="AM170" s="11">
        <f t="shared" si="107"/>
        <v>43431</v>
      </c>
      <c r="AN170" s="3">
        <f t="shared" si="107"/>
        <v>177</v>
      </c>
      <c r="AO170" s="3">
        <f>SUMIF(MORTALIDAD!$Z:$Z,RESUMEN!AM170,MORTALIDAD!$AD:$AD)</f>
        <v>0</v>
      </c>
      <c r="AP170" s="19">
        <f t="shared" si="97"/>
        <v>-124</v>
      </c>
      <c r="AQ170" s="3">
        <f>SUMIF(MORTALIDAD!$Z:$Z,RESUMEN!AM170,MORTALIDAD!$AE:$AE)</f>
        <v>0</v>
      </c>
      <c r="AR170" s="3">
        <f>SUMIF(TRASLADOS!$AC:$AC,RESUMEN!AM170,TRASLADOS!$AF:$AF)</f>
        <v>0</v>
      </c>
      <c r="AS170" s="3">
        <f>SUMIF(TRASLADOS!$AC:$AC,RESUMEN!AM170,TRASLADOS!$AG:$AG)</f>
        <v>0</v>
      </c>
      <c r="AT170" s="3">
        <f>SUMIF(VENTAS!$Z:$Z,RESUMEN!AM170,VENTAS!$AD:$AD)</f>
        <v>0</v>
      </c>
      <c r="AU170" s="3">
        <f>SUMIF(VENTAS!$Z:$Z,RESUMEN!AM170,VENTAS!$AE:$AE)</f>
        <v>0</v>
      </c>
      <c r="AV170" s="97">
        <f t="shared" si="98"/>
        <v>2076</v>
      </c>
      <c r="AW170" s="96"/>
      <c r="AX170" s="99">
        <f t="shared" si="87"/>
        <v>26</v>
      </c>
      <c r="AY170" s="11">
        <f t="shared" si="108"/>
        <v>43438</v>
      </c>
      <c r="AZ170" s="3">
        <f t="shared" si="108"/>
        <v>177</v>
      </c>
      <c r="BA170" s="3">
        <f>SUMIF(MORTALIDAD!$AH:$AH,RESUMEN!AY170,MORTALIDAD!$AL:$AL)</f>
        <v>0</v>
      </c>
      <c r="BB170" s="19">
        <f t="shared" si="100"/>
        <v>-119</v>
      </c>
      <c r="BC170" s="3">
        <f>SUMIF(MORTALIDAD!$AH:$AH,RESUMEN!AY170,MORTALIDAD!$AM:$AM)</f>
        <v>0</v>
      </c>
      <c r="BD170" s="3">
        <f>SUMIF(TRASLADOS!$AL:$AL,RESUMEN!AY170,TRASLADOS!$AO:$AO)</f>
        <v>0</v>
      </c>
      <c r="BE170" s="3">
        <f>SUMIF(TRASLADOS!$AL:$AL,RESUMEN!AY170,TRASLADOS!$AP:$AP)</f>
        <v>0</v>
      </c>
      <c r="BF170" s="3">
        <f>SUMIF(VENTAS!$AH:$AH,RESUMEN!AY170,VENTAS!$AL:$AL)</f>
        <v>0</v>
      </c>
      <c r="BG170" s="3">
        <f>SUMIF(VENTAS!$AH:$AH,RESUMEN!AY170,VENTAS!$AM:$AM)</f>
        <v>0</v>
      </c>
      <c r="BH170" s="97">
        <f t="shared" si="101"/>
        <v>2081</v>
      </c>
      <c r="BI170" s="96"/>
      <c r="BJ170" s="99">
        <f t="shared" si="88"/>
        <v>26</v>
      </c>
      <c r="BK170" s="11">
        <f t="shared" si="109"/>
        <v>43447</v>
      </c>
      <c r="BL170" s="3">
        <f t="shared" si="109"/>
        <v>180</v>
      </c>
      <c r="BM170" s="3">
        <f>SUMIF(MORTALIDAD!$AP:$AP,RESUMEN!BK170,MORTALIDAD!$AT:$AT)</f>
        <v>0</v>
      </c>
      <c r="BN170" s="19">
        <f t="shared" si="103"/>
        <v>-73</v>
      </c>
      <c r="BO170" s="3">
        <f>SUMIF(MORTALIDAD!$AP$6:$AP$200,RESUMEN!BK170,MORTALIDAD!$AU$6:$AU$200)</f>
        <v>0</v>
      </c>
      <c r="BP170" s="3">
        <f>SUMIF(TRASLADOS!$AU:$AU,RESUMEN!BK170,TRASLADOS!$AX:$AX)</f>
        <v>0</v>
      </c>
      <c r="BQ170" s="3">
        <f>SUMIF(TRASLADOS!$AU:$AU,RESUMEN!BK170,TRASLADOS!$AY:$AY)</f>
        <v>0</v>
      </c>
      <c r="BR170" s="3">
        <f>SUMIF(VENTAS!$AP:$AP,RESUMEN!BK170,VENTAS!$AT:$AT)</f>
        <v>0</v>
      </c>
      <c r="BS170" s="3">
        <f>SUMIF(VENTAS!$AP:$AP,RESUMEN!BK170,VENTAS!$AU:$AU)</f>
        <v>0</v>
      </c>
      <c r="BT170" s="36">
        <f t="shared" si="104"/>
        <v>2241</v>
      </c>
    </row>
    <row r="171" spans="2:72" x14ac:dyDescent="0.2">
      <c r="B171" s="3">
        <f t="shared" si="83"/>
        <v>26</v>
      </c>
      <c r="C171" s="11">
        <f t="shared" si="75"/>
        <v>43418</v>
      </c>
      <c r="D171" s="3">
        <f t="shared" si="76"/>
        <v>180</v>
      </c>
      <c r="E171" s="3">
        <f>SUMIF(MORTALIDAD!$B$6:$B$200,RESUMEN!C171,MORTALIDAD!$F$6:$F$200)</f>
        <v>0</v>
      </c>
      <c r="F171" s="17">
        <f t="shared" si="77"/>
        <v>-740</v>
      </c>
      <c r="G171" s="3">
        <f>SUMIF(MORTALIDAD!$B$6:$B$200,RESUMEN!C171,MORTALIDAD!$G$6:$G$200)</f>
        <v>0</v>
      </c>
      <c r="H171" s="3">
        <f>SUMIF(TRASLADOS!$B$6:$B$200,C171,TRASLADOS!$E$6:$E$200)</f>
        <v>0</v>
      </c>
      <c r="I171" s="3">
        <f>SUMIF(TRASLADOS!$B$6:$B$200,C171,TRASLADOS!$F$6:$F$200)</f>
        <v>0</v>
      </c>
      <c r="J171" s="3">
        <f>SUMIF(VENTAS!$B$6:$B$200,RESUMEN!C171,VENTAS!$F$6:$F$200)</f>
        <v>0</v>
      </c>
      <c r="K171" s="3">
        <f>SUMIF(VENTAS!$B$6:$B$200,RESUMEN!C171,VENTAS!$G$6:$G$200)</f>
        <v>0</v>
      </c>
      <c r="L171" s="97">
        <f t="shared" si="89"/>
        <v>1460</v>
      </c>
      <c r="M171" s="96"/>
      <c r="N171" s="99">
        <f t="shared" si="84"/>
        <v>26</v>
      </c>
      <c r="O171" s="11">
        <f t="shared" si="105"/>
        <v>43421</v>
      </c>
      <c r="P171" s="3">
        <f t="shared" si="105"/>
        <v>179</v>
      </c>
      <c r="Q171" s="3">
        <f>SUMIF(MORTALIDAD!$J:$J,RESUMEN!O171,MORTALIDAD!$N:$N)</f>
        <v>0</v>
      </c>
      <c r="R171" s="19">
        <f t="shared" si="91"/>
        <v>-680</v>
      </c>
      <c r="S171" s="3">
        <f>SUMIF(MORTALIDAD!$J:$J,RESUMEN!O171,MORTALIDAD!$O:$O)</f>
        <v>0</v>
      </c>
      <c r="T171" s="3">
        <f>SUMIF(TRASLADOS!$K:$K,RESUMEN!O171,TRASLADOS!$N:$N)</f>
        <v>0</v>
      </c>
      <c r="U171" s="3">
        <f>SUMIF(TRASLADOS!$K:$K,RESUMEN!O171,TRASLADOS!$O:$O)</f>
        <v>0</v>
      </c>
      <c r="V171" s="3">
        <f>SUMIF(VENTAS!$J:$J,RESUMEN!O171,VENTAS!$N:$N)</f>
        <v>0</v>
      </c>
      <c r="W171" s="3">
        <f>SUMIF(VENTAS!$J:$J,RESUMEN!O171,VENTAS!$O:$O)</f>
        <v>0</v>
      </c>
      <c r="X171" s="97">
        <f t="shared" si="92"/>
        <v>1520</v>
      </c>
      <c r="Y171" s="96"/>
      <c r="Z171" s="99">
        <f t="shared" si="85"/>
        <v>26</v>
      </c>
      <c r="AA171" s="11">
        <f t="shared" si="106"/>
        <v>43425</v>
      </c>
      <c r="AB171" s="3">
        <f t="shared" si="106"/>
        <v>178</v>
      </c>
      <c r="AC171" s="3">
        <f>SUMIF(MORTALIDAD!$R:$R,RESUMEN!AA171,MORTALIDAD!$V:$V)</f>
        <v>0</v>
      </c>
      <c r="AD171" s="19">
        <f t="shared" si="94"/>
        <v>-476</v>
      </c>
      <c r="AE171" s="3">
        <f>SUMIF(MORTALIDAD!$R:$R,RESUMEN!AA171,MORTALIDAD!$W:$W)</f>
        <v>0</v>
      </c>
      <c r="AF171" s="3">
        <f>SUMIF(TRASLADOS!$T:$T,RESUMEN!AA171,TRASLADOS!$W:$W)</f>
        <v>0</v>
      </c>
      <c r="AG171" s="3">
        <f>SUMIF(TRASLADOS!$T:$T,RESUMEN!AA171,TRASLADOS!$X:$X)</f>
        <v>0</v>
      </c>
      <c r="AH171" s="3">
        <f>SUMIF(VENTAS!$R:$R,RESUMEN!AA171,VENTAS!$V:$V)</f>
        <v>0</v>
      </c>
      <c r="AI171" s="3">
        <f>SUMIF(VENTAS!$R:$R,RESUMEN!AA171,VENTAS!$W:$W)</f>
        <v>0</v>
      </c>
      <c r="AJ171" s="97">
        <f t="shared" si="95"/>
        <v>1724</v>
      </c>
      <c r="AK171" s="96"/>
      <c r="AL171" s="99">
        <f t="shared" si="86"/>
        <v>26</v>
      </c>
      <c r="AM171" s="11">
        <f t="shared" si="107"/>
        <v>43432</v>
      </c>
      <c r="AN171" s="3">
        <f t="shared" si="107"/>
        <v>178</v>
      </c>
      <c r="AO171" s="3">
        <f>SUMIF(MORTALIDAD!$Z:$Z,RESUMEN!AM171,MORTALIDAD!$AD:$AD)</f>
        <v>0</v>
      </c>
      <c r="AP171" s="19">
        <f t="shared" si="97"/>
        <v>-124</v>
      </c>
      <c r="AQ171" s="3">
        <f>SUMIF(MORTALIDAD!$Z:$Z,RESUMEN!AM171,MORTALIDAD!$AE:$AE)</f>
        <v>0</v>
      </c>
      <c r="AR171" s="3">
        <f>SUMIF(TRASLADOS!$AC:$AC,RESUMEN!AM171,TRASLADOS!$AF:$AF)</f>
        <v>0</v>
      </c>
      <c r="AS171" s="3">
        <f>SUMIF(TRASLADOS!$AC:$AC,RESUMEN!AM171,TRASLADOS!$AG:$AG)</f>
        <v>0</v>
      </c>
      <c r="AT171" s="3">
        <f>SUMIF(VENTAS!$Z:$Z,RESUMEN!AM171,VENTAS!$AD:$AD)</f>
        <v>0</v>
      </c>
      <c r="AU171" s="3">
        <f>SUMIF(VENTAS!$Z:$Z,RESUMEN!AM171,VENTAS!$AE:$AE)</f>
        <v>0</v>
      </c>
      <c r="AV171" s="97">
        <f t="shared" si="98"/>
        <v>2076</v>
      </c>
      <c r="AW171" s="96"/>
      <c r="AX171" s="99">
        <f t="shared" si="87"/>
        <v>26</v>
      </c>
      <c r="AY171" s="11">
        <f t="shared" si="108"/>
        <v>43439</v>
      </c>
      <c r="AZ171" s="3">
        <f t="shared" si="108"/>
        <v>178</v>
      </c>
      <c r="BA171" s="3">
        <f>SUMIF(MORTALIDAD!$AH:$AH,RESUMEN!AY171,MORTALIDAD!$AL:$AL)</f>
        <v>0</v>
      </c>
      <c r="BB171" s="19">
        <f t="shared" si="100"/>
        <v>-119</v>
      </c>
      <c r="BC171" s="3">
        <f>SUMIF(MORTALIDAD!$AH:$AH,RESUMEN!AY171,MORTALIDAD!$AM:$AM)</f>
        <v>0</v>
      </c>
      <c r="BD171" s="3">
        <f>SUMIF(TRASLADOS!$AL:$AL,RESUMEN!AY171,TRASLADOS!$AO:$AO)</f>
        <v>0</v>
      </c>
      <c r="BE171" s="3">
        <f>SUMIF(TRASLADOS!$AL:$AL,RESUMEN!AY171,TRASLADOS!$AP:$AP)</f>
        <v>0</v>
      </c>
      <c r="BF171" s="3">
        <f>SUMIF(VENTAS!$AH:$AH,RESUMEN!AY171,VENTAS!$AL:$AL)</f>
        <v>0</v>
      </c>
      <c r="BG171" s="3">
        <f>SUMIF(VENTAS!$AH:$AH,RESUMEN!AY171,VENTAS!$AM:$AM)</f>
        <v>0</v>
      </c>
      <c r="BH171" s="97">
        <f t="shared" si="101"/>
        <v>2081</v>
      </c>
      <c r="BI171" s="96"/>
      <c r="BJ171" s="99">
        <f t="shared" si="88"/>
        <v>26</v>
      </c>
      <c r="BK171" s="11">
        <f t="shared" si="109"/>
        <v>43448</v>
      </c>
      <c r="BL171" s="3">
        <f t="shared" si="109"/>
        <v>181</v>
      </c>
      <c r="BM171" s="3">
        <f>SUMIF(MORTALIDAD!$AP:$AP,RESUMEN!BK171,MORTALIDAD!$AT:$AT)</f>
        <v>0</v>
      </c>
      <c r="BN171" s="19">
        <f t="shared" si="103"/>
        <v>-73</v>
      </c>
      <c r="BO171" s="3">
        <f>SUMIF(MORTALIDAD!$AP$6:$AP$200,RESUMEN!BK171,MORTALIDAD!$AU$6:$AU$200)</f>
        <v>0</v>
      </c>
      <c r="BP171" s="3">
        <f>SUMIF(TRASLADOS!$AU:$AU,RESUMEN!BK171,TRASLADOS!$AX:$AX)</f>
        <v>0</v>
      </c>
      <c r="BQ171" s="3">
        <f>SUMIF(TRASLADOS!$AU:$AU,RESUMEN!BK171,TRASLADOS!$AY:$AY)</f>
        <v>0</v>
      </c>
      <c r="BR171" s="3">
        <f>SUMIF(VENTAS!$AP:$AP,RESUMEN!BK171,VENTAS!$AT:$AT)</f>
        <v>0</v>
      </c>
      <c r="BS171" s="3">
        <f>SUMIF(VENTAS!$AP:$AP,RESUMEN!BK171,VENTAS!$AU:$AU)</f>
        <v>0</v>
      </c>
      <c r="BT171" s="36">
        <f t="shared" si="104"/>
        <v>2241</v>
      </c>
    </row>
    <row r="172" spans="2:72" x14ac:dyDescent="0.2">
      <c r="B172" s="3">
        <f t="shared" si="83"/>
        <v>26</v>
      </c>
      <c r="C172" s="11">
        <f t="shared" si="75"/>
        <v>43419</v>
      </c>
      <c r="D172" s="3">
        <f t="shared" si="76"/>
        <v>181</v>
      </c>
      <c r="E172" s="3">
        <f>SUMIF(MORTALIDAD!$B$6:$B$200,RESUMEN!C172,MORTALIDAD!$F$6:$F$200)</f>
        <v>0</v>
      </c>
      <c r="F172" s="17">
        <f t="shared" si="77"/>
        <v>-740</v>
      </c>
      <c r="G172" s="3">
        <f>SUMIF(MORTALIDAD!$B$6:$B$200,RESUMEN!C172,MORTALIDAD!$G$6:$G$200)</f>
        <v>0</v>
      </c>
      <c r="H172" s="3">
        <f>SUMIF(TRASLADOS!$B$6:$B$200,C172,TRASLADOS!$E$6:$E$200)</f>
        <v>0</v>
      </c>
      <c r="I172" s="3">
        <f>SUMIF(TRASLADOS!$B$6:$B$200,C172,TRASLADOS!$F$6:$F$200)</f>
        <v>0</v>
      </c>
      <c r="J172" s="3">
        <f>SUMIF(VENTAS!$B$6:$B$200,RESUMEN!C172,VENTAS!$F$6:$F$200)</f>
        <v>0</v>
      </c>
      <c r="K172" s="3">
        <f>SUMIF(VENTAS!$B$6:$B$200,RESUMEN!C172,VENTAS!$G$6:$G$200)</f>
        <v>0</v>
      </c>
      <c r="L172" s="97">
        <f t="shared" si="89"/>
        <v>1460</v>
      </c>
      <c r="M172" s="96"/>
      <c r="N172" s="99">
        <f t="shared" si="84"/>
        <v>26</v>
      </c>
      <c r="O172" s="11">
        <f t="shared" si="105"/>
        <v>43422</v>
      </c>
      <c r="P172" s="3">
        <f t="shared" si="105"/>
        <v>180</v>
      </c>
      <c r="Q172" s="3">
        <f>SUMIF(MORTALIDAD!$J:$J,RESUMEN!O172,MORTALIDAD!$N:$N)</f>
        <v>0</v>
      </c>
      <c r="R172" s="19">
        <f t="shared" si="91"/>
        <v>-680</v>
      </c>
      <c r="S172" s="3">
        <f>SUMIF(MORTALIDAD!$J:$J,RESUMEN!O172,MORTALIDAD!$O:$O)</f>
        <v>0</v>
      </c>
      <c r="T172" s="3">
        <f>SUMIF(TRASLADOS!$K:$K,RESUMEN!O172,TRASLADOS!$N:$N)</f>
        <v>0</v>
      </c>
      <c r="U172" s="3">
        <f>SUMIF(TRASLADOS!$K:$K,RESUMEN!O172,TRASLADOS!$O:$O)</f>
        <v>0</v>
      </c>
      <c r="V172" s="3">
        <f>SUMIF(VENTAS!$J:$J,RESUMEN!O172,VENTAS!$N:$N)</f>
        <v>0</v>
      </c>
      <c r="W172" s="3">
        <f>SUMIF(VENTAS!$J:$J,RESUMEN!O172,VENTAS!$O:$O)</f>
        <v>0</v>
      </c>
      <c r="X172" s="97">
        <f t="shared" si="92"/>
        <v>1520</v>
      </c>
      <c r="Y172" s="96"/>
      <c r="Z172" s="99">
        <f t="shared" si="85"/>
        <v>26</v>
      </c>
      <c r="AA172" s="11">
        <f t="shared" si="106"/>
        <v>43426</v>
      </c>
      <c r="AB172" s="3">
        <f t="shared" si="106"/>
        <v>179</v>
      </c>
      <c r="AC172" s="3">
        <f>SUMIF(MORTALIDAD!$R:$R,RESUMEN!AA172,MORTALIDAD!$V:$V)</f>
        <v>0</v>
      </c>
      <c r="AD172" s="19">
        <f t="shared" si="94"/>
        <v>-476</v>
      </c>
      <c r="AE172" s="3">
        <f>SUMIF(MORTALIDAD!$R:$R,RESUMEN!AA172,MORTALIDAD!$W:$W)</f>
        <v>0</v>
      </c>
      <c r="AF172" s="3">
        <f>SUMIF(TRASLADOS!$T:$T,RESUMEN!AA172,TRASLADOS!$W:$W)</f>
        <v>0</v>
      </c>
      <c r="AG172" s="3">
        <f>SUMIF(TRASLADOS!$T:$T,RESUMEN!AA172,TRASLADOS!$X:$X)</f>
        <v>0</v>
      </c>
      <c r="AH172" s="3">
        <f>SUMIF(VENTAS!$R:$R,RESUMEN!AA172,VENTAS!$V:$V)</f>
        <v>0</v>
      </c>
      <c r="AI172" s="3">
        <f>SUMIF(VENTAS!$R:$R,RESUMEN!AA172,VENTAS!$W:$W)</f>
        <v>0</v>
      </c>
      <c r="AJ172" s="97">
        <f t="shared" si="95"/>
        <v>1724</v>
      </c>
      <c r="AK172" s="96"/>
      <c r="AL172" s="99">
        <f t="shared" si="86"/>
        <v>26</v>
      </c>
      <c r="AM172" s="11">
        <f t="shared" si="107"/>
        <v>43433</v>
      </c>
      <c r="AN172" s="3">
        <f t="shared" si="107"/>
        <v>179</v>
      </c>
      <c r="AO172" s="3">
        <f>SUMIF(MORTALIDAD!$Z:$Z,RESUMEN!AM172,MORTALIDAD!$AD:$AD)</f>
        <v>0</v>
      </c>
      <c r="AP172" s="19">
        <f t="shared" si="97"/>
        <v>-124</v>
      </c>
      <c r="AQ172" s="3">
        <f>SUMIF(MORTALIDAD!$Z:$Z,RESUMEN!AM172,MORTALIDAD!$AE:$AE)</f>
        <v>0</v>
      </c>
      <c r="AR172" s="3">
        <f>SUMIF(TRASLADOS!$AC:$AC,RESUMEN!AM172,TRASLADOS!$AF:$AF)</f>
        <v>0</v>
      </c>
      <c r="AS172" s="3">
        <f>SUMIF(TRASLADOS!$AC:$AC,RESUMEN!AM172,TRASLADOS!$AG:$AG)</f>
        <v>0</v>
      </c>
      <c r="AT172" s="3">
        <f>SUMIF(VENTAS!$Z:$Z,RESUMEN!AM172,VENTAS!$AD:$AD)</f>
        <v>0</v>
      </c>
      <c r="AU172" s="3">
        <f>SUMIF(VENTAS!$Z:$Z,RESUMEN!AM172,VENTAS!$AE:$AE)</f>
        <v>0</v>
      </c>
      <c r="AV172" s="97">
        <f t="shared" si="98"/>
        <v>2076</v>
      </c>
      <c r="AW172" s="96"/>
      <c r="AX172" s="99">
        <f t="shared" si="87"/>
        <v>26</v>
      </c>
      <c r="AY172" s="11">
        <f t="shared" si="108"/>
        <v>43440</v>
      </c>
      <c r="AZ172" s="3">
        <f t="shared" si="108"/>
        <v>179</v>
      </c>
      <c r="BA172" s="3">
        <f>SUMIF(MORTALIDAD!$AH:$AH,RESUMEN!AY172,MORTALIDAD!$AL:$AL)</f>
        <v>0</v>
      </c>
      <c r="BB172" s="19">
        <f t="shared" si="100"/>
        <v>-119</v>
      </c>
      <c r="BC172" s="3">
        <f>SUMIF(MORTALIDAD!$AH:$AH,RESUMEN!AY172,MORTALIDAD!$AM:$AM)</f>
        <v>0</v>
      </c>
      <c r="BD172" s="3">
        <f>SUMIF(TRASLADOS!$AL:$AL,RESUMEN!AY172,TRASLADOS!$AO:$AO)</f>
        <v>0</v>
      </c>
      <c r="BE172" s="3">
        <f>SUMIF(TRASLADOS!$AL:$AL,RESUMEN!AY172,TRASLADOS!$AP:$AP)</f>
        <v>0</v>
      </c>
      <c r="BF172" s="3">
        <f>SUMIF(VENTAS!$AH:$AH,RESUMEN!AY172,VENTAS!$AL:$AL)</f>
        <v>0</v>
      </c>
      <c r="BG172" s="3">
        <f>SUMIF(VENTAS!$AH:$AH,RESUMEN!AY172,VENTAS!$AM:$AM)</f>
        <v>0</v>
      </c>
      <c r="BH172" s="97">
        <f t="shared" si="101"/>
        <v>2081</v>
      </c>
      <c r="BI172" s="96"/>
      <c r="BJ172" s="99">
        <f t="shared" si="88"/>
        <v>26</v>
      </c>
      <c r="BK172" s="11">
        <f t="shared" si="109"/>
        <v>43449</v>
      </c>
      <c r="BL172" s="3">
        <f t="shared" si="109"/>
        <v>182</v>
      </c>
      <c r="BM172" s="3">
        <f>SUMIF(MORTALIDAD!$AP:$AP,RESUMEN!BK172,MORTALIDAD!$AT:$AT)</f>
        <v>0</v>
      </c>
      <c r="BN172" s="19">
        <f t="shared" si="103"/>
        <v>-73</v>
      </c>
      <c r="BO172" s="3">
        <f>SUMIF(MORTALIDAD!$AP$6:$AP$200,RESUMEN!BK172,MORTALIDAD!$AU$6:$AU$200)</f>
        <v>0</v>
      </c>
      <c r="BP172" s="3">
        <f>SUMIF(TRASLADOS!$AU:$AU,RESUMEN!BK172,TRASLADOS!$AX:$AX)</f>
        <v>0</v>
      </c>
      <c r="BQ172" s="3">
        <f>SUMIF(TRASLADOS!$AU:$AU,RESUMEN!BK172,TRASLADOS!$AY:$AY)</f>
        <v>0</v>
      </c>
      <c r="BR172" s="3">
        <f>SUMIF(VENTAS!$AP:$AP,RESUMEN!BK172,VENTAS!$AT:$AT)</f>
        <v>0</v>
      </c>
      <c r="BS172" s="3">
        <f>SUMIF(VENTAS!$AP:$AP,RESUMEN!BK172,VENTAS!$AU:$AU)</f>
        <v>0</v>
      </c>
      <c r="BT172" s="36">
        <f t="shared" si="104"/>
        <v>2241</v>
      </c>
    </row>
    <row r="173" spans="2:72" x14ac:dyDescent="0.2">
      <c r="B173" s="3">
        <f t="shared" si="83"/>
        <v>26</v>
      </c>
      <c r="C173" s="11">
        <f t="shared" si="75"/>
        <v>43420</v>
      </c>
      <c r="D173" s="3">
        <f t="shared" si="76"/>
        <v>182</v>
      </c>
      <c r="E173" s="3">
        <f>SUMIF(MORTALIDAD!$B$6:$B$200,RESUMEN!C173,MORTALIDAD!$F$6:$F$200)</f>
        <v>0</v>
      </c>
      <c r="F173" s="17">
        <f t="shared" si="77"/>
        <v>-740</v>
      </c>
      <c r="G173" s="3">
        <f>SUMIF(MORTALIDAD!$B$6:$B$200,RESUMEN!C173,MORTALIDAD!$G$6:$G$200)</f>
        <v>0</v>
      </c>
      <c r="H173" s="3">
        <f>SUMIF(TRASLADOS!$B$6:$B$200,C173,TRASLADOS!$E$6:$E$200)</f>
        <v>0</v>
      </c>
      <c r="I173" s="3">
        <f>SUMIF(TRASLADOS!$B$6:$B$200,C173,TRASLADOS!$F$6:$F$200)</f>
        <v>0</v>
      </c>
      <c r="J173" s="3">
        <f>SUMIF(VENTAS!$B$6:$B$200,RESUMEN!C173,VENTAS!$F$6:$F$200)</f>
        <v>0</v>
      </c>
      <c r="K173" s="3">
        <f>SUMIF(VENTAS!$B$6:$B$200,RESUMEN!C173,VENTAS!$G$6:$G$200)</f>
        <v>0</v>
      </c>
      <c r="L173" s="97">
        <f t="shared" si="89"/>
        <v>1460</v>
      </c>
      <c r="M173" s="96"/>
      <c r="N173" s="99">
        <f t="shared" si="84"/>
        <v>26</v>
      </c>
      <c r="O173" s="11">
        <f t="shared" si="105"/>
        <v>43423</v>
      </c>
      <c r="P173" s="3">
        <f t="shared" si="105"/>
        <v>181</v>
      </c>
      <c r="Q173" s="3">
        <f>SUMIF(MORTALIDAD!$J:$J,RESUMEN!O173,MORTALIDAD!$N:$N)</f>
        <v>0</v>
      </c>
      <c r="R173" s="19">
        <f t="shared" si="91"/>
        <v>-680</v>
      </c>
      <c r="S173" s="3">
        <f>SUMIF(MORTALIDAD!$J:$J,RESUMEN!O173,MORTALIDAD!$O:$O)</f>
        <v>0</v>
      </c>
      <c r="T173" s="3">
        <f>SUMIF(TRASLADOS!$K:$K,RESUMEN!O173,TRASLADOS!$N:$N)</f>
        <v>0</v>
      </c>
      <c r="U173" s="3">
        <f>SUMIF(TRASLADOS!$K:$K,RESUMEN!O173,TRASLADOS!$O:$O)</f>
        <v>0</v>
      </c>
      <c r="V173" s="3">
        <f>SUMIF(VENTAS!$J:$J,RESUMEN!O173,VENTAS!$N:$N)</f>
        <v>0</v>
      </c>
      <c r="W173" s="3">
        <f>SUMIF(VENTAS!$J:$J,RESUMEN!O173,VENTAS!$O:$O)</f>
        <v>0</v>
      </c>
      <c r="X173" s="97">
        <f t="shared" si="92"/>
        <v>1520</v>
      </c>
      <c r="Y173" s="96"/>
      <c r="Z173" s="99">
        <f t="shared" si="85"/>
        <v>26</v>
      </c>
      <c r="AA173" s="11">
        <f t="shared" si="106"/>
        <v>43427</v>
      </c>
      <c r="AB173" s="3">
        <f t="shared" si="106"/>
        <v>180</v>
      </c>
      <c r="AC173" s="3">
        <f>SUMIF(MORTALIDAD!$R:$R,RESUMEN!AA173,MORTALIDAD!$V:$V)</f>
        <v>0</v>
      </c>
      <c r="AD173" s="19">
        <f t="shared" si="94"/>
        <v>-476</v>
      </c>
      <c r="AE173" s="3">
        <f>SUMIF(MORTALIDAD!$R:$R,RESUMEN!AA173,MORTALIDAD!$W:$W)</f>
        <v>0</v>
      </c>
      <c r="AF173" s="3">
        <f>SUMIF(TRASLADOS!$T:$T,RESUMEN!AA173,TRASLADOS!$W:$W)</f>
        <v>0</v>
      </c>
      <c r="AG173" s="3">
        <f>SUMIF(TRASLADOS!$T:$T,RESUMEN!AA173,TRASLADOS!$X:$X)</f>
        <v>0</v>
      </c>
      <c r="AH173" s="3">
        <f>SUMIF(VENTAS!$R:$R,RESUMEN!AA173,VENTAS!$V:$V)</f>
        <v>0</v>
      </c>
      <c r="AI173" s="3">
        <f>SUMIF(VENTAS!$R:$R,RESUMEN!AA173,VENTAS!$W:$W)</f>
        <v>0</v>
      </c>
      <c r="AJ173" s="97">
        <f t="shared" si="95"/>
        <v>1724</v>
      </c>
      <c r="AK173" s="96"/>
      <c r="AL173" s="99">
        <f t="shared" si="86"/>
        <v>26</v>
      </c>
      <c r="AM173" s="11">
        <f t="shared" si="107"/>
        <v>43434</v>
      </c>
      <c r="AN173" s="3">
        <f t="shared" si="107"/>
        <v>180</v>
      </c>
      <c r="AO173" s="3">
        <f>SUMIF(MORTALIDAD!$Z:$Z,RESUMEN!AM173,MORTALIDAD!$AD:$AD)</f>
        <v>0</v>
      </c>
      <c r="AP173" s="19">
        <f t="shared" si="97"/>
        <v>-124</v>
      </c>
      <c r="AQ173" s="3">
        <f>SUMIF(MORTALIDAD!$Z:$Z,RESUMEN!AM173,MORTALIDAD!$AE:$AE)</f>
        <v>0</v>
      </c>
      <c r="AR173" s="3">
        <f>SUMIF(TRASLADOS!$AC:$AC,RESUMEN!AM173,TRASLADOS!$AF:$AF)</f>
        <v>0</v>
      </c>
      <c r="AS173" s="3">
        <f>SUMIF(TRASLADOS!$AC:$AC,RESUMEN!AM173,TRASLADOS!$AG:$AG)</f>
        <v>0</v>
      </c>
      <c r="AT173" s="3">
        <f>SUMIF(VENTAS!$Z:$Z,RESUMEN!AM173,VENTAS!$AD:$AD)</f>
        <v>0</v>
      </c>
      <c r="AU173" s="3">
        <f>SUMIF(VENTAS!$Z:$Z,RESUMEN!AM173,VENTAS!$AE:$AE)</f>
        <v>0</v>
      </c>
      <c r="AV173" s="97">
        <f t="shared" si="98"/>
        <v>2076</v>
      </c>
      <c r="AW173" s="96"/>
      <c r="AX173" s="99">
        <f t="shared" si="87"/>
        <v>26</v>
      </c>
      <c r="AY173" s="11">
        <f t="shared" si="108"/>
        <v>43441</v>
      </c>
      <c r="AZ173" s="3">
        <f t="shared" si="108"/>
        <v>180</v>
      </c>
      <c r="BA173" s="3">
        <f>SUMIF(MORTALIDAD!$AH:$AH,RESUMEN!AY173,MORTALIDAD!$AL:$AL)</f>
        <v>0</v>
      </c>
      <c r="BB173" s="19">
        <f t="shared" si="100"/>
        <v>-119</v>
      </c>
      <c r="BC173" s="3">
        <f>SUMIF(MORTALIDAD!$AH:$AH,RESUMEN!AY173,MORTALIDAD!$AM:$AM)</f>
        <v>0</v>
      </c>
      <c r="BD173" s="3">
        <f>SUMIF(TRASLADOS!$AL:$AL,RESUMEN!AY173,TRASLADOS!$AO:$AO)</f>
        <v>0</v>
      </c>
      <c r="BE173" s="3">
        <f>SUMIF(TRASLADOS!$AL:$AL,RESUMEN!AY173,TRASLADOS!$AP:$AP)</f>
        <v>0</v>
      </c>
      <c r="BF173" s="3">
        <f>SUMIF(VENTAS!$AH:$AH,RESUMEN!AY173,VENTAS!$AL:$AL)</f>
        <v>0</v>
      </c>
      <c r="BG173" s="3">
        <f>SUMIF(VENTAS!$AH:$AH,RESUMEN!AY173,VENTAS!$AM:$AM)</f>
        <v>0</v>
      </c>
      <c r="BH173" s="97">
        <f t="shared" si="101"/>
        <v>2081</v>
      </c>
      <c r="BI173" s="96"/>
      <c r="BJ173" s="99">
        <f t="shared" si="88"/>
        <v>27</v>
      </c>
      <c r="BK173" s="11">
        <f t="shared" si="109"/>
        <v>43450</v>
      </c>
      <c r="BL173" s="3">
        <f t="shared" si="109"/>
        <v>183</v>
      </c>
      <c r="BM173" s="3">
        <f>SUMIF(MORTALIDAD!$AP:$AP,RESUMEN!BK173,MORTALIDAD!$AT:$AT)</f>
        <v>0</v>
      </c>
      <c r="BN173" s="19">
        <f t="shared" si="103"/>
        <v>-73</v>
      </c>
      <c r="BO173" s="3">
        <f>SUMIF(MORTALIDAD!$AP$6:$AP$200,RESUMEN!BK173,MORTALIDAD!$AU$6:$AU$200)</f>
        <v>0</v>
      </c>
      <c r="BP173" s="3">
        <f>SUMIF(TRASLADOS!$AU:$AU,RESUMEN!BK173,TRASLADOS!$AX:$AX)</f>
        <v>0</v>
      </c>
      <c r="BQ173" s="3">
        <f>SUMIF(TRASLADOS!$AU:$AU,RESUMEN!BK173,TRASLADOS!$AY:$AY)</f>
        <v>0</v>
      </c>
      <c r="BR173" s="3">
        <f>SUMIF(VENTAS!$AP:$AP,RESUMEN!BK173,VENTAS!$AT:$AT)</f>
        <v>0</v>
      </c>
      <c r="BS173" s="3">
        <f>SUMIF(VENTAS!$AP:$AP,RESUMEN!BK173,VENTAS!$AU:$AU)</f>
        <v>0</v>
      </c>
      <c r="BT173" s="36">
        <f t="shared" si="104"/>
        <v>2241</v>
      </c>
    </row>
    <row r="174" spans="2:72" x14ac:dyDescent="0.2">
      <c r="B174" s="3">
        <f t="shared" si="83"/>
        <v>27</v>
      </c>
      <c r="C174" s="11">
        <f t="shared" si="75"/>
        <v>43421</v>
      </c>
      <c r="D174" s="3">
        <f t="shared" si="76"/>
        <v>183</v>
      </c>
      <c r="E174" s="3">
        <f>SUMIF(MORTALIDAD!$B$6:$B$200,RESUMEN!C174,MORTALIDAD!$F$6:$F$200)</f>
        <v>0</v>
      </c>
      <c r="F174" s="17">
        <f t="shared" si="77"/>
        <v>-740</v>
      </c>
      <c r="G174" s="3">
        <f>SUMIF(MORTALIDAD!$B$6:$B$200,RESUMEN!C174,MORTALIDAD!$G$6:$G$200)</f>
        <v>0</v>
      </c>
      <c r="H174" s="3">
        <f>SUMIF(TRASLADOS!$B$6:$B$200,C174,TRASLADOS!$E$6:$E$200)</f>
        <v>0</v>
      </c>
      <c r="I174" s="3">
        <f>SUMIF(TRASLADOS!$B$6:$B$200,C174,TRASLADOS!$F$6:$F$200)</f>
        <v>0</v>
      </c>
      <c r="J174" s="3">
        <f>SUMIF(VENTAS!$B$6:$B$200,RESUMEN!C174,VENTAS!$F$6:$F$200)</f>
        <v>0</v>
      </c>
      <c r="K174" s="3">
        <f>SUMIF(VENTAS!$B$6:$B$200,RESUMEN!C174,VENTAS!$G$6:$G$200)</f>
        <v>0</v>
      </c>
      <c r="L174" s="97">
        <f t="shared" si="89"/>
        <v>1460</v>
      </c>
      <c r="M174" s="96"/>
      <c r="N174" s="99">
        <f t="shared" si="84"/>
        <v>26</v>
      </c>
      <c r="O174" s="11">
        <f t="shared" si="105"/>
        <v>43424</v>
      </c>
      <c r="P174" s="3">
        <f t="shared" si="105"/>
        <v>182</v>
      </c>
      <c r="Q174" s="3">
        <f>SUMIF(MORTALIDAD!$J:$J,RESUMEN!O174,MORTALIDAD!$N:$N)</f>
        <v>0</v>
      </c>
      <c r="R174" s="19">
        <f t="shared" si="91"/>
        <v>-680</v>
      </c>
      <c r="S174" s="3">
        <f>SUMIF(MORTALIDAD!$J:$J,RESUMEN!O174,MORTALIDAD!$O:$O)</f>
        <v>0</v>
      </c>
      <c r="T174" s="3">
        <f>SUMIF(TRASLADOS!$K:$K,RESUMEN!O174,TRASLADOS!$N:$N)</f>
        <v>0</v>
      </c>
      <c r="U174" s="3">
        <f>SUMIF(TRASLADOS!$K:$K,RESUMEN!O174,TRASLADOS!$O:$O)</f>
        <v>0</v>
      </c>
      <c r="V174" s="3">
        <f>SUMIF(VENTAS!$J:$J,RESUMEN!O174,VENTAS!$N:$N)</f>
        <v>0</v>
      </c>
      <c r="W174" s="3">
        <f>SUMIF(VENTAS!$J:$J,RESUMEN!O174,VENTAS!$O:$O)</f>
        <v>0</v>
      </c>
      <c r="X174" s="97">
        <f t="shared" si="92"/>
        <v>1520</v>
      </c>
      <c r="Y174" s="96"/>
      <c r="Z174" s="99">
        <f t="shared" si="85"/>
        <v>26</v>
      </c>
      <c r="AA174" s="11">
        <f t="shared" si="106"/>
        <v>43428</v>
      </c>
      <c r="AB174" s="3">
        <f t="shared" si="106"/>
        <v>181</v>
      </c>
      <c r="AC174" s="3">
        <f>SUMIF(MORTALIDAD!$R:$R,RESUMEN!AA174,MORTALIDAD!$V:$V)</f>
        <v>0</v>
      </c>
      <c r="AD174" s="19">
        <f t="shared" si="94"/>
        <v>-476</v>
      </c>
      <c r="AE174" s="3">
        <f>SUMIF(MORTALIDAD!$R:$R,RESUMEN!AA174,MORTALIDAD!$W:$W)</f>
        <v>0</v>
      </c>
      <c r="AF174" s="3">
        <f>SUMIF(TRASLADOS!$T:$T,RESUMEN!AA174,TRASLADOS!$W:$W)</f>
        <v>0</v>
      </c>
      <c r="AG174" s="3">
        <f>SUMIF(TRASLADOS!$T:$T,RESUMEN!AA174,TRASLADOS!$X:$X)</f>
        <v>0</v>
      </c>
      <c r="AH174" s="3">
        <f>SUMIF(VENTAS!$R:$R,RESUMEN!AA174,VENTAS!$V:$V)</f>
        <v>0</v>
      </c>
      <c r="AI174" s="3">
        <f>SUMIF(VENTAS!$R:$R,RESUMEN!AA174,VENTAS!$W:$W)</f>
        <v>0</v>
      </c>
      <c r="AJ174" s="97">
        <f t="shared" si="95"/>
        <v>1724</v>
      </c>
      <c r="AK174" s="96"/>
      <c r="AL174" s="99">
        <f t="shared" si="86"/>
        <v>26</v>
      </c>
      <c r="AM174" s="11">
        <f t="shared" si="107"/>
        <v>43435</v>
      </c>
      <c r="AN174" s="3">
        <f t="shared" si="107"/>
        <v>181</v>
      </c>
      <c r="AO174" s="3">
        <f>SUMIF(MORTALIDAD!$Z:$Z,RESUMEN!AM174,MORTALIDAD!$AD:$AD)</f>
        <v>0</v>
      </c>
      <c r="AP174" s="19">
        <f t="shared" si="97"/>
        <v>-124</v>
      </c>
      <c r="AQ174" s="3">
        <f>SUMIF(MORTALIDAD!$Z:$Z,RESUMEN!AM174,MORTALIDAD!$AE:$AE)</f>
        <v>0</v>
      </c>
      <c r="AR174" s="3">
        <f>SUMIF(TRASLADOS!$AC:$AC,RESUMEN!AM174,TRASLADOS!$AF:$AF)</f>
        <v>0</v>
      </c>
      <c r="AS174" s="3">
        <f>SUMIF(TRASLADOS!$AC:$AC,RESUMEN!AM174,TRASLADOS!$AG:$AG)</f>
        <v>0</v>
      </c>
      <c r="AT174" s="3">
        <f>SUMIF(VENTAS!$Z:$Z,RESUMEN!AM174,VENTAS!$AD:$AD)</f>
        <v>0</v>
      </c>
      <c r="AU174" s="3">
        <f>SUMIF(VENTAS!$Z:$Z,RESUMEN!AM174,VENTAS!$AE:$AE)</f>
        <v>0</v>
      </c>
      <c r="AV174" s="97">
        <f t="shared" si="98"/>
        <v>2076</v>
      </c>
      <c r="AW174" s="96"/>
      <c r="AX174" s="99">
        <f t="shared" si="87"/>
        <v>26</v>
      </c>
      <c r="AY174" s="11">
        <f t="shared" si="108"/>
        <v>43442</v>
      </c>
      <c r="AZ174" s="3">
        <f t="shared" si="108"/>
        <v>181</v>
      </c>
      <c r="BA174" s="3">
        <f>SUMIF(MORTALIDAD!$AH:$AH,RESUMEN!AY174,MORTALIDAD!$AL:$AL)</f>
        <v>0</v>
      </c>
      <c r="BB174" s="19">
        <f t="shared" si="100"/>
        <v>-119</v>
      </c>
      <c r="BC174" s="3">
        <f>SUMIF(MORTALIDAD!$AH:$AH,RESUMEN!AY174,MORTALIDAD!$AM:$AM)</f>
        <v>0</v>
      </c>
      <c r="BD174" s="3">
        <f>SUMIF(TRASLADOS!$AL:$AL,RESUMEN!AY174,TRASLADOS!$AO:$AO)</f>
        <v>0</v>
      </c>
      <c r="BE174" s="3">
        <f>SUMIF(TRASLADOS!$AL:$AL,RESUMEN!AY174,TRASLADOS!$AP:$AP)</f>
        <v>0</v>
      </c>
      <c r="BF174" s="3">
        <f>SUMIF(VENTAS!$AH:$AH,RESUMEN!AY174,VENTAS!$AL:$AL)</f>
        <v>0</v>
      </c>
      <c r="BG174" s="3">
        <f>SUMIF(VENTAS!$AH:$AH,RESUMEN!AY174,VENTAS!$AM:$AM)</f>
        <v>0</v>
      </c>
      <c r="BH174" s="97">
        <f t="shared" si="101"/>
        <v>2081</v>
      </c>
      <c r="BI174" s="96"/>
      <c r="BJ174" s="99">
        <f t="shared" si="88"/>
        <v>27</v>
      </c>
      <c r="BK174" s="11">
        <f t="shared" si="109"/>
        <v>43451</v>
      </c>
      <c r="BL174" s="3">
        <f t="shared" si="109"/>
        <v>184</v>
      </c>
      <c r="BM174" s="3">
        <f>SUMIF(MORTALIDAD!$AP:$AP,RESUMEN!BK174,MORTALIDAD!$AT:$AT)</f>
        <v>0</v>
      </c>
      <c r="BN174" s="19">
        <f t="shared" si="103"/>
        <v>-73</v>
      </c>
      <c r="BO174" s="3">
        <f>SUMIF(MORTALIDAD!$AP$6:$AP$200,RESUMEN!BK174,MORTALIDAD!$AU$6:$AU$200)</f>
        <v>0</v>
      </c>
      <c r="BP174" s="3">
        <f>SUMIF(TRASLADOS!$AU:$AU,RESUMEN!BK174,TRASLADOS!$AX:$AX)</f>
        <v>0</v>
      </c>
      <c r="BQ174" s="3">
        <f>SUMIF(TRASLADOS!$AU:$AU,RESUMEN!BK174,TRASLADOS!$AY:$AY)</f>
        <v>0</v>
      </c>
      <c r="BR174" s="3">
        <f>SUMIF(VENTAS!$AP:$AP,RESUMEN!BK174,VENTAS!$AT:$AT)</f>
        <v>0</v>
      </c>
      <c r="BS174" s="3">
        <f>SUMIF(VENTAS!$AP:$AP,RESUMEN!BK174,VENTAS!$AU:$AU)</f>
        <v>0</v>
      </c>
      <c r="BT174" s="36">
        <f t="shared" si="104"/>
        <v>2241</v>
      </c>
    </row>
    <row r="175" spans="2:72" x14ac:dyDescent="0.2">
      <c r="B175" s="3">
        <f t="shared" si="83"/>
        <v>27</v>
      </c>
      <c r="C175" s="11">
        <f t="shared" si="75"/>
        <v>43422</v>
      </c>
      <c r="D175" s="3">
        <f t="shared" si="76"/>
        <v>184</v>
      </c>
      <c r="E175" s="3">
        <f>SUMIF(MORTALIDAD!$B$6:$B$200,RESUMEN!C175,MORTALIDAD!$F$6:$F$200)</f>
        <v>0</v>
      </c>
      <c r="F175" s="17">
        <f t="shared" si="77"/>
        <v>-740</v>
      </c>
      <c r="G175" s="3">
        <f>SUMIF(MORTALIDAD!$B$6:$B$200,RESUMEN!C175,MORTALIDAD!$G$6:$G$200)</f>
        <v>0</v>
      </c>
      <c r="H175" s="3">
        <f>SUMIF(TRASLADOS!$B$6:$B$200,C175,TRASLADOS!$E$6:$E$200)</f>
        <v>0</v>
      </c>
      <c r="I175" s="3">
        <f>SUMIF(TRASLADOS!$B$6:$B$200,C175,TRASLADOS!$F$6:$F$200)</f>
        <v>0</v>
      </c>
      <c r="J175" s="3">
        <f>SUMIF(VENTAS!$B$6:$B$200,RESUMEN!C175,VENTAS!$F$6:$F$200)</f>
        <v>0</v>
      </c>
      <c r="K175" s="3">
        <f>SUMIF(VENTAS!$B$6:$B$200,RESUMEN!C175,VENTAS!$G$6:$G$200)</f>
        <v>0</v>
      </c>
      <c r="L175" s="97">
        <f t="shared" si="89"/>
        <v>1460</v>
      </c>
      <c r="M175" s="96"/>
      <c r="N175" s="99">
        <f t="shared" si="84"/>
        <v>27</v>
      </c>
      <c r="O175" s="11">
        <f t="shared" si="105"/>
        <v>43425</v>
      </c>
      <c r="P175" s="3">
        <f t="shared" si="105"/>
        <v>183</v>
      </c>
      <c r="Q175" s="3">
        <f>SUMIF(MORTALIDAD!$J:$J,RESUMEN!O175,MORTALIDAD!$N:$N)</f>
        <v>0</v>
      </c>
      <c r="R175" s="19">
        <f t="shared" si="91"/>
        <v>-680</v>
      </c>
      <c r="S175" s="3">
        <f>SUMIF(MORTALIDAD!$J:$J,RESUMEN!O175,MORTALIDAD!$O:$O)</f>
        <v>0</v>
      </c>
      <c r="T175" s="3">
        <f>SUMIF(TRASLADOS!$K:$K,RESUMEN!O175,TRASLADOS!$N:$N)</f>
        <v>0</v>
      </c>
      <c r="U175" s="3">
        <f>SUMIF(TRASLADOS!$K:$K,RESUMEN!O175,TRASLADOS!$O:$O)</f>
        <v>0</v>
      </c>
      <c r="V175" s="3">
        <f>SUMIF(VENTAS!$J:$J,RESUMEN!O175,VENTAS!$N:$N)</f>
        <v>0</v>
      </c>
      <c r="W175" s="3">
        <f>SUMIF(VENTAS!$J:$J,RESUMEN!O175,VENTAS!$O:$O)</f>
        <v>0</v>
      </c>
      <c r="X175" s="97">
        <f t="shared" si="92"/>
        <v>1520</v>
      </c>
      <c r="Y175" s="96"/>
      <c r="Z175" s="99">
        <f t="shared" si="85"/>
        <v>26</v>
      </c>
      <c r="AA175" s="11">
        <f t="shared" si="106"/>
        <v>43429</v>
      </c>
      <c r="AB175" s="3">
        <f t="shared" si="106"/>
        <v>182</v>
      </c>
      <c r="AC175" s="3">
        <f>SUMIF(MORTALIDAD!$R:$R,RESUMEN!AA175,MORTALIDAD!$V:$V)</f>
        <v>0</v>
      </c>
      <c r="AD175" s="19">
        <f t="shared" si="94"/>
        <v>-476</v>
      </c>
      <c r="AE175" s="3">
        <f>SUMIF(MORTALIDAD!$R:$R,RESUMEN!AA175,MORTALIDAD!$W:$W)</f>
        <v>0</v>
      </c>
      <c r="AF175" s="3">
        <f>SUMIF(TRASLADOS!$T:$T,RESUMEN!AA175,TRASLADOS!$W:$W)</f>
        <v>0</v>
      </c>
      <c r="AG175" s="3">
        <f>SUMIF(TRASLADOS!$T:$T,RESUMEN!AA175,TRASLADOS!$X:$X)</f>
        <v>0</v>
      </c>
      <c r="AH175" s="3">
        <f>SUMIF(VENTAS!$R:$R,RESUMEN!AA175,VENTAS!$V:$V)</f>
        <v>0</v>
      </c>
      <c r="AI175" s="3">
        <f>SUMIF(VENTAS!$R:$R,RESUMEN!AA175,VENTAS!$W:$W)</f>
        <v>0</v>
      </c>
      <c r="AJ175" s="97">
        <f t="shared" si="95"/>
        <v>1724</v>
      </c>
      <c r="AK175" s="96"/>
      <c r="AL175" s="99">
        <f t="shared" si="86"/>
        <v>26</v>
      </c>
      <c r="AM175" s="11">
        <f t="shared" si="107"/>
        <v>43436</v>
      </c>
      <c r="AN175" s="3">
        <f t="shared" si="107"/>
        <v>182</v>
      </c>
      <c r="AO175" s="3">
        <f>SUMIF(MORTALIDAD!$Z:$Z,RESUMEN!AM175,MORTALIDAD!$AD:$AD)</f>
        <v>0</v>
      </c>
      <c r="AP175" s="19">
        <f t="shared" si="97"/>
        <v>-124</v>
      </c>
      <c r="AQ175" s="3">
        <f>SUMIF(MORTALIDAD!$Z:$Z,RESUMEN!AM175,MORTALIDAD!$AE:$AE)</f>
        <v>0</v>
      </c>
      <c r="AR175" s="3">
        <f>SUMIF(TRASLADOS!$AC:$AC,RESUMEN!AM175,TRASLADOS!$AF:$AF)</f>
        <v>0</v>
      </c>
      <c r="AS175" s="3">
        <f>SUMIF(TRASLADOS!$AC:$AC,RESUMEN!AM175,TRASLADOS!$AG:$AG)</f>
        <v>0</v>
      </c>
      <c r="AT175" s="3">
        <f>SUMIF(VENTAS!$Z:$Z,RESUMEN!AM175,VENTAS!$AD:$AD)</f>
        <v>0</v>
      </c>
      <c r="AU175" s="3">
        <f>SUMIF(VENTAS!$Z:$Z,RESUMEN!AM175,VENTAS!$AE:$AE)</f>
        <v>0</v>
      </c>
      <c r="AV175" s="97">
        <f t="shared" si="98"/>
        <v>2076</v>
      </c>
      <c r="AW175" s="96"/>
      <c r="AX175" s="99">
        <f t="shared" si="87"/>
        <v>26</v>
      </c>
      <c r="AY175" s="11">
        <f t="shared" si="108"/>
        <v>43443</v>
      </c>
      <c r="AZ175" s="3">
        <f t="shared" si="108"/>
        <v>182</v>
      </c>
      <c r="BA175" s="3">
        <f>SUMIF(MORTALIDAD!$AH:$AH,RESUMEN!AY175,MORTALIDAD!$AL:$AL)</f>
        <v>0</v>
      </c>
      <c r="BB175" s="19">
        <f t="shared" si="100"/>
        <v>-119</v>
      </c>
      <c r="BC175" s="3">
        <f>SUMIF(MORTALIDAD!$AH:$AH,RESUMEN!AY175,MORTALIDAD!$AM:$AM)</f>
        <v>0</v>
      </c>
      <c r="BD175" s="3">
        <f>SUMIF(TRASLADOS!$AL:$AL,RESUMEN!AY175,TRASLADOS!$AO:$AO)</f>
        <v>0</v>
      </c>
      <c r="BE175" s="3">
        <f>SUMIF(TRASLADOS!$AL:$AL,RESUMEN!AY175,TRASLADOS!$AP:$AP)</f>
        <v>0</v>
      </c>
      <c r="BF175" s="3">
        <f>SUMIF(VENTAS!$AH:$AH,RESUMEN!AY175,VENTAS!$AL:$AL)</f>
        <v>0</v>
      </c>
      <c r="BG175" s="3">
        <f>SUMIF(VENTAS!$AH:$AH,RESUMEN!AY175,VENTAS!$AM:$AM)</f>
        <v>0</v>
      </c>
      <c r="BH175" s="97">
        <f t="shared" si="101"/>
        <v>2081</v>
      </c>
      <c r="BI175" s="96"/>
      <c r="BJ175" s="99">
        <f t="shared" si="88"/>
        <v>27</v>
      </c>
      <c r="BK175" s="11">
        <f t="shared" si="109"/>
        <v>43452</v>
      </c>
      <c r="BL175" s="3">
        <f t="shared" si="109"/>
        <v>185</v>
      </c>
      <c r="BM175" s="3">
        <f>SUMIF(MORTALIDAD!$AP:$AP,RESUMEN!BK175,MORTALIDAD!$AT:$AT)</f>
        <v>0</v>
      </c>
      <c r="BN175" s="19">
        <f t="shared" si="103"/>
        <v>-73</v>
      </c>
      <c r="BO175" s="3">
        <f>SUMIF(MORTALIDAD!$AP$6:$AP$200,RESUMEN!BK175,MORTALIDAD!$AU$6:$AU$200)</f>
        <v>0</v>
      </c>
      <c r="BP175" s="3">
        <f>SUMIF(TRASLADOS!$AU:$AU,RESUMEN!BK175,TRASLADOS!$AX:$AX)</f>
        <v>0</v>
      </c>
      <c r="BQ175" s="3">
        <f>SUMIF(TRASLADOS!$AU:$AU,RESUMEN!BK175,TRASLADOS!$AY:$AY)</f>
        <v>0</v>
      </c>
      <c r="BR175" s="3">
        <f>SUMIF(VENTAS!$AP:$AP,RESUMEN!BK175,VENTAS!$AT:$AT)</f>
        <v>0</v>
      </c>
      <c r="BS175" s="3">
        <f>SUMIF(VENTAS!$AP:$AP,RESUMEN!BK175,VENTAS!$AU:$AU)</f>
        <v>0</v>
      </c>
      <c r="BT175" s="36">
        <f t="shared" si="104"/>
        <v>2241</v>
      </c>
    </row>
    <row r="176" spans="2:72" x14ac:dyDescent="0.2">
      <c r="B176" s="3">
        <f t="shared" si="83"/>
        <v>27</v>
      </c>
      <c r="C176" s="11">
        <f t="shared" si="75"/>
        <v>43423</v>
      </c>
      <c r="D176" s="3">
        <f t="shared" si="76"/>
        <v>185</v>
      </c>
      <c r="E176" s="3">
        <f>SUMIF(MORTALIDAD!$B$6:$B$200,RESUMEN!C176,MORTALIDAD!$F$6:$F$200)</f>
        <v>0</v>
      </c>
      <c r="F176" s="17">
        <f t="shared" si="77"/>
        <v>-740</v>
      </c>
      <c r="G176" s="3">
        <f>SUMIF(MORTALIDAD!$B$6:$B$200,RESUMEN!C176,MORTALIDAD!$G$6:$G$200)</f>
        <v>0</v>
      </c>
      <c r="H176" s="3">
        <f>SUMIF(TRASLADOS!$B$6:$B$200,C176,TRASLADOS!$E$6:$E$200)</f>
        <v>0</v>
      </c>
      <c r="I176" s="3">
        <f>SUMIF(TRASLADOS!$B$6:$B$200,C176,TRASLADOS!$F$6:$F$200)</f>
        <v>0</v>
      </c>
      <c r="J176" s="3">
        <f>SUMIF(VENTAS!$B$6:$B$200,RESUMEN!C176,VENTAS!$F$6:$F$200)</f>
        <v>0</v>
      </c>
      <c r="K176" s="3">
        <f>SUMIF(VENTAS!$B$6:$B$200,RESUMEN!C176,VENTAS!$G$6:$G$200)</f>
        <v>0</v>
      </c>
      <c r="L176" s="97">
        <f t="shared" si="89"/>
        <v>1460</v>
      </c>
      <c r="M176" s="96"/>
      <c r="N176" s="99">
        <f t="shared" si="84"/>
        <v>27</v>
      </c>
      <c r="O176" s="11">
        <f t="shared" si="105"/>
        <v>43426</v>
      </c>
      <c r="P176" s="3">
        <f t="shared" si="105"/>
        <v>184</v>
      </c>
      <c r="Q176" s="3">
        <f>SUMIF(MORTALIDAD!$J:$J,RESUMEN!O176,MORTALIDAD!$N:$N)</f>
        <v>0</v>
      </c>
      <c r="R176" s="19">
        <f t="shared" si="91"/>
        <v>-680</v>
      </c>
      <c r="S176" s="3">
        <f>SUMIF(MORTALIDAD!$J:$J,RESUMEN!O176,MORTALIDAD!$O:$O)</f>
        <v>0</v>
      </c>
      <c r="T176" s="3">
        <f>SUMIF(TRASLADOS!$K:$K,RESUMEN!O176,TRASLADOS!$N:$N)</f>
        <v>0</v>
      </c>
      <c r="U176" s="3">
        <f>SUMIF(TRASLADOS!$K:$K,RESUMEN!O176,TRASLADOS!$O:$O)</f>
        <v>0</v>
      </c>
      <c r="V176" s="3">
        <f>SUMIF(VENTAS!$J:$J,RESUMEN!O176,VENTAS!$N:$N)</f>
        <v>0</v>
      </c>
      <c r="W176" s="3">
        <f>SUMIF(VENTAS!$J:$J,RESUMEN!O176,VENTAS!$O:$O)</f>
        <v>0</v>
      </c>
      <c r="X176" s="97">
        <f t="shared" si="92"/>
        <v>1520</v>
      </c>
      <c r="Y176" s="96"/>
      <c r="Z176" s="99">
        <f t="shared" si="85"/>
        <v>27</v>
      </c>
      <c r="AA176" s="11">
        <f t="shared" si="106"/>
        <v>43430</v>
      </c>
      <c r="AB176" s="3">
        <f t="shared" si="106"/>
        <v>183</v>
      </c>
      <c r="AC176" s="3">
        <f>SUMIF(MORTALIDAD!$R:$R,RESUMEN!AA176,MORTALIDAD!$V:$V)</f>
        <v>0</v>
      </c>
      <c r="AD176" s="19">
        <f t="shared" si="94"/>
        <v>-476</v>
      </c>
      <c r="AE176" s="3">
        <f>SUMIF(MORTALIDAD!$R:$R,RESUMEN!AA176,MORTALIDAD!$W:$W)</f>
        <v>0</v>
      </c>
      <c r="AF176" s="3">
        <f>SUMIF(TRASLADOS!$T:$T,RESUMEN!AA176,TRASLADOS!$W:$W)</f>
        <v>0</v>
      </c>
      <c r="AG176" s="3">
        <f>SUMIF(TRASLADOS!$T:$T,RESUMEN!AA176,TRASLADOS!$X:$X)</f>
        <v>0</v>
      </c>
      <c r="AH176" s="3">
        <f>SUMIF(VENTAS!$R:$R,RESUMEN!AA176,VENTAS!$V:$V)</f>
        <v>0</v>
      </c>
      <c r="AI176" s="3">
        <f>SUMIF(VENTAS!$R:$R,RESUMEN!AA176,VENTAS!$W:$W)</f>
        <v>0</v>
      </c>
      <c r="AJ176" s="97">
        <f t="shared" si="95"/>
        <v>1724</v>
      </c>
      <c r="AK176" s="96"/>
      <c r="AL176" s="99">
        <f t="shared" si="86"/>
        <v>27</v>
      </c>
      <c r="AM176" s="11">
        <f t="shared" si="107"/>
        <v>43437</v>
      </c>
      <c r="AN176" s="3">
        <f t="shared" si="107"/>
        <v>183</v>
      </c>
      <c r="AO176" s="3">
        <f>SUMIF(MORTALIDAD!$Z:$Z,RESUMEN!AM176,MORTALIDAD!$AD:$AD)</f>
        <v>0</v>
      </c>
      <c r="AP176" s="19">
        <f t="shared" si="97"/>
        <v>-124</v>
      </c>
      <c r="AQ176" s="3">
        <f>SUMIF(MORTALIDAD!$Z:$Z,RESUMEN!AM176,MORTALIDAD!$AE:$AE)</f>
        <v>0</v>
      </c>
      <c r="AR176" s="3">
        <f>SUMIF(TRASLADOS!$AC:$AC,RESUMEN!AM176,TRASLADOS!$AF:$AF)</f>
        <v>0</v>
      </c>
      <c r="AS176" s="3">
        <f>SUMIF(TRASLADOS!$AC:$AC,RESUMEN!AM176,TRASLADOS!$AG:$AG)</f>
        <v>0</v>
      </c>
      <c r="AT176" s="3">
        <f>SUMIF(VENTAS!$Z:$Z,RESUMEN!AM176,VENTAS!$AD:$AD)</f>
        <v>0</v>
      </c>
      <c r="AU176" s="3">
        <f>SUMIF(VENTAS!$Z:$Z,RESUMEN!AM176,VENTAS!$AE:$AE)</f>
        <v>0</v>
      </c>
      <c r="AV176" s="97">
        <f t="shared" si="98"/>
        <v>2076</v>
      </c>
      <c r="AW176" s="96"/>
      <c r="AX176" s="99">
        <f t="shared" si="87"/>
        <v>27</v>
      </c>
      <c r="AY176" s="11">
        <f t="shared" si="108"/>
        <v>43444</v>
      </c>
      <c r="AZ176" s="3">
        <f t="shared" si="108"/>
        <v>183</v>
      </c>
      <c r="BA176" s="3">
        <f>SUMIF(MORTALIDAD!$AH:$AH,RESUMEN!AY176,MORTALIDAD!$AL:$AL)</f>
        <v>0</v>
      </c>
      <c r="BB176" s="19">
        <f t="shared" si="100"/>
        <v>-119</v>
      </c>
      <c r="BC176" s="3">
        <f>SUMIF(MORTALIDAD!$AH:$AH,RESUMEN!AY176,MORTALIDAD!$AM:$AM)</f>
        <v>0</v>
      </c>
      <c r="BD176" s="3">
        <f>SUMIF(TRASLADOS!$AL:$AL,RESUMEN!AY176,TRASLADOS!$AO:$AO)</f>
        <v>0</v>
      </c>
      <c r="BE176" s="3">
        <f>SUMIF(TRASLADOS!$AL:$AL,RESUMEN!AY176,TRASLADOS!$AP:$AP)</f>
        <v>0</v>
      </c>
      <c r="BF176" s="3">
        <f>SUMIF(VENTAS!$AH:$AH,RESUMEN!AY176,VENTAS!$AL:$AL)</f>
        <v>0</v>
      </c>
      <c r="BG176" s="3">
        <f>SUMIF(VENTAS!$AH:$AH,RESUMEN!AY176,VENTAS!$AM:$AM)</f>
        <v>0</v>
      </c>
      <c r="BH176" s="97">
        <f t="shared" si="101"/>
        <v>2081</v>
      </c>
      <c r="BI176" s="96"/>
      <c r="BJ176" s="99">
        <f t="shared" si="88"/>
        <v>27</v>
      </c>
      <c r="BK176" s="11">
        <f t="shared" si="109"/>
        <v>43453</v>
      </c>
      <c r="BL176" s="3">
        <f t="shared" si="109"/>
        <v>186</v>
      </c>
      <c r="BM176" s="3">
        <f>SUMIF(MORTALIDAD!$AP:$AP,RESUMEN!BK176,MORTALIDAD!$AT:$AT)</f>
        <v>0</v>
      </c>
      <c r="BN176" s="19">
        <f t="shared" si="103"/>
        <v>-73</v>
      </c>
      <c r="BO176" s="3">
        <f>SUMIF(MORTALIDAD!$AP$6:$AP$200,RESUMEN!BK176,MORTALIDAD!$AU$6:$AU$200)</f>
        <v>0</v>
      </c>
      <c r="BP176" s="3">
        <f>SUMIF(TRASLADOS!$AU:$AU,RESUMEN!BK176,TRASLADOS!$AX:$AX)</f>
        <v>0</v>
      </c>
      <c r="BQ176" s="3">
        <f>SUMIF(TRASLADOS!$AU:$AU,RESUMEN!BK176,TRASLADOS!$AY:$AY)</f>
        <v>0</v>
      </c>
      <c r="BR176" s="3">
        <f>SUMIF(VENTAS!$AP:$AP,RESUMEN!BK176,VENTAS!$AT:$AT)</f>
        <v>0</v>
      </c>
      <c r="BS176" s="3">
        <f>SUMIF(VENTAS!$AP:$AP,RESUMEN!BK176,VENTAS!$AU:$AU)</f>
        <v>0</v>
      </c>
      <c r="BT176" s="36">
        <f t="shared" si="104"/>
        <v>2241</v>
      </c>
    </row>
    <row r="177" spans="2:72" x14ac:dyDescent="0.2">
      <c r="B177" s="3">
        <f t="shared" si="83"/>
        <v>27</v>
      </c>
      <c r="C177" s="11">
        <f t="shared" si="75"/>
        <v>43424</v>
      </c>
      <c r="D177" s="3">
        <f t="shared" si="76"/>
        <v>186</v>
      </c>
      <c r="E177" s="3">
        <f>SUMIF(MORTALIDAD!$B$6:$B$200,RESUMEN!C177,MORTALIDAD!$F$6:$F$200)</f>
        <v>0</v>
      </c>
      <c r="F177" s="17">
        <f t="shared" si="77"/>
        <v>-740</v>
      </c>
      <c r="G177" s="3">
        <f>SUMIF(MORTALIDAD!$B$6:$B$200,RESUMEN!C177,MORTALIDAD!$G$6:$G$200)</f>
        <v>0</v>
      </c>
      <c r="H177" s="3">
        <f>SUMIF(TRASLADOS!$B$6:$B$200,C177,TRASLADOS!$E$6:$E$200)</f>
        <v>0</v>
      </c>
      <c r="I177" s="3">
        <f>SUMIF(TRASLADOS!$B$6:$B$200,C177,TRASLADOS!$F$6:$F$200)</f>
        <v>0</v>
      </c>
      <c r="J177" s="3">
        <f>SUMIF(VENTAS!$B$6:$B$200,RESUMEN!C177,VENTAS!$F$6:$F$200)</f>
        <v>0</v>
      </c>
      <c r="K177" s="3">
        <f>SUMIF(VENTAS!$B$6:$B$200,RESUMEN!C177,VENTAS!$G$6:$G$200)</f>
        <v>0</v>
      </c>
      <c r="L177" s="97">
        <f t="shared" si="89"/>
        <v>1460</v>
      </c>
      <c r="M177" s="96"/>
      <c r="N177" s="99">
        <f t="shared" si="84"/>
        <v>27</v>
      </c>
      <c r="O177" s="11">
        <f t="shared" ref="O177:P192" si="110">O176+1</f>
        <v>43427</v>
      </c>
      <c r="P177" s="3">
        <f t="shared" si="110"/>
        <v>185</v>
      </c>
      <c r="Q177" s="3">
        <f>SUMIF(MORTALIDAD!$J:$J,RESUMEN!O177,MORTALIDAD!$N:$N)</f>
        <v>0</v>
      </c>
      <c r="R177" s="19">
        <f t="shared" si="91"/>
        <v>-680</v>
      </c>
      <c r="S177" s="3">
        <f>SUMIF(MORTALIDAD!$J:$J,RESUMEN!O177,MORTALIDAD!$O:$O)</f>
        <v>0</v>
      </c>
      <c r="T177" s="3">
        <f>SUMIF(TRASLADOS!$K:$K,RESUMEN!O177,TRASLADOS!$N:$N)</f>
        <v>0</v>
      </c>
      <c r="U177" s="3">
        <f>SUMIF(TRASLADOS!$K:$K,RESUMEN!O177,TRASLADOS!$O:$O)</f>
        <v>0</v>
      </c>
      <c r="V177" s="3">
        <f>SUMIF(VENTAS!$J:$J,RESUMEN!O177,VENTAS!$N:$N)</f>
        <v>0</v>
      </c>
      <c r="W177" s="3">
        <f>SUMIF(VENTAS!$J:$J,RESUMEN!O177,VENTAS!$O:$O)</f>
        <v>0</v>
      </c>
      <c r="X177" s="97">
        <f t="shared" si="92"/>
        <v>1520</v>
      </c>
      <c r="Y177" s="96"/>
      <c r="Z177" s="99">
        <f t="shared" si="85"/>
        <v>27</v>
      </c>
      <c r="AA177" s="11">
        <f t="shared" ref="AA177:AB192" si="111">AA176+1</f>
        <v>43431</v>
      </c>
      <c r="AB177" s="3">
        <f t="shared" si="111"/>
        <v>184</v>
      </c>
      <c r="AC177" s="3">
        <f>SUMIF(MORTALIDAD!$R:$R,RESUMEN!AA177,MORTALIDAD!$V:$V)</f>
        <v>0</v>
      </c>
      <c r="AD177" s="19">
        <f t="shared" si="94"/>
        <v>-476</v>
      </c>
      <c r="AE177" s="3">
        <f>SUMIF(MORTALIDAD!$R:$R,RESUMEN!AA177,MORTALIDAD!$W:$W)</f>
        <v>0</v>
      </c>
      <c r="AF177" s="3">
        <f>SUMIF(TRASLADOS!$T:$T,RESUMEN!AA177,TRASLADOS!$W:$W)</f>
        <v>0</v>
      </c>
      <c r="AG177" s="3">
        <f>SUMIF(TRASLADOS!$T:$T,RESUMEN!AA177,TRASLADOS!$X:$X)</f>
        <v>0</v>
      </c>
      <c r="AH177" s="3">
        <f>SUMIF(VENTAS!$R:$R,RESUMEN!AA177,VENTAS!$V:$V)</f>
        <v>0</v>
      </c>
      <c r="AI177" s="3">
        <f>SUMIF(VENTAS!$R:$R,RESUMEN!AA177,VENTAS!$W:$W)</f>
        <v>0</v>
      </c>
      <c r="AJ177" s="97">
        <f t="shared" si="95"/>
        <v>1724</v>
      </c>
      <c r="AK177" s="96"/>
      <c r="AL177" s="99">
        <f t="shared" si="86"/>
        <v>27</v>
      </c>
      <c r="AM177" s="11">
        <f t="shared" ref="AM177:AN192" si="112">AM176+1</f>
        <v>43438</v>
      </c>
      <c r="AN177" s="3">
        <f t="shared" si="112"/>
        <v>184</v>
      </c>
      <c r="AO177" s="3">
        <f>SUMIF(MORTALIDAD!$Z:$Z,RESUMEN!AM177,MORTALIDAD!$AD:$AD)</f>
        <v>0</v>
      </c>
      <c r="AP177" s="19">
        <f t="shared" si="97"/>
        <v>-124</v>
      </c>
      <c r="AQ177" s="3">
        <f>SUMIF(MORTALIDAD!$Z:$Z,RESUMEN!AM177,MORTALIDAD!$AE:$AE)</f>
        <v>0</v>
      </c>
      <c r="AR177" s="3">
        <f>SUMIF(TRASLADOS!$AC:$AC,RESUMEN!AM177,TRASLADOS!$AF:$AF)</f>
        <v>0</v>
      </c>
      <c r="AS177" s="3">
        <f>SUMIF(TRASLADOS!$AC:$AC,RESUMEN!AM177,TRASLADOS!$AG:$AG)</f>
        <v>0</v>
      </c>
      <c r="AT177" s="3">
        <f>SUMIF(VENTAS!$Z:$Z,RESUMEN!AM177,VENTAS!$AD:$AD)</f>
        <v>0</v>
      </c>
      <c r="AU177" s="3">
        <f>SUMIF(VENTAS!$Z:$Z,RESUMEN!AM177,VENTAS!$AE:$AE)</f>
        <v>0</v>
      </c>
      <c r="AV177" s="97">
        <f t="shared" si="98"/>
        <v>2076</v>
      </c>
      <c r="AW177" s="96"/>
      <c r="AX177" s="99">
        <f t="shared" si="87"/>
        <v>27</v>
      </c>
      <c r="AY177" s="11">
        <f t="shared" ref="AY177:AZ192" si="113">AY176+1</f>
        <v>43445</v>
      </c>
      <c r="AZ177" s="3">
        <f t="shared" si="113"/>
        <v>184</v>
      </c>
      <c r="BA177" s="3">
        <f>SUMIF(MORTALIDAD!$AH:$AH,RESUMEN!AY177,MORTALIDAD!$AL:$AL)</f>
        <v>0</v>
      </c>
      <c r="BB177" s="19">
        <f t="shared" si="100"/>
        <v>-119</v>
      </c>
      <c r="BC177" s="3">
        <f>SUMIF(MORTALIDAD!$AH:$AH,RESUMEN!AY177,MORTALIDAD!$AM:$AM)</f>
        <v>0</v>
      </c>
      <c r="BD177" s="3">
        <f>SUMIF(TRASLADOS!$AL:$AL,RESUMEN!AY177,TRASLADOS!$AO:$AO)</f>
        <v>0</v>
      </c>
      <c r="BE177" s="3">
        <f>SUMIF(TRASLADOS!$AL:$AL,RESUMEN!AY177,TRASLADOS!$AP:$AP)</f>
        <v>0</v>
      </c>
      <c r="BF177" s="3">
        <f>SUMIF(VENTAS!$AH:$AH,RESUMEN!AY177,VENTAS!$AL:$AL)</f>
        <v>0</v>
      </c>
      <c r="BG177" s="3">
        <f>SUMIF(VENTAS!$AH:$AH,RESUMEN!AY177,VENTAS!$AM:$AM)</f>
        <v>0</v>
      </c>
      <c r="BH177" s="97">
        <f t="shared" si="101"/>
        <v>2081</v>
      </c>
      <c r="BI177" s="96"/>
      <c r="BJ177" s="99">
        <f t="shared" si="88"/>
        <v>27</v>
      </c>
      <c r="BK177" s="11">
        <f t="shared" ref="BK177:BL192" si="114">BK176+1</f>
        <v>43454</v>
      </c>
      <c r="BL177" s="3">
        <f t="shared" si="114"/>
        <v>187</v>
      </c>
      <c r="BM177" s="3">
        <f>SUMIF(MORTALIDAD!$AP:$AP,RESUMEN!BK177,MORTALIDAD!$AT:$AT)</f>
        <v>0</v>
      </c>
      <c r="BN177" s="19">
        <f t="shared" si="103"/>
        <v>-73</v>
      </c>
      <c r="BO177" s="3">
        <f>SUMIF(MORTALIDAD!$AP$6:$AP$200,RESUMEN!BK177,MORTALIDAD!$AU$6:$AU$200)</f>
        <v>0</v>
      </c>
      <c r="BP177" s="3">
        <f>SUMIF(TRASLADOS!$AU:$AU,RESUMEN!BK177,TRASLADOS!$AX:$AX)</f>
        <v>0</v>
      </c>
      <c r="BQ177" s="3">
        <f>SUMIF(TRASLADOS!$AU:$AU,RESUMEN!BK177,TRASLADOS!$AY:$AY)</f>
        <v>0</v>
      </c>
      <c r="BR177" s="3">
        <f>SUMIF(VENTAS!$AP:$AP,RESUMEN!BK177,VENTAS!$AT:$AT)</f>
        <v>0</v>
      </c>
      <c r="BS177" s="3">
        <f>SUMIF(VENTAS!$AP:$AP,RESUMEN!BK177,VENTAS!$AU:$AU)</f>
        <v>0</v>
      </c>
      <c r="BT177" s="36">
        <f t="shared" si="104"/>
        <v>2241</v>
      </c>
    </row>
    <row r="178" spans="2:72" x14ac:dyDescent="0.2">
      <c r="B178" s="3">
        <f t="shared" si="83"/>
        <v>27</v>
      </c>
      <c r="C178" s="11">
        <f t="shared" si="75"/>
        <v>43425</v>
      </c>
      <c r="D178" s="3">
        <f t="shared" si="76"/>
        <v>187</v>
      </c>
      <c r="E178" s="3">
        <f>SUMIF(MORTALIDAD!$B$6:$B$200,RESUMEN!C178,MORTALIDAD!$F$6:$F$200)</f>
        <v>0</v>
      </c>
      <c r="F178" s="17">
        <f t="shared" si="77"/>
        <v>-740</v>
      </c>
      <c r="G178" s="3">
        <f>SUMIF(MORTALIDAD!$B$6:$B$200,RESUMEN!C178,MORTALIDAD!$G$6:$G$200)</f>
        <v>0</v>
      </c>
      <c r="H178" s="3">
        <f>SUMIF(TRASLADOS!$B$6:$B$200,C178,TRASLADOS!$E$6:$E$200)</f>
        <v>0</v>
      </c>
      <c r="I178" s="3">
        <f>SUMIF(TRASLADOS!$B$6:$B$200,C178,TRASLADOS!$F$6:$F$200)</f>
        <v>0</v>
      </c>
      <c r="J178" s="3">
        <f>SUMIF(VENTAS!$B$6:$B$200,RESUMEN!C178,VENTAS!$F$6:$F$200)</f>
        <v>0</v>
      </c>
      <c r="K178" s="3">
        <f>SUMIF(VENTAS!$B$6:$B$200,RESUMEN!C178,VENTAS!$G$6:$G$200)</f>
        <v>0</v>
      </c>
      <c r="L178" s="97">
        <f t="shared" si="89"/>
        <v>1460</v>
      </c>
      <c r="M178" s="96"/>
      <c r="N178" s="99">
        <f t="shared" si="84"/>
        <v>27</v>
      </c>
      <c r="O178" s="11">
        <f t="shared" si="110"/>
        <v>43428</v>
      </c>
      <c r="P178" s="3">
        <f t="shared" si="110"/>
        <v>186</v>
      </c>
      <c r="Q178" s="3">
        <f>SUMIF(MORTALIDAD!$J:$J,RESUMEN!O178,MORTALIDAD!$N:$N)</f>
        <v>0</v>
      </c>
      <c r="R178" s="19">
        <f t="shared" si="91"/>
        <v>-680</v>
      </c>
      <c r="S178" s="3">
        <f>SUMIF(MORTALIDAD!$J:$J,RESUMEN!O178,MORTALIDAD!$O:$O)</f>
        <v>0</v>
      </c>
      <c r="T178" s="3">
        <f>SUMIF(TRASLADOS!$K:$K,RESUMEN!O178,TRASLADOS!$N:$N)</f>
        <v>0</v>
      </c>
      <c r="U178" s="3">
        <f>SUMIF(TRASLADOS!$K:$K,RESUMEN!O178,TRASLADOS!$O:$O)</f>
        <v>0</v>
      </c>
      <c r="V178" s="3">
        <f>SUMIF(VENTAS!$J:$J,RESUMEN!O178,VENTAS!$N:$N)</f>
        <v>0</v>
      </c>
      <c r="W178" s="3">
        <f>SUMIF(VENTAS!$J:$J,RESUMEN!O178,VENTAS!$O:$O)</f>
        <v>0</v>
      </c>
      <c r="X178" s="97">
        <f t="shared" si="92"/>
        <v>1520</v>
      </c>
      <c r="Y178" s="96"/>
      <c r="Z178" s="99">
        <f t="shared" si="85"/>
        <v>27</v>
      </c>
      <c r="AA178" s="11">
        <f t="shared" si="111"/>
        <v>43432</v>
      </c>
      <c r="AB178" s="3">
        <f t="shared" si="111"/>
        <v>185</v>
      </c>
      <c r="AC178" s="3">
        <f>SUMIF(MORTALIDAD!$R:$R,RESUMEN!AA178,MORTALIDAD!$V:$V)</f>
        <v>0</v>
      </c>
      <c r="AD178" s="19">
        <f t="shared" si="94"/>
        <v>-476</v>
      </c>
      <c r="AE178" s="3">
        <f>SUMIF(MORTALIDAD!$R:$R,RESUMEN!AA178,MORTALIDAD!$W:$W)</f>
        <v>0</v>
      </c>
      <c r="AF178" s="3">
        <f>SUMIF(TRASLADOS!$T:$T,RESUMEN!AA178,TRASLADOS!$W:$W)</f>
        <v>0</v>
      </c>
      <c r="AG178" s="3">
        <f>SUMIF(TRASLADOS!$T:$T,RESUMEN!AA178,TRASLADOS!$X:$X)</f>
        <v>0</v>
      </c>
      <c r="AH178" s="3">
        <f>SUMIF(VENTAS!$R:$R,RESUMEN!AA178,VENTAS!$V:$V)</f>
        <v>0</v>
      </c>
      <c r="AI178" s="3">
        <f>SUMIF(VENTAS!$R:$R,RESUMEN!AA178,VENTAS!$W:$W)</f>
        <v>0</v>
      </c>
      <c r="AJ178" s="97">
        <f t="shared" si="95"/>
        <v>1724</v>
      </c>
      <c r="AK178" s="96"/>
      <c r="AL178" s="99">
        <f t="shared" si="86"/>
        <v>27</v>
      </c>
      <c r="AM178" s="11">
        <f t="shared" si="112"/>
        <v>43439</v>
      </c>
      <c r="AN178" s="3">
        <f t="shared" si="112"/>
        <v>185</v>
      </c>
      <c r="AO178" s="3">
        <f>SUMIF(MORTALIDAD!$Z:$Z,RESUMEN!AM178,MORTALIDAD!$AD:$AD)</f>
        <v>0</v>
      </c>
      <c r="AP178" s="19">
        <f t="shared" si="97"/>
        <v>-124</v>
      </c>
      <c r="AQ178" s="3">
        <f>SUMIF(MORTALIDAD!$Z:$Z,RESUMEN!AM178,MORTALIDAD!$AE:$AE)</f>
        <v>0</v>
      </c>
      <c r="AR178" s="3">
        <f>SUMIF(TRASLADOS!$AC:$AC,RESUMEN!AM178,TRASLADOS!$AF:$AF)</f>
        <v>0</v>
      </c>
      <c r="AS178" s="3">
        <f>SUMIF(TRASLADOS!$AC:$AC,RESUMEN!AM178,TRASLADOS!$AG:$AG)</f>
        <v>0</v>
      </c>
      <c r="AT178" s="3">
        <f>SUMIF(VENTAS!$Z:$Z,RESUMEN!AM178,VENTAS!$AD:$AD)</f>
        <v>0</v>
      </c>
      <c r="AU178" s="3">
        <f>SUMIF(VENTAS!$Z:$Z,RESUMEN!AM178,VENTAS!$AE:$AE)</f>
        <v>0</v>
      </c>
      <c r="AV178" s="97">
        <f t="shared" si="98"/>
        <v>2076</v>
      </c>
      <c r="AW178" s="96"/>
      <c r="AX178" s="99">
        <f t="shared" si="87"/>
        <v>27</v>
      </c>
      <c r="AY178" s="11">
        <f t="shared" si="113"/>
        <v>43446</v>
      </c>
      <c r="AZ178" s="3">
        <f t="shared" si="113"/>
        <v>185</v>
      </c>
      <c r="BA178" s="3">
        <f>SUMIF(MORTALIDAD!$AH:$AH,RESUMEN!AY178,MORTALIDAD!$AL:$AL)</f>
        <v>0</v>
      </c>
      <c r="BB178" s="19">
        <f t="shared" si="100"/>
        <v>-119</v>
      </c>
      <c r="BC178" s="3">
        <f>SUMIF(MORTALIDAD!$AH:$AH,RESUMEN!AY178,MORTALIDAD!$AM:$AM)</f>
        <v>0</v>
      </c>
      <c r="BD178" s="3">
        <f>SUMIF(TRASLADOS!$AL:$AL,RESUMEN!AY178,TRASLADOS!$AO:$AO)</f>
        <v>0</v>
      </c>
      <c r="BE178" s="3">
        <f>SUMIF(TRASLADOS!$AL:$AL,RESUMEN!AY178,TRASLADOS!$AP:$AP)</f>
        <v>0</v>
      </c>
      <c r="BF178" s="3">
        <f>SUMIF(VENTAS!$AH:$AH,RESUMEN!AY178,VENTAS!$AL:$AL)</f>
        <v>0</v>
      </c>
      <c r="BG178" s="3">
        <f>SUMIF(VENTAS!$AH:$AH,RESUMEN!AY178,VENTAS!$AM:$AM)</f>
        <v>0</v>
      </c>
      <c r="BH178" s="97">
        <f t="shared" si="101"/>
        <v>2081</v>
      </c>
      <c r="BI178" s="96"/>
      <c r="BJ178" s="99">
        <f t="shared" si="88"/>
        <v>27</v>
      </c>
      <c r="BK178" s="11">
        <f t="shared" si="114"/>
        <v>43455</v>
      </c>
      <c r="BL178" s="3">
        <f t="shared" si="114"/>
        <v>188</v>
      </c>
      <c r="BM178" s="3">
        <f>SUMIF(MORTALIDAD!$AP:$AP,RESUMEN!BK178,MORTALIDAD!$AT:$AT)</f>
        <v>0</v>
      </c>
      <c r="BN178" s="19">
        <f t="shared" si="103"/>
        <v>-73</v>
      </c>
      <c r="BO178" s="3">
        <f>SUMIF(MORTALIDAD!$AP$6:$AP$200,RESUMEN!BK178,MORTALIDAD!$AU$6:$AU$200)</f>
        <v>0</v>
      </c>
      <c r="BP178" s="3">
        <f>SUMIF(TRASLADOS!$AU:$AU,RESUMEN!BK178,TRASLADOS!$AX:$AX)</f>
        <v>0</v>
      </c>
      <c r="BQ178" s="3">
        <f>SUMIF(TRASLADOS!$AU:$AU,RESUMEN!BK178,TRASLADOS!$AY:$AY)</f>
        <v>0</v>
      </c>
      <c r="BR178" s="3">
        <f>SUMIF(VENTAS!$AP:$AP,RESUMEN!BK178,VENTAS!$AT:$AT)</f>
        <v>0</v>
      </c>
      <c r="BS178" s="3">
        <f>SUMIF(VENTAS!$AP:$AP,RESUMEN!BK178,VENTAS!$AU:$AU)</f>
        <v>0</v>
      </c>
      <c r="BT178" s="36">
        <f t="shared" si="104"/>
        <v>2241</v>
      </c>
    </row>
    <row r="179" spans="2:72" x14ac:dyDescent="0.2">
      <c r="B179" s="3">
        <f t="shared" si="83"/>
        <v>27</v>
      </c>
      <c r="C179" s="11">
        <f t="shared" si="75"/>
        <v>43426</v>
      </c>
      <c r="D179" s="3">
        <f t="shared" si="76"/>
        <v>188</v>
      </c>
      <c r="E179" s="3">
        <f>SUMIF(MORTALIDAD!$B$6:$B$200,RESUMEN!C179,MORTALIDAD!$F$6:$F$200)</f>
        <v>0</v>
      </c>
      <c r="F179" s="17">
        <f t="shared" si="77"/>
        <v>-740</v>
      </c>
      <c r="G179" s="3">
        <f>SUMIF(MORTALIDAD!$B$6:$B$200,RESUMEN!C179,MORTALIDAD!$G$6:$G$200)</f>
        <v>0</v>
      </c>
      <c r="H179" s="3">
        <f>SUMIF(TRASLADOS!$B$6:$B$200,C179,TRASLADOS!$E$6:$E$200)</f>
        <v>0</v>
      </c>
      <c r="I179" s="3">
        <f>SUMIF(TRASLADOS!$B$6:$B$200,C179,TRASLADOS!$F$6:$F$200)</f>
        <v>0</v>
      </c>
      <c r="J179" s="3">
        <f>SUMIF(VENTAS!$B$6:$B$200,RESUMEN!C179,VENTAS!$F$6:$F$200)</f>
        <v>0</v>
      </c>
      <c r="K179" s="3">
        <f>SUMIF(VENTAS!$B$6:$B$200,RESUMEN!C179,VENTAS!$G$6:$G$200)</f>
        <v>0</v>
      </c>
      <c r="L179" s="97">
        <f t="shared" si="89"/>
        <v>1460</v>
      </c>
      <c r="M179" s="96"/>
      <c r="N179" s="99">
        <f t="shared" si="84"/>
        <v>27</v>
      </c>
      <c r="O179" s="11">
        <f t="shared" si="110"/>
        <v>43429</v>
      </c>
      <c r="P179" s="3">
        <f t="shared" si="110"/>
        <v>187</v>
      </c>
      <c r="Q179" s="3">
        <f>SUMIF(MORTALIDAD!$J:$J,RESUMEN!O179,MORTALIDAD!$N:$N)</f>
        <v>0</v>
      </c>
      <c r="R179" s="19">
        <f t="shared" si="91"/>
        <v>-680</v>
      </c>
      <c r="S179" s="3">
        <f>SUMIF(MORTALIDAD!$J:$J,RESUMEN!O179,MORTALIDAD!$O:$O)</f>
        <v>0</v>
      </c>
      <c r="T179" s="3">
        <f>SUMIF(TRASLADOS!$K:$K,RESUMEN!O179,TRASLADOS!$N:$N)</f>
        <v>0</v>
      </c>
      <c r="U179" s="3">
        <f>SUMIF(TRASLADOS!$K:$K,RESUMEN!O179,TRASLADOS!$O:$O)</f>
        <v>0</v>
      </c>
      <c r="V179" s="3">
        <f>SUMIF(VENTAS!$J:$J,RESUMEN!O179,VENTAS!$N:$N)</f>
        <v>0</v>
      </c>
      <c r="W179" s="3">
        <f>SUMIF(VENTAS!$J:$J,RESUMEN!O179,VENTAS!$O:$O)</f>
        <v>0</v>
      </c>
      <c r="X179" s="97">
        <f t="shared" si="92"/>
        <v>1520</v>
      </c>
      <c r="Y179" s="96"/>
      <c r="Z179" s="99">
        <f t="shared" si="85"/>
        <v>27</v>
      </c>
      <c r="AA179" s="11">
        <f t="shared" si="111"/>
        <v>43433</v>
      </c>
      <c r="AB179" s="3">
        <f t="shared" si="111"/>
        <v>186</v>
      </c>
      <c r="AC179" s="3">
        <f>SUMIF(MORTALIDAD!$R:$R,RESUMEN!AA179,MORTALIDAD!$V:$V)</f>
        <v>0</v>
      </c>
      <c r="AD179" s="19">
        <f t="shared" si="94"/>
        <v>-476</v>
      </c>
      <c r="AE179" s="3">
        <f>SUMIF(MORTALIDAD!$R:$R,RESUMEN!AA179,MORTALIDAD!$W:$W)</f>
        <v>0</v>
      </c>
      <c r="AF179" s="3">
        <f>SUMIF(TRASLADOS!$T:$T,RESUMEN!AA179,TRASLADOS!$W:$W)</f>
        <v>0</v>
      </c>
      <c r="AG179" s="3">
        <f>SUMIF(TRASLADOS!$T:$T,RESUMEN!AA179,TRASLADOS!$X:$X)</f>
        <v>0</v>
      </c>
      <c r="AH179" s="3">
        <f>SUMIF(VENTAS!$R:$R,RESUMEN!AA179,VENTAS!$V:$V)</f>
        <v>0</v>
      </c>
      <c r="AI179" s="3">
        <f>SUMIF(VENTAS!$R:$R,RESUMEN!AA179,VENTAS!$W:$W)</f>
        <v>0</v>
      </c>
      <c r="AJ179" s="97">
        <f t="shared" si="95"/>
        <v>1724</v>
      </c>
      <c r="AK179" s="96"/>
      <c r="AL179" s="99">
        <f t="shared" si="86"/>
        <v>27</v>
      </c>
      <c r="AM179" s="11">
        <f t="shared" si="112"/>
        <v>43440</v>
      </c>
      <c r="AN179" s="3">
        <f t="shared" si="112"/>
        <v>186</v>
      </c>
      <c r="AO179" s="3">
        <f>SUMIF(MORTALIDAD!$Z:$Z,RESUMEN!AM179,MORTALIDAD!$AD:$AD)</f>
        <v>0</v>
      </c>
      <c r="AP179" s="19">
        <f t="shared" si="97"/>
        <v>-124</v>
      </c>
      <c r="AQ179" s="3">
        <f>SUMIF(MORTALIDAD!$Z:$Z,RESUMEN!AM179,MORTALIDAD!$AE:$AE)</f>
        <v>0</v>
      </c>
      <c r="AR179" s="3">
        <f>SUMIF(TRASLADOS!$AC:$AC,RESUMEN!AM179,TRASLADOS!$AF:$AF)</f>
        <v>0</v>
      </c>
      <c r="AS179" s="3">
        <f>SUMIF(TRASLADOS!$AC:$AC,RESUMEN!AM179,TRASLADOS!$AG:$AG)</f>
        <v>0</v>
      </c>
      <c r="AT179" s="3">
        <f>SUMIF(VENTAS!$Z:$Z,RESUMEN!AM179,VENTAS!$AD:$AD)</f>
        <v>0</v>
      </c>
      <c r="AU179" s="3">
        <f>SUMIF(VENTAS!$Z:$Z,RESUMEN!AM179,VENTAS!$AE:$AE)</f>
        <v>0</v>
      </c>
      <c r="AV179" s="97">
        <f t="shared" si="98"/>
        <v>2076</v>
      </c>
      <c r="AW179" s="96"/>
      <c r="AX179" s="99">
        <f t="shared" si="87"/>
        <v>27</v>
      </c>
      <c r="AY179" s="11">
        <f t="shared" si="113"/>
        <v>43447</v>
      </c>
      <c r="AZ179" s="3">
        <f t="shared" si="113"/>
        <v>186</v>
      </c>
      <c r="BA179" s="3">
        <f>SUMIF(MORTALIDAD!$AH:$AH,RESUMEN!AY179,MORTALIDAD!$AL:$AL)</f>
        <v>0</v>
      </c>
      <c r="BB179" s="19">
        <f t="shared" si="100"/>
        <v>-119</v>
      </c>
      <c r="BC179" s="3">
        <f>SUMIF(MORTALIDAD!$AH:$AH,RESUMEN!AY179,MORTALIDAD!$AM:$AM)</f>
        <v>0</v>
      </c>
      <c r="BD179" s="3">
        <f>SUMIF(TRASLADOS!$AL:$AL,RESUMEN!AY179,TRASLADOS!$AO:$AO)</f>
        <v>0</v>
      </c>
      <c r="BE179" s="3">
        <f>SUMIF(TRASLADOS!$AL:$AL,RESUMEN!AY179,TRASLADOS!$AP:$AP)</f>
        <v>0</v>
      </c>
      <c r="BF179" s="3">
        <f>SUMIF(VENTAS!$AH:$AH,RESUMEN!AY179,VENTAS!$AL:$AL)</f>
        <v>0</v>
      </c>
      <c r="BG179" s="3">
        <f>SUMIF(VENTAS!$AH:$AH,RESUMEN!AY179,VENTAS!$AM:$AM)</f>
        <v>0</v>
      </c>
      <c r="BH179" s="97">
        <f t="shared" si="101"/>
        <v>2081</v>
      </c>
      <c r="BI179" s="96"/>
      <c r="BJ179" s="99">
        <f t="shared" si="88"/>
        <v>27</v>
      </c>
      <c r="BK179" s="11">
        <f t="shared" si="114"/>
        <v>43456</v>
      </c>
      <c r="BL179" s="3">
        <f t="shared" si="114"/>
        <v>189</v>
      </c>
      <c r="BM179" s="3">
        <f>SUMIF(MORTALIDAD!$AP:$AP,RESUMEN!BK179,MORTALIDAD!$AT:$AT)</f>
        <v>0</v>
      </c>
      <c r="BN179" s="19">
        <f t="shared" si="103"/>
        <v>-73</v>
      </c>
      <c r="BO179" s="3">
        <f>SUMIF(MORTALIDAD!$AP$6:$AP$200,RESUMEN!BK179,MORTALIDAD!$AU$6:$AU$200)</f>
        <v>0</v>
      </c>
      <c r="BP179" s="3">
        <f>SUMIF(TRASLADOS!$AU:$AU,RESUMEN!BK179,TRASLADOS!$AX:$AX)</f>
        <v>0</v>
      </c>
      <c r="BQ179" s="3">
        <f>SUMIF(TRASLADOS!$AU:$AU,RESUMEN!BK179,TRASLADOS!$AY:$AY)</f>
        <v>0</v>
      </c>
      <c r="BR179" s="3">
        <f>SUMIF(VENTAS!$AP:$AP,RESUMEN!BK179,VENTAS!$AT:$AT)</f>
        <v>0</v>
      </c>
      <c r="BS179" s="3">
        <f>SUMIF(VENTAS!$AP:$AP,RESUMEN!BK179,VENTAS!$AU:$AU)</f>
        <v>0</v>
      </c>
      <c r="BT179" s="36">
        <f t="shared" si="104"/>
        <v>2241</v>
      </c>
    </row>
    <row r="180" spans="2:72" x14ac:dyDescent="0.2">
      <c r="B180" s="3">
        <f t="shared" si="83"/>
        <v>27</v>
      </c>
      <c r="C180" s="11">
        <f t="shared" ref="C180:C243" si="115">C179+1</f>
        <v>43427</v>
      </c>
      <c r="D180" s="3">
        <f t="shared" ref="D180:D243" si="116">D179+1</f>
        <v>189</v>
      </c>
      <c r="E180" s="3">
        <f>SUMIF(MORTALIDAD!$B$6:$B$200,RESUMEN!C180,MORTALIDAD!$F$6:$F$200)</f>
        <v>0</v>
      </c>
      <c r="F180" s="17">
        <f t="shared" ref="F180:F243" si="117">F179+E180</f>
        <v>-740</v>
      </c>
      <c r="G180" s="3">
        <f>SUMIF(MORTALIDAD!$B$6:$B$200,RESUMEN!C180,MORTALIDAD!$G$6:$G$200)</f>
        <v>0</v>
      </c>
      <c r="H180" s="3">
        <f>SUMIF(TRASLADOS!$B$6:$B$200,C180,TRASLADOS!$E$6:$E$200)</f>
        <v>0</v>
      </c>
      <c r="I180" s="3">
        <f>SUMIF(TRASLADOS!$B$6:$B$200,C180,TRASLADOS!$F$6:$F$200)</f>
        <v>0</v>
      </c>
      <c r="J180" s="3">
        <f>SUMIF(VENTAS!$B$6:$B$200,RESUMEN!C180,VENTAS!$F$6:$F$200)</f>
        <v>0</v>
      </c>
      <c r="K180" s="3">
        <f>SUMIF(VENTAS!$B$6:$B$200,RESUMEN!C180,VENTAS!$G$6:$G$200)</f>
        <v>0</v>
      </c>
      <c r="L180" s="97">
        <f t="shared" si="89"/>
        <v>1460</v>
      </c>
      <c r="M180" s="96"/>
      <c r="N180" s="99">
        <f t="shared" si="84"/>
        <v>27</v>
      </c>
      <c r="O180" s="11">
        <f t="shared" si="110"/>
        <v>43430</v>
      </c>
      <c r="P180" s="3">
        <f t="shared" si="110"/>
        <v>188</v>
      </c>
      <c r="Q180" s="3">
        <f>SUMIF(MORTALIDAD!$J:$J,RESUMEN!O180,MORTALIDAD!$N:$N)</f>
        <v>0</v>
      </c>
      <c r="R180" s="19">
        <f t="shared" si="91"/>
        <v>-680</v>
      </c>
      <c r="S180" s="3">
        <f>SUMIF(MORTALIDAD!$J:$J,RESUMEN!O180,MORTALIDAD!$O:$O)</f>
        <v>0</v>
      </c>
      <c r="T180" s="3">
        <f>SUMIF(TRASLADOS!$K:$K,RESUMEN!O180,TRASLADOS!$N:$N)</f>
        <v>0</v>
      </c>
      <c r="U180" s="3">
        <f>SUMIF(TRASLADOS!$K:$K,RESUMEN!O180,TRASLADOS!$O:$O)</f>
        <v>0</v>
      </c>
      <c r="V180" s="3">
        <f>SUMIF(VENTAS!$J:$J,RESUMEN!O180,VENTAS!$N:$N)</f>
        <v>0</v>
      </c>
      <c r="W180" s="3">
        <f>SUMIF(VENTAS!$J:$J,RESUMEN!O180,VENTAS!$O:$O)</f>
        <v>0</v>
      </c>
      <c r="X180" s="97">
        <f t="shared" si="92"/>
        <v>1520</v>
      </c>
      <c r="Y180" s="96"/>
      <c r="Z180" s="99">
        <f t="shared" si="85"/>
        <v>27</v>
      </c>
      <c r="AA180" s="11">
        <f t="shared" si="111"/>
        <v>43434</v>
      </c>
      <c r="AB180" s="3">
        <f t="shared" si="111"/>
        <v>187</v>
      </c>
      <c r="AC180" s="3">
        <f>SUMIF(MORTALIDAD!$R:$R,RESUMEN!AA180,MORTALIDAD!$V:$V)</f>
        <v>0</v>
      </c>
      <c r="AD180" s="19">
        <f t="shared" si="94"/>
        <v>-476</v>
      </c>
      <c r="AE180" s="3">
        <f>SUMIF(MORTALIDAD!$R:$R,RESUMEN!AA180,MORTALIDAD!$W:$W)</f>
        <v>0</v>
      </c>
      <c r="AF180" s="3">
        <f>SUMIF(TRASLADOS!$T:$T,RESUMEN!AA180,TRASLADOS!$W:$W)</f>
        <v>0</v>
      </c>
      <c r="AG180" s="3">
        <f>SUMIF(TRASLADOS!$T:$T,RESUMEN!AA180,TRASLADOS!$X:$X)</f>
        <v>0</v>
      </c>
      <c r="AH180" s="3">
        <f>SUMIF(VENTAS!$R:$R,RESUMEN!AA180,VENTAS!$V:$V)</f>
        <v>0</v>
      </c>
      <c r="AI180" s="3">
        <f>SUMIF(VENTAS!$R:$R,RESUMEN!AA180,VENTAS!$W:$W)</f>
        <v>0</v>
      </c>
      <c r="AJ180" s="97">
        <f t="shared" si="95"/>
        <v>1724</v>
      </c>
      <c r="AK180" s="96"/>
      <c r="AL180" s="99">
        <f t="shared" si="86"/>
        <v>27</v>
      </c>
      <c r="AM180" s="11">
        <f t="shared" si="112"/>
        <v>43441</v>
      </c>
      <c r="AN180" s="3">
        <f t="shared" si="112"/>
        <v>187</v>
      </c>
      <c r="AO180" s="3">
        <f>SUMIF(MORTALIDAD!$Z:$Z,RESUMEN!AM180,MORTALIDAD!$AD:$AD)</f>
        <v>0</v>
      </c>
      <c r="AP180" s="19">
        <f t="shared" si="97"/>
        <v>-124</v>
      </c>
      <c r="AQ180" s="3">
        <f>SUMIF(MORTALIDAD!$Z:$Z,RESUMEN!AM180,MORTALIDAD!$AE:$AE)</f>
        <v>0</v>
      </c>
      <c r="AR180" s="3">
        <f>SUMIF(TRASLADOS!$AC:$AC,RESUMEN!AM180,TRASLADOS!$AF:$AF)</f>
        <v>0</v>
      </c>
      <c r="AS180" s="3">
        <f>SUMIF(TRASLADOS!$AC:$AC,RESUMEN!AM180,TRASLADOS!$AG:$AG)</f>
        <v>0</v>
      </c>
      <c r="AT180" s="3">
        <f>SUMIF(VENTAS!$Z:$Z,RESUMEN!AM180,VENTAS!$AD:$AD)</f>
        <v>0</v>
      </c>
      <c r="AU180" s="3">
        <f>SUMIF(VENTAS!$Z:$Z,RESUMEN!AM180,VENTAS!$AE:$AE)</f>
        <v>0</v>
      </c>
      <c r="AV180" s="97">
        <f t="shared" si="98"/>
        <v>2076</v>
      </c>
      <c r="AW180" s="96"/>
      <c r="AX180" s="99">
        <f t="shared" si="87"/>
        <v>27</v>
      </c>
      <c r="AY180" s="11">
        <f t="shared" si="113"/>
        <v>43448</v>
      </c>
      <c r="AZ180" s="3">
        <f t="shared" si="113"/>
        <v>187</v>
      </c>
      <c r="BA180" s="3">
        <f>SUMIF(MORTALIDAD!$AH:$AH,RESUMEN!AY180,MORTALIDAD!$AL:$AL)</f>
        <v>0</v>
      </c>
      <c r="BB180" s="19">
        <f t="shared" si="100"/>
        <v>-119</v>
      </c>
      <c r="BC180" s="3">
        <f>SUMIF(MORTALIDAD!$AH:$AH,RESUMEN!AY180,MORTALIDAD!$AM:$AM)</f>
        <v>0</v>
      </c>
      <c r="BD180" s="3">
        <f>SUMIF(TRASLADOS!$AL:$AL,RESUMEN!AY180,TRASLADOS!$AO:$AO)</f>
        <v>0</v>
      </c>
      <c r="BE180" s="3">
        <f>SUMIF(TRASLADOS!$AL:$AL,RESUMEN!AY180,TRASLADOS!$AP:$AP)</f>
        <v>0</v>
      </c>
      <c r="BF180" s="3">
        <f>SUMIF(VENTAS!$AH:$AH,RESUMEN!AY180,VENTAS!$AL:$AL)</f>
        <v>0</v>
      </c>
      <c r="BG180" s="3">
        <f>SUMIF(VENTAS!$AH:$AH,RESUMEN!AY180,VENTAS!$AM:$AM)</f>
        <v>0</v>
      </c>
      <c r="BH180" s="97">
        <f t="shared" si="101"/>
        <v>2081</v>
      </c>
      <c r="BI180" s="96"/>
      <c r="BJ180" s="99">
        <f t="shared" si="88"/>
        <v>28</v>
      </c>
      <c r="BK180" s="11">
        <f t="shared" si="114"/>
        <v>43457</v>
      </c>
      <c r="BL180" s="3">
        <f t="shared" si="114"/>
        <v>190</v>
      </c>
      <c r="BM180" s="3">
        <f>SUMIF(MORTALIDAD!$AP:$AP,RESUMEN!BK180,MORTALIDAD!$AT:$AT)</f>
        <v>0</v>
      </c>
      <c r="BN180" s="19">
        <f t="shared" si="103"/>
        <v>-73</v>
      </c>
      <c r="BO180" s="3">
        <f>SUMIF(MORTALIDAD!$AP$6:$AP$200,RESUMEN!BK180,MORTALIDAD!$AU$6:$AU$200)</f>
        <v>0</v>
      </c>
      <c r="BP180" s="3">
        <f>SUMIF(TRASLADOS!$AU:$AU,RESUMEN!BK180,TRASLADOS!$AX:$AX)</f>
        <v>0</v>
      </c>
      <c r="BQ180" s="3">
        <f>SUMIF(TRASLADOS!$AU:$AU,RESUMEN!BK180,TRASLADOS!$AY:$AY)</f>
        <v>0</v>
      </c>
      <c r="BR180" s="3">
        <f>SUMIF(VENTAS!$AP:$AP,RESUMEN!BK180,VENTAS!$AT:$AT)</f>
        <v>0</v>
      </c>
      <c r="BS180" s="3">
        <f>SUMIF(VENTAS!$AP:$AP,RESUMEN!BK180,VENTAS!$AU:$AU)</f>
        <v>0</v>
      </c>
      <c r="BT180" s="36">
        <f t="shared" si="104"/>
        <v>2241</v>
      </c>
    </row>
    <row r="181" spans="2:72" x14ac:dyDescent="0.2">
      <c r="B181" s="3">
        <f t="shared" si="83"/>
        <v>28</v>
      </c>
      <c r="C181" s="11">
        <f t="shared" si="115"/>
        <v>43428</v>
      </c>
      <c r="D181" s="3">
        <f t="shared" si="116"/>
        <v>190</v>
      </c>
      <c r="E181" s="3">
        <f>SUMIF(MORTALIDAD!$B$6:$B$200,RESUMEN!C181,MORTALIDAD!$F$6:$F$200)</f>
        <v>0</v>
      </c>
      <c r="F181" s="17">
        <f t="shared" si="117"/>
        <v>-740</v>
      </c>
      <c r="G181" s="3">
        <f>SUMIF(MORTALIDAD!$B$6:$B$200,RESUMEN!C181,MORTALIDAD!$G$6:$G$200)</f>
        <v>0</v>
      </c>
      <c r="H181" s="3">
        <f>SUMIF(TRASLADOS!$B$6:$B$200,C181,TRASLADOS!$E$6:$E$200)</f>
        <v>0</v>
      </c>
      <c r="I181" s="3">
        <f>SUMIF(TRASLADOS!$B$6:$B$200,C181,TRASLADOS!$F$6:$F$200)</f>
        <v>0</v>
      </c>
      <c r="J181" s="3">
        <f>SUMIF(VENTAS!$B$6:$B$200,RESUMEN!C181,VENTAS!$F$6:$F$200)</f>
        <v>0</v>
      </c>
      <c r="K181" s="3">
        <f>SUMIF(VENTAS!$B$6:$B$200,RESUMEN!C181,VENTAS!$G$6:$G$200)</f>
        <v>0</v>
      </c>
      <c r="L181" s="97">
        <f t="shared" si="89"/>
        <v>1460</v>
      </c>
      <c r="M181" s="96"/>
      <c r="N181" s="99">
        <f t="shared" si="84"/>
        <v>27</v>
      </c>
      <c r="O181" s="11">
        <f t="shared" si="110"/>
        <v>43431</v>
      </c>
      <c r="P181" s="3">
        <f t="shared" si="110"/>
        <v>189</v>
      </c>
      <c r="Q181" s="3">
        <f>SUMIF(MORTALIDAD!$J:$J,RESUMEN!O181,MORTALIDAD!$N:$N)</f>
        <v>0</v>
      </c>
      <c r="R181" s="19">
        <f t="shared" si="91"/>
        <v>-680</v>
      </c>
      <c r="S181" s="3">
        <f>SUMIF(MORTALIDAD!$J:$J,RESUMEN!O181,MORTALIDAD!$O:$O)</f>
        <v>0</v>
      </c>
      <c r="T181" s="3">
        <f>SUMIF(TRASLADOS!$K:$K,RESUMEN!O181,TRASLADOS!$N:$N)</f>
        <v>0</v>
      </c>
      <c r="U181" s="3">
        <f>SUMIF(TRASLADOS!$K:$K,RESUMEN!O181,TRASLADOS!$O:$O)</f>
        <v>0</v>
      </c>
      <c r="V181" s="3">
        <f>SUMIF(VENTAS!$J:$J,RESUMEN!O181,VENTAS!$N:$N)</f>
        <v>0</v>
      </c>
      <c r="W181" s="3">
        <f>SUMIF(VENTAS!$J:$J,RESUMEN!O181,VENTAS!$O:$O)</f>
        <v>0</v>
      </c>
      <c r="X181" s="97">
        <f t="shared" si="92"/>
        <v>1520</v>
      </c>
      <c r="Y181" s="96"/>
      <c r="Z181" s="99">
        <f t="shared" si="85"/>
        <v>27</v>
      </c>
      <c r="AA181" s="11">
        <f t="shared" si="111"/>
        <v>43435</v>
      </c>
      <c r="AB181" s="3">
        <f t="shared" si="111"/>
        <v>188</v>
      </c>
      <c r="AC181" s="3">
        <f>SUMIF(MORTALIDAD!$R:$R,RESUMEN!AA181,MORTALIDAD!$V:$V)</f>
        <v>0</v>
      </c>
      <c r="AD181" s="19">
        <f t="shared" si="94"/>
        <v>-476</v>
      </c>
      <c r="AE181" s="3">
        <f>SUMIF(MORTALIDAD!$R:$R,RESUMEN!AA181,MORTALIDAD!$W:$W)</f>
        <v>0</v>
      </c>
      <c r="AF181" s="3">
        <f>SUMIF(TRASLADOS!$T:$T,RESUMEN!AA181,TRASLADOS!$W:$W)</f>
        <v>0</v>
      </c>
      <c r="AG181" s="3">
        <f>SUMIF(TRASLADOS!$T:$T,RESUMEN!AA181,TRASLADOS!$X:$X)</f>
        <v>0</v>
      </c>
      <c r="AH181" s="3">
        <f>SUMIF(VENTAS!$R:$R,RESUMEN!AA181,VENTAS!$V:$V)</f>
        <v>0</v>
      </c>
      <c r="AI181" s="3">
        <f>SUMIF(VENTAS!$R:$R,RESUMEN!AA181,VENTAS!$W:$W)</f>
        <v>0</v>
      </c>
      <c r="AJ181" s="97">
        <f t="shared" si="95"/>
        <v>1724</v>
      </c>
      <c r="AK181" s="96"/>
      <c r="AL181" s="99">
        <f t="shared" si="86"/>
        <v>27</v>
      </c>
      <c r="AM181" s="11">
        <f t="shared" si="112"/>
        <v>43442</v>
      </c>
      <c r="AN181" s="3">
        <f t="shared" si="112"/>
        <v>188</v>
      </c>
      <c r="AO181" s="3">
        <f>SUMIF(MORTALIDAD!$Z:$Z,RESUMEN!AM181,MORTALIDAD!$AD:$AD)</f>
        <v>0</v>
      </c>
      <c r="AP181" s="19">
        <f t="shared" si="97"/>
        <v>-124</v>
      </c>
      <c r="AQ181" s="3">
        <f>SUMIF(MORTALIDAD!$Z:$Z,RESUMEN!AM181,MORTALIDAD!$AE:$AE)</f>
        <v>0</v>
      </c>
      <c r="AR181" s="3">
        <f>SUMIF(TRASLADOS!$AC:$AC,RESUMEN!AM181,TRASLADOS!$AF:$AF)</f>
        <v>0</v>
      </c>
      <c r="AS181" s="3">
        <f>SUMIF(TRASLADOS!$AC:$AC,RESUMEN!AM181,TRASLADOS!$AG:$AG)</f>
        <v>0</v>
      </c>
      <c r="AT181" s="3">
        <f>SUMIF(VENTAS!$Z:$Z,RESUMEN!AM181,VENTAS!$AD:$AD)</f>
        <v>0</v>
      </c>
      <c r="AU181" s="3">
        <f>SUMIF(VENTAS!$Z:$Z,RESUMEN!AM181,VENTAS!$AE:$AE)</f>
        <v>0</v>
      </c>
      <c r="AV181" s="97">
        <f t="shared" si="98"/>
        <v>2076</v>
      </c>
      <c r="AW181" s="96"/>
      <c r="AX181" s="99">
        <f t="shared" si="87"/>
        <v>27</v>
      </c>
      <c r="AY181" s="11">
        <f t="shared" si="113"/>
        <v>43449</v>
      </c>
      <c r="AZ181" s="3">
        <f t="shared" si="113"/>
        <v>188</v>
      </c>
      <c r="BA181" s="3">
        <f>SUMIF(MORTALIDAD!$AH:$AH,RESUMEN!AY181,MORTALIDAD!$AL:$AL)</f>
        <v>0</v>
      </c>
      <c r="BB181" s="19">
        <f t="shared" si="100"/>
        <v>-119</v>
      </c>
      <c r="BC181" s="3">
        <f>SUMIF(MORTALIDAD!$AH:$AH,RESUMEN!AY181,MORTALIDAD!$AM:$AM)</f>
        <v>0</v>
      </c>
      <c r="BD181" s="3">
        <f>SUMIF(TRASLADOS!$AL:$AL,RESUMEN!AY181,TRASLADOS!$AO:$AO)</f>
        <v>0</v>
      </c>
      <c r="BE181" s="3">
        <f>SUMIF(TRASLADOS!$AL:$AL,RESUMEN!AY181,TRASLADOS!$AP:$AP)</f>
        <v>0</v>
      </c>
      <c r="BF181" s="3">
        <f>SUMIF(VENTAS!$AH:$AH,RESUMEN!AY181,VENTAS!$AL:$AL)</f>
        <v>0</v>
      </c>
      <c r="BG181" s="3">
        <f>SUMIF(VENTAS!$AH:$AH,RESUMEN!AY181,VENTAS!$AM:$AM)</f>
        <v>0</v>
      </c>
      <c r="BH181" s="97">
        <f t="shared" si="101"/>
        <v>2081</v>
      </c>
      <c r="BI181" s="96"/>
      <c r="BJ181" s="99">
        <f t="shared" si="88"/>
        <v>28</v>
      </c>
      <c r="BK181" s="11">
        <f t="shared" si="114"/>
        <v>43458</v>
      </c>
      <c r="BL181" s="3">
        <f t="shared" si="114"/>
        <v>191</v>
      </c>
      <c r="BM181" s="3">
        <f>SUMIF(MORTALIDAD!$AP:$AP,RESUMEN!BK181,MORTALIDAD!$AT:$AT)</f>
        <v>0</v>
      </c>
      <c r="BN181" s="19">
        <f t="shared" si="103"/>
        <v>-73</v>
      </c>
      <c r="BO181" s="3">
        <f>SUMIF(MORTALIDAD!$AP$6:$AP$200,RESUMEN!BK181,MORTALIDAD!$AU$6:$AU$200)</f>
        <v>0</v>
      </c>
      <c r="BP181" s="3">
        <f>SUMIF(TRASLADOS!$AU:$AU,RESUMEN!BK181,TRASLADOS!$AX:$AX)</f>
        <v>0</v>
      </c>
      <c r="BQ181" s="3">
        <f>SUMIF(TRASLADOS!$AU:$AU,RESUMEN!BK181,TRASLADOS!$AY:$AY)</f>
        <v>0</v>
      </c>
      <c r="BR181" s="3">
        <f>SUMIF(VENTAS!$AP:$AP,RESUMEN!BK181,VENTAS!$AT:$AT)</f>
        <v>0</v>
      </c>
      <c r="BS181" s="3">
        <f>SUMIF(VENTAS!$AP:$AP,RESUMEN!BK181,VENTAS!$AU:$AU)</f>
        <v>0</v>
      </c>
      <c r="BT181" s="36">
        <f t="shared" si="104"/>
        <v>2241</v>
      </c>
    </row>
    <row r="182" spans="2:72" x14ac:dyDescent="0.2">
      <c r="B182" s="3">
        <f t="shared" si="83"/>
        <v>28</v>
      </c>
      <c r="C182" s="11">
        <f t="shared" si="115"/>
        <v>43429</v>
      </c>
      <c r="D182" s="3">
        <f t="shared" si="116"/>
        <v>191</v>
      </c>
      <c r="E182" s="3">
        <f>SUMIF(MORTALIDAD!$B$6:$B$200,RESUMEN!C182,MORTALIDAD!$F$6:$F$200)</f>
        <v>0</v>
      </c>
      <c r="F182" s="17">
        <f t="shared" si="117"/>
        <v>-740</v>
      </c>
      <c r="G182" s="3">
        <f>SUMIF(MORTALIDAD!$B$6:$B$200,RESUMEN!C182,MORTALIDAD!$G$6:$G$200)</f>
        <v>0</v>
      </c>
      <c r="H182" s="3">
        <f>SUMIF(TRASLADOS!$B$6:$B$200,C182,TRASLADOS!$E$6:$E$200)</f>
        <v>0</v>
      </c>
      <c r="I182" s="3">
        <f>SUMIF(TRASLADOS!$B$6:$B$200,C182,TRASLADOS!$F$6:$F$200)</f>
        <v>0</v>
      </c>
      <c r="J182" s="3">
        <f>SUMIF(VENTAS!$B$6:$B$200,RESUMEN!C182,VENTAS!$F$6:$F$200)</f>
        <v>0</v>
      </c>
      <c r="K182" s="3">
        <f>SUMIF(VENTAS!$B$6:$B$200,RESUMEN!C182,VENTAS!$G$6:$G$200)</f>
        <v>0</v>
      </c>
      <c r="L182" s="97">
        <f t="shared" si="89"/>
        <v>1460</v>
      </c>
      <c r="M182" s="96"/>
      <c r="N182" s="99">
        <f t="shared" si="84"/>
        <v>28</v>
      </c>
      <c r="O182" s="11">
        <f t="shared" si="110"/>
        <v>43432</v>
      </c>
      <c r="P182" s="3">
        <f t="shared" si="110"/>
        <v>190</v>
      </c>
      <c r="Q182" s="3">
        <f>SUMIF(MORTALIDAD!$J:$J,RESUMEN!O182,MORTALIDAD!$N:$N)</f>
        <v>0</v>
      </c>
      <c r="R182" s="19">
        <f t="shared" si="91"/>
        <v>-680</v>
      </c>
      <c r="S182" s="3">
        <f>SUMIF(MORTALIDAD!$J:$J,RESUMEN!O182,MORTALIDAD!$O:$O)</f>
        <v>0</v>
      </c>
      <c r="T182" s="3">
        <f>SUMIF(TRASLADOS!$K:$K,RESUMEN!O182,TRASLADOS!$N:$N)</f>
        <v>0</v>
      </c>
      <c r="U182" s="3">
        <f>SUMIF(TRASLADOS!$K:$K,RESUMEN!O182,TRASLADOS!$O:$O)</f>
        <v>0</v>
      </c>
      <c r="V182" s="3">
        <f>SUMIF(VENTAS!$J:$J,RESUMEN!O182,VENTAS!$N:$N)</f>
        <v>0</v>
      </c>
      <c r="W182" s="3">
        <f>SUMIF(VENTAS!$J:$J,RESUMEN!O182,VENTAS!$O:$O)</f>
        <v>0</v>
      </c>
      <c r="X182" s="97">
        <f t="shared" si="92"/>
        <v>1520</v>
      </c>
      <c r="Y182" s="96"/>
      <c r="Z182" s="99">
        <f t="shared" si="85"/>
        <v>27</v>
      </c>
      <c r="AA182" s="11">
        <f t="shared" si="111"/>
        <v>43436</v>
      </c>
      <c r="AB182" s="3">
        <f t="shared" si="111"/>
        <v>189</v>
      </c>
      <c r="AC182" s="3">
        <f>SUMIF(MORTALIDAD!$R:$R,RESUMEN!AA182,MORTALIDAD!$V:$V)</f>
        <v>0</v>
      </c>
      <c r="AD182" s="19">
        <f t="shared" si="94"/>
        <v>-476</v>
      </c>
      <c r="AE182" s="3">
        <f>SUMIF(MORTALIDAD!$R:$R,RESUMEN!AA182,MORTALIDAD!$W:$W)</f>
        <v>0</v>
      </c>
      <c r="AF182" s="3">
        <f>SUMIF(TRASLADOS!$T:$T,RESUMEN!AA182,TRASLADOS!$W:$W)</f>
        <v>0</v>
      </c>
      <c r="AG182" s="3">
        <f>SUMIF(TRASLADOS!$T:$T,RESUMEN!AA182,TRASLADOS!$X:$X)</f>
        <v>0</v>
      </c>
      <c r="AH182" s="3">
        <f>SUMIF(VENTAS!$R:$R,RESUMEN!AA182,VENTAS!$V:$V)</f>
        <v>0</v>
      </c>
      <c r="AI182" s="3">
        <f>SUMIF(VENTAS!$R:$R,RESUMEN!AA182,VENTAS!$W:$W)</f>
        <v>0</v>
      </c>
      <c r="AJ182" s="97">
        <f t="shared" si="95"/>
        <v>1724</v>
      </c>
      <c r="AK182" s="96"/>
      <c r="AL182" s="99">
        <f t="shared" si="86"/>
        <v>27</v>
      </c>
      <c r="AM182" s="11">
        <f t="shared" si="112"/>
        <v>43443</v>
      </c>
      <c r="AN182" s="3">
        <f t="shared" si="112"/>
        <v>189</v>
      </c>
      <c r="AO182" s="3">
        <f>SUMIF(MORTALIDAD!$Z:$Z,RESUMEN!AM182,MORTALIDAD!$AD:$AD)</f>
        <v>0</v>
      </c>
      <c r="AP182" s="19">
        <f t="shared" si="97"/>
        <v>-124</v>
      </c>
      <c r="AQ182" s="3">
        <f>SUMIF(MORTALIDAD!$Z:$Z,RESUMEN!AM182,MORTALIDAD!$AE:$AE)</f>
        <v>0</v>
      </c>
      <c r="AR182" s="3">
        <f>SUMIF(TRASLADOS!$AC:$AC,RESUMEN!AM182,TRASLADOS!$AF:$AF)</f>
        <v>0</v>
      </c>
      <c r="AS182" s="3">
        <f>SUMIF(TRASLADOS!$AC:$AC,RESUMEN!AM182,TRASLADOS!$AG:$AG)</f>
        <v>0</v>
      </c>
      <c r="AT182" s="3">
        <f>SUMIF(VENTAS!$Z:$Z,RESUMEN!AM182,VENTAS!$AD:$AD)</f>
        <v>0</v>
      </c>
      <c r="AU182" s="3">
        <f>SUMIF(VENTAS!$Z:$Z,RESUMEN!AM182,VENTAS!$AE:$AE)</f>
        <v>0</v>
      </c>
      <c r="AV182" s="97">
        <f t="shared" si="98"/>
        <v>2076</v>
      </c>
      <c r="AW182" s="96"/>
      <c r="AX182" s="99">
        <f t="shared" si="87"/>
        <v>27</v>
      </c>
      <c r="AY182" s="11">
        <f t="shared" si="113"/>
        <v>43450</v>
      </c>
      <c r="AZ182" s="3">
        <f t="shared" si="113"/>
        <v>189</v>
      </c>
      <c r="BA182" s="3">
        <f>SUMIF(MORTALIDAD!$AH:$AH,RESUMEN!AY182,MORTALIDAD!$AL:$AL)</f>
        <v>0</v>
      </c>
      <c r="BB182" s="19">
        <f t="shared" si="100"/>
        <v>-119</v>
      </c>
      <c r="BC182" s="3">
        <f>SUMIF(MORTALIDAD!$AH:$AH,RESUMEN!AY182,MORTALIDAD!$AM:$AM)</f>
        <v>0</v>
      </c>
      <c r="BD182" s="3">
        <f>SUMIF(TRASLADOS!$AL:$AL,RESUMEN!AY182,TRASLADOS!$AO:$AO)</f>
        <v>0</v>
      </c>
      <c r="BE182" s="3">
        <f>SUMIF(TRASLADOS!$AL:$AL,RESUMEN!AY182,TRASLADOS!$AP:$AP)</f>
        <v>0</v>
      </c>
      <c r="BF182" s="3">
        <f>SUMIF(VENTAS!$AH:$AH,RESUMEN!AY182,VENTAS!$AL:$AL)</f>
        <v>0</v>
      </c>
      <c r="BG182" s="3">
        <f>SUMIF(VENTAS!$AH:$AH,RESUMEN!AY182,VENTAS!$AM:$AM)</f>
        <v>0</v>
      </c>
      <c r="BH182" s="97">
        <f t="shared" si="101"/>
        <v>2081</v>
      </c>
      <c r="BI182" s="96"/>
      <c r="BJ182" s="99">
        <f t="shared" si="88"/>
        <v>28</v>
      </c>
      <c r="BK182" s="11">
        <f t="shared" si="114"/>
        <v>43459</v>
      </c>
      <c r="BL182" s="3">
        <f t="shared" si="114"/>
        <v>192</v>
      </c>
      <c r="BM182" s="3">
        <f>SUMIF(MORTALIDAD!$AP:$AP,RESUMEN!BK182,MORTALIDAD!$AT:$AT)</f>
        <v>0</v>
      </c>
      <c r="BN182" s="19">
        <f t="shared" si="103"/>
        <v>-73</v>
      </c>
      <c r="BO182" s="3">
        <f>SUMIF(MORTALIDAD!$AP$6:$AP$200,RESUMEN!BK182,MORTALIDAD!$AU$6:$AU$200)</f>
        <v>0</v>
      </c>
      <c r="BP182" s="3">
        <f>SUMIF(TRASLADOS!$AU:$AU,RESUMEN!BK182,TRASLADOS!$AX:$AX)</f>
        <v>0</v>
      </c>
      <c r="BQ182" s="3">
        <f>SUMIF(TRASLADOS!$AU:$AU,RESUMEN!BK182,TRASLADOS!$AY:$AY)</f>
        <v>0</v>
      </c>
      <c r="BR182" s="3">
        <f>SUMIF(VENTAS!$AP:$AP,RESUMEN!BK182,VENTAS!$AT:$AT)</f>
        <v>0</v>
      </c>
      <c r="BS182" s="3">
        <f>SUMIF(VENTAS!$AP:$AP,RESUMEN!BK182,VENTAS!$AU:$AU)</f>
        <v>0</v>
      </c>
      <c r="BT182" s="36">
        <f t="shared" si="104"/>
        <v>2241</v>
      </c>
    </row>
    <row r="183" spans="2:72" x14ac:dyDescent="0.2">
      <c r="B183" s="3">
        <f t="shared" si="83"/>
        <v>28</v>
      </c>
      <c r="C183" s="11">
        <f t="shared" si="115"/>
        <v>43430</v>
      </c>
      <c r="D183" s="3">
        <f t="shared" si="116"/>
        <v>192</v>
      </c>
      <c r="E183" s="3">
        <f>SUMIF(MORTALIDAD!$B$6:$B$200,RESUMEN!C183,MORTALIDAD!$F$6:$F$200)</f>
        <v>0</v>
      </c>
      <c r="F183" s="17">
        <f t="shared" si="117"/>
        <v>-740</v>
      </c>
      <c r="G183" s="3">
        <f>SUMIF(MORTALIDAD!$B$6:$B$200,RESUMEN!C183,MORTALIDAD!$G$6:$G$200)</f>
        <v>0</v>
      </c>
      <c r="H183" s="3">
        <f>SUMIF(TRASLADOS!$B$6:$B$200,C183,TRASLADOS!$E$6:$E$200)</f>
        <v>0</v>
      </c>
      <c r="I183" s="3">
        <f>SUMIF(TRASLADOS!$B$6:$B$200,C183,TRASLADOS!$F$6:$F$200)</f>
        <v>0</v>
      </c>
      <c r="J183" s="3">
        <f>SUMIF(VENTAS!$B$6:$B$200,RESUMEN!C183,VENTAS!$F$6:$F$200)</f>
        <v>0</v>
      </c>
      <c r="K183" s="3">
        <f>SUMIF(VENTAS!$B$6:$B$200,RESUMEN!C183,VENTAS!$G$6:$G$200)</f>
        <v>0</v>
      </c>
      <c r="L183" s="97">
        <f t="shared" si="89"/>
        <v>1460</v>
      </c>
      <c r="M183" s="96"/>
      <c r="N183" s="99">
        <f t="shared" si="84"/>
        <v>28</v>
      </c>
      <c r="O183" s="11">
        <f t="shared" si="110"/>
        <v>43433</v>
      </c>
      <c r="P183" s="3">
        <f t="shared" si="110"/>
        <v>191</v>
      </c>
      <c r="Q183" s="3">
        <f>SUMIF(MORTALIDAD!$J:$J,RESUMEN!O183,MORTALIDAD!$N:$N)</f>
        <v>0</v>
      </c>
      <c r="R183" s="19">
        <f t="shared" si="91"/>
        <v>-680</v>
      </c>
      <c r="S183" s="3">
        <f>SUMIF(MORTALIDAD!$J:$J,RESUMEN!O183,MORTALIDAD!$O:$O)</f>
        <v>0</v>
      </c>
      <c r="T183" s="3">
        <f>SUMIF(TRASLADOS!$K:$K,RESUMEN!O183,TRASLADOS!$N:$N)</f>
        <v>0</v>
      </c>
      <c r="U183" s="3">
        <f>SUMIF(TRASLADOS!$K:$K,RESUMEN!O183,TRASLADOS!$O:$O)</f>
        <v>0</v>
      </c>
      <c r="V183" s="3">
        <f>SUMIF(VENTAS!$J:$J,RESUMEN!O183,VENTAS!$N:$N)</f>
        <v>0</v>
      </c>
      <c r="W183" s="3">
        <f>SUMIF(VENTAS!$J:$J,RESUMEN!O183,VENTAS!$O:$O)</f>
        <v>0</v>
      </c>
      <c r="X183" s="97">
        <f t="shared" si="92"/>
        <v>1520</v>
      </c>
      <c r="Y183" s="96"/>
      <c r="Z183" s="99">
        <f t="shared" si="85"/>
        <v>28</v>
      </c>
      <c r="AA183" s="11">
        <f t="shared" si="111"/>
        <v>43437</v>
      </c>
      <c r="AB183" s="3">
        <f t="shared" si="111"/>
        <v>190</v>
      </c>
      <c r="AC183" s="3">
        <f>SUMIF(MORTALIDAD!$R:$R,RESUMEN!AA183,MORTALIDAD!$V:$V)</f>
        <v>0</v>
      </c>
      <c r="AD183" s="19">
        <f t="shared" si="94"/>
        <v>-476</v>
      </c>
      <c r="AE183" s="3">
        <f>SUMIF(MORTALIDAD!$R:$R,RESUMEN!AA183,MORTALIDAD!$W:$W)</f>
        <v>0</v>
      </c>
      <c r="AF183" s="3">
        <f>SUMIF(TRASLADOS!$T:$T,RESUMEN!AA183,TRASLADOS!$W:$W)</f>
        <v>0</v>
      </c>
      <c r="AG183" s="3">
        <f>SUMIF(TRASLADOS!$T:$T,RESUMEN!AA183,TRASLADOS!$X:$X)</f>
        <v>0</v>
      </c>
      <c r="AH183" s="3">
        <f>SUMIF(VENTAS!$R:$R,RESUMEN!AA183,VENTAS!$V:$V)</f>
        <v>0</v>
      </c>
      <c r="AI183" s="3">
        <f>SUMIF(VENTAS!$R:$R,RESUMEN!AA183,VENTAS!$W:$W)</f>
        <v>0</v>
      </c>
      <c r="AJ183" s="97">
        <f t="shared" si="95"/>
        <v>1724</v>
      </c>
      <c r="AK183" s="96"/>
      <c r="AL183" s="99">
        <f t="shared" si="86"/>
        <v>28</v>
      </c>
      <c r="AM183" s="11">
        <f t="shared" si="112"/>
        <v>43444</v>
      </c>
      <c r="AN183" s="3">
        <f t="shared" si="112"/>
        <v>190</v>
      </c>
      <c r="AO183" s="3">
        <f>SUMIF(MORTALIDAD!$Z:$Z,RESUMEN!AM183,MORTALIDAD!$AD:$AD)</f>
        <v>0</v>
      </c>
      <c r="AP183" s="19">
        <f t="shared" si="97"/>
        <v>-124</v>
      </c>
      <c r="AQ183" s="3">
        <f>SUMIF(MORTALIDAD!$Z:$Z,RESUMEN!AM183,MORTALIDAD!$AE:$AE)</f>
        <v>0</v>
      </c>
      <c r="AR183" s="3">
        <f>SUMIF(TRASLADOS!$AC:$AC,RESUMEN!AM183,TRASLADOS!$AF:$AF)</f>
        <v>0</v>
      </c>
      <c r="AS183" s="3">
        <f>SUMIF(TRASLADOS!$AC:$AC,RESUMEN!AM183,TRASLADOS!$AG:$AG)</f>
        <v>0</v>
      </c>
      <c r="AT183" s="3">
        <f>SUMIF(VENTAS!$Z:$Z,RESUMEN!AM183,VENTAS!$AD:$AD)</f>
        <v>0</v>
      </c>
      <c r="AU183" s="3">
        <f>SUMIF(VENTAS!$Z:$Z,RESUMEN!AM183,VENTAS!$AE:$AE)</f>
        <v>0</v>
      </c>
      <c r="AV183" s="97">
        <f t="shared" si="98"/>
        <v>2076</v>
      </c>
      <c r="AW183" s="96"/>
      <c r="AX183" s="99">
        <f t="shared" si="87"/>
        <v>28</v>
      </c>
      <c r="AY183" s="11">
        <f t="shared" si="113"/>
        <v>43451</v>
      </c>
      <c r="AZ183" s="3">
        <f t="shared" si="113"/>
        <v>190</v>
      </c>
      <c r="BA183" s="3">
        <f>SUMIF(MORTALIDAD!$AH:$AH,RESUMEN!AY183,MORTALIDAD!$AL:$AL)</f>
        <v>0</v>
      </c>
      <c r="BB183" s="19">
        <f t="shared" si="100"/>
        <v>-119</v>
      </c>
      <c r="BC183" s="3">
        <f>SUMIF(MORTALIDAD!$AH:$AH,RESUMEN!AY183,MORTALIDAD!$AM:$AM)</f>
        <v>0</v>
      </c>
      <c r="BD183" s="3">
        <f>SUMIF(TRASLADOS!$AL:$AL,RESUMEN!AY183,TRASLADOS!$AO:$AO)</f>
        <v>0</v>
      </c>
      <c r="BE183" s="3">
        <f>SUMIF(TRASLADOS!$AL:$AL,RESUMEN!AY183,TRASLADOS!$AP:$AP)</f>
        <v>0</v>
      </c>
      <c r="BF183" s="3">
        <f>SUMIF(VENTAS!$AH:$AH,RESUMEN!AY183,VENTAS!$AL:$AL)</f>
        <v>0</v>
      </c>
      <c r="BG183" s="3">
        <f>SUMIF(VENTAS!$AH:$AH,RESUMEN!AY183,VENTAS!$AM:$AM)</f>
        <v>0</v>
      </c>
      <c r="BH183" s="97">
        <f t="shared" si="101"/>
        <v>2081</v>
      </c>
      <c r="BI183" s="96"/>
      <c r="BJ183" s="99">
        <f t="shared" si="88"/>
        <v>28</v>
      </c>
      <c r="BK183" s="11">
        <f t="shared" si="114"/>
        <v>43460</v>
      </c>
      <c r="BL183" s="3">
        <f t="shared" si="114"/>
        <v>193</v>
      </c>
      <c r="BM183" s="3">
        <f>SUMIF(MORTALIDAD!$AP:$AP,RESUMEN!BK183,MORTALIDAD!$AT:$AT)</f>
        <v>0</v>
      </c>
      <c r="BN183" s="19">
        <f t="shared" si="103"/>
        <v>-73</v>
      </c>
      <c r="BO183" s="3">
        <f>SUMIF(MORTALIDAD!$AP$6:$AP$200,RESUMEN!BK183,MORTALIDAD!$AU$6:$AU$200)</f>
        <v>0</v>
      </c>
      <c r="BP183" s="3">
        <f>SUMIF(TRASLADOS!$AU:$AU,RESUMEN!BK183,TRASLADOS!$AX:$AX)</f>
        <v>0</v>
      </c>
      <c r="BQ183" s="3">
        <f>SUMIF(TRASLADOS!$AU:$AU,RESUMEN!BK183,TRASLADOS!$AY:$AY)</f>
        <v>0</v>
      </c>
      <c r="BR183" s="3">
        <f>SUMIF(VENTAS!$AP:$AP,RESUMEN!BK183,VENTAS!$AT:$AT)</f>
        <v>0</v>
      </c>
      <c r="BS183" s="3">
        <f>SUMIF(VENTAS!$AP:$AP,RESUMEN!BK183,VENTAS!$AU:$AU)</f>
        <v>0</v>
      </c>
      <c r="BT183" s="36">
        <f t="shared" si="104"/>
        <v>2241</v>
      </c>
    </row>
    <row r="184" spans="2:72" x14ac:dyDescent="0.2">
      <c r="B184" s="3">
        <f t="shared" si="83"/>
        <v>28</v>
      </c>
      <c r="C184" s="11">
        <f t="shared" si="115"/>
        <v>43431</v>
      </c>
      <c r="D184" s="3">
        <f t="shared" si="116"/>
        <v>193</v>
      </c>
      <c r="E184" s="3">
        <f>SUMIF(MORTALIDAD!$B$6:$B$200,RESUMEN!C184,MORTALIDAD!$F$6:$F$200)</f>
        <v>0</v>
      </c>
      <c r="F184" s="17">
        <f t="shared" si="117"/>
        <v>-740</v>
      </c>
      <c r="G184" s="3">
        <f>SUMIF(MORTALIDAD!$B$6:$B$200,RESUMEN!C184,MORTALIDAD!$G$6:$G$200)</f>
        <v>0</v>
      </c>
      <c r="H184" s="3">
        <f>SUMIF(TRASLADOS!$B$6:$B$200,C184,TRASLADOS!$E$6:$E$200)</f>
        <v>0</v>
      </c>
      <c r="I184" s="3">
        <f>SUMIF(TRASLADOS!$B$6:$B$200,C184,TRASLADOS!$F$6:$F$200)</f>
        <v>0</v>
      </c>
      <c r="J184" s="3">
        <f>SUMIF(VENTAS!$B$6:$B$200,RESUMEN!C184,VENTAS!$F$6:$F$200)</f>
        <v>0</v>
      </c>
      <c r="K184" s="3">
        <f>SUMIF(VENTAS!$B$6:$B$200,RESUMEN!C184,VENTAS!$G$6:$G$200)</f>
        <v>0</v>
      </c>
      <c r="L184" s="97">
        <f t="shared" si="89"/>
        <v>1460</v>
      </c>
      <c r="M184" s="96"/>
      <c r="N184" s="99">
        <f t="shared" si="84"/>
        <v>28</v>
      </c>
      <c r="O184" s="11">
        <f t="shared" si="110"/>
        <v>43434</v>
      </c>
      <c r="P184" s="3">
        <f t="shared" si="110"/>
        <v>192</v>
      </c>
      <c r="Q184" s="3">
        <f>SUMIF(MORTALIDAD!$J:$J,RESUMEN!O184,MORTALIDAD!$N:$N)</f>
        <v>0</v>
      </c>
      <c r="R184" s="19">
        <f t="shared" si="91"/>
        <v>-680</v>
      </c>
      <c r="S184" s="3">
        <f>SUMIF(MORTALIDAD!$J:$J,RESUMEN!O184,MORTALIDAD!$O:$O)</f>
        <v>0</v>
      </c>
      <c r="T184" s="3">
        <f>SUMIF(TRASLADOS!$K:$K,RESUMEN!O184,TRASLADOS!$N:$N)</f>
        <v>0</v>
      </c>
      <c r="U184" s="3">
        <f>SUMIF(TRASLADOS!$K:$K,RESUMEN!O184,TRASLADOS!$O:$O)</f>
        <v>0</v>
      </c>
      <c r="V184" s="3">
        <f>SUMIF(VENTAS!$J:$J,RESUMEN!O184,VENTAS!$N:$N)</f>
        <v>0</v>
      </c>
      <c r="W184" s="3">
        <f>SUMIF(VENTAS!$J:$J,RESUMEN!O184,VENTAS!$O:$O)</f>
        <v>0</v>
      </c>
      <c r="X184" s="97">
        <f t="shared" si="92"/>
        <v>1520</v>
      </c>
      <c r="Y184" s="96"/>
      <c r="Z184" s="99">
        <f t="shared" si="85"/>
        <v>28</v>
      </c>
      <c r="AA184" s="11">
        <f t="shared" si="111"/>
        <v>43438</v>
      </c>
      <c r="AB184" s="3">
        <f t="shared" si="111"/>
        <v>191</v>
      </c>
      <c r="AC184" s="3">
        <f>SUMIF(MORTALIDAD!$R:$R,RESUMEN!AA184,MORTALIDAD!$V:$V)</f>
        <v>0</v>
      </c>
      <c r="AD184" s="19">
        <f t="shared" si="94"/>
        <v>-476</v>
      </c>
      <c r="AE184" s="3">
        <f>SUMIF(MORTALIDAD!$R:$R,RESUMEN!AA184,MORTALIDAD!$W:$W)</f>
        <v>0</v>
      </c>
      <c r="AF184" s="3">
        <f>SUMIF(TRASLADOS!$T:$T,RESUMEN!AA184,TRASLADOS!$W:$W)</f>
        <v>0</v>
      </c>
      <c r="AG184" s="3">
        <f>SUMIF(TRASLADOS!$T:$T,RESUMEN!AA184,TRASLADOS!$X:$X)</f>
        <v>0</v>
      </c>
      <c r="AH184" s="3">
        <f>SUMIF(VENTAS!$R:$R,RESUMEN!AA184,VENTAS!$V:$V)</f>
        <v>0</v>
      </c>
      <c r="AI184" s="3">
        <f>SUMIF(VENTAS!$R:$R,RESUMEN!AA184,VENTAS!$W:$W)</f>
        <v>0</v>
      </c>
      <c r="AJ184" s="97">
        <f t="shared" si="95"/>
        <v>1724</v>
      </c>
      <c r="AK184" s="96"/>
      <c r="AL184" s="99">
        <f t="shared" si="86"/>
        <v>28</v>
      </c>
      <c r="AM184" s="11">
        <f t="shared" si="112"/>
        <v>43445</v>
      </c>
      <c r="AN184" s="3">
        <f t="shared" si="112"/>
        <v>191</v>
      </c>
      <c r="AO184" s="3">
        <f>SUMIF(MORTALIDAD!$Z:$Z,RESUMEN!AM184,MORTALIDAD!$AD:$AD)</f>
        <v>0</v>
      </c>
      <c r="AP184" s="19">
        <f t="shared" si="97"/>
        <v>-124</v>
      </c>
      <c r="AQ184" s="3">
        <f>SUMIF(MORTALIDAD!$Z:$Z,RESUMEN!AM184,MORTALIDAD!$AE:$AE)</f>
        <v>0</v>
      </c>
      <c r="AR184" s="3">
        <f>SUMIF(TRASLADOS!$AC:$AC,RESUMEN!AM184,TRASLADOS!$AF:$AF)</f>
        <v>0</v>
      </c>
      <c r="AS184" s="3">
        <f>SUMIF(TRASLADOS!$AC:$AC,RESUMEN!AM184,TRASLADOS!$AG:$AG)</f>
        <v>0</v>
      </c>
      <c r="AT184" s="3">
        <f>SUMIF(VENTAS!$Z:$Z,RESUMEN!AM184,VENTAS!$AD:$AD)</f>
        <v>0</v>
      </c>
      <c r="AU184" s="3">
        <f>SUMIF(VENTAS!$Z:$Z,RESUMEN!AM184,VENTAS!$AE:$AE)</f>
        <v>0</v>
      </c>
      <c r="AV184" s="97">
        <f t="shared" si="98"/>
        <v>2076</v>
      </c>
      <c r="AW184" s="96"/>
      <c r="AX184" s="99">
        <f t="shared" si="87"/>
        <v>28</v>
      </c>
      <c r="AY184" s="11">
        <f t="shared" si="113"/>
        <v>43452</v>
      </c>
      <c r="AZ184" s="3">
        <f t="shared" si="113"/>
        <v>191</v>
      </c>
      <c r="BA184" s="3">
        <f>SUMIF(MORTALIDAD!$AH:$AH,RESUMEN!AY184,MORTALIDAD!$AL:$AL)</f>
        <v>0</v>
      </c>
      <c r="BB184" s="19">
        <f t="shared" si="100"/>
        <v>-119</v>
      </c>
      <c r="BC184" s="3">
        <f>SUMIF(MORTALIDAD!$AH:$AH,RESUMEN!AY184,MORTALIDAD!$AM:$AM)</f>
        <v>0</v>
      </c>
      <c r="BD184" s="3">
        <f>SUMIF(TRASLADOS!$AL:$AL,RESUMEN!AY184,TRASLADOS!$AO:$AO)</f>
        <v>0</v>
      </c>
      <c r="BE184" s="3">
        <f>SUMIF(TRASLADOS!$AL:$AL,RESUMEN!AY184,TRASLADOS!$AP:$AP)</f>
        <v>0</v>
      </c>
      <c r="BF184" s="3">
        <f>SUMIF(VENTAS!$AH:$AH,RESUMEN!AY184,VENTAS!$AL:$AL)</f>
        <v>0</v>
      </c>
      <c r="BG184" s="3">
        <f>SUMIF(VENTAS!$AH:$AH,RESUMEN!AY184,VENTAS!$AM:$AM)</f>
        <v>0</v>
      </c>
      <c r="BH184" s="97">
        <f t="shared" si="101"/>
        <v>2081</v>
      </c>
      <c r="BI184" s="96"/>
      <c r="BJ184" s="99">
        <f t="shared" si="88"/>
        <v>28</v>
      </c>
      <c r="BK184" s="11">
        <f t="shared" si="114"/>
        <v>43461</v>
      </c>
      <c r="BL184" s="3">
        <f t="shared" si="114"/>
        <v>194</v>
      </c>
      <c r="BM184" s="3">
        <f>SUMIF(MORTALIDAD!$AP:$AP,RESUMEN!BK184,MORTALIDAD!$AT:$AT)</f>
        <v>0</v>
      </c>
      <c r="BN184" s="19">
        <f t="shared" si="103"/>
        <v>-73</v>
      </c>
      <c r="BO184" s="3">
        <f>SUMIF(MORTALIDAD!$AP$6:$AP$200,RESUMEN!BK184,MORTALIDAD!$AU$6:$AU$200)</f>
        <v>0</v>
      </c>
      <c r="BP184" s="3">
        <f>SUMIF(TRASLADOS!$AU:$AU,RESUMEN!BK184,TRASLADOS!$AX:$AX)</f>
        <v>0</v>
      </c>
      <c r="BQ184" s="3">
        <f>SUMIF(TRASLADOS!$AU:$AU,RESUMEN!BK184,TRASLADOS!$AY:$AY)</f>
        <v>0</v>
      </c>
      <c r="BR184" s="3">
        <f>SUMIF(VENTAS!$AP:$AP,RESUMEN!BK184,VENTAS!$AT:$AT)</f>
        <v>0</v>
      </c>
      <c r="BS184" s="3">
        <f>SUMIF(VENTAS!$AP:$AP,RESUMEN!BK184,VENTAS!$AU:$AU)</f>
        <v>0</v>
      </c>
      <c r="BT184" s="36">
        <f t="shared" si="104"/>
        <v>2241</v>
      </c>
    </row>
    <row r="185" spans="2:72" x14ac:dyDescent="0.2">
      <c r="B185" s="3">
        <f t="shared" si="83"/>
        <v>28</v>
      </c>
      <c r="C185" s="11">
        <f t="shared" si="115"/>
        <v>43432</v>
      </c>
      <c r="D185" s="3">
        <f t="shared" si="116"/>
        <v>194</v>
      </c>
      <c r="E185" s="3">
        <f>SUMIF(MORTALIDAD!$B$6:$B$200,RESUMEN!C185,MORTALIDAD!$F$6:$F$200)</f>
        <v>0</v>
      </c>
      <c r="F185" s="17">
        <f t="shared" si="117"/>
        <v>-740</v>
      </c>
      <c r="G185" s="3">
        <f>SUMIF(MORTALIDAD!$B$6:$B$200,RESUMEN!C185,MORTALIDAD!$G$6:$G$200)</f>
        <v>0</v>
      </c>
      <c r="H185" s="3">
        <f>SUMIF(TRASLADOS!$B$6:$B$200,C185,TRASLADOS!$E$6:$E$200)</f>
        <v>0</v>
      </c>
      <c r="I185" s="3">
        <f>SUMIF(TRASLADOS!$B$6:$B$200,C185,TRASLADOS!$F$6:$F$200)</f>
        <v>0</v>
      </c>
      <c r="J185" s="3">
        <f>SUMIF(VENTAS!$B$6:$B$200,RESUMEN!C185,VENTAS!$F$6:$F$200)</f>
        <v>0</v>
      </c>
      <c r="K185" s="3">
        <f>SUMIF(VENTAS!$B$6:$B$200,RESUMEN!C185,VENTAS!$G$6:$G$200)</f>
        <v>0</v>
      </c>
      <c r="L185" s="97">
        <f t="shared" si="89"/>
        <v>1460</v>
      </c>
      <c r="M185" s="96"/>
      <c r="N185" s="99">
        <f t="shared" si="84"/>
        <v>28</v>
      </c>
      <c r="O185" s="11">
        <f t="shared" si="110"/>
        <v>43435</v>
      </c>
      <c r="P185" s="3">
        <f t="shared" si="110"/>
        <v>193</v>
      </c>
      <c r="Q185" s="3">
        <f>SUMIF(MORTALIDAD!$J:$J,RESUMEN!O185,MORTALIDAD!$N:$N)</f>
        <v>0</v>
      </c>
      <c r="R185" s="19">
        <f t="shared" si="91"/>
        <v>-680</v>
      </c>
      <c r="S185" s="3">
        <f>SUMIF(MORTALIDAD!$J:$J,RESUMEN!O185,MORTALIDAD!$O:$O)</f>
        <v>0</v>
      </c>
      <c r="T185" s="3">
        <f>SUMIF(TRASLADOS!$K:$K,RESUMEN!O185,TRASLADOS!$N:$N)</f>
        <v>0</v>
      </c>
      <c r="U185" s="3">
        <f>SUMIF(TRASLADOS!$K:$K,RESUMEN!O185,TRASLADOS!$O:$O)</f>
        <v>0</v>
      </c>
      <c r="V185" s="3">
        <f>SUMIF(VENTAS!$J:$J,RESUMEN!O185,VENTAS!$N:$N)</f>
        <v>0</v>
      </c>
      <c r="W185" s="3">
        <f>SUMIF(VENTAS!$J:$J,RESUMEN!O185,VENTAS!$O:$O)</f>
        <v>0</v>
      </c>
      <c r="X185" s="97">
        <f t="shared" si="92"/>
        <v>1520</v>
      </c>
      <c r="Y185" s="96"/>
      <c r="Z185" s="99">
        <f t="shared" si="85"/>
        <v>28</v>
      </c>
      <c r="AA185" s="11">
        <f t="shared" si="111"/>
        <v>43439</v>
      </c>
      <c r="AB185" s="3">
        <f t="shared" si="111"/>
        <v>192</v>
      </c>
      <c r="AC185" s="3">
        <f>SUMIF(MORTALIDAD!$R:$R,RESUMEN!AA185,MORTALIDAD!$V:$V)</f>
        <v>0</v>
      </c>
      <c r="AD185" s="19">
        <f t="shared" si="94"/>
        <v>-476</v>
      </c>
      <c r="AE185" s="3">
        <f>SUMIF(MORTALIDAD!$R:$R,RESUMEN!AA185,MORTALIDAD!$W:$W)</f>
        <v>0</v>
      </c>
      <c r="AF185" s="3">
        <f>SUMIF(TRASLADOS!$T:$T,RESUMEN!AA185,TRASLADOS!$W:$W)</f>
        <v>0</v>
      </c>
      <c r="AG185" s="3">
        <f>SUMIF(TRASLADOS!$T:$T,RESUMEN!AA185,TRASLADOS!$X:$X)</f>
        <v>0</v>
      </c>
      <c r="AH185" s="3">
        <f>SUMIF(VENTAS!$R:$R,RESUMEN!AA185,VENTAS!$V:$V)</f>
        <v>0</v>
      </c>
      <c r="AI185" s="3">
        <f>SUMIF(VENTAS!$R:$R,RESUMEN!AA185,VENTAS!$W:$W)</f>
        <v>0</v>
      </c>
      <c r="AJ185" s="97">
        <f t="shared" si="95"/>
        <v>1724</v>
      </c>
      <c r="AK185" s="96"/>
      <c r="AL185" s="99">
        <f t="shared" si="86"/>
        <v>28</v>
      </c>
      <c r="AM185" s="11">
        <f t="shared" si="112"/>
        <v>43446</v>
      </c>
      <c r="AN185" s="3">
        <f t="shared" si="112"/>
        <v>192</v>
      </c>
      <c r="AO185" s="3">
        <f>SUMIF(MORTALIDAD!$Z:$Z,RESUMEN!AM185,MORTALIDAD!$AD:$AD)</f>
        <v>0</v>
      </c>
      <c r="AP185" s="19">
        <f t="shared" si="97"/>
        <v>-124</v>
      </c>
      <c r="AQ185" s="3">
        <f>SUMIF(MORTALIDAD!$Z:$Z,RESUMEN!AM185,MORTALIDAD!$AE:$AE)</f>
        <v>0</v>
      </c>
      <c r="AR185" s="3">
        <f>SUMIF(TRASLADOS!$AC:$AC,RESUMEN!AM185,TRASLADOS!$AF:$AF)</f>
        <v>0</v>
      </c>
      <c r="AS185" s="3">
        <f>SUMIF(TRASLADOS!$AC:$AC,RESUMEN!AM185,TRASLADOS!$AG:$AG)</f>
        <v>0</v>
      </c>
      <c r="AT185" s="3">
        <f>SUMIF(VENTAS!$Z:$Z,RESUMEN!AM185,VENTAS!$AD:$AD)</f>
        <v>0</v>
      </c>
      <c r="AU185" s="3">
        <f>SUMIF(VENTAS!$Z:$Z,RESUMEN!AM185,VENTAS!$AE:$AE)</f>
        <v>0</v>
      </c>
      <c r="AV185" s="97">
        <f t="shared" si="98"/>
        <v>2076</v>
      </c>
      <c r="AW185" s="96"/>
      <c r="AX185" s="99">
        <f t="shared" si="87"/>
        <v>28</v>
      </c>
      <c r="AY185" s="11">
        <f t="shared" si="113"/>
        <v>43453</v>
      </c>
      <c r="AZ185" s="3">
        <f t="shared" si="113"/>
        <v>192</v>
      </c>
      <c r="BA185" s="3">
        <f>SUMIF(MORTALIDAD!$AH:$AH,RESUMEN!AY185,MORTALIDAD!$AL:$AL)</f>
        <v>0</v>
      </c>
      <c r="BB185" s="19">
        <f t="shared" si="100"/>
        <v>-119</v>
      </c>
      <c r="BC185" s="3">
        <f>SUMIF(MORTALIDAD!$AH:$AH,RESUMEN!AY185,MORTALIDAD!$AM:$AM)</f>
        <v>0</v>
      </c>
      <c r="BD185" s="3">
        <f>SUMIF(TRASLADOS!$AL:$AL,RESUMEN!AY185,TRASLADOS!$AO:$AO)</f>
        <v>0</v>
      </c>
      <c r="BE185" s="3">
        <f>SUMIF(TRASLADOS!$AL:$AL,RESUMEN!AY185,TRASLADOS!$AP:$AP)</f>
        <v>0</v>
      </c>
      <c r="BF185" s="3">
        <f>SUMIF(VENTAS!$AH:$AH,RESUMEN!AY185,VENTAS!$AL:$AL)</f>
        <v>0</v>
      </c>
      <c r="BG185" s="3">
        <f>SUMIF(VENTAS!$AH:$AH,RESUMEN!AY185,VENTAS!$AM:$AM)</f>
        <v>0</v>
      </c>
      <c r="BH185" s="97">
        <f t="shared" si="101"/>
        <v>2081</v>
      </c>
      <c r="BI185" s="96"/>
      <c r="BJ185" s="99">
        <f t="shared" si="88"/>
        <v>28</v>
      </c>
      <c r="BK185" s="11">
        <f t="shared" si="114"/>
        <v>43462</v>
      </c>
      <c r="BL185" s="3">
        <f t="shared" si="114"/>
        <v>195</v>
      </c>
      <c r="BM185" s="3">
        <f>SUMIF(MORTALIDAD!$AP:$AP,RESUMEN!BK185,MORTALIDAD!$AT:$AT)</f>
        <v>0</v>
      </c>
      <c r="BN185" s="19">
        <f t="shared" si="103"/>
        <v>-73</v>
      </c>
      <c r="BO185" s="3">
        <f>SUMIF(MORTALIDAD!$AP$6:$AP$200,RESUMEN!BK185,MORTALIDAD!$AU$6:$AU$200)</f>
        <v>0</v>
      </c>
      <c r="BP185" s="3">
        <f>SUMIF(TRASLADOS!$AU:$AU,RESUMEN!BK185,TRASLADOS!$AX:$AX)</f>
        <v>0</v>
      </c>
      <c r="BQ185" s="3">
        <f>SUMIF(TRASLADOS!$AU:$AU,RESUMEN!BK185,TRASLADOS!$AY:$AY)</f>
        <v>0</v>
      </c>
      <c r="BR185" s="3">
        <f>SUMIF(VENTAS!$AP:$AP,RESUMEN!BK185,VENTAS!$AT:$AT)</f>
        <v>0</v>
      </c>
      <c r="BS185" s="3">
        <f>SUMIF(VENTAS!$AP:$AP,RESUMEN!BK185,VENTAS!$AU:$AU)</f>
        <v>0</v>
      </c>
      <c r="BT185" s="36">
        <f t="shared" si="104"/>
        <v>2241</v>
      </c>
    </row>
    <row r="186" spans="2:72" x14ac:dyDescent="0.2">
      <c r="B186" s="3">
        <f t="shared" si="83"/>
        <v>28</v>
      </c>
      <c r="C186" s="11">
        <f t="shared" si="115"/>
        <v>43433</v>
      </c>
      <c r="D186" s="3">
        <f t="shared" si="116"/>
        <v>195</v>
      </c>
      <c r="E186" s="3">
        <f>SUMIF(MORTALIDAD!$B$6:$B$200,RESUMEN!C186,MORTALIDAD!$F$6:$F$200)</f>
        <v>0</v>
      </c>
      <c r="F186" s="17">
        <f t="shared" si="117"/>
        <v>-740</v>
      </c>
      <c r="G186" s="3">
        <f>SUMIF(MORTALIDAD!$B$6:$B$200,RESUMEN!C186,MORTALIDAD!$G$6:$G$200)</f>
        <v>0</v>
      </c>
      <c r="H186" s="3">
        <f>SUMIF(TRASLADOS!$B$6:$B$200,C186,TRASLADOS!$E$6:$E$200)</f>
        <v>0</v>
      </c>
      <c r="I186" s="3">
        <f>SUMIF(TRASLADOS!$B$6:$B$200,C186,TRASLADOS!$F$6:$F$200)</f>
        <v>0</v>
      </c>
      <c r="J186" s="3">
        <f>SUMIF(VENTAS!$B$6:$B$200,RESUMEN!C186,VENTAS!$F$6:$F$200)</f>
        <v>0</v>
      </c>
      <c r="K186" s="3">
        <f>SUMIF(VENTAS!$B$6:$B$200,RESUMEN!C186,VENTAS!$G$6:$G$200)</f>
        <v>0</v>
      </c>
      <c r="L186" s="97">
        <f t="shared" si="89"/>
        <v>1460</v>
      </c>
      <c r="M186" s="96"/>
      <c r="N186" s="99">
        <f t="shared" si="84"/>
        <v>28</v>
      </c>
      <c r="O186" s="11">
        <f t="shared" si="110"/>
        <v>43436</v>
      </c>
      <c r="P186" s="3">
        <f t="shared" si="110"/>
        <v>194</v>
      </c>
      <c r="Q186" s="3">
        <f>SUMIF(MORTALIDAD!$J:$J,RESUMEN!O186,MORTALIDAD!$N:$N)</f>
        <v>0</v>
      </c>
      <c r="R186" s="19">
        <f t="shared" si="91"/>
        <v>-680</v>
      </c>
      <c r="S186" s="3">
        <f>SUMIF(MORTALIDAD!$J:$J,RESUMEN!O186,MORTALIDAD!$O:$O)</f>
        <v>0</v>
      </c>
      <c r="T186" s="3">
        <f>SUMIF(TRASLADOS!$K:$K,RESUMEN!O186,TRASLADOS!$N:$N)</f>
        <v>0</v>
      </c>
      <c r="U186" s="3">
        <f>SUMIF(TRASLADOS!$K:$K,RESUMEN!O186,TRASLADOS!$O:$O)</f>
        <v>0</v>
      </c>
      <c r="V186" s="3">
        <f>SUMIF(VENTAS!$J:$J,RESUMEN!O186,VENTAS!$N:$N)</f>
        <v>0</v>
      </c>
      <c r="W186" s="3">
        <f>SUMIF(VENTAS!$J:$J,RESUMEN!O186,VENTAS!$O:$O)</f>
        <v>0</v>
      </c>
      <c r="X186" s="97">
        <f t="shared" si="92"/>
        <v>1520</v>
      </c>
      <c r="Y186" s="96"/>
      <c r="Z186" s="99">
        <f t="shared" si="85"/>
        <v>28</v>
      </c>
      <c r="AA186" s="11">
        <f t="shared" si="111"/>
        <v>43440</v>
      </c>
      <c r="AB186" s="3">
        <f t="shared" si="111"/>
        <v>193</v>
      </c>
      <c r="AC186" s="3">
        <f>SUMIF(MORTALIDAD!$R:$R,RESUMEN!AA186,MORTALIDAD!$V:$V)</f>
        <v>0</v>
      </c>
      <c r="AD186" s="19">
        <f t="shared" si="94"/>
        <v>-476</v>
      </c>
      <c r="AE186" s="3">
        <f>SUMIF(MORTALIDAD!$R:$R,RESUMEN!AA186,MORTALIDAD!$W:$W)</f>
        <v>0</v>
      </c>
      <c r="AF186" s="3">
        <f>SUMIF(TRASLADOS!$T:$T,RESUMEN!AA186,TRASLADOS!$W:$W)</f>
        <v>0</v>
      </c>
      <c r="AG186" s="3">
        <f>SUMIF(TRASLADOS!$T:$T,RESUMEN!AA186,TRASLADOS!$X:$X)</f>
        <v>0</v>
      </c>
      <c r="AH186" s="3">
        <f>SUMIF(VENTAS!$R:$R,RESUMEN!AA186,VENTAS!$V:$V)</f>
        <v>0</v>
      </c>
      <c r="AI186" s="3">
        <f>SUMIF(VENTAS!$R:$R,RESUMEN!AA186,VENTAS!$W:$W)</f>
        <v>0</v>
      </c>
      <c r="AJ186" s="97">
        <f t="shared" si="95"/>
        <v>1724</v>
      </c>
      <c r="AK186" s="96"/>
      <c r="AL186" s="99">
        <f t="shared" si="86"/>
        <v>28</v>
      </c>
      <c r="AM186" s="11">
        <f t="shared" si="112"/>
        <v>43447</v>
      </c>
      <c r="AN186" s="3">
        <f t="shared" si="112"/>
        <v>193</v>
      </c>
      <c r="AO186" s="3">
        <f>SUMIF(MORTALIDAD!$Z:$Z,RESUMEN!AM186,MORTALIDAD!$AD:$AD)</f>
        <v>0</v>
      </c>
      <c r="AP186" s="19">
        <f t="shared" si="97"/>
        <v>-124</v>
      </c>
      <c r="AQ186" s="3">
        <f>SUMIF(MORTALIDAD!$Z:$Z,RESUMEN!AM186,MORTALIDAD!$AE:$AE)</f>
        <v>0</v>
      </c>
      <c r="AR186" s="3">
        <f>SUMIF(TRASLADOS!$AC:$AC,RESUMEN!AM186,TRASLADOS!$AF:$AF)</f>
        <v>0</v>
      </c>
      <c r="AS186" s="3">
        <f>SUMIF(TRASLADOS!$AC:$AC,RESUMEN!AM186,TRASLADOS!$AG:$AG)</f>
        <v>0</v>
      </c>
      <c r="AT186" s="3">
        <f>SUMIF(VENTAS!$Z:$Z,RESUMEN!AM186,VENTAS!$AD:$AD)</f>
        <v>0</v>
      </c>
      <c r="AU186" s="3">
        <f>SUMIF(VENTAS!$Z:$Z,RESUMEN!AM186,VENTAS!$AE:$AE)</f>
        <v>0</v>
      </c>
      <c r="AV186" s="97">
        <f t="shared" si="98"/>
        <v>2076</v>
      </c>
      <c r="AW186" s="96"/>
      <c r="AX186" s="99">
        <f t="shared" si="87"/>
        <v>28</v>
      </c>
      <c r="AY186" s="11">
        <f t="shared" si="113"/>
        <v>43454</v>
      </c>
      <c r="AZ186" s="3">
        <f t="shared" si="113"/>
        <v>193</v>
      </c>
      <c r="BA186" s="3">
        <f>SUMIF(MORTALIDAD!$AH:$AH,RESUMEN!AY186,MORTALIDAD!$AL:$AL)</f>
        <v>0</v>
      </c>
      <c r="BB186" s="19">
        <f t="shared" si="100"/>
        <v>-119</v>
      </c>
      <c r="BC186" s="3">
        <f>SUMIF(MORTALIDAD!$AH:$AH,RESUMEN!AY186,MORTALIDAD!$AM:$AM)</f>
        <v>0</v>
      </c>
      <c r="BD186" s="3">
        <f>SUMIF(TRASLADOS!$AL:$AL,RESUMEN!AY186,TRASLADOS!$AO:$AO)</f>
        <v>0</v>
      </c>
      <c r="BE186" s="3">
        <f>SUMIF(TRASLADOS!$AL:$AL,RESUMEN!AY186,TRASLADOS!$AP:$AP)</f>
        <v>0</v>
      </c>
      <c r="BF186" s="3">
        <f>SUMIF(VENTAS!$AH:$AH,RESUMEN!AY186,VENTAS!$AL:$AL)</f>
        <v>0</v>
      </c>
      <c r="BG186" s="3">
        <f>SUMIF(VENTAS!$AH:$AH,RESUMEN!AY186,VENTAS!$AM:$AM)</f>
        <v>0</v>
      </c>
      <c r="BH186" s="97">
        <f t="shared" si="101"/>
        <v>2081</v>
      </c>
      <c r="BI186" s="96"/>
      <c r="BJ186" s="99">
        <f t="shared" si="88"/>
        <v>28</v>
      </c>
      <c r="BK186" s="11">
        <f t="shared" si="114"/>
        <v>43463</v>
      </c>
      <c r="BL186" s="3">
        <f t="shared" si="114"/>
        <v>196</v>
      </c>
      <c r="BM186" s="3">
        <f>SUMIF(MORTALIDAD!$AP:$AP,RESUMEN!BK186,MORTALIDAD!$AT:$AT)</f>
        <v>0</v>
      </c>
      <c r="BN186" s="19">
        <f t="shared" si="103"/>
        <v>-73</v>
      </c>
      <c r="BO186" s="3">
        <f>SUMIF(MORTALIDAD!$AP$6:$AP$200,RESUMEN!BK186,MORTALIDAD!$AU$6:$AU$200)</f>
        <v>0</v>
      </c>
      <c r="BP186" s="3">
        <f>SUMIF(TRASLADOS!$AU:$AU,RESUMEN!BK186,TRASLADOS!$AX:$AX)</f>
        <v>0</v>
      </c>
      <c r="BQ186" s="3">
        <f>SUMIF(TRASLADOS!$AU:$AU,RESUMEN!BK186,TRASLADOS!$AY:$AY)</f>
        <v>0</v>
      </c>
      <c r="BR186" s="3">
        <f>SUMIF(VENTAS!$AP:$AP,RESUMEN!BK186,VENTAS!$AT:$AT)</f>
        <v>0</v>
      </c>
      <c r="BS186" s="3">
        <f>SUMIF(VENTAS!$AP:$AP,RESUMEN!BK186,VENTAS!$AU:$AU)</f>
        <v>0</v>
      </c>
      <c r="BT186" s="36">
        <f t="shared" si="104"/>
        <v>2241</v>
      </c>
    </row>
    <row r="187" spans="2:72" x14ac:dyDescent="0.2">
      <c r="B187" s="3">
        <f t="shared" si="83"/>
        <v>28</v>
      </c>
      <c r="C187" s="11">
        <f t="shared" si="115"/>
        <v>43434</v>
      </c>
      <c r="D187" s="3">
        <f t="shared" si="116"/>
        <v>196</v>
      </c>
      <c r="E187" s="3">
        <f>SUMIF(MORTALIDAD!$B$6:$B$200,RESUMEN!C187,MORTALIDAD!$F$6:$F$200)</f>
        <v>0</v>
      </c>
      <c r="F187" s="17">
        <f t="shared" si="117"/>
        <v>-740</v>
      </c>
      <c r="G187" s="3">
        <f>SUMIF(MORTALIDAD!$B$6:$B$200,RESUMEN!C187,MORTALIDAD!$G$6:$G$200)</f>
        <v>0</v>
      </c>
      <c r="H187" s="3">
        <f>SUMIF(TRASLADOS!$B$6:$B$200,C187,TRASLADOS!$E$6:$E$200)</f>
        <v>0</v>
      </c>
      <c r="I187" s="3">
        <f>SUMIF(TRASLADOS!$B$6:$B$200,C187,TRASLADOS!$F$6:$F$200)</f>
        <v>0</v>
      </c>
      <c r="J187" s="3">
        <f>SUMIF(VENTAS!$B$6:$B$200,RESUMEN!C187,VENTAS!$F$6:$F$200)</f>
        <v>0</v>
      </c>
      <c r="K187" s="3">
        <f>SUMIF(VENTAS!$B$6:$B$200,RESUMEN!C187,VENTAS!$G$6:$G$200)</f>
        <v>0</v>
      </c>
      <c r="L187" s="97">
        <f t="shared" si="89"/>
        <v>1460</v>
      </c>
      <c r="M187" s="96"/>
      <c r="N187" s="99">
        <f t="shared" si="84"/>
        <v>28</v>
      </c>
      <c r="O187" s="11">
        <f t="shared" si="110"/>
        <v>43437</v>
      </c>
      <c r="P187" s="3">
        <f t="shared" si="110"/>
        <v>195</v>
      </c>
      <c r="Q187" s="3">
        <f>SUMIF(MORTALIDAD!$J:$J,RESUMEN!O187,MORTALIDAD!$N:$N)</f>
        <v>0</v>
      </c>
      <c r="R187" s="19">
        <f t="shared" si="91"/>
        <v>-680</v>
      </c>
      <c r="S187" s="3">
        <f>SUMIF(MORTALIDAD!$J:$J,RESUMEN!O187,MORTALIDAD!$O:$O)</f>
        <v>0</v>
      </c>
      <c r="T187" s="3">
        <f>SUMIF(TRASLADOS!$K:$K,RESUMEN!O187,TRASLADOS!$N:$N)</f>
        <v>0</v>
      </c>
      <c r="U187" s="3">
        <f>SUMIF(TRASLADOS!$K:$K,RESUMEN!O187,TRASLADOS!$O:$O)</f>
        <v>0</v>
      </c>
      <c r="V187" s="3">
        <f>SUMIF(VENTAS!$J:$J,RESUMEN!O187,VENTAS!$N:$N)</f>
        <v>0</v>
      </c>
      <c r="W187" s="3">
        <f>SUMIF(VENTAS!$J:$J,RESUMEN!O187,VENTAS!$O:$O)</f>
        <v>0</v>
      </c>
      <c r="X187" s="97">
        <f t="shared" si="92"/>
        <v>1520</v>
      </c>
      <c r="Y187" s="96"/>
      <c r="Z187" s="99">
        <f t="shared" si="85"/>
        <v>28</v>
      </c>
      <c r="AA187" s="11">
        <f t="shared" si="111"/>
        <v>43441</v>
      </c>
      <c r="AB187" s="3">
        <f t="shared" si="111"/>
        <v>194</v>
      </c>
      <c r="AC187" s="3">
        <f>SUMIF(MORTALIDAD!$R:$R,RESUMEN!AA187,MORTALIDAD!$V:$V)</f>
        <v>0</v>
      </c>
      <c r="AD187" s="19">
        <f t="shared" si="94"/>
        <v>-476</v>
      </c>
      <c r="AE187" s="3">
        <f>SUMIF(MORTALIDAD!$R:$R,RESUMEN!AA187,MORTALIDAD!$W:$W)</f>
        <v>0</v>
      </c>
      <c r="AF187" s="3">
        <f>SUMIF(TRASLADOS!$T:$T,RESUMEN!AA187,TRASLADOS!$W:$W)</f>
        <v>0</v>
      </c>
      <c r="AG187" s="3">
        <f>SUMIF(TRASLADOS!$T:$T,RESUMEN!AA187,TRASLADOS!$X:$X)</f>
        <v>0</v>
      </c>
      <c r="AH187" s="3">
        <f>SUMIF(VENTAS!$R:$R,RESUMEN!AA187,VENTAS!$V:$V)</f>
        <v>0</v>
      </c>
      <c r="AI187" s="3">
        <f>SUMIF(VENTAS!$R:$R,RESUMEN!AA187,VENTAS!$W:$W)</f>
        <v>0</v>
      </c>
      <c r="AJ187" s="97">
        <f t="shared" si="95"/>
        <v>1724</v>
      </c>
      <c r="AK187" s="96"/>
      <c r="AL187" s="99">
        <f t="shared" si="86"/>
        <v>28</v>
      </c>
      <c r="AM187" s="11">
        <f t="shared" si="112"/>
        <v>43448</v>
      </c>
      <c r="AN187" s="3">
        <f t="shared" si="112"/>
        <v>194</v>
      </c>
      <c r="AO187" s="3">
        <f>SUMIF(MORTALIDAD!$Z:$Z,RESUMEN!AM187,MORTALIDAD!$AD:$AD)</f>
        <v>0</v>
      </c>
      <c r="AP187" s="19">
        <f t="shared" si="97"/>
        <v>-124</v>
      </c>
      <c r="AQ187" s="3">
        <f>SUMIF(MORTALIDAD!$Z:$Z,RESUMEN!AM187,MORTALIDAD!$AE:$AE)</f>
        <v>0</v>
      </c>
      <c r="AR187" s="3">
        <f>SUMIF(TRASLADOS!$AC:$AC,RESUMEN!AM187,TRASLADOS!$AF:$AF)</f>
        <v>0</v>
      </c>
      <c r="AS187" s="3">
        <f>SUMIF(TRASLADOS!$AC:$AC,RESUMEN!AM187,TRASLADOS!$AG:$AG)</f>
        <v>0</v>
      </c>
      <c r="AT187" s="3">
        <f>SUMIF(VENTAS!$Z:$Z,RESUMEN!AM187,VENTAS!$AD:$AD)</f>
        <v>0</v>
      </c>
      <c r="AU187" s="3">
        <f>SUMIF(VENTAS!$Z:$Z,RESUMEN!AM187,VENTAS!$AE:$AE)</f>
        <v>0</v>
      </c>
      <c r="AV187" s="97">
        <f t="shared" si="98"/>
        <v>2076</v>
      </c>
      <c r="AW187" s="96"/>
      <c r="AX187" s="99">
        <f t="shared" si="87"/>
        <v>28</v>
      </c>
      <c r="AY187" s="11">
        <f t="shared" si="113"/>
        <v>43455</v>
      </c>
      <c r="AZ187" s="3">
        <f t="shared" si="113"/>
        <v>194</v>
      </c>
      <c r="BA187" s="3">
        <f>SUMIF(MORTALIDAD!$AH:$AH,RESUMEN!AY187,MORTALIDAD!$AL:$AL)</f>
        <v>0</v>
      </c>
      <c r="BB187" s="19">
        <f t="shared" si="100"/>
        <v>-119</v>
      </c>
      <c r="BC187" s="3">
        <f>SUMIF(MORTALIDAD!$AH:$AH,RESUMEN!AY187,MORTALIDAD!$AM:$AM)</f>
        <v>0</v>
      </c>
      <c r="BD187" s="3">
        <f>SUMIF(TRASLADOS!$AL:$AL,RESUMEN!AY187,TRASLADOS!$AO:$AO)</f>
        <v>0</v>
      </c>
      <c r="BE187" s="3">
        <f>SUMIF(TRASLADOS!$AL:$AL,RESUMEN!AY187,TRASLADOS!$AP:$AP)</f>
        <v>0</v>
      </c>
      <c r="BF187" s="3">
        <f>SUMIF(VENTAS!$AH:$AH,RESUMEN!AY187,VENTAS!$AL:$AL)</f>
        <v>0</v>
      </c>
      <c r="BG187" s="3">
        <f>SUMIF(VENTAS!$AH:$AH,RESUMEN!AY187,VENTAS!$AM:$AM)</f>
        <v>0</v>
      </c>
      <c r="BH187" s="97">
        <f t="shared" si="101"/>
        <v>2081</v>
      </c>
      <c r="BI187" s="96"/>
      <c r="BJ187" s="99">
        <f t="shared" si="88"/>
        <v>29</v>
      </c>
      <c r="BK187" s="11">
        <f t="shared" si="114"/>
        <v>43464</v>
      </c>
      <c r="BL187" s="3">
        <f t="shared" si="114"/>
        <v>197</v>
      </c>
      <c r="BM187" s="3">
        <f>SUMIF(MORTALIDAD!$AP:$AP,RESUMEN!BK187,MORTALIDAD!$AT:$AT)</f>
        <v>0</v>
      </c>
      <c r="BN187" s="19">
        <f t="shared" si="103"/>
        <v>-73</v>
      </c>
      <c r="BO187" s="3">
        <f>SUMIF(MORTALIDAD!$AP$6:$AP$200,RESUMEN!BK187,MORTALIDAD!$AU$6:$AU$200)</f>
        <v>0</v>
      </c>
      <c r="BP187" s="3">
        <f>SUMIF(TRASLADOS!$AU:$AU,RESUMEN!BK187,TRASLADOS!$AX:$AX)</f>
        <v>0</v>
      </c>
      <c r="BQ187" s="3">
        <f>SUMIF(TRASLADOS!$AU:$AU,RESUMEN!BK187,TRASLADOS!$AY:$AY)</f>
        <v>0</v>
      </c>
      <c r="BR187" s="3">
        <f>SUMIF(VENTAS!$AP:$AP,RESUMEN!BK187,VENTAS!$AT:$AT)</f>
        <v>0</v>
      </c>
      <c r="BS187" s="3">
        <f>SUMIF(VENTAS!$AP:$AP,RESUMEN!BK187,VENTAS!$AU:$AU)</f>
        <v>0</v>
      </c>
      <c r="BT187" s="36">
        <f t="shared" si="104"/>
        <v>2241</v>
      </c>
    </row>
    <row r="188" spans="2:72" x14ac:dyDescent="0.2">
      <c r="B188" s="3">
        <f t="shared" si="83"/>
        <v>29</v>
      </c>
      <c r="C188" s="11">
        <f t="shared" si="115"/>
        <v>43435</v>
      </c>
      <c r="D188" s="3">
        <f t="shared" si="116"/>
        <v>197</v>
      </c>
      <c r="E188" s="3">
        <f>SUMIF(MORTALIDAD!$B$6:$B$200,RESUMEN!C188,MORTALIDAD!$F$6:$F$200)</f>
        <v>0</v>
      </c>
      <c r="F188" s="17">
        <f t="shared" si="117"/>
        <v>-740</v>
      </c>
      <c r="G188" s="3">
        <f>SUMIF(MORTALIDAD!$B$6:$B$200,RESUMEN!C188,MORTALIDAD!$G$6:$G$200)</f>
        <v>0</v>
      </c>
      <c r="H188" s="3">
        <f>SUMIF(TRASLADOS!$B$6:$B$200,C188,TRASLADOS!$E$6:$E$200)</f>
        <v>0</v>
      </c>
      <c r="I188" s="3">
        <f>SUMIF(TRASLADOS!$B$6:$B$200,C188,TRASLADOS!$F$6:$F$200)</f>
        <v>0</v>
      </c>
      <c r="J188" s="3">
        <f>SUMIF(VENTAS!$B$6:$B$200,RESUMEN!C188,VENTAS!$F$6:$F$200)</f>
        <v>0</v>
      </c>
      <c r="K188" s="3">
        <f>SUMIF(VENTAS!$B$6:$B$200,RESUMEN!C188,VENTAS!$G$6:$G$200)</f>
        <v>0</v>
      </c>
      <c r="L188" s="97">
        <f t="shared" si="89"/>
        <v>1460</v>
      </c>
      <c r="M188" s="96"/>
      <c r="N188" s="99">
        <f t="shared" si="84"/>
        <v>28</v>
      </c>
      <c r="O188" s="11">
        <f t="shared" si="110"/>
        <v>43438</v>
      </c>
      <c r="P188" s="3">
        <f t="shared" si="110"/>
        <v>196</v>
      </c>
      <c r="Q188" s="3">
        <f>SUMIF(MORTALIDAD!$J:$J,RESUMEN!O188,MORTALIDAD!$N:$N)</f>
        <v>0</v>
      </c>
      <c r="R188" s="19">
        <f t="shared" si="91"/>
        <v>-680</v>
      </c>
      <c r="S188" s="3">
        <f>SUMIF(MORTALIDAD!$J:$J,RESUMEN!O188,MORTALIDAD!$O:$O)</f>
        <v>0</v>
      </c>
      <c r="T188" s="3">
        <f>SUMIF(TRASLADOS!$K:$K,RESUMEN!O188,TRASLADOS!$N:$N)</f>
        <v>0</v>
      </c>
      <c r="U188" s="3">
        <f>SUMIF(TRASLADOS!$K:$K,RESUMEN!O188,TRASLADOS!$O:$O)</f>
        <v>0</v>
      </c>
      <c r="V188" s="3">
        <f>SUMIF(VENTAS!$J:$J,RESUMEN!O188,VENTAS!$N:$N)</f>
        <v>0</v>
      </c>
      <c r="W188" s="3">
        <f>SUMIF(VENTAS!$J:$J,RESUMEN!O188,VENTAS!$O:$O)</f>
        <v>0</v>
      </c>
      <c r="X188" s="97">
        <f t="shared" si="92"/>
        <v>1520</v>
      </c>
      <c r="Y188" s="96"/>
      <c r="Z188" s="99">
        <f t="shared" si="85"/>
        <v>28</v>
      </c>
      <c r="AA188" s="11">
        <f t="shared" si="111"/>
        <v>43442</v>
      </c>
      <c r="AB188" s="3">
        <f t="shared" si="111"/>
        <v>195</v>
      </c>
      <c r="AC188" s="3">
        <f>SUMIF(MORTALIDAD!$R:$R,RESUMEN!AA188,MORTALIDAD!$V:$V)</f>
        <v>0</v>
      </c>
      <c r="AD188" s="19">
        <f t="shared" si="94"/>
        <v>-476</v>
      </c>
      <c r="AE188" s="3">
        <f>SUMIF(MORTALIDAD!$R:$R,RESUMEN!AA188,MORTALIDAD!$W:$W)</f>
        <v>0</v>
      </c>
      <c r="AF188" s="3">
        <f>SUMIF(TRASLADOS!$T:$T,RESUMEN!AA188,TRASLADOS!$W:$W)</f>
        <v>0</v>
      </c>
      <c r="AG188" s="3">
        <f>SUMIF(TRASLADOS!$T:$T,RESUMEN!AA188,TRASLADOS!$X:$X)</f>
        <v>0</v>
      </c>
      <c r="AH188" s="3">
        <f>SUMIF(VENTAS!$R:$R,RESUMEN!AA188,VENTAS!$V:$V)</f>
        <v>0</v>
      </c>
      <c r="AI188" s="3">
        <f>SUMIF(VENTAS!$R:$R,RESUMEN!AA188,VENTAS!$W:$W)</f>
        <v>0</v>
      </c>
      <c r="AJ188" s="97">
        <f t="shared" si="95"/>
        <v>1724</v>
      </c>
      <c r="AK188" s="96"/>
      <c r="AL188" s="99">
        <f t="shared" si="86"/>
        <v>28</v>
      </c>
      <c r="AM188" s="11">
        <f t="shared" si="112"/>
        <v>43449</v>
      </c>
      <c r="AN188" s="3">
        <f t="shared" si="112"/>
        <v>195</v>
      </c>
      <c r="AO188" s="3">
        <f>SUMIF(MORTALIDAD!$Z:$Z,RESUMEN!AM188,MORTALIDAD!$AD:$AD)</f>
        <v>0</v>
      </c>
      <c r="AP188" s="19">
        <f t="shared" si="97"/>
        <v>-124</v>
      </c>
      <c r="AQ188" s="3">
        <f>SUMIF(MORTALIDAD!$Z:$Z,RESUMEN!AM188,MORTALIDAD!$AE:$AE)</f>
        <v>0</v>
      </c>
      <c r="AR188" s="3">
        <f>SUMIF(TRASLADOS!$AC:$AC,RESUMEN!AM188,TRASLADOS!$AF:$AF)</f>
        <v>0</v>
      </c>
      <c r="AS188" s="3">
        <f>SUMIF(TRASLADOS!$AC:$AC,RESUMEN!AM188,TRASLADOS!$AG:$AG)</f>
        <v>0</v>
      </c>
      <c r="AT188" s="3">
        <f>SUMIF(VENTAS!$Z:$Z,RESUMEN!AM188,VENTAS!$AD:$AD)</f>
        <v>0</v>
      </c>
      <c r="AU188" s="3">
        <f>SUMIF(VENTAS!$Z:$Z,RESUMEN!AM188,VENTAS!$AE:$AE)</f>
        <v>0</v>
      </c>
      <c r="AV188" s="97">
        <f t="shared" si="98"/>
        <v>2076</v>
      </c>
      <c r="AW188" s="96"/>
      <c r="AX188" s="99">
        <f t="shared" si="87"/>
        <v>28</v>
      </c>
      <c r="AY188" s="11">
        <f t="shared" si="113"/>
        <v>43456</v>
      </c>
      <c r="AZ188" s="3">
        <f t="shared" si="113"/>
        <v>195</v>
      </c>
      <c r="BA188" s="3">
        <f>SUMIF(MORTALIDAD!$AH:$AH,RESUMEN!AY188,MORTALIDAD!$AL:$AL)</f>
        <v>0</v>
      </c>
      <c r="BB188" s="19">
        <f t="shared" si="100"/>
        <v>-119</v>
      </c>
      <c r="BC188" s="3">
        <f>SUMIF(MORTALIDAD!$AH:$AH,RESUMEN!AY188,MORTALIDAD!$AM:$AM)</f>
        <v>0</v>
      </c>
      <c r="BD188" s="3">
        <f>SUMIF(TRASLADOS!$AL:$AL,RESUMEN!AY188,TRASLADOS!$AO:$AO)</f>
        <v>0</v>
      </c>
      <c r="BE188" s="3">
        <f>SUMIF(TRASLADOS!$AL:$AL,RESUMEN!AY188,TRASLADOS!$AP:$AP)</f>
        <v>0</v>
      </c>
      <c r="BF188" s="3">
        <f>SUMIF(VENTAS!$AH:$AH,RESUMEN!AY188,VENTAS!$AL:$AL)</f>
        <v>0</v>
      </c>
      <c r="BG188" s="3">
        <f>SUMIF(VENTAS!$AH:$AH,RESUMEN!AY188,VENTAS!$AM:$AM)</f>
        <v>0</v>
      </c>
      <c r="BH188" s="97">
        <f t="shared" si="101"/>
        <v>2081</v>
      </c>
      <c r="BI188" s="96"/>
      <c r="BJ188" s="99">
        <f t="shared" si="88"/>
        <v>29</v>
      </c>
      <c r="BK188" s="11">
        <f t="shared" si="114"/>
        <v>43465</v>
      </c>
      <c r="BL188" s="3">
        <f t="shared" si="114"/>
        <v>198</v>
      </c>
      <c r="BM188" s="3">
        <f>SUMIF(MORTALIDAD!$AP:$AP,RESUMEN!BK188,MORTALIDAD!$AT:$AT)</f>
        <v>0</v>
      </c>
      <c r="BN188" s="19">
        <f t="shared" si="103"/>
        <v>-73</v>
      </c>
      <c r="BO188" s="3">
        <f>SUMIF(MORTALIDAD!$AP$6:$AP$200,RESUMEN!BK188,MORTALIDAD!$AU$6:$AU$200)</f>
        <v>0</v>
      </c>
      <c r="BP188" s="3">
        <f>SUMIF(TRASLADOS!$AU:$AU,RESUMEN!BK188,TRASLADOS!$AX:$AX)</f>
        <v>0</v>
      </c>
      <c r="BQ188" s="3">
        <f>SUMIF(TRASLADOS!$AU:$AU,RESUMEN!BK188,TRASLADOS!$AY:$AY)</f>
        <v>0</v>
      </c>
      <c r="BR188" s="3">
        <f>SUMIF(VENTAS!$AP:$AP,RESUMEN!BK188,VENTAS!$AT:$AT)</f>
        <v>0</v>
      </c>
      <c r="BS188" s="3">
        <f>SUMIF(VENTAS!$AP:$AP,RESUMEN!BK188,VENTAS!$AU:$AU)</f>
        <v>0</v>
      </c>
      <c r="BT188" s="36">
        <f t="shared" si="104"/>
        <v>2241</v>
      </c>
    </row>
    <row r="189" spans="2:72" x14ac:dyDescent="0.2">
      <c r="B189" s="3">
        <f t="shared" si="83"/>
        <v>29</v>
      </c>
      <c r="C189" s="11">
        <f t="shared" si="115"/>
        <v>43436</v>
      </c>
      <c r="D189" s="3">
        <f t="shared" si="116"/>
        <v>198</v>
      </c>
      <c r="E189" s="3">
        <f>SUMIF(MORTALIDAD!$B$6:$B$200,RESUMEN!C189,MORTALIDAD!$F$6:$F$200)</f>
        <v>0</v>
      </c>
      <c r="F189" s="17">
        <f t="shared" si="117"/>
        <v>-740</v>
      </c>
      <c r="G189" s="3">
        <f>SUMIF(MORTALIDAD!$B$6:$B$200,RESUMEN!C189,MORTALIDAD!$G$6:$G$200)</f>
        <v>0</v>
      </c>
      <c r="H189" s="3">
        <f>SUMIF(TRASLADOS!$B$6:$B$200,C189,TRASLADOS!$E$6:$E$200)</f>
        <v>0</v>
      </c>
      <c r="I189" s="3">
        <f>SUMIF(TRASLADOS!$B$6:$B$200,C189,TRASLADOS!$F$6:$F$200)</f>
        <v>0</v>
      </c>
      <c r="J189" s="3">
        <f>SUMIF(VENTAS!$B$6:$B$200,RESUMEN!C189,VENTAS!$F$6:$F$200)</f>
        <v>0</v>
      </c>
      <c r="K189" s="3">
        <f>SUMIF(VENTAS!$B$6:$B$200,RESUMEN!C189,VENTAS!$G$6:$G$200)</f>
        <v>0</v>
      </c>
      <c r="L189" s="97">
        <f t="shared" si="89"/>
        <v>1460</v>
      </c>
      <c r="M189" s="96"/>
      <c r="N189" s="99">
        <f t="shared" si="84"/>
        <v>29</v>
      </c>
      <c r="O189" s="11">
        <f t="shared" si="110"/>
        <v>43439</v>
      </c>
      <c r="P189" s="3">
        <f t="shared" si="110"/>
        <v>197</v>
      </c>
      <c r="Q189" s="3">
        <f>SUMIF(MORTALIDAD!$J:$J,RESUMEN!O189,MORTALIDAD!$N:$N)</f>
        <v>0</v>
      </c>
      <c r="R189" s="19">
        <f t="shared" si="91"/>
        <v>-680</v>
      </c>
      <c r="S189" s="3">
        <f>SUMIF(MORTALIDAD!$J:$J,RESUMEN!O189,MORTALIDAD!$O:$O)</f>
        <v>0</v>
      </c>
      <c r="T189" s="3">
        <f>SUMIF(TRASLADOS!$K:$K,RESUMEN!O189,TRASLADOS!$N:$N)</f>
        <v>0</v>
      </c>
      <c r="U189" s="3">
        <f>SUMIF(TRASLADOS!$K:$K,RESUMEN!O189,TRASLADOS!$O:$O)</f>
        <v>0</v>
      </c>
      <c r="V189" s="3">
        <f>SUMIF(VENTAS!$J:$J,RESUMEN!O189,VENTAS!$N:$N)</f>
        <v>0</v>
      </c>
      <c r="W189" s="3">
        <f>SUMIF(VENTAS!$J:$J,RESUMEN!O189,VENTAS!$O:$O)</f>
        <v>0</v>
      </c>
      <c r="X189" s="97">
        <f t="shared" si="92"/>
        <v>1520</v>
      </c>
      <c r="Y189" s="96"/>
      <c r="Z189" s="99">
        <f t="shared" si="85"/>
        <v>28</v>
      </c>
      <c r="AA189" s="11">
        <f t="shared" si="111"/>
        <v>43443</v>
      </c>
      <c r="AB189" s="3">
        <f t="shared" si="111"/>
        <v>196</v>
      </c>
      <c r="AC189" s="3">
        <f>SUMIF(MORTALIDAD!$R:$R,RESUMEN!AA189,MORTALIDAD!$V:$V)</f>
        <v>0</v>
      </c>
      <c r="AD189" s="19">
        <f t="shared" si="94"/>
        <v>-476</v>
      </c>
      <c r="AE189" s="3">
        <f>SUMIF(MORTALIDAD!$R:$R,RESUMEN!AA189,MORTALIDAD!$W:$W)</f>
        <v>0</v>
      </c>
      <c r="AF189" s="3">
        <f>SUMIF(TRASLADOS!$T:$T,RESUMEN!AA189,TRASLADOS!$W:$W)</f>
        <v>0</v>
      </c>
      <c r="AG189" s="3">
        <f>SUMIF(TRASLADOS!$T:$T,RESUMEN!AA189,TRASLADOS!$X:$X)</f>
        <v>0</v>
      </c>
      <c r="AH189" s="3">
        <f>SUMIF(VENTAS!$R:$R,RESUMEN!AA189,VENTAS!$V:$V)</f>
        <v>0</v>
      </c>
      <c r="AI189" s="3">
        <f>SUMIF(VENTAS!$R:$R,RESUMEN!AA189,VENTAS!$W:$W)</f>
        <v>0</v>
      </c>
      <c r="AJ189" s="97">
        <f t="shared" si="95"/>
        <v>1724</v>
      </c>
      <c r="AK189" s="96"/>
      <c r="AL189" s="99">
        <f t="shared" si="86"/>
        <v>28</v>
      </c>
      <c r="AM189" s="11">
        <f t="shared" si="112"/>
        <v>43450</v>
      </c>
      <c r="AN189" s="3">
        <f t="shared" si="112"/>
        <v>196</v>
      </c>
      <c r="AO189" s="3">
        <f>SUMIF(MORTALIDAD!$Z:$Z,RESUMEN!AM189,MORTALIDAD!$AD:$AD)</f>
        <v>0</v>
      </c>
      <c r="AP189" s="19">
        <f t="shared" si="97"/>
        <v>-124</v>
      </c>
      <c r="AQ189" s="3">
        <f>SUMIF(MORTALIDAD!$Z:$Z,RESUMEN!AM189,MORTALIDAD!$AE:$AE)</f>
        <v>0</v>
      </c>
      <c r="AR189" s="3">
        <f>SUMIF(TRASLADOS!$AC:$AC,RESUMEN!AM189,TRASLADOS!$AF:$AF)</f>
        <v>0</v>
      </c>
      <c r="AS189" s="3">
        <f>SUMIF(TRASLADOS!$AC:$AC,RESUMEN!AM189,TRASLADOS!$AG:$AG)</f>
        <v>0</v>
      </c>
      <c r="AT189" s="3">
        <f>SUMIF(VENTAS!$Z:$Z,RESUMEN!AM189,VENTAS!$AD:$AD)</f>
        <v>0</v>
      </c>
      <c r="AU189" s="3">
        <f>SUMIF(VENTAS!$Z:$Z,RESUMEN!AM189,VENTAS!$AE:$AE)</f>
        <v>0</v>
      </c>
      <c r="AV189" s="97">
        <f t="shared" si="98"/>
        <v>2076</v>
      </c>
      <c r="AW189" s="96"/>
      <c r="AX189" s="99">
        <f t="shared" si="87"/>
        <v>28</v>
      </c>
      <c r="AY189" s="11">
        <f t="shared" si="113"/>
        <v>43457</v>
      </c>
      <c r="AZ189" s="3">
        <f t="shared" si="113"/>
        <v>196</v>
      </c>
      <c r="BA189" s="3">
        <f>SUMIF(MORTALIDAD!$AH:$AH,RESUMEN!AY189,MORTALIDAD!$AL:$AL)</f>
        <v>0</v>
      </c>
      <c r="BB189" s="19">
        <f t="shared" si="100"/>
        <v>-119</v>
      </c>
      <c r="BC189" s="3">
        <f>SUMIF(MORTALIDAD!$AH:$AH,RESUMEN!AY189,MORTALIDAD!$AM:$AM)</f>
        <v>0</v>
      </c>
      <c r="BD189" s="3">
        <f>SUMIF(TRASLADOS!$AL:$AL,RESUMEN!AY189,TRASLADOS!$AO:$AO)</f>
        <v>0</v>
      </c>
      <c r="BE189" s="3">
        <f>SUMIF(TRASLADOS!$AL:$AL,RESUMEN!AY189,TRASLADOS!$AP:$AP)</f>
        <v>0</v>
      </c>
      <c r="BF189" s="3">
        <f>SUMIF(VENTAS!$AH:$AH,RESUMEN!AY189,VENTAS!$AL:$AL)</f>
        <v>0</v>
      </c>
      <c r="BG189" s="3">
        <f>SUMIF(VENTAS!$AH:$AH,RESUMEN!AY189,VENTAS!$AM:$AM)</f>
        <v>0</v>
      </c>
      <c r="BH189" s="97">
        <f t="shared" si="101"/>
        <v>2081</v>
      </c>
      <c r="BI189" s="96"/>
      <c r="BJ189" s="99">
        <f t="shared" si="88"/>
        <v>29</v>
      </c>
      <c r="BK189" s="11">
        <f t="shared" si="114"/>
        <v>43466</v>
      </c>
      <c r="BL189" s="3">
        <f t="shared" si="114"/>
        <v>199</v>
      </c>
      <c r="BM189" s="3">
        <f>SUMIF(MORTALIDAD!$AP:$AP,RESUMEN!BK189,MORTALIDAD!$AT:$AT)</f>
        <v>0</v>
      </c>
      <c r="BN189" s="19">
        <f t="shared" si="103"/>
        <v>-73</v>
      </c>
      <c r="BO189" s="3">
        <f>SUMIF(MORTALIDAD!$AP$6:$AP$200,RESUMEN!BK189,MORTALIDAD!$AU$6:$AU$200)</f>
        <v>0</v>
      </c>
      <c r="BP189" s="3">
        <f>SUMIF(TRASLADOS!$AU:$AU,RESUMEN!BK189,TRASLADOS!$AX:$AX)</f>
        <v>0</v>
      </c>
      <c r="BQ189" s="3">
        <f>SUMIF(TRASLADOS!$AU:$AU,RESUMEN!BK189,TRASLADOS!$AY:$AY)</f>
        <v>0</v>
      </c>
      <c r="BR189" s="3">
        <f>SUMIF(VENTAS!$AP:$AP,RESUMEN!BK189,VENTAS!$AT:$AT)</f>
        <v>0</v>
      </c>
      <c r="BS189" s="3">
        <f>SUMIF(VENTAS!$AP:$AP,RESUMEN!BK189,VENTAS!$AU:$AU)</f>
        <v>0</v>
      </c>
      <c r="BT189" s="36">
        <f t="shared" si="104"/>
        <v>2241</v>
      </c>
    </row>
    <row r="190" spans="2:72" x14ac:dyDescent="0.2">
      <c r="B190" s="3">
        <f t="shared" si="83"/>
        <v>29</v>
      </c>
      <c r="C190" s="11">
        <f t="shared" si="115"/>
        <v>43437</v>
      </c>
      <c r="D190" s="3">
        <f t="shared" si="116"/>
        <v>199</v>
      </c>
      <c r="E190" s="3">
        <f>SUMIF(MORTALIDAD!$B$6:$B$200,RESUMEN!C190,MORTALIDAD!$F$6:$F$200)</f>
        <v>0</v>
      </c>
      <c r="F190" s="17">
        <f t="shared" si="117"/>
        <v>-740</v>
      </c>
      <c r="G190" s="3">
        <f>SUMIF(MORTALIDAD!$B$6:$B$200,RESUMEN!C190,MORTALIDAD!$G$6:$G$200)</f>
        <v>0</v>
      </c>
      <c r="H190" s="3">
        <f>SUMIF(TRASLADOS!$B$6:$B$200,C190,TRASLADOS!$E$6:$E$200)</f>
        <v>0</v>
      </c>
      <c r="I190" s="3">
        <f>SUMIF(TRASLADOS!$B$6:$B$200,C190,TRASLADOS!$F$6:$F$200)</f>
        <v>0</v>
      </c>
      <c r="J190" s="3">
        <f>SUMIF(VENTAS!$B$6:$B$200,RESUMEN!C190,VENTAS!$F$6:$F$200)</f>
        <v>0</v>
      </c>
      <c r="K190" s="3">
        <f>SUMIF(VENTAS!$B$6:$B$200,RESUMEN!C190,VENTAS!$G$6:$G$200)</f>
        <v>0</v>
      </c>
      <c r="L190" s="97">
        <f t="shared" si="89"/>
        <v>1460</v>
      </c>
      <c r="M190" s="96"/>
      <c r="N190" s="99">
        <f t="shared" si="84"/>
        <v>29</v>
      </c>
      <c r="O190" s="11">
        <f t="shared" si="110"/>
        <v>43440</v>
      </c>
      <c r="P190" s="3">
        <f t="shared" si="110"/>
        <v>198</v>
      </c>
      <c r="Q190" s="3">
        <f>SUMIF(MORTALIDAD!$J:$J,RESUMEN!O190,MORTALIDAD!$N:$N)</f>
        <v>0</v>
      </c>
      <c r="R190" s="19">
        <f t="shared" si="91"/>
        <v>-680</v>
      </c>
      <c r="S190" s="3">
        <f>SUMIF(MORTALIDAD!$J:$J,RESUMEN!O190,MORTALIDAD!$O:$O)</f>
        <v>0</v>
      </c>
      <c r="T190" s="3">
        <f>SUMIF(TRASLADOS!$K:$K,RESUMEN!O190,TRASLADOS!$N:$N)</f>
        <v>0</v>
      </c>
      <c r="U190" s="3">
        <f>SUMIF(TRASLADOS!$K:$K,RESUMEN!O190,TRASLADOS!$O:$O)</f>
        <v>0</v>
      </c>
      <c r="V190" s="3">
        <f>SUMIF(VENTAS!$J:$J,RESUMEN!O190,VENTAS!$N:$N)</f>
        <v>0</v>
      </c>
      <c r="W190" s="3">
        <f>SUMIF(VENTAS!$J:$J,RESUMEN!O190,VENTAS!$O:$O)</f>
        <v>0</v>
      </c>
      <c r="X190" s="97">
        <f t="shared" si="92"/>
        <v>1520</v>
      </c>
      <c r="Y190" s="96"/>
      <c r="Z190" s="99">
        <f t="shared" si="85"/>
        <v>29</v>
      </c>
      <c r="AA190" s="11">
        <f t="shared" si="111"/>
        <v>43444</v>
      </c>
      <c r="AB190" s="3">
        <f t="shared" si="111"/>
        <v>197</v>
      </c>
      <c r="AC190" s="3">
        <f>SUMIF(MORTALIDAD!$R:$R,RESUMEN!AA190,MORTALIDAD!$V:$V)</f>
        <v>0</v>
      </c>
      <c r="AD190" s="19">
        <f t="shared" si="94"/>
        <v>-476</v>
      </c>
      <c r="AE190" s="3">
        <f>SUMIF(MORTALIDAD!$R:$R,RESUMEN!AA190,MORTALIDAD!$W:$W)</f>
        <v>0</v>
      </c>
      <c r="AF190" s="3">
        <f>SUMIF(TRASLADOS!$T:$T,RESUMEN!AA190,TRASLADOS!$W:$W)</f>
        <v>0</v>
      </c>
      <c r="AG190" s="3">
        <f>SUMIF(TRASLADOS!$T:$T,RESUMEN!AA190,TRASLADOS!$X:$X)</f>
        <v>0</v>
      </c>
      <c r="AH190" s="3">
        <f>SUMIF(VENTAS!$R:$R,RESUMEN!AA190,VENTAS!$V:$V)</f>
        <v>0</v>
      </c>
      <c r="AI190" s="3">
        <f>SUMIF(VENTAS!$R:$R,RESUMEN!AA190,VENTAS!$W:$W)</f>
        <v>0</v>
      </c>
      <c r="AJ190" s="97">
        <f t="shared" si="95"/>
        <v>1724</v>
      </c>
      <c r="AK190" s="96"/>
      <c r="AL190" s="99">
        <f t="shared" si="86"/>
        <v>29</v>
      </c>
      <c r="AM190" s="11">
        <f t="shared" si="112"/>
        <v>43451</v>
      </c>
      <c r="AN190" s="3">
        <f t="shared" si="112"/>
        <v>197</v>
      </c>
      <c r="AO190" s="3">
        <f>SUMIF(MORTALIDAD!$Z:$Z,RESUMEN!AM190,MORTALIDAD!$AD:$AD)</f>
        <v>0</v>
      </c>
      <c r="AP190" s="19">
        <f t="shared" si="97"/>
        <v>-124</v>
      </c>
      <c r="AQ190" s="3">
        <f>SUMIF(MORTALIDAD!$Z:$Z,RESUMEN!AM190,MORTALIDAD!$AE:$AE)</f>
        <v>0</v>
      </c>
      <c r="AR190" s="3">
        <f>SUMIF(TRASLADOS!$AC:$AC,RESUMEN!AM190,TRASLADOS!$AF:$AF)</f>
        <v>0</v>
      </c>
      <c r="AS190" s="3">
        <f>SUMIF(TRASLADOS!$AC:$AC,RESUMEN!AM190,TRASLADOS!$AG:$AG)</f>
        <v>0</v>
      </c>
      <c r="AT190" s="3">
        <f>SUMIF(VENTAS!$Z:$Z,RESUMEN!AM190,VENTAS!$AD:$AD)</f>
        <v>0</v>
      </c>
      <c r="AU190" s="3">
        <f>SUMIF(VENTAS!$Z:$Z,RESUMEN!AM190,VENTAS!$AE:$AE)</f>
        <v>0</v>
      </c>
      <c r="AV190" s="97">
        <f t="shared" si="98"/>
        <v>2076</v>
      </c>
      <c r="AW190" s="96"/>
      <c r="AX190" s="99">
        <f t="shared" si="87"/>
        <v>29</v>
      </c>
      <c r="AY190" s="11">
        <f t="shared" si="113"/>
        <v>43458</v>
      </c>
      <c r="AZ190" s="3">
        <f t="shared" si="113"/>
        <v>197</v>
      </c>
      <c r="BA190" s="3">
        <f>SUMIF(MORTALIDAD!$AH:$AH,RESUMEN!AY190,MORTALIDAD!$AL:$AL)</f>
        <v>0</v>
      </c>
      <c r="BB190" s="19">
        <f t="shared" si="100"/>
        <v>-119</v>
      </c>
      <c r="BC190" s="3">
        <f>SUMIF(MORTALIDAD!$AH:$AH,RESUMEN!AY190,MORTALIDAD!$AM:$AM)</f>
        <v>0</v>
      </c>
      <c r="BD190" s="3">
        <f>SUMIF(TRASLADOS!$AL:$AL,RESUMEN!AY190,TRASLADOS!$AO:$AO)</f>
        <v>0</v>
      </c>
      <c r="BE190" s="3">
        <f>SUMIF(TRASLADOS!$AL:$AL,RESUMEN!AY190,TRASLADOS!$AP:$AP)</f>
        <v>0</v>
      </c>
      <c r="BF190" s="3">
        <f>SUMIF(VENTAS!$AH:$AH,RESUMEN!AY190,VENTAS!$AL:$AL)</f>
        <v>0</v>
      </c>
      <c r="BG190" s="3">
        <f>SUMIF(VENTAS!$AH:$AH,RESUMEN!AY190,VENTAS!$AM:$AM)</f>
        <v>0</v>
      </c>
      <c r="BH190" s="97">
        <f t="shared" si="101"/>
        <v>2081</v>
      </c>
      <c r="BI190" s="96"/>
      <c r="BJ190" s="99">
        <f t="shared" si="88"/>
        <v>29</v>
      </c>
      <c r="BK190" s="11">
        <f t="shared" si="114"/>
        <v>43467</v>
      </c>
      <c r="BL190" s="3">
        <f t="shared" si="114"/>
        <v>200</v>
      </c>
      <c r="BM190" s="3">
        <f>SUMIF(MORTALIDAD!$AP:$AP,RESUMEN!BK190,MORTALIDAD!$AT:$AT)</f>
        <v>0</v>
      </c>
      <c r="BN190" s="19">
        <f t="shared" si="103"/>
        <v>-73</v>
      </c>
      <c r="BO190" s="3">
        <f>SUMIF(MORTALIDAD!$AP$6:$AP$200,RESUMEN!BK190,MORTALIDAD!$AU$6:$AU$200)</f>
        <v>0</v>
      </c>
      <c r="BP190" s="3">
        <f>SUMIF(TRASLADOS!$AU:$AU,RESUMEN!BK190,TRASLADOS!$AX:$AX)</f>
        <v>0</v>
      </c>
      <c r="BQ190" s="3">
        <f>SUMIF(TRASLADOS!$AU:$AU,RESUMEN!BK190,TRASLADOS!$AY:$AY)</f>
        <v>0</v>
      </c>
      <c r="BR190" s="3">
        <f>SUMIF(VENTAS!$AP:$AP,RESUMEN!BK190,VENTAS!$AT:$AT)</f>
        <v>0</v>
      </c>
      <c r="BS190" s="3">
        <f>SUMIF(VENTAS!$AP:$AP,RESUMEN!BK190,VENTAS!$AU:$AU)</f>
        <v>0</v>
      </c>
      <c r="BT190" s="36">
        <f t="shared" si="104"/>
        <v>2241</v>
      </c>
    </row>
    <row r="191" spans="2:72" x14ac:dyDescent="0.2">
      <c r="B191" s="3">
        <f t="shared" si="83"/>
        <v>29</v>
      </c>
      <c r="C191" s="11">
        <f t="shared" si="115"/>
        <v>43438</v>
      </c>
      <c r="D191" s="3">
        <f t="shared" si="116"/>
        <v>200</v>
      </c>
      <c r="E191" s="3">
        <f>SUMIF(MORTALIDAD!$B$6:$B$200,RESUMEN!C191,MORTALIDAD!$F$6:$F$200)</f>
        <v>0</v>
      </c>
      <c r="F191" s="17">
        <f t="shared" si="117"/>
        <v>-740</v>
      </c>
      <c r="G191" s="3">
        <f>SUMIF(MORTALIDAD!$B$6:$B$200,RESUMEN!C191,MORTALIDAD!$G$6:$G$200)</f>
        <v>0</v>
      </c>
      <c r="H191" s="3">
        <f>SUMIF(TRASLADOS!$B$6:$B$200,C191,TRASLADOS!$E$6:$E$200)</f>
        <v>0</v>
      </c>
      <c r="I191" s="3">
        <f>SUMIF(TRASLADOS!$B$6:$B$200,C191,TRASLADOS!$F$6:$F$200)</f>
        <v>0</v>
      </c>
      <c r="J191" s="3">
        <f>SUMIF(VENTAS!$B$6:$B$200,RESUMEN!C191,VENTAS!$F$6:$F$200)</f>
        <v>0</v>
      </c>
      <c r="K191" s="3">
        <f>SUMIF(VENTAS!$B$6:$B$200,RESUMEN!C191,VENTAS!$G$6:$G$200)</f>
        <v>0</v>
      </c>
      <c r="L191" s="97">
        <f t="shared" si="89"/>
        <v>1460</v>
      </c>
      <c r="M191" s="96"/>
      <c r="N191" s="99">
        <f t="shared" si="84"/>
        <v>29</v>
      </c>
      <c r="O191" s="11">
        <f t="shared" si="110"/>
        <v>43441</v>
      </c>
      <c r="P191" s="3">
        <f t="shared" si="110"/>
        <v>199</v>
      </c>
      <c r="Q191" s="3">
        <f>SUMIF(MORTALIDAD!$J:$J,RESUMEN!O191,MORTALIDAD!$N:$N)</f>
        <v>0</v>
      </c>
      <c r="R191" s="19">
        <f t="shared" si="91"/>
        <v>-680</v>
      </c>
      <c r="S191" s="3">
        <f>SUMIF(MORTALIDAD!$J:$J,RESUMEN!O191,MORTALIDAD!$O:$O)</f>
        <v>0</v>
      </c>
      <c r="T191" s="3">
        <f>SUMIF(TRASLADOS!$K:$K,RESUMEN!O191,TRASLADOS!$N:$N)</f>
        <v>0</v>
      </c>
      <c r="U191" s="3">
        <f>SUMIF(TRASLADOS!$K:$K,RESUMEN!O191,TRASLADOS!$O:$O)</f>
        <v>0</v>
      </c>
      <c r="V191" s="3">
        <f>SUMIF(VENTAS!$J:$J,RESUMEN!O191,VENTAS!$N:$N)</f>
        <v>0</v>
      </c>
      <c r="W191" s="3">
        <f>SUMIF(VENTAS!$J:$J,RESUMEN!O191,VENTAS!$O:$O)</f>
        <v>0</v>
      </c>
      <c r="X191" s="97">
        <f t="shared" si="92"/>
        <v>1520</v>
      </c>
      <c r="Y191" s="96"/>
      <c r="Z191" s="99">
        <f t="shared" si="85"/>
        <v>29</v>
      </c>
      <c r="AA191" s="11">
        <f t="shared" si="111"/>
        <v>43445</v>
      </c>
      <c r="AB191" s="3">
        <f t="shared" si="111"/>
        <v>198</v>
      </c>
      <c r="AC191" s="3">
        <f>SUMIF(MORTALIDAD!$R:$R,RESUMEN!AA191,MORTALIDAD!$V:$V)</f>
        <v>0</v>
      </c>
      <c r="AD191" s="19">
        <f t="shared" si="94"/>
        <v>-476</v>
      </c>
      <c r="AE191" s="3">
        <f>SUMIF(MORTALIDAD!$R:$R,RESUMEN!AA191,MORTALIDAD!$W:$W)</f>
        <v>0</v>
      </c>
      <c r="AF191" s="3">
        <f>SUMIF(TRASLADOS!$T:$T,RESUMEN!AA191,TRASLADOS!$W:$W)</f>
        <v>0</v>
      </c>
      <c r="AG191" s="3">
        <f>SUMIF(TRASLADOS!$T:$T,RESUMEN!AA191,TRASLADOS!$X:$X)</f>
        <v>0</v>
      </c>
      <c r="AH191" s="3">
        <f>SUMIF(VENTAS!$R:$R,RESUMEN!AA191,VENTAS!$V:$V)</f>
        <v>0</v>
      </c>
      <c r="AI191" s="3">
        <f>SUMIF(VENTAS!$R:$R,RESUMEN!AA191,VENTAS!$W:$W)</f>
        <v>0</v>
      </c>
      <c r="AJ191" s="97">
        <f t="shared" si="95"/>
        <v>1724</v>
      </c>
      <c r="AK191" s="96"/>
      <c r="AL191" s="99">
        <f t="shared" si="86"/>
        <v>29</v>
      </c>
      <c r="AM191" s="11">
        <f t="shared" si="112"/>
        <v>43452</v>
      </c>
      <c r="AN191" s="3">
        <f t="shared" si="112"/>
        <v>198</v>
      </c>
      <c r="AO191" s="3">
        <f>SUMIF(MORTALIDAD!$Z:$Z,RESUMEN!AM191,MORTALIDAD!$AD:$AD)</f>
        <v>0</v>
      </c>
      <c r="AP191" s="19">
        <f t="shared" si="97"/>
        <v>-124</v>
      </c>
      <c r="AQ191" s="3">
        <f>SUMIF(MORTALIDAD!$Z:$Z,RESUMEN!AM191,MORTALIDAD!$AE:$AE)</f>
        <v>0</v>
      </c>
      <c r="AR191" s="3">
        <f>SUMIF(TRASLADOS!$AC:$AC,RESUMEN!AM191,TRASLADOS!$AF:$AF)</f>
        <v>0</v>
      </c>
      <c r="AS191" s="3">
        <f>SUMIF(TRASLADOS!$AC:$AC,RESUMEN!AM191,TRASLADOS!$AG:$AG)</f>
        <v>0</v>
      </c>
      <c r="AT191" s="3">
        <f>SUMIF(VENTAS!$Z:$Z,RESUMEN!AM191,VENTAS!$AD:$AD)</f>
        <v>0</v>
      </c>
      <c r="AU191" s="3">
        <f>SUMIF(VENTAS!$Z:$Z,RESUMEN!AM191,VENTAS!$AE:$AE)</f>
        <v>0</v>
      </c>
      <c r="AV191" s="97">
        <f t="shared" si="98"/>
        <v>2076</v>
      </c>
      <c r="AW191" s="96"/>
      <c r="AX191" s="99">
        <f t="shared" si="87"/>
        <v>29</v>
      </c>
      <c r="AY191" s="11">
        <f t="shared" si="113"/>
        <v>43459</v>
      </c>
      <c r="AZ191" s="3">
        <f t="shared" si="113"/>
        <v>198</v>
      </c>
      <c r="BA191" s="3">
        <f>SUMIF(MORTALIDAD!$AH:$AH,RESUMEN!AY191,MORTALIDAD!$AL:$AL)</f>
        <v>0</v>
      </c>
      <c r="BB191" s="19">
        <f t="shared" si="100"/>
        <v>-119</v>
      </c>
      <c r="BC191" s="3">
        <f>SUMIF(MORTALIDAD!$AH:$AH,RESUMEN!AY191,MORTALIDAD!$AM:$AM)</f>
        <v>0</v>
      </c>
      <c r="BD191" s="3">
        <f>SUMIF(TRASLADOS!$AL:$AL,RESUMEN!AY191,TRASLADOS!$AO:$AO)</f>
        <v>0</v>
      </c>
      <c r="BE191" s="3">
        <f>SUMIF(TRASLADOS!$AL:$AL,RESUMEN!AY191,TRASLADOS!$AP:$AP)</f>
        <v>0</v>
      </c>
      <c r="BF191" s="3">
        <f>SUMIF(VENTAS!$AH:$AH,RESUMEN!AY191,VENTAS!$AL:$AL)</f>
        <v>0</v>
      </c>
      <c r="BG191" s="3">
        <f>SUMIF(VENTAS!$AH:$AH,RESUMEN!AY191,VENTAS!$AM:$AM)</f>
        <v>0</v>
      </c>
      <c r="BH191" s="97">
        <f t="shared" si="101"/>
        <v>2081</v>
      </c>
      <c r="BI191" s="96"/>
      <c r="BJ191" s="99">
        <f t="shared" si="88"/>
        <v>29</v>
      </c>
      <c r="BK191" s="11">
        <f t="shared" si="114"/>
        <v>43468</v>
      </c>
      <c r="BL191" s="3">
        <f t="shared" si="114"/>
        <v>201</v>
      </c>
      <c r="BM191" s="3">
        <f>SUMIF(MORTALIDAD!$AP:$AP,RESUMEN!BK191,MORTALIDAD!$AT:$AT)</f>
        <v>0</v>
      </c>
      <c r="BN191" s="19">
        <f t="shared" si="103"/>
        <v>-73</v>
      </c>
      <c r="BO191" s="3">
        <f>SUMIF(MORTALIDAD!$AP$6:$AP$200,RESUMEN!BK191,MORTALIDAD!$AU$6:$AU$200)</f>
        <v>0</v>
      </c>
      <c r="BP191" s="3">
        <f>SUMIF(TRASLADOS!$AU:$AU,RESUMEN!BK191,TRASLADOS!$AX:$AX)</f>
        <v>0</v>
      </c>
      <c r="BQ191" s="3">
        <f>SUMIF(TRASLADOS!$AU:$AU,RESUMEN!BK191,TRASLADOS!$AY:$AY)</f>
        <v>0</v>
      </c>
      <c r="BR191" s="3">
        <f>SUMIF(VENTAS!$AP:$AP,RESUMEN!BK191,VENTAS!$AT:$AT)</f>
        <v>0</v>
      </c>
      <c r="BS191" s="3">
        <f>SUMIF(VENTAS!$AP:$AP,RESUMEN!BK191,VENTAS!$AU:$AU)</f>
        <v>0</v>
      </c>
      <c r="BT191" s="36">
        <f t="shared" si="104"/>
        <v>2241</v>
      </c>
    </row>
    <row r="192" spans="2:72" x14ac:dyDescent="0.2">
      <c r="B192" s="3">
        <f t="shared" si="83"/>
        <v>29</v>
      </c>
      <c r="C192" s="11">
        <f t="shared" si="115"/>
        <v>43439</v>
      </c>
      <c r="D192" s="3">
        <f t="shared" si="116"/>
        <v>201</v>
      </c>
      <c r="E192" s="3">
        <f>SUMIF(MORTALIDAD!$B$6:$B$200,RESUMEN!C192,MORTALIDAD!$F$6:$F$200)</f>
        <v>0</v>
      </c>
      <c r="F192" s="17">
        <f t="shared" si="117"/>
        <v>-740</v>
      </c>
      <c r="G192" s="3">
        <f>SUMIF(MORTALIDAD!$B$6:$B$200,RESUMEN!C192,MORTALIDAD!$G$6:$G$200)</f>
        <v>0</v>
      </c>
      <c r="H192" s="3">
        <f>SUMIF(TRASLADOS!$B$6:$B$200,C192,TRASLADOS!$E$6:$E$200)</f>
        <v>0</v>
      </c>
      <c r="I192" s="3">
        <f>SUMIF(TRASLADOS!$B$6:$B$200,C192,TRASLADOS!$F$6:$F$200)</f>
        <v>0</v>
      </c>
      <c r="J192" s="3">
        <f>SUMIF(VENTAS!$B$6:$B$200,RESUMEN!C192,VENTAS!$F$6:$F$200)</f>
        <v>0</v>
      </c>
      <c r="K192" s="3">
        <f>SUMIF(VENTAS!$B$6:$B$200,RESUMEN!C192,VENTAS!$G$6:$G$200)</f>
        <v>0</v>
      </c>
      <c r="L192" s="97">
        <f t="shared" si="89"/>
        <v>1460</v>
      </c>
      <c r="M192" s="96"/>
      <c r="N192" s="99">
        <f t="shared" si="84"/>
        <v>29</v>
      </c>
      <c r="O192" s="11">
        <f t="shared" si="110"/>
        <v>43442</v>
      </c>
      <c r="P192" s="3">
        <f t="shared" si="110"/>
        <v>200</v>
      </c>
      <c r="Q192" s="3">
        <f>SUMIF(MORTALIDAD!$J:$J,RESUMEN!O192,MORTALIDAD!$N:$N)</f>
        <v>0</v>
      </c>
      <c r="R192" s="19">
        <f t="shared" si="91"/>
        <v>-680</v>
      </c>
      <c r="S192" s="3">
        <f>SUMIF(MORTALIDAD!$J:$J,RESUMEN!O192,MORTALIDAD!$O:$O)</f>
        <v>0</v>
      </c>
      <c r="T192" s="3">
        <f>SUMIF(TRASLADOS!$K:$K,RESUMEN!O192,TRASLADOS!$N:$N)</f>
        <v>0</v>
      </c>
      <c r="U192" s="3">
        <f>SUMIF(TRASLADOS!$K:$K,RESUMEN!O192,TRASLADOS!$O:$O)</f>
        <v>0</v>
      </c>
      <c r="V192" s="3">
        <f>SUMIF(VENTAS!$J:$J,RESUMEN!O192,VENTAS!$N:$N)</f>
        <v>0</v>
      </c>
      <c r="W192" s="3">
        <f>SUMIF(VENTAS!$J:$J,RESUMEN!O192,VENTAS!$O:$O)</f>
        <v>0</v>
      </c>
      <c r="X192" s="97">
        <f t="shared" si="92"/>
        <v>1520</v>
      </c>
      <c r="Y192" s="96"/>
      <c r="Z192" s="99">
        <f t="shared" si="85"/>
        <v>29</v>
      </c>
      <c r="AA192" s="11">
        <f t="shared" si="111"/>
        <v>43446</v>
      </c>
      <c r="AB192" s="3">
        <f t="shared" si="111"/>
        <v>199</v>
      </c>
      <c r="AC192" s="3">
        <f>SUMIF(MORTALIDAD!$R:$R,RESUMEN!AA192,MORTALIDAD!$V:$V)</f>
        <v>0</v>
      </c>
      <c r="AD192" s="19">
        <f t="shared" si="94"/>
        <v>-476</v>
      </c>
      <c r="AE192" s="3">
        <f>SUMIF(MORTALIDAD!$R:$R,RESUMEN!AA192,MORTALIDAD!$W:$W)</f>
        <v>0</v>
      </c>
      <c r="AF192" s="3">
        <f>SUMIF(TRASLADOS!$T:$T,RESUMEN!AA192,TRASLADOS!$W:$W)</f>
        <v>0</v>
      </c>
      <c r="AG192" s="3">
        <f>SUMIF(TRASLADOS!$T:$T,RESUMEN!AA192,TRASLADOS!$X:$X)</f>
        <v>0</v>
      </c>
      <c r="AH192" s="3">
        <f>SUMIF(VENTAS!$R:$R,RESUMEN!AA192,VENTAS!$V:$V)</f>
        <v>0</v>
      </c>
      <c r="AI192" s="3">
        <f>SUMIF(VENTAS!$R:$R,RESUMEN!AA192,VENTAS!$W:$W)</f>
        <v>0</v>
      </c>
      <c r="AJ192" s="97">
        <f t="shared" si="95"/>
        <v>1724</v>
      </c>
      <c r="AK192" s="96"/>
      <c r="AL192" s="99">
        <f t="shared" si="86"/>
        <v>29</v>
      </c>
      <c r="AM192" s="11">
        <f t="shared" si="112"/>
        <v>43453</v>
      </c>
      <c r="AN192" s="3">
        <f t="shared" si="112"/>
        <v>199</v>
      </c>
      <c r="AO192" s="3">
        <f>SUMIF(MORTALIDAD!$Z:$Z,RESUMEN!AM192,MORTALIDAD!$AD:$AD)</f>
        <v>0</v>
      </c>
      <c r="AP192" s="19">
        <f t="shared" si="97"/>
        <v>-124</v>
      </c>
      <c r="AQ192" s="3">
        <f>SUMIF(MORTALIDAD!$Z:$Z,RESUMEN!AM192,MORTALIDAD!$AE:$AE)</f>
        <v>0</v>
      </c>
      <c r="AR192" s="3">
        <f>SUMIF(TRASLADOS!$AC:$AC,RESUMEN!AM192,TRASLADOS!$AF:$AF)</f>
        <v>0</v>
      </c>
      <c r="AS192" s="3">
        <f>SUMIF(TRASLADOS!$AC:$AC,RESUMEN!AM192,TRASLADOS!$AG:$AG)</f>
        <v>0</v>
      </c>
      <c r="AT192" s="3">
        <f>SUMIF(VENTAS!$Z:$Z,RESUMEN!AM192,VENTAS!$AD:$AD)</f>
        <v>0</v>
      </c>
      <c r="AU192" s="3">
        <f>SUMIF(VENTAS!$Z:$Z,RESUMEN!AM192,VENTAS!$AE:$AE)</f>
        <v>0</v>
      </c>
      <c r="AV192" s="97">
        <f t="shared" si="98"/>
        <v>2076</v>
      </c>
      <c r="AW192" s="96"/>
      <c r="AX192" s="99">
        <f t="shared" si="87"/>
        <v>29</v>
      </c>
      <c r="AY192" s="11">
        <f t="shared" si="113"/>
        <v>43460</v>
      </c>
      <c r="AZ192" s="3">
        <f t="shared" si="113"/>
        <v>199</v>
      </c>
      <c r="BA192" s="3">
        <f>SUMIF(MORTALIDAD!$AH:$AH,RESUMEN!AY192,MORTALIDAD!$AL:$AL)</f>
        <v>0</v>
      </c>
      <c r="BB192" s="19">
        <f t="shared" si="100"/>
        <v>-119</v>
      </c>
      <c r="BC192" s="3">
        <f>SUMIF(MORTALIDAD!$AH:$AH,RESUMEN!AY192,MORTALIDAD!$AM:$AM)</f>
        <v>0</v>
      </c>
      <c r="BD192" s="3">
        <f>SUMIF(TRASLADOS!$AL:$AL,RESUMEN!AY192,TRASLADOS!$AO:$AO)</f>
        <v>0</v>
      </c>
      <c r="BE192" s="3">
        <f>SUMIF(TRASLADOS!$AL:$AL,RESUMEN!AY192,TRASLADOS!$AP:$AP)</f>
        <v>0</v>
      </c>
      <c r="BF192" s="3">
        <f>SUMIF(VENTAS!$AH:$AH,RESUMEN!AY192,VENTAS!$AL:$AL)</f>
        <v>0</v>
      </c>
      <c r="BG192" s="3">
        <f>SUMIF(VENTAS!$AH:$AH,RESUMEN!AY192,VENTAS!$AM:$AM)</f>
        <v>0</v>
      </c>
      <c r="BH192" s="97">
        <f t="shared" si="101"/>
        <v>2081</v>
      </c>
      <c r="BI192" s="96"/>
      <c r="BJ192" s="99">
        <f t="shared" si="88"/>
        <v>29</v>
      </c>
      <c r="BK192" s="11">
        <f t="shared" si="114"/>
        <v>43469</v>
      </c>
      <c r="BL192" s="3">
        <f t="shared" si="114"/>
        <v>202</v>
      </c>
      <c r="BM192" s="3">
        <f>SUMIF(MORTALIDAD!$AP:$AP,RESUMEN!BK192,MORTALIDAD!$AT:$AT)</f>
        <v>0</v>
      </c>
      <c r="BN192" s="19">
        <f t="shared" si="103"/>
        <v>-73</v>
      </c>
      <c r="BO192" s="3">
        <f>SUMIF(MORTALIDAD!$AP$6:$AP$200,RESUMEN!BK192,MORTALIDAD!$AU$6:$AU$200)</f>
        <v>0</v>
      </c>
      <c r="BP192" s="3">
        <f>SUMIF(TRASLADOS!$AU:$AU,RESUMEN!BK192,TRASLADOS!$AX:$AX)</f>
        <v>0</v>
      </c>
      <c r="BQ192" s="3">
        <f>SUMIF(TRASLADOS!$AU:$AU,RESUMEN!BK192,TRASLADOS!$AY:$AY)</f>
        <v>0</v>
      </c>
      <c r="BR192" s="3">
        <f>SUMIF(VENTAS!$AP:$AP,RESUMEN!BK192,VENTAS!$AT:$AT)</f>
        <v>0</v>
      </c>
      <c r="BS192" s="3">
        <f>SUMIF(VENTAS!$AP:$AP,RESUMEN!BK192,VENTAS!$AU:$AU)</f>
        <v>0</v>
      </c>
      <c r="BT192" s="36">
        <f t="shared" si="104"/>
        <v>2241</v>
      </c>
    </row>
    <row r="193" spans="2:72" x14ac:dyDescent="0.2">
      <c r="B193" s="3">
        <f t="shared" si="83"/>
        <v>29</v>
      </c>
      <c r="C193" s="11">
        <f t="shared" si="115"/>
        <v>43440</v>
      </c>
      <c r="D193" s="3">
        <f t="shared" si="116"/>
        <v>202</v>
      </c>
      <c r="E193" s="3">
        <f>SUMIF(MORTALIDAD!$B$6:$B$200,RESUMEN!C193,MORTALIDAD!$F$6:$F$200)</f>
        <v>0</v>
      </c>
      <c r="F193" s="17">
        <f t="shared" si="117"/>
        <v>-740</v>
      </c>
      <c r="G193" s="3">
        <f>SUMIF(MORTALIDAD!$B$6:$B$200,RESUMEN!C193,MORTALIDAD!$G$6:$G$200)</f>
        <v>0</v>
      </c>
      <c r="H193" s="3">
        <f>SUMIF(TRASLADOS!$B$6:$B$200,C193,TRASLADOS!$E$6:$E$200)</f>
        <v>0</v>
      </c>
      <c r="I193" s="3">
        <f>SUMIF(TRASLADOS!$B$6:$B$200,C193,TRASLADOS!$F$6:$F$200)</f>
        <v>0</v>
      </c>
      <c r="J193" s="3">
        <f>SUMIF(VENTAS!$B$6:$B$200,RESUMEN!C193,VENTAS!$F$6:$F$200)</f>
        <v>0</v>
      </c>
      <c r="K193" s="3">
        <f>SUMIF(VENTAS!$B$6:$B$200,RESUMEN!C193,VENTAS!$G$6:$G$200)</f>
        <v>0</v>
      </c>
      <c r="L193" s="97">
        <f t="shared" si="89"/>
        <v>1460</v>
      </c>
      <c r="M193" s="96"/>
      <c r="N193" s="99">
        <f t="shared" si="84"/>
        <v>29</v>
      </c>
      <c r="O193" s="11">
        <f t="shared" ref="O193:P208" si="118">O192+1</f>
        <v>43443</v>
      </c>
      <c r="P193" s="3">
        <f t="shared" si="118"/>
        <v>201</v>
      </c>
      <c r="Q193" s="3">
        <f>SUMIF(MORTALIDAD!$J:$J,RESUMEN!O193,MORTALIDAD!$N:$N)</f>
        <v>0</v>
      </c>
      <c r="R193" s="19">
        <f t="shared" si="91"/>
        <v>-680</v>
      </c>
      <c r="S193" s="3">
        <f>SUMIF(MORTALIDAD!$J:$J,RESUMEN!O193,MORTALIDAD!$O:$O)</f>
        <v>0</v>
      </c>
      <c r="T193" s="3">
        <f>SUMIF(TRASLADOS!$K:$K,RESUMEN!O193,TRASLADOS!$N:$N)</f>
        <v>0</v>
      </c>
      <c r="U193" s="3">
        <f>SUMIF(TRASLADOS!$K:$K,RESUMEN!O193,TRASLADOS!$O:$O)</f>
        <v>0</v>
      </c>
      <c r="V193" s="3">
        <f>SUMIF(VENTAS!$J:$J,RESUMEN!O193,VENTAS!$N:$N)</f>
        <v>0</v>
      </c>
      <c r="W193" s="3">
        <f>SUMIF(VENTAS!$J:$J,RESUMEN!O193,VENTAS!$O:$O)</f>
        <v>0</v>
      </c>
      <c r="X193" s="97">
        <f t="shared" si="92"/>
        <v>1520</v>
      </c>
      <c r="Y193" s="96"/>
      <c r="Z193" s="99">
        <f t="shared" si="85"/>
        <v>29</v>
      </c>
      <c r="AA193" s="11">
        <f t="shared" ref="AA193:AB208" si="119">AA192+1</f>
        <v>43447</v>
      </c>
      <c r="AB193" s="3">
        <f t="shared" si="119"/>
        <v>200</v>
      </c>
      <c r="AC193" s="3">
        <f>SUMIF(MORTALIDAD!$R:$R,RESUMEN!AA193,MORTALIDAD!$V:$V)</f>
        <v>0</v>
      </c>
      <c r="AD193" s="19">
        <f t="shared" si="94"/>
        <v>-476</v>
      </c>
      <c r="AE193" s="3">
        <f>SUMIF(MORTALIDAD!$R:$R,RESUMEN!AA193,MORTALIDAD!$W:$W)</f>
        <v>0</v>
      </c>
      <c r="AF193" s="3">
        <f>SUMIF(TRASLADOS!$T:$T,RESUMEN!AA193,TRASLADOS!$W:$W)</f>
        <v>0</v>
      </c>
      <c r="AG193" s="3">
        <f>SUMIF(TRASLADOS!$T:$T,RESUMEN!AA193,TRASLADOS!$X:$X)</f>
        <v>0</v>
      </c>
      <c r="AH193" s="3">
        <f>SUMIF(VENTAS!$R:$R,RESUMEN!AA193,VENTAS!$V:$V)</f>
        <v>0</v>
      </c>
      <c r="AI193" s="3">
        <f>SUMIF(VENTAS!$R:$R,RESUMEN!AA193,VENTAS!$W:$W)</f>
        <v>0</v>
      </c>
      <c r="AJ193" s="97">
        <f t="shared" si="95"/>
        <v>1724</v>
      </c>
      <c r="AK193" s="96"/>
      <c r="AL193" s="99">
        <f t="shared" si="86"/>
        <v>29</v>
      </c>
      <c r="AM193" s="11">
        <f t="shared" ref="AM193:AN208" si="120">AM192+1</f>
        <v>43454</v>
      </c>
      <c r="AN193" s="3">
        <f t="shared" si="120"/>
        <v>200</v>
      </c>
      <c r="AO193" s="3">
        <f>SUMIF(MORTALIDAD!$Z:$Z,RESUMEN!AM193,MORTALIDAD!$AD:$AD)</f>
        <v>0</v>
      </c>
      <c r="AP193" s="19">
        <f t="shared" si="97"/>
        <v>-124</v>
      </c>
      <c r="AQ193" s="3">
        <f>SUMIF(MORTALIDAD!$Z:$Z,RESUMEN!AM193,MORTALIDAD!$AE:$AE)</f>
        <v>0</v>
      </c>
      <c r="AR193" s="3">
        <f>SUMIF(TRASLADOS!$AC:$AC,RESUMEN!AM193,TRASLADOS!$AF:$AF)</f>
        <v>0</v>
      </c>
      <c r="AS193" s="3">
        <f>SUMIF(TRASLADOS!$AC:$AC,RESUMEN!AM193,TRASLADOS!$AG:$AG)</f>
        <v>0</v>
      </c>
      <c r="AT193" s="3">
        <f>SUMIF(VENTAS!$Z:$Z,RESUMEN!AM193,VENTAS!$AD:$AD)</f>
        <v>0</v>
      </c>
      <c r="AU193" s="3">
        <f>SUMIF(VENTAS!$Z:$Z,RESUMEN!AM193,VENTAS!$AE:$AE)</f>
        <v>0</v>
      </c>
      <c r="AV193" s="97">
        <f t="shared" si="98"/>
        <v>2076</v>
      </c>
      <c r="AW193" s="96"/>
      <c r="AX193" s="99">
        <f t="shared" si="87"/>
        <v>29</v>
      </c>
      <c r="AY193" s="11">
        <f t="shared" ref="AY193:AZ208" si="121">AY192+1</f>
        <v>43461</v>
      </c>
      <c r="AZ193" s="3">
        <f t="shared" si="121"/>
        <v>200</v>
      </c>
      <c r="BA193" s="3">
        <f>SUMIF(MORTALIDAD!$AH:$AH,RESUMEN!AY193,MORTALIDAD!$AL:$AL)</f>
        <v>0</v>
      </c>
      <c r="BB193" s="19">
        <f t="shared" si="100"/>
        <v>-119</v>
      </c>
      <c r="BC193" s="3">
        <f>SUMIF(MORTALIDAD!$AH:$AH,RESUMEN!AY193,MORTALIDAD!$AM:$AM)</f>
        <v>0</v>
      </c>
      <c r="BD193" s="3">
        <f>SUMIF(TRASLADOS!$AL:$AL,RESUMEN!AY193,TRASLADOS!$AO:$AO)</f>
        <v>0</v>
      </c>
      <c r="BE193" s="3">
        <f>SUMIF(TRASLADOS!$AL:$AL,RESUMEN!AY193,TRASLADOS!$AP:$AP)</f>
        <v>0</v>
      </c>
      <c r="BF193" s="3">
        <f>SUMIF(VENTAS!$AH:$AH,RESUMEN!AY193,VENTAS!$AL:$AL)</f>
        <v>0</v>
      </c>
      <c r="BG193" s="3">
        <f>SUMIF(VENTAS!$AH:$AH,RESUMEN!AY193,VENTAS!$AM:$AM)</f>
        <v>0</v>
      </c>
      <c r="BH193" s="97">
        <f t="shared" si="101"/>
        <v>2081</v>
      </c>
      <c r="BI193" s="96"/>
      <c r="BJ193" s="99">
        <f t="shared" si="88"/>
        <v>29</v>
      </c>
      <c r="BK193" s="11">
        <f t="shared" ref="BK193:BL208" si="122">BK192+1</f>
        <v>43470</v>
      </c>
      <c r="BL193" s="3">
        <f t="shared" si="122"/>
        <v>203</v>
      </c>
      <c r="BM193" s="3">
        <f>SUMIF(MORTALIDAD!$AP:$AP,RESUMEN!BK193,MORTALIDAD!$AT:$AT)</f>
        <v>0</v>
      </c>
      <c r="BN193" s="19">
        <f t="shared" si="103"/>
        <v>-73</v>
      </c>
      <c r="BO193" s="3">
        <f>SUMIF(MORTALIDAD!$AP$6:$AP$200,RESUMEN!BK193,MORTALIDAD!$AU$6:$AU$200)</f>
        <v>0</v>
      </c>
      <c r="BP193" s="3">
        <f>SUMIF(TRASLADOS!$AU:$AU,RESUMEN!BK193,TRASLADOS!$AX:$AX)</f>
        <v>0</v>
      </c>
      <c r="BQ193" s="3">
        <f>SUMIF(TRASLADOS!$AU:$AU,RESUMEN!BK193,TRASLADOS!$AY:$AY)</f>
        <v>0</v>
      </c>
      <c r="BR193" s="3">
        <f>SUMIF(VENTAS!$AP:$AP,RESUMEN!BK193,VENTAS!$AT:$AT)</f>
        <v>0</v>
      </c>
      <c r="BS193" s="3">
        <f>SUMIF(VENTAS!$AP:$AP,RESUMEN!BK193,VENTAS!$AU:$AU)</f>
        <v>0</v>
      </c>
      <c r="BT193" s="36">
        <f t="shared" si="104"/>
        <v>2241</v>
      </c>
    </row>
    <row r="194" spans="2:72" x14ac:dyDescent="0.2">
      <c r="B194" s="3">
        <f t="shared" si="83"/>
        <v>29</v>
      </c>
      <c r="C194" s="11">
        <f t="shared" si="115"/>
        <v>43441</v>
      </c>
      <c r="D194" s="3">
        <f t="shared" si="116"/>
        <v>203</v>
      </c>
      <c r="E194" s="3">
        <f>SUMIF(MORTALIDAD!$B$6:$B$200,RESUMEN!C194,MORTALIDAD!$F$6:$F$200)</f>
        <v>0</v>
      </c>
      <c r="F194" s="17">
        <f t="shared" si="117"/>
        <v>-740</v>
      </c>
      <c r="G194" s="3">
        <f>SUMIF(MORTALIDAD!$B$6:$B$200,RESUMEN!C194,MORTALIDAD!$G$6:$G$200)</f>
        <v>0</v>
      </c>
      <c r="H194" s="3">
        <f>SUMIF(TRASLADOS!$B$6:$B$200,C194,TRASLADOS!$E$6:$E$200)</f>
        <v>0</v>
      </c>
      <c r="I194" s="3">
        <f>SUMIF(TRASLADOS!$B$6:$B$200,C194,TRASLADOS!$F$6:$F$200)</f>
        <v>0</v>
      </c>
      <c r="J194" s="3">
        <f>SUMIF(VENTAS!$B$6:$B$200,RESUMEN!C194,VENTAS!$F$6:$F$200)</f>
        <v>0</v>
      </c>
      <c r="K194" s="3">
        <f>SUMIF(VENTAS!$B$6:$B$200,RESUMEN!C194,VENTAS!$G$6:$G$200)</f>
        <v>0</v>
      </c>
      <c r="L194" s="97">
        <f t="shared" si="89"/>
        <v>1460</v>
      </c>
      <c r="M194" s="96"/>
      <c r="N194" s="99">
        <f t="shared" si="84"/>
        <v>29</v>
      </c>
      <c r="O194" s="11">
        <f t="shared" si="118"/>
        <v>43444</v>
      </c>
      <c r="P194" s="3">
        <f t="shared" si="118"/>
        <v>202</v>
      </c>
      <c r="Q194" s="3">
        <f>SUMIF(MORTALIDAD!$J:$J,RESUMEN!O194,MORTALIDAD!$N:$N)</f>
        <v>0</v>
      </c>
      <c r="R194" s="19">
        <f t="shared" si="91"/>
        <v>-680</v>
      </c>
      <c r="S194" s="3">
        <f>SUMIF(MORTALIDAD!$J:$J,RESUMEN!O194,MORTALIDAD!$O:$O)</f>
        <v>0</v>
      </c>
      <c r="T194" s="3">
        <f>SUMIF(TRASLADOS!$K:$K,RESUMEN!O194,TRASLADOS!$N:$N)</f>
        <v>0</v>
      </c>
      <c r="U194" s="3">
        <f>SUMIF(TRASLADOS!$K:$K,RESUMEN!O194,TRASLADOS!$O:$O)</f>
        <v>0</v>
      </c>
      <c r="V194" s="3">
        <f>SUMIF(VENTAS!$J:$J,RESUMEN!O194,VENTAS!$N:$N)</f>
        <v>0</v>
      </c>
      <c r="W194" s="3">
        <f>SUMIF(VENTAS!$J:$J,RESUMEN!O194,VENTAS!$O:$O)</f>
        <v>0</v>
      </c>
      <c r="X194" s="97">
        <f t="shared" si="92"/>
        <v>1520</v>
      </c>
      <c r="Y194" s="96"/>
      <c r="Z194" s="99">
        <f t="shared" si="85"/>
        <v>29</v>
      </c>
      <c r="AA194" s="11">
        <f t="shared" si="119"/>
        <v>43448</v>
      </c>
      <c r="AB194" s="3">
        <f t="shared" si="119"/>
        <v>201</v>
      </c>
      <c r="AC194" s="3">
        <f>SUMIF(MORTALIDAD!$R:$R,RESUMEN!AA194,MORTALIDAD!$V:$V)</f>
        <v>0</v>
      </c>
      <c r="AD194" s="19">
        <f t="shared" si="94"/>
        <v>-476</v>
      </c>
      <c r="AE194" s="3">
        <f>SUMIF(MORTALIDAD!$R:$R,RESUMEN!AA194,MORTALIDAD!$W:$W)</f>
        <v>0</v>
      </c>
      <c r="AF194" s="3">
        <f>SUMIF(TRASLADOS!$T:$T,RESUMEN!AA194,TRASLADOS!$W:$W)</f>
        <v>0</v>
      </c>
      <c r="AG194" s="3">
        <f>SUMIF(TRASLADOS!$T:$T,RESUMEN!AA194,TRASLADOS!$X:$X)</f>
        <v>0</v>
      </c>
      <c r="AH194" s="3">
        <f>SUMIF(VENTAS!$R:$R,RESUMEN!AA194,VENTAS!$V:$V)</f>
        <v>0</v>
      </c>
      <c r="AI194" s="3">
        <f>SUMIF(VENTAS!$R:$R,RESUMEN!AA194,VENTAS!$W:$W)</f>
        <v>0</v>
      </c>
      <c r="AJ194" s="97">
        <f t="shared" si="95"/>
        <v>1724</v>
      </c>
      <c r="AK194" s="96"/>
      <c r="AL194" s="99">
        <f t="shared" si="86"/>
        <v>29</v>
      </c>
      <c r="AM194" s="11">
        <f t="shared" si="120"/>
        <v>43455</v>
      </c>
      <c r="AN194" s="3">
        <f t="shared" si="120"/>
        <v>201</v>
      </c>
      <c r="AO194" s="3">
        <f>SUMIF(MORTALIDAD!$Z:$Z,RESUMEN!AM194,MORTALIDAD!$AD:$AD)</f>
        <v>0</v>
      </c>
      <c r="AP194" s="19">
        <f t="shared" si="97"/>
        <v>-124</v>
      </c>
      <c r="AQ194" s="3">
        <f>SUMIF(MORTALIDAD!$Z:$Z,RESUMEN!AM194,MORTALIDAD!$AE:$AE)</f>
        <v>0</v>
      </c>
      <c r="AR194" s="3">
        <f>SUMIF(TRASLADOS!$AC:$AC,RESUMEN!AM194,TRASLADOS!$AF:$AF)</f>
        <v>0</v>
      </c>
      <c r="AS194" s="3">
        <f>SUMIF(TRASLADOS!$AC:$AC,RESUMEN!AM194,TRASLADOS!$AG:$AG)</f>
        <v>0</v>
      </c>
      <c r="AT194" s="3">
        <f>SUMIF(VENTAS!$Z:$Z,RESUMEN!AM194,VENTAS!$AD:$AD)</f>
        <v>0</v>
      </c>
      <c r="AU194" s="3">
        <f>SUMIF(VENTAS!$Z:$Z,RESUMEN!AM194,VENTAS!$AE:$AE)</f>
        <v>0</v>
      </c>
      <c r="AV194" s="97">
        <f t="shared" si="98"/>
        <v>2076</v>
      </c>
      <c r="AW194" s="96"/>
      <c r="AX194" s="99">
        <f t="shared" si="87"/>
        <v>29</v>
      </c>
      <c r="AY194" s="11">
        <f t="shared" si="121"/>
        <v>43462</v>
      </c>
      <c r="AZ194" s="3">
        <f t="shared" si="121"/>
        <v>201</v>
      </c>
      <c r="BA194" s="3">
        <f>SUMIF(MORTALIDAD!$AH:$AH,RESUMEN!AY194,MORTALIDAD!$AL:$AL)</f>
        <v>0</v>
      </c>
      <c r="BB194" s="19">
        <f t="shared" si="100"/>
        <v>-119</v>
      </c>
      <c r="BC194" s="3">
        <f>SUMIF(MORTALIDAD!$AH:$AH,RESUMEN!AY194,MORTALIDAD!$AM:$AM)</f>
        <v>0</v>
      </c>
      <c r="BD194" s="3">
        <f>SUMIF(TRASLADOS!$AL:$AL,RESUMEN!AY194,TRASLADOS!$AO:$AO)</f>
        <v>0</v>
      </c>
      <c r="BE194" s="3">
        <f>SUMIF(TRASLADOS!$AL:$AL,RESUMEN!AY194,TRASLADOS!$AP:$AP)</f>
        <v>0</v>
      </c>
      <c r="BF194" s="3">
        <f>SUMIF(VENTAS!$AH:$AH,RESUMEN!AY194,VENTAS!$AL:$AL)</f>
        <v>0</v>
      </c>
      <c r="BG194" s="3">
        <f>SUMIF(VENTAS!$AH:$AH,RESUMEN!AY194,VENTAS!$AM:$AM)</f>
        <v>0</v>
      </c>
      <c r="BH194" s="97">
        <f t="shared" si="101"/>
        <v>2081</v>
      </c>
      <c r="BI194" s="96"/>
      <c r="BJ194" s="99">
        <f t="shared" si="88"/>
        <v>30</v>
      </c>
      <c r="BK194" s="11">
        <f t="shared" si="122"/>
        <v>43471</v>
      </c>
      <c r="BL194" s="3">
        <f t="shared" si="122"/>
        <v>204</v>
      </c>
      <c r="BM194" s="3">
        <f>SUMIF(MORTALIDAD!$AP:$AP,RESUMEN!BK194,MORTALIDAD!$AT:$AT)</f>
        <v>0</v>
      </c>
      <c r="BN194" s="19">
        <f t="shared" si="103"/>
        <v>-73</v>
      </c>
      <c r="BO194" s="3">
        <f>SUMIF(MORTALIDAD!$AP$6:$AP$200,RESUMEN!BK194,MORTALIDAD!$AU$6:$AU$200)</f>
        <v>0</v>
      </c>
      <c r="BP194" s="3">
        <f>SUMIF(TRASLADOS!$AU:$AU,RESUMEN!BK194,TRASLADOS!$AX:$AX)</f>
        <v>0</v>
      </c>
      <c r="BQ194" s="3">
        <f>SUMIF(TRASLADOS!$AU:$AU,RESUMEN!BK194,TRASLADOS!$AY:$AY)</f>
        <v>0</v>
      </c>
      <c r="BR194" s="3">
        <f>SUMIF(VENTAS!$AP:$AP,RESUMEN!BK194,VENTAS!$AT:$AT)</f>
        <v>0</v>
      </c>
      <c r="BS194" s="3">
        <f>SUMIF(VENTAS!$AP:$AP,RESUMEN!BK194,VENTAS!$AU:$AU)</f>
        <v>0</v>
      </c>
      <c r="BT194" s="36">
        <f t="shared" si="104"/>
        <v>2241</v>
      </c>
    </row>
    <row r="195" spans="2:72" x14ac:dyDescent="0.2">
      <c r="B195" s="3">
        <f t="shared" si="83"/>
        <v>30</v>
      </c>
      <c r="C195" s="11">
        <f t="shared" si="115"/>
        <v>43442</v>
      </c>
      <c r="D195" s="3">
        <f t="shared" si="116"/>
        <v>204</v>
      </c>
      <c r="E195" s="3">
        <f>SUMIF(MORTALIDAD!$B$6:$B$200,RESUMEN!C195,MORTALIDAD!$F$6:$F$200)</f>
        <v>0</v>
      </c>
      <c r="F195" s="17">
        <f t="shared" si="117"/>
        <v>-740</v>
      </c>
      <c r="G195" s="3">
        <f>SUMIF(MORTALIDAD!$B$6:$B$200,RESUMEN!C195,MORTALIDAD!$G$6:$G$200)</f>
        <v>0</v>
      </c>
      <c r="H195" s="3">
        <f>SUMIF(TRASLADOS!$B$6:$B$200,C195,TRASLADOS!$E$6:$E$200)</f>
        <v>0</v>
      </c>
      <c r="I195" s="3">
        <f>SUMIF(TRASLADOS!$B$6:$B$200,C195,TRASLADOS!$F$6:$F$200)</f>
        <v>0</v>
      </c>
      <c r="J195" s="3">
        <f>SUMIF(VENTAS!$B$6:$B$200,RESUMEN!C195,VENTAS!$F$6:$F$200)</f>
        <v>0</v>
      </c>
      <c r="K195" s="3">
        <f>SUMIF(VENTAS!$B$6:$B$200,RESUMEN!C195,VENTAS!$G$6:$G$200)</f>
        <v>0</v>
      </c>
      <c r="L195" s="97">
        <f t="shared" si="89"/>
        <v>1460</v>
      </c>
      <c r="M195" s="96"/>
      <c r="N195" s="99">
        <f t="shared" si="84"/>
        <v>29</v>
      </c>
      <c r="O195" s="11">
        <f t="shared" si="118"/>
        <v>43445</v>
      </c>
      <c r="P195" s="3">
        <f t="shared" si="118"/>
        <v>203</v>
      </c>
      <c r="Q195" s="3">
        <f>SUMIF(MORTALIDAD!$J:$J,RESUMEN!O195,MORTALIDAD!$N:$N)</f>
        <v>0</v>
      </c>
      <c r="R195" s="19">
        <f t="shared" si="91"/>
        <v>-680</v>
      </c>
      <c r="S195" s="3">
        <f>SUMIF(MORTALIDAD!$J:$J,RESUMEN!O195,MORTALIDAD!$O:$O)</f>
        <v>0</v>
      </c>
      <c r="T195" s="3">
        <f>SUMIF(TRASLADOS!$K:$K,RESUMEN!O195,TRASLADOS!$N:$N)</f>
        <v>0</v>
      </c>
      <c r="U195" s="3">
        <f>SUMIF(TRASLADOS!$K:$K,RESUMEN!O195,TRASLADOS!$O:$O)</f>
        <v>0</v>
      </c>
      <c r="V195" s="3">
        <f>SUMIF(VENTAS!$J:$J,RESUMEN!O195,VENTAS!$N:$N)</f>
        <v>0</v>
      </c>
      <c r="W195" s="3">
        <f>SUMIF(VENTAS!$J:$J,RESUMEN!O195,VENTAS!$O:$O)</f>
        <v>0</v>
      </c>
      <c r="X195" s="97">
        <f t="shared" si="92"/>
        <v>1520</v>
      </c>
      <c r="Y195" s="96"/>
      <c r="Z195" s="99">
        <f t="shared" si="85"/>
        <v>29</v>
      </c>
      <c r="AA195" s="11">
        <f t="shared" si="119"/>
        <v>43449</v>
      </c>
      <c r="AB195" s="3">
        <f t="shared" si="119"/>
        <v>202</v>
      </c>
      <c r="AC195" s="3">
        <f>SUMIF(MORTALIDAD!$R:$R,RESUMEN!AA195,MORTALIDAD!$V:$V)</f>
        <v>0</v>
      </c>
      <c r="AD195" s="19">
        <f t="shared" si="94"/>
        <v>-476</v>
      </c>
      <c r="AE195" s="3">
        <f>SUMIF(MORTALIDAD!$R:$R,RESUMEN!AA195,MORTALIDAD!$W:$W)</f>
        <v>0</v>
      </c>
      <c r="AF195" s="3">
        <f>SUMIF(TRASLADOS!$T:$T,RESUMEN!AA195,TRASLADOS!$W:$W)</f>
        <v>0</v>
      </c>
      <c r="AG195" s="3">
        <f>SUMIF(TRASLADOS!$T:$T,RESUMEN!AA195,TRASLADOS!$X:$X)</f>
        <v>0</v>
      </c>
      <c r="AH195" s="3">
        <f>SUMIF(VENTAS!$R:$R,RESUMEN!AA195,VENTAS!$V:$V)</f>
        <v>0</v>
      </c>
      <c r="AI195" s="3">
        <f>SUMIF(VENTAS!$R:$R,RESUMEN!AA195,VENTAS!$W:$W)</f>
        <v>0</v>
      </c>
      <c r="AJ195" s="97">
        <f t="shared" si="95"/>
        <v>1724</v>
      </c>
      <c r="AK195" s="96"/>
      <c r="AL195" s="99">
        <f t="shared" si="86"/>
        <v>29</v>
      </c>
      <c r="AM195" s="11">
        <f t="shared" si="120"/>
        <v>43456</v>
      </c>
      <c r="AN195" s="3">
        <f t="shared" si="120"/>
        <v>202</v>
      </c>
      <c r="AO195" s="3">
        <f>SUMIF(MORTALIDAD!$Z:$Z,RESUMEN!AM195,MORTALIDAD!$AD:$AD)</f>
        <v>0</v>
      </c>
      <c r="AP195" s="19">
        <f t="shared" si="97"/>
        <v>-124</v>
      </c>
      <c r="AQ195" s="3">
        <f>SUMIF(MORTALIDAD!$Z:$Z,RESUMEN!AM195,MORTALIDAD!$AE:$AE)</f>
        <v>0</v>
      </c>
      <c r="AR195" s="3">
        <f>SUMIF(TRASLADOS!$AC:$AC,RESUMEN!AM195,TRASLADOS!$AF:$AF)</f>
        <v>0</v>
      </c>
      <c r="AS195" s="3">
        <f>SUMIF(TRASLADOS!$AC:$AC,RESUMEN!AM195,TRASLADOS!$AG:$AG)</f>
        <v>0</v>
      </c>
      <c r="AT195" s="3">
        <f>SUMIF(VENTAS!$Z:$Z,RESUMEN!AM195,VENTAS!$AD:$AD)</f>
        <v>0</v>
      </c>
      <c r="AU195" s="3">
        <f>SUMIF(VENTAS!$Z:$Z,RESUMEN!AM195,VENTAS!$AE:$AE)</f>
        <v>0</v>
      </c>
      <c r="AV195" s="97">
        <f t="shared" si="98"/>
        <v>2076</v>
      </c>
      <c r="AW195" s="96"/>
      <c r="AX195" s="99">
        <f t="shared" si="87"/>
        <v>29</v>
      </c>
      <c r="AY195" s="11">
        <f t="shared" si="121"/>
        <v>43463</v>
      </c>
      <c r="AZ195" s="3">
        <f t="shared" si="121"/>
        <v>202</v>
      </c>
      <c r="BA195" s="3">
        <f>SUMIF(MORTALIDAD!$AH:$AH,RESUMEN!AY195,MORTALIDAD!$AL:$AL)</f>
        <v>0</v>
      </c>
      <c r="BB195" s="19">
        <f t="shared" si="100"/>
        <v>-119</v>
      </c>
      <c r="BC195" s="3">
        <f>SUMIF(MORTALIDAD!$AH:$AH,RESUMEN!AY195,MORTALIDAD!$AM:$AM)</f>
        <v>0</v>
      </c>
      <c r="BD195" s="3">
        <f>SUMIF(TRASLADOS!$AL:$AL,RESUMEN!AY195,TRASLADOS!$AO:$AO)</f>
        <v>0</v>
      </c>
      <c r="BE195" s="3">
        <f>SUMIF(TRASLADOS!$AL:$AL,RESUMEN!AY195,TRASLADOS!$AP:$AP)</f>
        <v>0</v>
      </c>
      <c r="BF195" s="3">
        <f>SUMIF(VENTAS!$AH:$AH,RESUMEN!AY195,VENTAS!$AL:$AL)</f>
        <v>0</v>
      </c>
      <c r="BG195" s="3">
        <f>SUMIF(VENTAS!$AH:$AH,RESUMEN!AY195,VENTAS!$AM:$AM)</f>
        <v>0</v>
      </c>
      <c r="BH195" s="97">
        <f t="shared" si="101"/>
        <v>2081</v>
      </c>
      <c r="BI195" s="96"/>
      <c r="BJ195" s="99">
        <f t="shared" si="88"/>
        <v>30</v>
      </c>
      <c r="BK195" s="11">
        <f t="shared" si="122"/>
        <v>43472</v>
      </c>
      <c r="BL195" s="3">
        <f t="shared" si="122"/>
        <v>205</v>
      </c>
      <c r="BM195" s="3">
        <f>SUMIF(MORTALIDAD!$AP:$AP,RESUMEN!BK195,MORTALIDAD!$AT:$AT)</f>
        <v>0</v>
      </c>
      <c r="BN195" s="19">
        <f t="shared" si="103"/>
        <v>-73</v>
      </c>
      <c r="BO195" s="3">
        <f>SUMIF(MORTALIDAD!$AP$6:$AP$200,RESUMEN!BK195,MORTALIDAD!$AU$6:$AU$200)</f>
        <v>0</v>
      </c>
      <c r="BP195" s="3">
        <f>SUMIF(TRASLADOS!$AU:$AU,RESUMEN!BK195,TRASLADOS!$AX:$AX)</f>
        <v>0</v>
      </c>
      <c r="BQ195" s="3">
        <f>SUMIF(TRASLADOS!$AU:$AU,RESUMEN!BK195,TRASLADOS!$AY:$AY)</f>
        <v>0</v>
      </c>
      <c r="BR195" s="3">
        <f>SUMIF(VENTAS!$AP:$AP,RESUMEN!BK195,VENTAS!$AT:$AT)</f>
        <v>0</v>
      </c>
      <c r="BS195" s="3">
        <f>SUMIF(VENTAS!$AP:$AP,RESUMEN!BK195,VENTAS!$AU:$AU)</f>
        <v>0</v>
      </c>
      <c r="BT195" s="36">
        <f t="shared" si="104"/>
        <v>2241</v>
      </c>
    </row>
    <row r="196" spans="2:72" x14ac:dyDescent="0.2">
      <c r="B196" s="3">
        <f t="shared" si="83"/>
        <v>30</v>
      </c>
      <c r="C196" s="11">
        <f t="shared" si="115"/>
        <v>43443</v>
      </c>
      <c r="D196" s="3">
        <f t="shared" si="116"/>
        <v>205</v>
      </c>
      <c r="E196" s="3">
        <f>SUMIF(MORTALIDAD!$B$6:$B$200,RESUMEN!C196,MORTALIDAD!$F$6:$F$200)</f>
        <v>0</v>
      </c>
      <c r="F196" s="17">
        <f t="shared" si="117"/>
        <v>-740</v>
      </c>
      <c r="G196" s="3">
        <f>SUMIF(MORTALIDAD!$B$6:$B$200,RESUMEN!C196,MORTALIDAD!$G$6:$G$200)</f>
        <v>0</v>
      </c>
      <c r="H196" s="3">
        <f>SUMIF(TRASLADOS!$B$6:$B$200,C196,TRASLADOS!$E$6:$E$200)</f>
        <v>0</v>
      </c>
      <c r="I196" s="3">
        <f>SUMIF(TRASLADOS!$B$6:$B$200,C196,TRASLADOS!$F$6:$F$200)</f>
        <v>0</v>
      </c>
      <c r="J196" s="3">
        <f>SUMIF(VENTAS!$B$6:$B$200,RESUMEN!C196,VENTAS!$F$6:$F$200)</f>
        <v>0</v>
      </c>
      <c r="K196" s="3">
        <f>SUMIF(VENTAS!$B$6:$B$200,RESUMEN!C196,VENTAS!$G$6:$G$200)</f>
        <v>0</v>
      </c>
      <c r="L196" s="97">
        <f t="shared" si="89"/>
        <v>1460</v>
      </c>
      <c r="M196" s="96"/>
      <c r="N196" s="99">
        <f t="shared" si="84"/>
        <v>30</v>
      </c>
      <c r="O196" s="11">
        <f t="shared" si="118"/>
        <v>43446</v>
      </c>
      <c r="P196" s="3">
        <f t="shared" si="118"/>
        <v>204</v>
      </c>
      <c r="Q196" s="3">
        <f>SUMIF(MORTALIDAD!$J:$J,RESUMEN!O196,MORTALIDAD!$N:$N)</f>
        <v>0</v>
      </c>
      <c r="R196" s="19">
        <f t="shared" si="91"/>
        <v>-680</v>
      </c>
      <c r="S196" s="3">
        <f>SUMIF(MORTALIDAD!$J:$J,RESUMEN!O196,MORTALIDAD!$O:$O)</f>
        <v>0</v>
      </c>
      <c r="T196" s="3">
        <f>SUMIF(TRASLADOS!$K:$K,RESUMEN!O196,TRASLADOS!$N:$N)</f>
        <v>0</v>
      </c>
      <c r="U196" s="3">
        <f>SUMIF(TRASLADOS!$K:$K,RESUMEN!O196,TRASLADOS!$O:$O)</f>
        <v>0</v>
      </c>
      <c r="V196" s="3">
        <f>SUMIF(VENTAS!$J:$J,RESUMEN!O196,VENTAS!$N:$N)</f>
        <v>0</v>
      </c>
      <c r="W196" s="3">
        <f>SUMIF(VENTAS!$J:$J,RESUMEN!O196,VENTAS!$O:$O)</f>
        <v>0</v>
      </c>
      <c r="X196" s="97">
        <f t="shared" si="92"/>
        <v>1520</v>
      </c>
      <c r="Y196" s="96"/>
      <c r="Z196" s="99">
        <f t="shared" si="85"/>
        <v>29</v>
      </c>
      <c r="AA196" s="11">
        <f t="shared" si="119"/>
        <v>43450</v>
      </c>
      <c r="AB196" s="3">
        <f t="shared" si="119"/>
        <v>203</v>
      </c>
      <c r="AC196" s="3">
        <f>SUMIF(MORTALIDAD!$R:$R,RESUMEN!AA196,MORTALIDAD!$V:$V)</f>
        <v>0</v>
      </c>
      <c r="AD196" s="19">
        <f t="shared" si="94"/>
        <v>-476</v>
      </c>
      <c r="AE196" s="3">
        <f>SUMIF(MORTALIDAD!$R:$R,RESUMEN!AA196,MORTALIDAD!$W:$W)</f>
        <v>0</v>
      </c>
      <c r="AF196" s="3">
        <f>SUMIF(TRASLADOS!$T:$T,RESUMEN!AA196,TRASLADOS!$W:$W)</f>
        <v>0</v>
      </c>
      <c r="AG196" s="3">
        <f>SUMIF(TRASLADOS!$T:$T,RESUMEN!AA196,TRASLADOS!$X:$X)</f>
        <v>0</v>
      </c>
      <c r="AH196" s="3">
        <f>SUMIF(VENTAS!$R:$R,RESUMEN!AA196,VENTAS!$V:$V)</f>
        <v>0</v>
      </c>
      <c r="AI196" s="3">
        <f>SUMIF(VENTAS!$R:$R,RESUMEN!AA196,VENTAS!$W:$W)</f>
        <v>0</v>
      </c>
      <c r="AJ196" s="97">
        <f t="shared" si="95"/>
        <v>1724</v>
      </c>
      <c r="AK196" s="96"/>
      <c r="AL196" s="99">
        <f t="shared" si="86"/>
        <v>29</v>
      </c>
      <c r="AM196" s="11">
        <f t="shared" si="120"/>
        <v>43457</v>
      </c>
      <c r="AN196" s="3">
        <f t="shared" si="120"/>
        <v>203</v>
      </c>
      <c r="AO196" s="3">
        <f>SUMIF(MORTALIDAD!$Z:$Z,RESUMEN!AM196,MORTALIDAD!$AD:$AD)</f>
        <v>0</v>
      </c>
      <c r="AP196" s="19">
        <f t="shared" si="97"/>
        <v>-124</v>
      </c>
      <c r="AQ196" s="3">
        <f>SUMIF(MORTALIDAD!$Z:$Z,RESUMEN!AM196,MORTALIDAD!$AE:$AE)</f>
        <v>0</v>
      </c>
      <c r="AR196" s="3">
        <f>SUMIF(TRASLADOS!$AC:$AC,RESUMEN!AM196,TRASLADOS!$AF:$AF)</f>
        <v>0</v>
      </c>
      <c r="AS196" s="3">
        <f>SUMIF(TRASLADOS!$AC:$AC,RESUMEN!AM196,TRASLADOS!$AG:$AG)</f>
        <v>0</v>
      </c>
      <c r="AT196" s="3">
        <f>SUMIF(VENTAS!$Z:$Z,RESUMEN!AM196,VENTAS!$AD:$AD)</f>
        <v>0</v>
      </c>
      <c r="AU196" s="3">
        <f>SUMIF(VENTAS!$Z:$Z,RESUMEN!AM196,VENTAS!$AE:$AE)</f>
        <v>0</v>
      </c>
      <c r="AV196" s="97">
        <f t="shared" si="98"/>
        <v>2076</v>
      </c>
      <c r="AW196" s="96"/>
      <c r="AX196" s="99">
        <f t="shared" si="87"/>
        <v>29</v>
      </c>
      <c r="AY196" s="11">
        <f t="shared" si="121"/>
        <v>43464</v>
      </c>
      <c r="AZ196" s="3">
        <f t="shared" si="121"/>
        <v>203</v>
      </c>
      <c r="BA196" s="3">
        <f>SUMIF(MORTALIDAD!$AH:$AH,RESUMEN!AY196,MORTALIDAD!$AL:$AL)</f>
        <v>0</v>
      </c>
      <c r="BB196" s="19">
        <f t="shared" si="100"/>
        <v>-119</v>
      </c>
      <c r="BC196" s="3">
        <f>SUMIF(MORTALIDAD!$AH:$AH,RESUMEN!AY196,MORTALIDAD!$AM:$AM)</f>
        <v>0</v>
      </c>
      <c r="BD196" s="3">
        <f>SUMIF(TRASLADOS!$AL:$AL,RESUMEN!AY196,TRASLADOS!$AO:$AO)</f>
        <v>0</v>
      </c>
      <c r="BE196" s="3">
        <f>SUMIF(TRASLADOS!$AL:$AL,RESUMEN!AY196,TRASLADOS!$AP:$AP)</f>
        <v>0</v>
      </c>
      <c r="BF196" s="3">
        <f>SUMIF(VENTAS!$AH:$AH,RESUMEN!AY196,VENTAS!$AL:$AL)</f>
        <v>0</v>
      </c>
      <c r="BG196" s="3">
        <f>SUMIF(VENTAS!$AH:$AH,RESUMEN!AY196,VENTAS!$AM:$AM)</f>
        <v>0</v>
      </c>
      <c r="BH196" s="97">
        <f t="shared" si="101"/>
        <v>2081</v>
      </c>
      <c r="BI196" s="96"/>
      <c r="BJ196" s="99">
        <f t="shared" si="88"/>
        <v>30</v>
      </c>
      <c r="BK196" s="11">
        <f t="shared" si="122"/>
        <v>43473</v>
      </c>
      <c r="BL196" s="3">
        <f t="shared" si="122"/>
        <v>206</v>
      </c>
      <c r="BM196" s="3">
        <f>SUMIF(MORTALIDAD!$AP:$AP,RESUMEN!BK196,MORTALIDAD!$AT:$AT)</f>
        <v>0</v>
      </c>
      <c r="BN196" s="19">
        <f t="shared" si="103"/>
        <v>-73</v>
      </c>
      <c r="BO196" s="3">
        <f>SUMIF(MORTALIDAD!$AP$6:$AP$200,RESUMEN!BK196,MORTALIDAD!$AU$6:$AU$200)</f>
        <v>0</v>
      </c>
      <c r="BP196" s="3">
        <f>SUMIF(TRASLADOS!$AU:$AU,RESUMEN!BK196,TRASLADOS!$AX:$AX)</f>
        <v>0</v>
      </c>
      <c r="BQ196" s="3">
        <f>SUMIF(TRASLADOS!$AU:$AU,RESUMEN!BK196,TRASLADOS!$AY:$AY)</f>
        <v>0</v>
      </c>
      <c r="BR196" s="3">
        <f>SUMIF(VENTAS!$AP:$AP,RESUMEN!BK196,VENTAS!$AT:$AT)</f>
        <v>0</v>
      </c>
      <c r="BS196" s="3">
        <f>SUMIF(VENTAS!$AP:$AP,RESUMEN!BK196,VENTAS!$AU:$AU)</f>
        <v>0</v>
      </c>
      <c r="BT196" s="36">
        <f t="shared" si="104"/>
        <v>2241</v>
      </c>
    </row>
    <row r="197" spans="2:72" x14ac:dyDescent="0.2">
      <c r="B197" s="3">
        <f t="shared" si="83"/>
        <v>30</v>
      </c>
      <c r="C197" s="11">
        <f t="shared" si="115"/>
        <v>43444</v>
      </c>
      <c r="D197" s="3">
        <f t="shared" si="116"/>
        <v>206</v>
      </c>
      <c r="E197" s="3">
        <f>SUMIF(MORTALIDAD!$B$6:$B$200,RESUMEN!C197,MORTALIDAD!$F$6:$F$200)</f>
        <v>0</v>
      </c>
      <c r="F197" s="17">
        <f t="shared" si="117"/>
        <v>-740</v>
      </c>
      <c r="G197" s="3">
        <f>SUMIF(MORTALIDAD!$B$6:$B$200,RESUMEN!C197,MORTALIDAD!$G$6:$G$200)</f>
        <v>0</v>
      </c>
      <c r="H197" s="3">
        <f>SUMIF(TRASLADOS!$B$6:$B$200,C197,TRASLADOS!$E$6:$E$200)</f>
        <v>0</v>
      </c>
      <c r="I197" s="3">
        <f>SUMIF(TRASLADOS!$B$6:$B$200,C197,TRASLADOS!$F$6:$F$200)</f>
        <v>0</v>
      </c>
      <c r="J197" s="3">
        <f>SUMIF(VENTAS!$B$6:$B$200,RESUMEN!C197,VENTAS!$F$6:$F$200)</f>
        <v>0</v>
      </c>
      <c r="K197" s="3">
        <f>SUMIF(VENTAS!$B$6:$B$200,RESUMEN!C197,VENTAS!$G$6:$G$200)</f>
        <v>0</v>
      </c>
      <c r="L197" s="97">
        <f t="shared" si="89"/>
        <v>1460</v>
      </c>
      <c r="M197" s="96"/>
      <c r="N197" s="99">
        <f t="shared" si="84"/>
        <v>30</v>
      </c>
      <c r="O197" s="11">
        <f t="shared" si="118"/>
        <v>43447</v>
      </c>
      <c r="P197" s="3">
        <f t="shared" si="118"/>
        <v>205</v>
      </c>
      <c r="Q197" s="3">
        <f>SUMIF(MORTALIDAD!$J:$J,RESUMEN!O197,MORTALIDAD!$N:$N)</f>
        <v>0</v>
      </c>
      <c r="R197" s="19">
        <f t="shared" si="91"/>
        <v>-680</v>
      </c>
      <c r="S197" s="3">
        <f>SUMIF(MORTALIDAD!$J:$J,RESUMEN!O197,MORTALIDAD!$O:$O)</f>
        <v>0</v>
      </c>
      <c r="T197" s="3">
        <f>SUMIF(TRASLADOS!$K:$K,RESUMEN!O197,TRASLADOS!$N:$N)</f>
        <v>0</v>
      </c>
      <c r="U197" s="3">
        <f>SUMIF(TRASLADOS!$K:$K,RESUMEN!O197,TRASLADOS!$O:$O)</f>
        <v>0</v>
      </c>
      <c r="V197" s="3">
        <f>SUMIF(VENTAS!$J:$J,RESUMEN!O197,VENTAS!$N:$N)</f>
        <v>0</v>
      </c>
      <c r="W197" s="3">
        <f>SUMIF(VENTAS!$J:$J,RESUMEN!O197,VENTAS!$O:$O)</f>
        <v>0</v>
      </c>
      <c r="X197" s="97">
        <f t="shared" si="92"/>
        <v>1520</v>
      </c>
      <c r="Y197" s="96"/>
      <c r="Z197" s="99">
        <f t="shared" si="85"/>
        <v>30</v>
      </c>
      <c r="AA197" s="11">
        <f t="shared" si="119"/>
        <v>43451</v>
      </c>
      <c r="AB197" s="3">
        <f t="shared" si="119"/>
        <v>204</v>
      </c>
      <c r="AC197" s="3">
        <f>SUMIF(MORTALIDAD!$R:$R,RESUMEN!AA197,MORTALIDAD!$V:$V)</f>
        <v>0</v>
      </c>
      <c r="AD197" s="19">
        <f t="shared" si="94"/>
        <v>-476</v>
      </c>
      <c r="AE197" s="3">
        <f>SUMIF(MORTALIDAD!$R:$R,RESUMEN!AA197,MORTALIDAD!$W:$W)</f>
        <v>0</v>
      </c>
      <c r="AF197" s="3">
        <f>SUMIF(TRASLADOS!$T:$T,RESUMEN!AA197,TRASLADOS!$W:$W)</f>
        <v>0</v>
      </c>
      <c r="AG197" s="3">
        <f>SUMIF(TRASLADOS!$T:$T,RESUMEN!AA197,TRASLADOS!$X:$X)</f>
        <v>0</v>
      </c>
      <c r="AH197" s="3">
        <f>SUMIF(VENTAS!$R:$R,RESUMEN!AA197,VENTAS!$V:$V)</f>
        <v>0</v>
      </c>
      <c r="AI197" s="3">
        <f>SUMIF(VENTAS!$R:$R,RESUMEN!AA197,VENTAS!$W:$W)</f>
        <v>0</v>
      </c>
      <c r="AJ197" s="97">
        <f t="shared" si="95"/>
        <v>1724</v>
      </c>
      <c r="AK197" s="96"/>
      <c r="AL197" s="99">
        <f t="shared" si="86"/>
        <v>30</v>
      </c>
      <c r="AM197" s="11">
        <f t="shared" si="120"/>
        <v>43458</v>
      </c>
      <c r="AN197" s="3">
        <f t="shared" si="120"/>
        <v>204</v>
      </c>
      <c r="AO197" s="3">
        <f>SUMIF(MORTALIDAD!$Z:$Z,RESUMEN!AM197,MORTALIDAD!$AD:$AD)</f>
        <v>0</v>
      </c>
      <c r="AP197" s="19">
        <f t="shared" si="97"/>
        <v>-124</v>
      </c>
      <c r="AQ197" s="3">
        <f>SUMIF(MORTALIDAD!$Z:$Z,RESUMEN!AM197,MORTALIDAD!$AE:$AE)</f>
        <v>0</v>
      </c>
      <c r="AR197" s="3">
        <f>SUMIF(TRASLADOS!$AC:$AC,RESUMEN!AM197,TRASLADOS!$AF:$AF)</f>
        <v>0</v>
      </c>
      <c r="AS197" s="3">
        <f>SUMIF(TRASLADOS!$AC:$AC,RESUMEN!AM197,TRASLADOS!$AG:$AG)</f>
        <v>0</v>
      </c>
      <c r="AT197" s="3">
        <f>SUMIF(VENTAS!$Z:$Z,RESUMEN!AM197,VENTAS!$AD:$AD)</f>
        <v>0</v>
      </c>
      <c r="AU197" s="3">
        <f>SUMIF(VENTAS!$Z:$Z,RESUMEN!AM197,VENTAS!$AE:$AE)</f>
        <v>0</v>
      </c>
      <c r="AV197" s="97">
        <f t="shared" si="98"/>
        <v>2076</v>
      </c>
      <c r="AW197" s="96"/>
      <c r="AX197" s="99">
        <f t="shared" si="87"/>
        <v>30</v>
      </c>
      <c r="AY197" s="11">
        <f t="shared" si="121"/>
        <v>43465</v>
      </c>
      <c r="AZ197" s="3">
        <f t="shared" si="121"/>
        <v>204</v>
      </c>
      <c r="BA197" s="3">
        <f>SUMIF(MORTALIDAD!$AH:$AH,RESUMEN!AY197,MORTALIDAD!$AL:$AL)</f>
        <v>0</v>
      </c>
      <c r="BB197" s="19">
        <f t="shared" si="100"/>
        <v>-119</v>
      </c>
      <c r="BC197" s="3">
        <f>SUMIF(MORTALIDAD!$AH:$AH,RESUMEN!AY197,MORTALIDAD!$AM:$AM)</f>
        <v>0</v>
      </c>
      <c r="BD197" s="3">
        <f>SUMIF(TRASLADOS!$AL:$AL,RESUMEN!AY197,TRASLADOS!$AO:$AO)</f>
        <v>0</v>
      </c>
      <c r="BE197" s="3">
        <f>SUMIF(TRASLADOS!$AL:$AL,RESUMEN!AY197,TRASLADOS!$AP:$AP)</f>
        <v>0</v>
      </c>
      <c r="BF197" s="3">
        <f>SUMIF(VENTAS!$AH:$AH,RESUMEN!AY197,VENTAS!$AL:$AL)</f>
        <v>0</v>
      </c>
      <c r="BG197" s="3">
        <f>SUMIF(VENTAS!$AH:$AH,RESUMEN!AY197,VENTAS!$AM:$AM)</f>
        <v>0</v>
      </c>
      <c r="BH197" s="97">
        <f t="shared" si="101"/>
        <v>2081</v>
      </c>
      <c r="BI197" s="96"/>
      <c r="BJ197" s="99">
        <f t="shared" si="88"/>
        <v>30</v>
      </c>
      <c r="BK197" s="11">
        <f t="shared" si="122"/>
        <v>43474</v>
      </c>
      <c r="BL197" s="3">
        <f t="shared" si="122"/>
        <v>207</v>
      </c>
      <c r="BM197" s="3">
        <f>SUMIF(MORTALIDAD!$AP:$AP,RESUMEN!BK197,MORTALIDAD!$AT:$AT)</f>
        <v>0</v>
      </c>
      <c r="BN197" s="19">
        <f t="shared" si="103"/>
        <v>-73</v>
      </c>
      <c r="BO197" s="3">
        <f>SUMIF(MORTALIDAD!$AP$6:$AP$200,RESUMEN!BK197,MORTALIDAD!$AU$6:$AU$200)</f>
        <v>0</v>
      </c>
      <c r="BP197" s="3">
        <f>SUMIF(TRASLADOS!$AU:$AU,RESUMEN!BK197,TRASLADOS!$AX:$AX)</f>
        <v>0</v>
      </c>
      <c r="BQ197" s="3">
        <f>SUMIF(TRASLADOS!$AU:$AU,RESUMEN!BK197,TRASLADOS!$AY:$AY)</f>
        <v>0</v>
      </c>
      <c r="BR197" s="3">
        <f>SUMIF(VENTAS!$AP:$AP,RESUMEN!BK197,VENTAS!$AT:$AT)</f>
        <v>0</v>
      </c>
      <c r="BS197" s="3">
        <f>SUMIF(VENTAS!$AP:$AP,RESUMEN!BK197,VENTAS!$AU:$AU)</f>
        <v>0</v>
      </c>
      <c r="BT197" s="36">
        <f t="shared" si="104"/>
        <v>2241</v>
      </c>
    </row>
    <row r="198" spans="2:72" x14ac:dyDescent="0.2">
      <c r="B198" s="3">
        <f t="shared" si="83"/>
        <v>30</v>
      </c>
      <c r="C198" s="11">
        <f t="shared" si="115"/>
        <v>43445</v>
      </c>
      <c r="D198" s="3">
        <f t="shared" si="116"/>
        <v>207</v>
      </c>
      <c r="E198" s="3">
        <f>SUMIF(MORTALIDAD!$B$6:$B$200,RESUMEN!C198,MORTALIDAD!$F$6:$F$200)</f>
        <v>0</v>
      </c>
      <c r="F198" s="17">
        <f t="shared" si="117"/>
        <v>-740</v>
      </c>
      <c r="G198" s="3">
        <f>SUMIF(MORTALIDAD!$B$6:$B$200,RESUMEN!C198,MORTALIDAD!$G$6:$G$200)</f>
        <v>0</v>
      </c>
      <c r="H198" s="3">
        <f>SUMIF(TRASLADOS!$B$6:$B$200,C198,TRASLADOS!$E$6:$E$200)</f>
        <v>0</v>
      </c>
      <c r="I198" s="3">
        <f>SUMIF(TRASLADOS!$B$6:$B$200,C198,TRASLADOS!$F$6:$F$200)</f>
        <v>0</v>
      </c>
      <c r="J198" s="3">
        <f>SUMIF(VENTAS!$B$6:$B$200,RESUMEN!C198,VENTAS!$F$6:$F$200)</f>
        <v>0</v>
      </c>
      <c r="K198" s="3">
        <f>SUMIF(VENTAS!$B$6:$B$200,RESUMEN!C198,VENTAS!$G$6:$G$200)</f>
        <v>0</v>
      </c>
      <c r="L198" s="97">
        <f t="shared" si="89"/>
        <v>1460</v>
      </c>
      <c r="M198" s="96"/>
      <c r="N198" s="99">
        <f t="shared" si="84"/>
        <v>30</v>
      </c>
      <c r="O198" s="11">
        <f t="shared" si="118"/>
        <v>43448</v>
      </c>
      <c r="P198" s="3">
        <f t="shared" si="118"/>
        <v>206</v>
      </c>
      <c r="Q198" s="3">
        <f>SUMIF(MORTALIDAD!$J:$J,RESUMEN!O198,MORTALIDAD!$N:$N)</f>
        <v>0</v>
      </c>
      <c r="R198" s="19">
        <f t="shared" si="91"/>
        <v>-680</v>
      </c>
      <c r="S198" s="3">
        <f>SUMIF(MORTALIDAD!$J:$J,RESUMEN!O198,MORTALIDAD!$O:$O)</f>
        <v>0</v>
      </c>
      <c r="T198" s="3">
        <f>SUMIF(TRASLADOS!$K:$K,RESUMEN!O198,TRASLADOS!$N:$N)</f>
        <v>0</v>
      </c>
      <c r="U198" s="3">
        <f>SUMIF(TRASLADOS!$K:$K,RESUMEN!O198,TRASLADOS!$O:$O)</f>
        <v>0</v>
      </c>
      <c r="V198" s="3">
        <f>SUMIF(VENTAS!$J:$J,RESUMEN!O198,VENTAS!$N:$N)</f>
        <v>0</v>
      </c>
      <c r="W198" s="3">
        <f>SUMIF(VENTAS!$J:$J,RESUMEN!O198,VENTAS!$O:$O)</f>
        <v>0</v>
      </c>
      <c r="X198" s="97">
        <f t="shared" si="92"/>
        <v>1520</v>
      </c>
      <c r="Y198" s="96"/>
      <c r="Z198" s="99">
        <f t="shared" si="85"/>
        <v>30</v>
      </c>
      <c r="AA198" s="11">
        <f t="shared" si="119"/>
        <v>43452</v>
      </c>
      <c r="AB198" s="3">
        <f t="shared" si="119"/>
        <v>205</v>
      </c>
      <c r="AC198" s="3">
        <f>SUMIF(MORTALIDAD!$R:$R,RESUMEN!AA198,MORTALIDAD!$V:$V)</f>
        <v>0</v>
      </c>
      <c r="AD198" s="19">
        <f t="shared" si="94"/>
        <v>-476</v>
      </c>
      <c r="AE198" s="3">
        <f>SUMIF(MORTALIDAD!$R:$R,RESUMEN!AA198,MORTALIDAD!$W:$W)</f>
        <v>0</v>
      </c>
      <c r="AF198" s="3">
        <f>SUMIF(TRASLADOS!$T:$T,RESUMEN!AA198,TRASLADOS!$W:$W)</f>
        <v>0</v>
      </c>
      <c r="AG198" s="3">
        <f>SUMIF(TRASLADOS!$T:$T,RESUMEN!AA198,TRASLADOS!$X:$X)</f>
        <v>0</v>
      </c>
      <c r="AH198" s="3">
        <f>SUMIF(VENTAS!$R:$R,RESUMEN!AA198,VENTAS!$V:$V)</f>
        <v>0</v>
      </c>
      <c r="AI198" s="3">
        <f>SUMIF(VENTAS!$R:$R,RESUMEN!AA198,VENTAS!$W:$W)</f>
        <v>0</v>
      </c>
      <c r="AJ198" s="97">
        <f t="shared" si="95"/>
        <v>1724</v>
      </c>
      <c r="AK198" s="96"/>
      <c r="AL198" s="99">
        <f t="shared" si="86"/>
        <v>30</v>
      </c>
      <c r="AM198" s="11">
        <f t="shared" si="120"/>
        <v>43459</v>
      </c>
      <c r="AN198" s="3">
        <f t="shared" si="120"/>
        <v>205</v>
      </c>
      <c r="AO198" s="3">
        <f>SUMIF(MORTALIDAD!$Z:$Z,RESUMEN!AM198,MORTALIDAD!$AD:$AD)</f>
        <v>0</v>
      </c>
      <c r="AP198" s="19">
        <f t="shared" si="97"/>
        <v>-124</v>
      </c>
      <c r="AQ198" s="3">
        <f>SUMIF(MORTALIDAD!$Z:$Z,RESUMEN!AM198,MORTALIDAD!$AE:$AE)</f>
        <v>0</v>
      </c>
      <c r="AR198" s="3">
        <f>SUMIF(TRASLADOS!$AC:$AC,RESUMEN!AM198,TRASLADOS!$AF:$AF)</f>
        <v>0</v>
      </c>
      <c r="AS198" s="3">
        <f>SUMIF(TRASLADOS!$AC:$AC,RESUMEN!AM198,TRASLADOS!$AG:$AG)</f>
        <v>0</v>
      </c>
      <c r="AT198" s="3">
        <f>SUMIF(VENTAS!$Z:$Z,RESUMEN!AM198,VENTAS!$AD:$AD)</f>
        <v>0</v>
      </c>
      <c r="AU198" s="3">
        <f>SUMIF(VENTAS!$Z:$Z,RESUMEN!AM198,VENTAS!$AE:$AE)</f>
        <v>0</v>
      </c>
      <c r="AV198" s="97">
        <f t="shared" si="98"/>
        <v>2076</v>
      </c>
      <c r="AW198" s="96"/>
      <c r="AX198" s="99">
        <f t="shared" si="87"/>
        <v>30</v>
      </c>
      <c r="AY198" s="11">
        <f t="shared" si="121"/>
        <v>43466</v>
      </c>
      <c r="AZ198" s="3">
        <f t="shared" si="121"/>
        <v>205</v>
      </c>
      <c r="BA198" s="3">
        <f>SUMIF(MORTALIDAD!$AH:$AH,RESUMEN!AY198,MORTALIDAD!$AL:$AL)</f>
        <v>0</v>
      </c>
      <c r="BB198" s="19">
        <f t="shared" si="100"/>
        <v>-119</v>
      </c>
      <c r="BC198" s="3">
        <f>SUMIF(MORTALIDAD!$AH:$AH,RESUMEN!AY198,MORTALIDAD!$AM:$AM)</f>
        <v>0</v>
      </c>
      <c r="BD198" s="3">
        <f>SUMIF(TRASLADOS!$AL:$AL,RESUMEN!AY198,TRASLADOS!$AO:$AO)</f>
        <v>0</v>
      </c>
      <c r="BE198" s="3">
        <f>SUMIF(TRASLADOS!$AL:$AL,RESUMEN!AY198,TRASLADOS!$AP:$AP)</f>
        <v>0</v>
      </c>
      <c r="BF198" s="3">
        <f>SUMIF(VENTAS!$AH:$AH,RESUMEN!AY198,VENTAS!$AL:$AL)</f>
        <v>0</v>
      </c>
      <c r="BG198" s="3">
        <f>SUMIF(VENTAS!$AH:$AH,RESUMEN!AY198,VENTAS!$AM:$AM)</f>
        <v>0</v>
      </c>
      <c r="BH198" s="97">
        <f t="shared" si="101"/>
        <v>2081</v>
      </c>
      <c r="BI198" s="96"/>
      <c r="BJ198" s="99">
        <f t="shared" si="88"/>
        <v>30</v>
      </c>
      <c r="BK198" s="11">
        <f t="shared" si="122"/>
        <v>43475</v>
      </c>
      <c r="BL198" s="3">
        <f t="shared" si="122"/>
        <v>208</v>
      </c>
      <c r="BM198" s="3">
        <f>SUMIF(MORTALIDAD!$AP:$AP,RESUMEN!BK198,MORTALIDAD!$AT:$AT)</f>
        <v>0</v>
      </c>
      <c r="BN198" s="19">
        <f t="shared" si="103"/>
        <v>-73</v>
      </c>
      <c r="BO198" s="3">
        <f>SUMIF(MORTALIDAD!$AP$6:$AP$200,RESUMEN!BK198,MORTALIDAD!$AU$6:$AU$200)</f>
        <v>0</v>
      </c>
      <c r="BP198" s="3">
        <f>SUMIF(TRASLADOS!$AU:$AU,RESUMEN!BK198,TRASLADOS!$AX:$AX)</f>
        <v>0</v>
      </c>
      <c r="BQ198" s="3">
        <f>SUMIF(TRASLADOS!$AU:$AU,RESUMEN!BK198,TRASLADOS!$AY:$AY)</f>
        <v>0</v>
      </c>
      <c r="BR198" s="3">
        <f>SUMIF(VENTAS!$AP:$AP,RESUMEN!BK198,VENTAS!$AT:$AT)</f>
        <v>0</v>
      </c>
      <c r="BS198" s="3">
        <f>SUMIF(VENTAS!$AP:$AP,RESUMEN!BK198,VENTAS!$AU:$AU)</f>
        <v>0</v>
      </c>
      <c r="BT198" s="36">
        <f t="shared" si="104"/>
        <v>2241</v>
      </c>
    </row>
    <row r="199" spans="2:72" x14ac:dyDescent="0.2">
      <c r="B199" s="3">
        <f t="shared" si="83"/>
        <v>30</v>
      </c>
      <c r="C199" s="11">
        <f t="shared" si="115"/>
        <v>43446</v>
      </c>
      <c r="D199" s="3">
        <f t="shared" si="116"/>
        <v>208</v>
      </c>
      <c r="E199" s="3">
        <f>SUMIF(MORTALIDAD!$B$6:$B$200,RESUMEN!C199,MORTALIDAD!$F$6:$F$200)</f>
        <v>0</v>
      </c>
      <c r="F199" s="17">
        <f t="shared" si="117"/>
        <v>-740</v>
      </c>
      <c r="G199" s="3">
        <f>SUMIF(MORTALIDAD!$B$6:$B$200,RESUMEN!C199,MORTALIDAD!$G$6:$G$200)</f>
        <v>0</v>
      </c>
      <c r="H199" s="3">
        <f>SUMIF(TRASLADOS!$B$6:$B$200,C199,TRASLADOS!$E$6:$E$200)</f>
        <v>0</v>
      </c>
      <c r="I199" s="3">
        <f>SUMIF(TRASLADOS!$B$6:$B$200,C199,TRASLADOS!$F$6:$F$200)</f>
        <v>0</v>
      </c>
      <c r="J199" s="3">
        <f>SUMIF(VENTAS!$B$6:$B$200,RESUMEN!C199,VENTAS!$F$6:$F$200)</f>
        <v>0</v>
      </c>
      <c r="K199" s="3">
        <f>SUMIF(VENTAS!$B$6:$B$200,RESUMEN!C199,VENTAS!$G$6:$G$200)</f>
        <v>0</v>
      </c>
      <c r="L199" s="97">
        <f t="shared" si="89"/>
        <v>1460</v>
      </c>
      <c r="M199" s="96"/>
      <c r="N199" s="99">
        <f t="shared" si="84"/>
        <v>30</v>
      </c>
      <c r="O199" s="11">
        <f t="shared" si="118"/>
        <v>43449</v>
      </c>
      <c r="P199" s="3">
        <f t="shared" si="118"/>
        <v>207</v>
      </c>
      <c r="Q199" s="3">
        <f>SUMIF(MORTALIDAD!$J:$J,RESUMEN!O199,MORTALIDAD!$N:$N)</f>
        <v>0</v>
      </c>
      <c r="R199" s="19">
        <f t="shared" si="91"/>
        <v>-680</v>
      </c>
      <c r="S199" s="3">
        <f>SUMIF(MORTALIDAD!$J:$J,RESUMEN!O199,MORTALIDAD!$O:$O)</f>
        <v>0</v>
      </c>
      <c r="T199" s="3">
        <f>SUMIF(TRASLADOS!$K:$K,RESUMEN!O199,TRASLADOS!$N:$N)</f>
        <v>0</v>
      </c>
      <c r="U199" s="3">
        <f>SUMIF(TRASLADOS!$K:$K,RESUMEN!O199,TRASLADOS!$O:$O)</f>
        <v>0</v>
      </c>
      <c r="V199" s="3">
        <f>SUMIF(VENTAS!$J:$J,RESUMEN!O199,VENTAS!$N:$N)</f>
        <v>0</v>
      </c>
      <c r="W199" s="3">
        <f>SUMIF(VENTAS!$J:$J,RESUMEN!O199,VENTAS!$O:$O)</f>
        <v>0</v>
      </c>
      <c r="X199" s="97">
        <f t="shared" si="92"/>
        <v>1520</v>
      </c>
      <c r="Y199" s="96"/>
      <c r="Z199" s="99">
        <f t="shared" si="85"/>
        <v>30</v>
      </c>
      <c r="AA199" s="11">
        <f t="shared" si="119"/>
        <v>43453</v>
      </c>
      <c r="AB199" s="3">
        <f t="shared" si="119"/>
        <v>206</v>
      </c>
      <c r="AC199" s="3">
        <f>SUMIF(MORTALIDAD!$R:$R,RESUMEN!AA199,MORTALIDAD!$V:$V)</f>
        <v>0</v>
      </c>
      <c r="AD199" s="19">
        <f t="shared" si="94"/>
        <v>-476</v>
      </c>
      <c r="AE199" s="3">
        <f>SUMIF(MORTALIDAD!$R:$R,RESUMEN!AA199,MORTALIDAD!$W:$W)</f>
        <v>0</v>
      </c>
      <c r="AF199" s="3">
        <f>SUMIF(TRASLADOS!$T:$T,RESUMEN!AA199,TRASLADOS!$W:$W)</f>
        <v>0</v>
      </c>
      <c r="AG199" s="3">
        <f>SUMIF(TRASLADOS!$T:$T,RESUMEN!AA199,TRASLADOS!$X:$X)</f>
        <v>0</v>
      </c>
      <c r="AH199" s="3">
        <f>SUMIF(VENTAS!$R:$R,RESUMEN!AA199,VENTAS!$V:$V)</f>
        <v>0</v>
      </c>
      <c r="AI199" s="3">
        <f>SUMIF(VENTAS!$R:$R,RESUMEN!AA199,VENTAS!$W:$W)</f>
        <v>0</v>
      </c>
      <c r="AJ199" s="97">
        <f t="shared" si="95"/>
        <v>1724</v>
      </c>
      <c r="AK199" s="96"/>
      <c r="AL199" s="99">
        <f t="shared" si="86"/>
        <v>30</v>
      </c>
      <c r="AM199" s="11">
        <f t="shared" si="120"/>
        <v>43460</v>
      </c>
      <c r="AN199" s="3">
        <f t="shared" si="120"/>
        <v>206</v>
      </c>
      <c r="AO199" s="3">
        <f>SUMIF(MORTALIDAD!$Z:$Z,RESUMEN!AM199,MORTALIDAD!$AD:$AD)</f>
        <v>0</v>
      </c>
      <c r="AP199" s="19">
        <f t="shared" si="97"/>
        <v>-124</v>
      </c>
      <c r="AQ199" s="3">
        <f>SUMIF(MORTALIDAD!$Z:$Z,RESUMEN!AM199,MORTALIDAD!$AE:$AE)</f>
        <v>0</v>
      </c>
      <c r="AR199" s="3">
        <f>SUMIF(TRASLADOS!$AC:$AC,RESUMEN!AM199,TRASLADOS!$AF:$AF)</f>
        <v>0</v>
      </c>
      <c r="AS199" s="3">
        <f>SUMIF(TRASLADOS!$AC:$AC,RESUMEN!AM199,TRASLADOS!$AG:$AG)</f>
        <v>0</v>
      </c>
      <c r="AT199" s="3">
        <f>SUMIF(VENTAS!$Z:$Z,RESUMEN!AM199,VENTAS!$AD:$AD)</f>
        <v>0</v>
      </c>
      <c r="AU199" s="3">
        <f>SUMIF(VENTAS!$Z:$Z,RESUMEN!AM199,VENTAS!$AE:$AE)</f>
        <v>0</v>
      </c>
      <c r="AV199" s="97">
        <f t="shared" si="98"/>
        <v>2076</v>
      </c>
      <c r="AW199" s="96"/>
      <c r="AX199" s="99">
        <f t="shared" si="87"/>
        <v>30</v>
      </c>
      <c r="AY199" s="11">
        <f t="shared" si="121"/>
        <v>43467</v>
      </c>
      <c r="AZ199" s="3">
        <f t="shared" si="121"/>
        <v>206</v>
      </c>
      <c r="BA199" s="3">
        <f>SUMIF(MORTALIDAD!$AH:$AH,RESUMEN!AY199,MORTALIDAD!$AL:$AL)</f>
        <v>0</v>
      </c>
      <c r="BB199" s="19">
        <f t="shared" si="100"/>
        <v>-119</v>
      </c>
      <c r="BC199" s="3">
        <f>SUMIF(MORTALIDAD!$AH:$AH,RESUMEN!AY199,MORTALIDAD!$AM:$AM)</f>
        <v>0</v>
      </c>
      <c r="BD199" s="3">
        <f>SUMIF(TRASLADOS!$AL:$AL,RESUMEN!AY199,TRASLADOS!$AO:$AO)</f>
        <v>0</v>
      </c>
      <c r="BE199" s="3">
        <f>SUMIF(TRASLADOS!$AL:$AL,RESUMEN!AY199,TRASLADOS!$AP:$AP)</f>
        <v>0</v>
      </c>
      <c r="BF199" s="3">
        <f>SUMIF(VENTAS!$AH:$AH,RESUMEN!AY199,VENTAS!$AL:$AL)</f>
        <v>0</v>
      </c>
      <c r="BG199" s="3">
        <f>SUMIF(VENTAS!$AH:$AH,RESUMEN!AY199,VENTAS!$AM:$AM)</f>
        <v>0</v>
      </c>
      <c r="BH199" s="97">
        <f t="shared" si="101"/>
        <v>2081</v>
      </c>
      <c r="BI199" s="96"/>
      <c r="BJ199" s="99">
        <f t="shared" si="88"/>
        <v>30</v>
      </c>
      <c r="BK199" s="11">
        <f t="shared" si="122"/>
        <v>43476</v>
      </c>
      <c r="BL199" s="3">
        <f t="shared" si="122"/>
        <v>209</v>
      </c>
      <c r="BM199" s="3">
        <f>SUMIF(MORTALIDAD!$AP:$AP,RESUMEN!BK199,MORTALIDAD!$AT:$AT)</f>
        <v>0</v>
      </c>
      <c r="BN199" s="19">
        <f t="shared" si="103"/>
        <v>-73</v>
      </c>
      <c r="BO199" s="3">
        <f>SUMIF(MORTALIDAD!$AP$6:$AP$200,RESUMEN!BK199,MORTALIDAD!$AU$6:$AU$200)</f>
        <v>0</v>
      </c>
      <c r="BP199" s="3">
        <f>SUMIF(TRASLADOS!$AU:$AU,RESUMEN!BK199,TRASLADOS!$AX:$AX)</f>
        <v>0</v>
      </c>
      <c r="BQ199" s="3">
        <f>SUMIF(TRASLADOS!$AU:$AU,RESUMEN!BK199,TRASLADOS!$AY:$AY)</f>
        <v>0</v>
      </c>
      <c r="BR199" s="3">
        <f>SUMIF(VENTAS!$AP:$AP,RESUMEN!BK199,VENTAS!$AT:$AT)</f>
        <v>0</v>
      </c>
      <c r="BS199" s="3">
        <f>SUMIF(VENTAS!$AP:$AP,RESUMEN!BK199,VENTAS!$AU:$AU)</f>
        <v>0</v>
      </c>
      <c r="BT199" s="36">
        <f t="shared" si="104"/>
        <v>2241</v>
      </c>
    </row>
    <row r="200" spans="2:72" x14ac:dyDescent="0.2">
      <c r="B200" s="3">
        <f t="shared" si="83"/>
        <v>30</v>
      </c>
      <c r="C200" s="11">
        <f t="shared" si="115"/>
        <v>43447</v>
      </c>
      <c r="D200" s="3">
        <f t="shared" si="116"/>
        <v>209</v>
      </c>
      <c r="E200" s="3">
        <f>SUMIF(MORTALIDAD!$B$6:$B$200,RESUMEN!C200,MORTALIDAD!$F$6:$F$200)</f>
        <v>0</v>
      </c>
      <c r="F200" s="17">
        <f t="shared" si="117"/>
        <v>-740</v>
      </c>
      <c r="G200" s="3">
        <f>SUMIF(MORTALIDAD!$B$6:$B$200,RESUMEN!C200,MORTALIDAD!$G$6:$G$200)</f>
        <v>0</v>
      </c>
      <c r="H200" s="3">
        <f>SUMIF(TRASLADOS!$B$6:$B$200,C200,TRASLADOS!$E$6:$E$200)</f>
        <v>0</v>
      </c>
      <c r="I200" s="3">
        <f>SUMIF(TRASLADOS!$B$6:$B$200,C200,TRASLADOS!$F$6:$F$200)</f>
        <v>0</v>
      </c>
      <c r="J200" s="3">
        <f>SUMIF(VENTAS!$B$6:$B$200,RESUMEN!C200,VENTAS!$F$6:$F$200)</f>
        <v>0</v>
      </c>
      <c r="K200" s="3">
        <f>SUMIF(VENTAS!$B$6:$B$200,RESUMEN!C200,VENTAS!$G$6:$G$200)</f>
        <v>0</v>
      </c>
      <c r="L200" s="97">
        <f t="shared" si="89"/>
        <v>1460</v>
      </c>
      <c r="M200" s="96"/>
      <c r="N200" s="99">
        <f t="shared" si="84"/>
        <v>30</v>
      </c>
      <c r="O200" s="11">
        <f t="shared" si="118"/>
        <v>43450</v>
      </c>
      <c r="P200" s="3">
        <f t="shared" si="118"/>
        <v>208</v>
      </c>
      <c r="Q200" s="3">
        <f>SUMIF(MORTALIDAD!$J:$J,RESUMEN!O200,MORTALIDAD!$N:$N)</f>
        <v>0</v>
      </c>
      <c r="R200" s="19">
        <f t="shared" si="91"/>
        <v>-680</v>
      </c>
      <c r="S200" s="3">
        <f>SUMIF(MORTALIDAD!$J:$J,RESUMEN!O200,MORTALIDAD!$O:$O)</f>
        <v>0</v>
      </c>
      <c r="T200" s="3">
        <f>SUMIF(TRASLADOS!$K:$K,RESUMEN!O200,TRASLADOS!$N:$N)</f>
        <v>0</v>
      </c>
      <c r="U200" s="3">
        <f>SUMIF(TRASLADOS!$K:$K,RESUMEN!O200,TRASLADOS!$O:$O)</f>
        <v>0</v>
      </c>
      <c r="V200" s="3">
        <f>SUMIF(VENTAS!$J:$J,RESUMEN!O200,VENTAS!$N:$N)</f>
        <v>0</v>
      </c>
      <c r="W200" s="3">
        <f>SUMIF(VENTAS!$J:$J,RESUMEN!O200,VENTAS!$O:$O)</f>
        <v>0</v>
      </c>
      <c r="X200" s="97">
        <f t="shared" si="92"/>
        <v>1520</v>
      </c>
      <c r="Y200" s="96"/>
      <c r="Z200" s="99">
        <f t="shared" si="85"/>
        <v>30</v>
      </c>
      <c r="AA200" s="11">
        <f t="shared" si="119"/>
        <v>43454</v>
      </c>
      <c r="AB200" s="3">
        <f t="shared" si="119"/>
        <v>207</v>
      </c>
      <c r="AC200" s="3">
        <f>SUMIF(MORTALIDAD!$R:$R,RESUMEN!AA200,MORTALIDAD!$V:$V)</f>
        <v>0</v>
      </c>
      <c r="AD200" s="19">
        <f t="shared" si="94"/>
        <v>-476</v>
      </c>
      <c r="AE200" s="3">
        <f>SUMIF(MORTALIDAD!$R:$R,RESUMEN!AA200,MORTALIDAD!$W:$W)</f>
        <v>0</v>
      </c>
      <c r="AF200" s="3">
        <f>SUMIF(TRASLADOS!$T:$T,RESUMEN!AA200,TRASLADOS!$W:$W)</f>
        <v>0</v>
      </c>
      <c r="AG200" s="3">
        <f>SUMIF(TRASLADOS!$T:$T,RESUMEN!AA200,TRASLADOS!$X:$X)</f>
        <v>0</v>
      </c>
      <c r="AH200" s="3">
        <f>SUMIF(VENTAS!$R:$R,RESUMEN!AA200,VENTAS!$V:$V)</f>
        <v>0</v>
      </c>
      <c r="AI200" s="3">
        <f>SUMIF(VENTAS!$R:$R,RESUMEN!AA200,VENTAS!$W:$W)</f>
        <v>0</v>
      </c>
      <c r="AJ200" s="97">
        <f t="shared" si="95"/>
        <v>1724</v>
      </c>
      <c r="AK200" s="96"/>
      <c r="AL200" s="99">
        <f t="shared" si="86"/>
        <v>30</v>
      </c>
      <c r="AM200" s="11">
        <f t="shared" si="120"/>
        <v>43461</v>
      </c>
      <c r="AN200" s="3">
        <f t="shared" si="120"/>
        <v>207</v>
      </c>
      <c r="AO200" s="3">
        <f>SUMIF(MORTALIDAD!$Z:$Z,RESUMEN!AM200,MORTALIDAD!$AD:$AD)</f>
        <v>0</v>
      </c>
      <c r="AP200" s="19">
        <f t="shared" si="97"/>
        <v>-124</v>
      </c>
      <c r="AQ200" s="3">
        <f>SUMIF(MORTALIDAD!$Z:$Z,RESUMEN!AM200,MORTALIDAD!$AE:$AE)</f>
        <v>0</v>
      </c>
      <c r="AR200" s="3">
        <f>SUMIF(TRASLADOS!$AC:$AC,RESUMEN!AM200,TRASLADOS!$AF:$AF)</f>
        <v>0</v>
      </c>
      <c r="AS200" s="3">
        <f>SUMIF(TRASLADOS!$AC:$AC,RESUMEN!AM200,TRASLADOS!$AG:$AG)</f>
        <v>0</v>
      </c>
      <c r="AT200" s="3">
        <f>SUMIF(VENTAS!$Z:$Z,RESUMEN!AM200,VENTAS!$AD:$AD)</f>
        <v>0</v>
      </c>
      <c r="AU200" s="3">
        <f>SUMIF(VENTAS!$Z:$Z,RESUMEN!AM200,VENTAS!$AE:$AE)</f>
        <v>0</v>
      </c>
      <c r="AV200" s="97">
        <f t="shared" si="98"/>
        <v>2076</v>
      </c>
      <c r="AW200" s="96"/>
      <c r="AX200" s="99">
        <f t="shared" si="87"/>
        <v>30</v>
      </c>
      <c r="AY200" s="11">
        <f t="shared" si="121"/>
        <v>43468</v>
      </c>
      <c r="AZ200" s="3">
        <f t="shared" si="121"/>
        <v>207</v>
      </c>
      <c r="BA200" s="3">
        <f>SUMIF(MORTALIDAD!$AH:$AH,RESUMEN!AY200,MORTALIDAD!$AL:$AL)</f>
        <v>0</v>
      </c>
      <c r="BB200" s="19">
        <f t="shared" si="100"/>
        <v>-119</v>
      </c>
      <c r="BC200" s="3">
        <f>SUMIF(MORTALIDAD!$AH:$AH,RESUMEN!AY200,MORTALIDAD!$AM:$AM)</f>
        <v>0</v>
      </c>
      <c r="BD200" s="3">
        <f>SUMIF(TRASLADOS!$AL:$AL,RESUMEN!AY200,TRASLADOS!$AO:$AO)</f>
        <v>0</v>
      </c>
      <c r="BE200" s="3">
        <f>SUMIF(TRASLADOS!$AL:$AL,RESUMEN!AY200,TRASLADOS!$AP:$AP)</f>
        <v>0</v>
      </c>
      <c r="BF200" s="3">
        <f>SUMIF(VENTAS!$AH:$AH,RESUMEN!AY200,VENTAS!$AL:$AL)</f>
        <v>0</v>
      </c>
      <c r="BG200" s="3">
        <f>SUMIF(VENTAS!$AH:$AH,RESUMEN!AY200,VENTAS!$AM:$AM)</f>
        <v>0</v>
      </c>
      <c r="BH200" s="97">
        <f t="shared" si="101"/>
        <v>2081</v>
      </c>
      <c r="BI200" s="96"/>
      <c r="BJ200" s="99">
        <f t="shared" si="88"/>
        <v>30</v>
      </c>
      <c r="BK200" s="11">
        <f t="shared" si="122"/>
        <v>43477</v>
      </c>
      <c r="BL200" s="3">
        <f t="shared" si="122"/>
        <v>210</v>
      </c>
      <c r="BM200" s="3">
        <f>SUMIF(MORTALIDAD!$AP:$AP,RESUMEN!BK200,MORTALIDAD!$AT:$AT)</f>
        <v>0</v>
      </c>
      <c r="BN200" s="19">
        <f t="shared" si="103"/>
        <v>-73</v>
      </c>
      <c r="BO200" s="3">
        <f>SUMIF(MORTALIDAD!$AP$6:$AP$200,RESUMEN!BK200,MORTALIDAD!$AU$6:$AU$200)</f>
        <v>0</v>
      </c>
      <c r="BP200" s="3">
        <f>SUMIF(TRASLADOS!$AU:$AU,RESUMEN!BK200,TRASLADOS!$AX:$AX)</f>
        <v>0</v>
      </c>
      <c r="BQ200" s="3">
        <f>SUMIF(TRASLADOS!$AU:$AU,RESUMEN!BK200,TRASLADOS!$AY:$AY)</f>
        <v>0</v>
      </c>
      <c r="BR200" s="3">
        <f>SUMIF(VENTAS!$AP:$AP,RESUMEN!BK200,VENTAS!$AT:$AT)</f>
        <v>0</v>
      </c>
      <c r="BS200" s="3">
        <f>SUMIF(VENTAS!$AP:$AP,RESUMEN!BK200,VENTAS!$AU:$AU)</f>
        <v>0</v>
      </c>
      <c r="BT200" s="36">
        <f t="shared" si="104"/>
        <v>2241</v>
      </c>
    </row>
    <row r="201" spans="2:72" x14ac:dyDescent="0.2">
      <c r="B201" s="3">
        <f t="shared" si="83"/>
        <v>30</v>
      </c>
      <c r="C201" s="11">
        <f t="shared" si="115"/>
        <v>43448</v>
      </c>
      <c r="D201" s="3">
        <f t="shared" si="116"/>
        <v>210</v>
      </c>
      <c r="E201" s="3">
        <f>SUMIF(MORTALIDAD!$B$6:$B$200,RESUMEN!C201,MORTALIDAD!$F$6:$F$200)</f>
        <v>0</v>
      </c>
      <c r="F201" s="17">
        <f t="shared" si="117"/>
        <v>-740</v>
      </c>
      <c r="G201" s="3">
        <f>SUMIF(MORTALIDAD!$B$6:$B$200,RESUMEN!C201,MORTALIDAD!$G$6:$G$200)</f>
        <v>0</v>
      </c>
      <c r="H201" s="3">
        <f>SUMIF(TRASLADOS!$B$6:$B$200,C201,TRASLADOS!$E$6:$E$200)</f>
        <v>0</v>
      </c>
      <c r="I201" s="3">
        <f>SUMIF(TRASLADOS!$B$6:$B$200,C201,TRASLADOS!$F$6:$F$200)</f>
        <v>0</v>
      </c>
      <c r="J201" s="3">
        <f>SUMIF(VENTAS!$B$6:$B$200,RESUMEN!C201,VENTAS!$F$6:$F$200)</f>
        <v>0</v>
      </c>
      <c r="K201" s="3">
        <f>SUMIF(VENTAS!$B$6:$B$200,RESUMEN!C201,VENTAS!$G$6:$G$200)</f>
        <v>0</v>
      </c>
      <c r="L201" s="97">
        <f t="shared" si="89"/>
        <v>1460</v>
      </c>
      <c r="M201" s="96"/>
      <c r="N201" s="99">
        <f t="shared" si="84"/>
        <v>30</v>
      </c>
      <c r="O201" s="11">
        <f t="shared" si="118"/>
        <v>43451</v>
      </c>
      <c r="P201" s="3">
        <f t="shared" si="118"/>
        <v>209</v>
      </c>
      <c r="Q201" s="3">
        <f>SUMIF(MORTALIDAD!$J:$J,RESUMEN!O201,MORTALIDAD!$N:$N)</f>
        <v>0</v>
      </c>
      <c r="R201" s="19">
        <f t="shared" si="91"/>
        <v>-680</v>
      </c>
      <c r="S201" s="3">
        <f>SUMIF(MORTALIDAD!$J:$J,RESUMEN!O201,MORTALIDAD!$O:$O)</f>
        <v>0</v>
      </c>
      <c r="T201" s="3">
        <f>SUMIF(TRASLADOS!$K:$K,RESUMEN!O201,TRASLADOS!$N:$N)</f>
        <v>0</v>
      </c>
      <c r="U201" s="3">
        <f>SUMIF(TRASLADOS!$K:$K,RESUMEN!O201,TRASLADOS!$O:$O)</f>
        <v>0</v>
      </c>
      <c r="V201" s="3">
        <f>SUMIF(VENTAS!$J:$J,RESUMEN!O201,VENTAS!$N:$N)</f>
        <v>0</v>
      </c>
      <c r="W201" s="3">
        <f>SUMIF(VENTAS!$J:$J,RESUMEN!O201,VENTAS!$O:$O)</f>
        <v>0</v>
      </c>
      <c r="X201" s="97">
        <f t="shared" si="92"/>
        <v>1520</v>
      </c>
      <c r="Y201" s="96"/>
      <c r="Z201" s="99">
        <f t="shared" si="85"/>
        <v>30</v>
      </c>
      <c r="AA201" s="11">
        <f t="shared" si="119"/>
        <v>43455</v>
      </c>
      <c r="AB201" s="3">
        <f t="shared" si="119"/>
        <v>208</v>
      </c>
      <c r="AC201" s="3">
        <f>SUMIF(MORTALIDAD!$R:$R,RESUMEN!AA201,MORTALIDAD!$V:$V)</f>
        <v>0</v>
      </c>
      <c r="AD201" s="19">
        <f t="shared" si="94"/>
        <v>-476</v>
      </c>
      <c r="AE201" s="3">
        <f>SUMIF(MORTALIDAD!$R:$R,RESUMEN!AA201,MORTALIDAD!$W:$W)</f>
        <v>0</v>
      </c>
      <c r="AF201" s="3">
        <f>SUMIF(TRASLADOS!$T:$T,RESUMEN!AA201,TRASLADOS!$W:$W)</f>
        <v>0</v>
      </c>
      <c r="AG201" s="3">
        <f>SUMIF(TRASLADOS!$T:$T,RESUMEN!AA201,TRASLADOS!$X:$X)</f>
        <v>0</v>
      </c>
      <c r="AH201" s="3">
        <f>SUMIF(VENTAS!$R:$R,RESUMEN!AA201,VENTAS!$V:$V)</f>
        <v>0</v>
      </c>
      <c r="AI201" s="3">
        <f>SUMIF(VENTAS!$R:$R,RESUMEN!AA201,VENTAS!$W:$W)</f>
        <v>0</v>
      </c>
      <c r="AJ201" s="97">
        <f t="shared" si="95"/>
        <v>1724</v>
      </c>
      <c r="AK201" s="96"/>
      <c r="AL201" s="99">
        <f t="shared" si="86"/>
        <v>30</v>
      </c>
      <c r="AM201" s="11">
        <f t="shared" si="120"/>
        <v>43462</v>
      </c>
      <c r="AN201" s="3">
        <f t="shared" si="120"/>
        <v>208</v>
      </c>
      <c r="AO201" s="3">
        <f>SUMIF(MORTALIDAD!$Z:$Z,RESUMEN!AM201,MORTALIDAD!$AD:$AD)</f>
        <v>0</v>
      </c>
      <c r="AP201" s="19">
        <f t="shared" si="97"/>
        <v>-124</v>
      </c>
      <c r="AQ201" s="3">
        <f>SUMIF(MORTALIDAD!$Z:$Z,RESUMEN!AM201,MORTALIDAD!$AE:$AE)</f>
        <v>0</v>
      </c>
      <c r="AR201" s="3">
        <f>SUMIF(TRASLADOS!$AC:$AC,RESUMEN!AM201,TRASLADOS!$AF:$AF)</f>
        <v>0</v>
      </c>
      <c r="AS201" s="3">
        <f>SUMIF(TRASLADOS!$AC:$AC,RESUMEN!AM201,TRASLADOS!$AG:$AG)</f>
        <v>0</v>
      </c>
      <c r="AT201" s="3">
        <f>SUMIF(VENTAS!$Z:$Z,RESUMEN!AM201,VENTAS!$AD:$AD)</f>
        <v>0</v>
      </c>
      <c r="AU201" s="3">
        <f>SUMIF(VENTAS!$Z:$Z,RESUMEN!AM201,VENTAS!$AE:$AE)</f>
        <v>0</v>
      </c>
      <c r="AV201" s="97">
        <f t="shared" si="98"/>
        <v>2076</v>
      </c>
      <c r="AW201" s="96"/>
      <c r="AX201" s="99">
        <f t="shared" si="87"/>
        <v>30</v>
      </c>
      <c r="AY201" s="11">
        <f t="shared" si="121"/>
        <v>43469</v>
      </c>
      <c r="AZ201" s="3">
        <f t="shared" si="121"/>
        <v>208</v>
      </c>
      <c r="BA201" s="3">
        <f>SUMIF(MORTALIDAD!$AH:$AH,RESUMEN!AY201,MORTALIDAD!$AL:$AL)</f>
        <v>0</v>
      </c>
      <c r="BB201" s="19">
        <f t="shared" si="100"/>
        <v>-119</v>
      </c>
      <c r="BC201" s="3">
        <f>SUMIF(MORTALIDAD!$AH:$AH,RESUMEN!AY201,MORTALIDAD!$AM:$AM)</f>
        <v>0</v>
      </c>
      <c r="BD201" s="3">
        <f>SUMIF(TRASLADOS!$AL:$AL,RESUMEN!AY201,TRASLADOS!$AO:$AO)</f>
        <v>0</v>
      </c>
      <c r="BE201" s="3">
        <f>SUMIF(TRASLADOS!$AL:$AL,RESUMEN!AY201,TRASLADOS!$AP:$AP)</f>
        <v>0</v>
      </c>
      <c r="BF201" s="3">
        <f>SUMIF(VENTAS!$AH:$AH,RESUMEN!AY201,VENTAS!$AL:$AL)</f>
        <v>0</v>
      </c>
      <c r="BG201" s="3">
        <f>SUMIF(VENTAS!$AH:$AH,RESUMEN!AY201,VENTAS!$AM:$AM)</f>
        <v>0</v>
      </c>
      <c r="BH201" s="97">
        <f t="shared" si="101"/>
        <v>2081</v>
      </c>
      <c r="BI201" s="96"/>
      <c r="BJ201" s="99">
        <f t="shared" si="88"/>
        <v>31</v>
      </c>
      <c r="BK201" s="11">
        <f t="shared" si="122"/>
        <v>43478</v>
      </c>
      <c r="BL201" s="3">
        <f t="shared" si="122"/>
        <v>211</v>
      </c>
      <c r="BM201" s="3">
        <f>SUMIF(MORTALIDAD!$AP:$AP,RESUMEN!BK201,MORTALIDAD!$AT:$AT)</f>
        <v>0</v>
      </c>
      <c r="BN201" s="19">
        <f t="shared" si="103"/>
        <v>-73</v>
      </c>
      <c r="BO201" s="3">
        <f>SUMIF(MORTALIDAD!$AP$6:$AP$200,RESUMEN!BK201,MORTALIDAD!$AU$6:$AU$200)</f>
        <v>0</v>
      </c>
      <c r="BP201" s="3">
        <f>SUMIF(TRASLADOS!$AU:$AU,RESUMEN!BK201,TRASLADOS!$AX:$AX)</f>
        <v>0</v>
      </c>
      <c r="BQ201" s="3">
        <f>SUMIF(TRASLADOS!$AU:$AU,RESUMEN!BK201,TRASLADOS!$AY:$AY)</f>
        <v>0</v>
      </c>
      <c r="BR201" s="3">
        <f>SUMIF(VENTAS!$AP:$AP,RESUMEN!BK201,VENTAS!$AT:$AT)</f>
        <v>0</v>
      </c>
      <c r="BS201" s="3">
        <f>SUMIF(VENTAS!$AP:$AP,RESUMEN!BK201,VENTAS!$AU:$AU)</f>
        <v>0</v>
      </c>
      <c r="BT201" s="36">
        <f t="shared" si="104"/>
        <v>2241</v>
      </c>
    </row>
    <row r="202" spans="2:72" x14ac:dyDescent="0.2">
      <c r="B202" s="3">
        <f t="shared" si="83"/>
        <v>31</v>
      </c>
      <c r="C202" s="11">
        <f t="shared" si="115"/>
        <v>43449</v>
      </c>
      <c r="D202" s="3">
        <f t="shared" si="116"/>
        <v>211</v>
      </c>
      <c r="E202" s="3">
        <f>SUMIF(MORTALIDAD!$B$6:$B$200,RESUMEN!C202,MORTALIDAD!$F$6:$F$200)</f>
        <v>0</v>
      </c>
      <c r="F202" s="17">
        <f t="shared" si="117"/>
        <v>-740</v>
      </c>
      <c r="G202" s="3">
        <f>SUMIF(MORTALIDAD!$B$6:$B$200,RESUMEN!C202,MORTALIDAD!$G$6:$G$200)</f>
        <v>0</v>
      </c>
      <c r="H202" s="3">
        <f>SUMIF(TRASLADOS!$B$6:$B$200,C202,TRASLADOS!$E$6:$E$200)</f>
        <v>0</v>
      </c>
      <c r="I202" s="3">
        <f>SUMIF(TRASLADOS!$B$6:$B$200,C202,TRASLADOS!$F$6:$F$200)</f>
        <v>0</v>
      </c>
      <c r="J202" s="3">
        <f>SUMIF(VENTAS!$B$6:$B$200,RESUMEN!C202,VENTAS!$F$6:$F$200)</f>
        <v>0</v>
      </c>
      <c r="K202" s="3">
        <f>SUMIF(VENTAS!$B$6:$B$200,RESUMEN!C202,VENTAS!$G$6:$G$200)</f>
        <v>0</v>
      </c>
      <c r="L202" s="97">
        <f t="shared" si="89"/>
        <v>1460</v>
      </c>
      <c r="M202" s="96"/>
      <c r="N202" s="99">
        <f t="shared" si="84"/>
        <v>30</v>
      </c>
      <c r="O202" s="11">
        <f t="shared" si="118"/>
        <v>43452</v>
      </c>
      <c r="P202" s="3">
        <f t="shared" si="118"/>
        <v>210</v>
      </c>
      <c r="Q202" s="3">
        <f>SUMIF(MORTALIDAD!$J:$J,RESUMEN!O202,MORTALIDAD!$N:$N)</f>
        <v>0</v>
      </c>
      <c r="R202" s="19">
        <f t="shared" si="91"/>
        <v>-680</v>
      </c>
      <c r="S202" s="3">
        <f>SUMIF(MORTALIDAD!$J:$J,RESUMEN!O202,MORTALIDAD!$O:$O)</f>
        <v>0</v>
      </c>
      <c r="T202" s="3">
        <f>SUMIF(TRASLADOS!$K:$K,RESUMEN!O202,TRASLADOS!$N:$N)</f>
        <v>0</v>
      </c>
      <c r="U202" s="3">
        <f>SUMIF(TRASLADOS!$K:$K,RESUMEN!O202,TRASLADOS!$O:$O)</f>
        <v>0</v>
      </c>
      <c r="V202" s="3">
        <f>SUMIF(VENTAS!$J:$J,RESUMEN!O202,VENTAS!$N:$N)</f>
        <v>0</v>
      </c>
      <c r="W202" s="3">
        <f>SUMIF(VENTAS!$J:$J,RESUMEN!O202,VENTAS!$O:$O)</f>
        <v>0</v>
      </c>
      <c r="X202" s="97">
        <f t="shared" si="92"/>
        <v>1520</v>
      </c>
      <c r="Y202" s="96"/>
      <c r="Z202" s="99">
        <f t="shared" si="85"/>
        <v>30</v>
      </c>
      <c r="AA202" s="11">
        <f t="shared" si="119"/>
        <v>43456</v>
      </c>
      <c r="AB202" s="3">
        <f t="shared" si="119"/>
        <v>209</v>
      </c>
      <c r="AC202" s="3">
        <f>SUMIF(MORTALIDAD!$R:$R,RESUMEN!AA202,MORTALIDAD!$V:$V)</f>
        <v>0</v>
      </c>
      <c r="AD202" s="19">
        <f t="shared" si="94"/>
        <v>-476</v>
      </c>
      <c r="AE202" s="3">
        <f>SUMIF(MORTALIDAD!$R:$R,RESUMEN!AA202,MORTALIDAD!$W:$W)</f>
        <v>0</v>
      </c>
      <c r="AF202" s="3">
        <f>SUMIF(TRASLADOS!$T:$T,RESUMEN!AA202,TRASLADOS!$W:$W)</f>
        <v>0</v>
      </c>
      <c r="AG202" s="3">
        <f>SUMIF(TRASLADOS!$T:$T,RESUMEN!AA202,TRASLADOS!$X:$X)</f>
        <v>0</v>
      </c>
      <c r="AH202" s="3">
        <f>SUMIF(VENTAS!$R:$R,RESUMEN!AA202,VENTAS!$V:$V)</f>
        <v>0</v>
      </c>
      <c r="AI202" s="3">
        <f>SUMIF(VENTAS!$R:$R,RESUMEN!AA202,VENTAS!$W:$W)</f>
        <v>0</v>
      </c>
      <c r="AJ202" s="97">
        <f t="shared" si="95"/>
        <v>1724</v>
      </c>
      <c r="AK202" s="96"/>
      <c r="AL202" s="99">
        <f t="shared" si="86"/>
        <v>30</v>
      </c>
      <c r="AM202" s="11">
        <f t="shared" si="120"/>
        <v>43463</v>
      </c>
      <c r="AN202" s="3">
        <f t="shared" si="120"/>
        <v>209</v>
      </c>
      <c r="AO202" s="3">
        <f>SUMIF(MORTALIDAD!$Z:$Z,RESUMEN!AM202,MORTALIDAD!$AD:$AD)</f>
        <v>0</v>
      </c>
      <c r="AP202" s="19">
        <f t="shared" si="97"/>
        <v>-124</v>
      </c>
      <c r="AQ202" s="3">
        <f>SUMIF(MORTALIDAD!$Z:$Z,RESUMEN!AM202,MORTALIDAD!$AE:$AE)</f>
        <v>0</v>
      </c>
      <c r="AR202" s="3">
        <f>SUMIF(TRASLADOS!$AC:$AC,RESUMEN!AM202,TRASLADOS!$AF:$AF)</f>
        <v>0</v>
      </c>
      <c r="AS202" s="3">
        <f>SUMIF(TRASLADOS!$AC:$AC,RESUMEN!AM202,TRASLADOS!$AG:$AG)</f>
        <v>0</v>
      </c>
      <c r="AT202" s="3">
        <f>SUMIF(VENTAS!$Z:$Z,RESUMEN!AM202,VENTAS!$AD:$AD)</f>
        <v>0</v>
      </c>
      <c r="AU202" s="3">
        <f>SUMIF(VENTAS!$Z:$Z,RESUMEN!AM202,VENTAS!$AE:$AE)</f>
        <v>0</v>
      </c>
      <c r="AV202" s="97">
        <f t="shared" si="98"/>
        <v>2076</v>
      </c>
      <c r="AW202" s="96"/>
      <c r="AX202" s="99">
        <f t="shared" si="87"/>
        <v>30</v>
      </c>
      <c r="AY202" s="11">
        <f t="shared" si="121"/>
        <v>43470</v>
      </c>
      <c r="AZ202" s="3">
        <f t="shared" si="121"/>
        <v>209</v>
      </c>
      <c r="BA202" s="3">
        <f>SUMIF(MORTALIDAD!$AH:$AH,RESUMEN!AY202,MORTALIDAD!$AL:$AL)</f>
        <v>0</v>
      </c>
      <c r="BB202" s="19">
        <f t="shared" si="100"/>
        <v>-119</v>
      </c>
      <c r="BC202" s="3">
        <f>SUMIF(MORTALIDAD!$AH:$AH,RESUMEN!AY202,MORTALIDAD!$AM:$AM)</f>
        <v>0</v>
      </c>
      <c r="BD202" s="3">
        <f>SUMIF(TRASLADOS!$AL:$AL,RESUMEN!AY202,TRASLADOS!$AO:$AO)</f>
        <v>0</v>
      </c>
      <c r="BE202" s="3">
        <f>SUMIF(TRASLADOS!$AL:$AL,RESUMEN!AY202,TRASLADOS!$AP:$AP)</f>
        <v>0</v>
      </c>
      <c r="BF202" s="3">
        <f>SUMIF(VENTAS!$AH:$AH,RESUMEN!AY202,VENTAS!$AL:$AL)</f>
        <v>0</v>
      </c>
      <c r="BG202" s="3">
        <f>SUMIF(VENTAS!$AH:$AH,RESUMEN!AY202,VENTAS!$AM:$AM)</f>
        <v>0</v>
      </c>
      <c r="BH202" s="97">
        <f t="shared" si="101"/>
        <v>2081</v>
      </c>
      <c r="BI202" s="96"/>
      <c r="BJ202" s="99">
        <f t="shared" si="88"/>
        <v>31</v>
      </c>
      <c r="BK202" s="11">
        <f t="shared" si="122"/>
        <v>43479</v>
      </c>
      <c r="BL202" s="3">
        <f t="shared" si="122"/>
        <v>212</v>
      </c>
      <c r="BM202" s="3">
        <f>SUMIF(MORTALIDAD!$AP:$AP,RESUMEN!BK202,MORTALIDAD!$AT:$AT)</f>
        <v>0</v>
      </c>
      <c r="BN202" s="19">
        <f t="shared" si="103"/>
        <v>-73</v>
      </c>
      <c r="BO202" s="3">
        <f>SUMIF(MORTALIDAD!$AP$6:$AP$200,RESUMEN!BK202,MORTALIDAD!$AU$6:$AU$200)</f>
        <v>0</v>
      </c>
      <c r="BP202" s="3">
        <f>SUMIF(TRASLADOS!$AU:$AU,RESUMEN!BK202,TRASLADOS!$AX:$AX)</f>
        <v>0</v>
      </c>
      <c r="BQ202" s="3">
        <f>SUMIF(TRASLADOS!$AU:$AU,RESUMEN!BK202,TRASLADOS!$AY:$AY)</f>
        <v>0</v>
      </c>
      <c r="BR202" s="3">
        <f>SUMIF(VENTAS!$AP:$AP,RESUMEN!BK202,VENTAS!$AT:$AT)</f>
        <v>0</v>
      </c>
      <c r="BS202" s="3">
        <f>SUMIF(VENTAS!$AP:$AP,RESUMEN!BK202,VENTAS!$AU:$AU)</f>
        <v>0</v>
      </c>
      <c r="BT202" s="36">
        <f t="shared" si="104"/>
        <v>2241</v>
      </c>
    </row>
    <row r="203" spans="2:72" x14ac:dyDescent="0.2">
      <c r="B203" s="3">
        <f t="shared" si="83"/>
        <v>31</v>
      </c>
      <c r="C203" s="11">
        <f t="shared" si="115"/>
        <v>43450</v>
      </c>
      <c r="D203" s="3">
        <f t="shared" si="116"/>
        <v>212</v>
      </c>
      <c r="E203" s="3">
        <f>SUMIF(MORTALIDAD!$B$6:$B$200,RESUMEN!C203,MORTALIDAD!$F$6:$F$200)</f>
        <v>0</v>
      </c>
      <c r="F203" s="17">
        <f t="shared" si="117"/>
        <v>-740</v>
      </c>
      <c r="G203" s="3">
        <f>SUMIF(MORTALIDAD!$B$6:$B$200,RESUMEN!C203,MORTALIDAD!$G$6:$G$200)</f>
        <v>0</v>
      </c>
      <c r="H203" s="3">
        <f>SUMIF(TRASLADOS!$B$6:$B$200,C203,TRASLADOS!$E$6:$E$200)</f>
        <v>0</v>
      </c>
      <c r="I203" s="3">
        <f>SUMIF(TRASLADOS!$B$6:$B$200,C203,TRASLADOS!$F$6:$F$200)</f>
        <v>0</v>
      </c>
      <c r="J203" s="3">
        <f>SUMIF(VENTAS!$B$6:$B$200,RESUMEN!C203,VENTAS!$F$6:$F$200)</f>
        <v>0</v>
      </c>
      <c r="K203" s="3">
        <f>SUMIF(VENTAS!$B$6:$B$200,RESUMEN!C203,VENTAS!$G$6:$G$200)</f>
        <v>0</v>
      </c>
      <c r="L203" s="97">
        <f t="shared" si="89"/>
        <v>1460</v>
      </c>
      <c r="M203" s="96"/>
      <c r="N203" s="99">
        <f t="shared" si="84"/>
        <v>31</v>
      </c>
      <c r="O203" s="11">
        <f t="shared" si="118"/>
        <v>43453</v>
      </c>
      <c r="P203" s="3">
        <f t="shared" si="118"/>
        <v>211</v>
      </c>
      <c r="Q203" s="3">
        <f>SUMIF(MORTALIDAD!$J:$J,RESUMEN!O203,MORTALIDAD!$N:$N)</f>
        <v>0</v>
      </c>
      <c r="R203" s="19">
        <f t="shared" si="91"/>
        <v>-680</v>
      </c>
      <c r="S203" s="3">
        <f>SUMIF(MORTALIDAD!$J:$J,RESUMEN!O203,MORTALIDAD!$O:$O)</f>
        <v>0</v>
      </c>
      <c r="T203" s="3">
        <f>SUMIF(TRASLADOS!$K:$K,RESUMEN!O203,TRASLADOS!$N:$N)</f>
        <v>0</v>
      </c>
      <c r="U203" s="3">
        <f>SUMIF(TRASLADOS!$K:$K,RESUMEN!O203,TRASLADOS!$O:$O)</f>
        <v>0</v>
      </c>
      <c r="V203" s="3">
        <f>SUMIF(VENTAS!$J:$J,RESUMEN!O203,VENTAS!$N:$N)</f>
        <v>0</v>
      </c>
      <c r="W203" s="3">
        <f>SUMIF(VENTAS!$J:$J,RESUMEN!O203,VENTAS!$O:$O)</f>
        <v>0</v>
      </c>
      <c r="X203" s="97">
        <f t="shared" si="92"/>
        <v>1520</v>
      </c>
      <c r="Y203" s="96"/>
      <c r="Z203" s="99">
        <f t="shared" si="85"/>
        <v>30</v>
      </c>
      <c r="AA203" s="11">
        <f t="shared" si="119"/>
        <v>43457</v>
      </c>
      <c r="AB203" s="3">
        <f t="shared" si="119"/>
        <v>210</v>
      </c>
      <c r="AC203" s="3">
        <f>SUMIF(MORTALIDAD!$R:$R,RESUMEN!AA203,MORTALIDAD!$V:$V)</f>
        <v>0</v>
      </c>
      <c r="AD203" s="19">
        <f t="shared" si="94"/>
        <v>-476</v>
      </c>
      <c r="AE203" s="3">
        <f>SUMIF(MORTALIDAD!$R:$R,RESUMEN!AA203,MORTALIDAD!$W:$W)</f>
        <v>0</v>
      </c>
      <c r="AF203" s="3">
        <f>SUMIF(TRASLADOS!$T:$T,RESUMEN!AA203,TRASLADOS!$W:$W)</f>
        <v>0</v>
      </c>
      <c r="AG203" s="3">
        <f>SUMIF(TRASLADOS!$T:$T,RESUMEN!AA203,TRASLADOS!$X:$X)</f>
        <v>0</v>
      </c>
      <c r="AH203" s="3">
        <f>SUMIF(VENTAS!$R:$R,RESUMEN!AA203,VENTAS!$V:$V)</f>
        <v>0</v>
      </c>
      <c r="AI203" s="3">
        <f>SUMIF(VENTAS!$R:$R,RESUMEN!AA203,VENTAS!$W:$W)</f>
        <v>0</v>
      </c>
      <c r="AJ203" s="97">
        <f t="shared" si="95"/>
        <v>1724</v>
      </c>
      <c r="AK203" s="96"/>
      <c r="AL203" s="99">
        <f t="shared" si="86"/>
        <v>30</v>
      </c>
      <c r="AM203" s="11">
        <f t="shared" si="120"/>
        <v>43464</v>
      </c>
      <c r="AN203" s="3">
        <f t="shared" si="120"/>
        <v>210</v>
      </c>
      <c r="AO203" s="3">
        <f>SUMIF(MORTALIDAD!$Z:$Z,RESUMEN!AM203,MORTALIDAD!$AD:$AD)</f>
        <v>0</v>
      </c>
      <c r="AP203" s="19">
        <f t="shared" si="97"/>
        <v>-124</v>
      </c>
      <c r="AQ203" s="3">
        <f>SUMIF(MORTALIDAD!$Z:$Z,RESUMEN!AM203,MORTALIDAD!$AE:$AE)</f>
        <v>0</v>
      </c>
      <c r="AR203" s="3">
        <f>SUMIF(TRASLADOS!$AC:$AC,RESUMEN!AM203,TRASLADOS!$AF:$AF)</f>
        <v>0</v>
      </c>
      <c r="AS203" s="3">
        <f>SUMIF(TRASLADOS!$AC:$AC,RESUMEN!AM203,TRASLADOS!$AG:$AG)</f>
        <v>0</v>
      </c>
      <c r="AT203" s="3">
        <f>SUMIF(VENTAS!$Z:$Z,RESUMEN!AM203,VENTAS!$AD:$AD)</f>
        <v>0</v>
      </c>
      <c r="AU203" s="3">
        <f>SUMIF(VENTAS!$Z:$Z,RESUMEN!AM203,VENTAS!$AE:$AE)</f>
        <v>0</v>
      </c>
      <c r="AV203" s="97">
        <f t="shared" si="98"/>
        <v>2076</v>
      </c>
      <c r="AW203" s="96"/>
      <c r="AX203" s="99">
        <f t="shared" si="87"/>
        <v>30</v>
      </c>
      <c r="AY203" s="11">
        <f t="shared" si="121"/>
        <v>43471</v>
      </c>
      <c r="AZ203" s="3">
        <f t="shared" si="121"/>
        <v>210</v>
      </c>
      <c r="BA203" s="3">
        <f>SUMIF(MORTALIDAD!$AH:$AH,RESUMEN!AY203,MORTALIDAD!$AL:$AL)</f>
        <v>0</v>
      </c>
      <c r="BB203" s="19">
        <f t="shared" si="100"/>
        <v>-119</v>
      </c>
      <c r="BC203" s="3">
        <f>SUMIF(MORTALIDAD!$AH:$AH,RESUMEN!AY203,MORTALIDAD!$AM:$AM)</f>
        <v>0</v>
      </c>
      <c r="BD203" s="3">
        <f>SUMIF(TRASLADOS!$AL:$AL,RESUMEN!AY203,TRASLADOS!$AO:$AO)</f>
        <v>0</v>
      </c>
      <c r="BE203" s="3">
        <f>SUMIF(TRASLADOS!$AL:$AL,RESUMEN!AY203,TRASLADOS!$AP:$AP)</f>
        <v>0</v>
      </c>
      <c r="BF203" s="3">
        <f>SUMIF(VENTAS!$AH:$AH,RESUMEN!AY203,VENTAS!$AL:$AL)</f>
        <v>0</v>
      </c>
      <c r="BG203" s="3">
        <f>SUMIF(VENTAS!$AH:$AH,RESUMEN!AY203,VENTAS!$AM:$AM)</f>
        <v>0</v>
      </c>
      <c r="BH203" s="97">
        <f t="shared" si="101"/>
        <v>2081</v>
      </c>
      <c r="BI203" s="96"/>
      <c r="BJ203" s="99">
        <f t="shared" si="88"/>
        <v>31</v>
      </c>
      <c r="BK203" s="11">
        <f t="shared" si="122"/>
        <v>43480</v>
      </c>
      <c r="BL203" s="3">
        <f t="shared" si="122"/>
        <v>213</v>
      </c>
      <c r="BM203" s="3">
        <f>SUMIF(MORTALIDAD!$AP:$AP,RESUMEN!BK203,MORTALIDAD!$AT:$AT)</f>
        <v>0</v>
      </c>
      <c r="BN203" s="19">
        <f t="shared" si="103"/>
        <v>-73</v>
      </c>
      <c r="BO203" s="3">
        <f>SUMIF(MORTALIDAD!$AP$6:$AP$200,RESUMEN!BK203,MORTALIDAD!$AU$6:$AU$200)</f>
        <v>0</v>
      </c>
      <c r="BP203" s="3">
        <f>SUMIF(TRASLADOS!$AU:$AU,RESUMEN!BK203,TRASLADOS!$AX:$AX)</f>
        <v>0</v>
      </c>
      <c r="BQ203" s="3">
        <f>SUMIF(TRASLADOS!$AU:$AU,RESUMEN!BK203,TRASLADOS!$AY:$AY)</f>
        <v>0</v>
      </c>
      <c r="BR203" s="3">
        <f>SUMIF(VENTAS!$AP:$AP,RESUMEN!BK203,VENTAS!$AT:$AT)</f>
        <v>0</v>
      </c>
      <c r="BS203" s="3">
        <f>SUMIF(VENTAS!$AP:$AP,RESUMEN!BK203,VENTAS!$AU:$AU)</f>
        <v>0</v>
      </c>
      <c r="BT203" s="36">
        <f t="shared" si="104"/>
        <v>2241</v>
      </c>
    </row>
    <row r="204" spans="2:72" x14ac:dyDescent="0.2">
      <c r="B204" s="3">
        <f t="shared" si="83"/>
        <v>31</v>
      </c>
      <c r="C204" s="11">
        <f t="shared" si="115"/>
        <v>43451</v>
      </c>
      <c r="D204" s="3">
        <f t="shared" si="116"/>
        <v>213</v>
      </c>
      <c r="E204" s="3">
        <f>SUMIF(MORTALIDAD!$B$6:$B$200,RESUMEN!C204,MORTALIDAD!$F$6:$F$200)</f>
        <v>0</v>
      </c>
      <c r="F204" s="17">
        <f t="shared" si="117"/>
        <v>-740</v>
      </c>
      <c r="G204" s="3">
        <f>SUMIF(MORTALIDAD!$B$6:$B$200,RESUMEN!C204,MORTALIDAD!$G$6:$G$200)</f>
        <v>0</v>
      </c>
      <c r="H204" s="3">
        <f>SUMIF(TRASLADOS!$B$6:$B$200,C204,TRASLADOS!$E$6:$E$200)</f>
        <v>0</v>
      </c>
      <c r="I204" s="3">
        <f>SUMIF(TRASLADOS!$B$6:$B$200,C204,TRASLADOS!$F$6:$F$200)</f>
        <v>0</v>
      </c>
      <c r="J204" s="3">
        <f>SUMIF(VENTAS!$B$6:$B$200,RESUMEN!C204,VENTAS!$F$6:$F$200)</f>
        <v>0</v>
      </c>
      <c r="K204" s="3">
        <f>SUMIF(VENTAS!$B$6:$B$200,RESUMEN!C204,VENTAS!$G$6:$G$200)</f>
        <v>0</v>
      </c>
      <c r="L204" s="97">
        <f t="shared" si="89"/>
        <v>1460</v>
      </c>
      <c r="M204" s="96"/>
      <c r="N204" s="99">
        <f t="shared" si="84"/>
        <v>31</v>
      </c>
      <c r="O204" s="11">
        <f t="shared" si="118"/>
        <v>43454</v>
      </c>
      <c r="P204" s="3">
        <f t="shared" si="118"/>
        <v>212</v>
      </c>
      <c r="Q204" s="3">
        <f>SUMIF(MORTALIDAD!$J:$J,RESUMEN!O204,MORTALIDAD!$N:$N)</f>
        <v>0</v>
      </c>
      <c r="R204" s="19">
        <f t="shared" si="91"/>
        <v>-680</v>
      </c>
      <c r="S204" s="3">
        <f>SUMIF(MORTALIDAD!$J:$J,RESUMEN!O204,MORTALIDAD!$O:$O)</f>
        <v>0</v>
      </c>
      <c r="T204" s="3">
        <f>SUMIF(TRASLADOS!$K:$K,RESUMEN!O204,TRASLADOS!$N:$N)</f>
        <v>0</v>
      </c>
      <c r="U204" s="3">
        <f>SUMIF(TRASLADOS!$K:$K,RESUMEN!O204,TRASLADOS!$O:$O)</f>
        <v>0</v>
      </c>
      <c r="V204" s="3">
        <f>SUMIF(VENTAS!$J:$J,RESUMEN!O204,VENTAS!$N:$N)</f>
        <v>0</v>
      </c>
      <c r="W204" s="3">
        <f>SUMIF(VENTAS!$J:$J,RESUMEN!O204,VENTAS!$O:$O)</f>
        <v>0</v>
      </c>
      <c r="X204" s="97">
        <f t="shared" si="92"/>
        <v>1520</v>
      </c>
      <c r="Y204" s="96"/>
      <c r="Z204" s="99">
        <f t="shared" si="85"/>
        <v>31</v>
      </c>
      <c r="AA204" s="11">
        <f t="shared" si="119"/>
        <v>43458</v>
      </c>
      <c r="AB204" s="3">
        <f t="shared" si="119"/>
        <v>211</v>
      </c>
      <c r="AC204" s="3">
        <f>SUMIF(MORTALIDAD!$R:$R,RESUMEN!AA204,MORTALIDAD!$V:$V)</f>
        <v>0</v>
      </c>
      <c r="AD204" s="19">
        <f t="shared" si="94"/>
        <v>-476</v>
      </c>
      <c r="AE204" s="3">
        <f>SUMIF(MORTALIDAD!$R:$R,RESUMEN!AA204,MORTALIDAD!$W:$W)</f>
        <v>0</v>
      </c>
      <c r="AF204" s="3">
        <f>SUMIF(TRASLADOS!$T:$T,RESUMEN!AA204,TRASLADOS!$W:$W)</f>
        <v>0</v>
      </c>
      <c r="AG204" s="3">
        <f>SUMIF(TRASLADOS!$T:$T,RESUMEN!AA204,TRASLADOS!$X:$X)</f>
        <v>0</v>
      </c>
      <c r="AH204" s="3">
        <f>SUMIF(VENTAS!$R:$R,RESUMEN!AA204,VENTAS!$V:$V)</f>
        <v>0</v>
      </c>
      <c r="AI204" s="3">
        <f>SUMIF(VENTAS!$R:$R,RESUMEN!AA204,VENTAS!$W:$W)</f>
        <v>0</v>
      </c>
      <c r="AJ204" s="97">
        <f t="shared" si="95"/>
        <v>1724</v>
      </c>
      <c r="AK204" s="96"/>
      <c r="AL204" s="99">
        <f t="shared" si="86"/>
        <v>31</v>
      </c>
      <c r="AM204" s="11">
        <f t="shared" si="120"/>
        <v>43465</v>
      </c>
      <c r="AN204" s="3">
        <f t="shared" si="120"/>
        <v>211</v>
      </c>
      <c r="AO204" s="3">
        <f>SUMIF(MORTALIDAD!$Z:$Z,RESUMEN!AM204,MORTALIDAD!$AD:$AD)</f>
        <v>0</v>
      </c>
      <c r="AP204" s="19">
        <f t="shared" si="97"/>
        <v>-124</v>
      </c>
      <c r="AQ204" s="3">
        <f>SUMIF(MORTALIDAD!$Z:$Z,RESUMEN!AM204,MORTALIDAD!$AE:$AE)</f>
        <v>0</v>
      </c>
      <c r="AR204" s="3">
        <f>SUMIF(TRASLADOS!$AC:$AC,RESUMEN!AM204,TRASLADOS!$AF:$AF)</f>
        <v>0</v>
      </c>
      <c r="AS204" s="3">
        <f>SUMIF(TRASLADOS!$AC:$AC,RESUMEN!AM204,TRASLADOS!$AG:$AG)</f>
        <v>0</v>
      </c>
      <c r="AT204" s="3">
        <f>SUMIF(VENTAS!$Z:$Z,RESUMEN!AM204,VENTAS!$AD:$AD)</f>
        <v>0</v>
      </c>
      <c r="AU204" s="3">
        <f>SUMIF(VENTAS!$Z:$Z,RESUMEN!AM204,VENTAS!$AE:$AE)</f>
        <v>0</v>
      </c>
      <c r="AV204" s="97">
        <f t="shared" si="98"/>
        <v>2076</v>
      </c>
      <c r="AW204" s="96"/>
      <c r="AX204" s="99">
        <f t="shared" si="87"/>
        <v>31</v>
      </c>
      <c r="AY204" s="11">
        <f t="shared" si="121"/>
        <v>43472</v>
      </c>
      <c r="AZ204" s="3">
        <f t="shared" si="121"/>
        <v>211</v>
      </c>
      <c r="BA204" s="3">
        <f>SUMIF(MORTALIDAD!$AH:$AH,RESUMEN!AY204,MORTALIDAD!$AL:$AL)</f>
        <v>0</v>
      </c>
      <c r="BB204" s="19">
        <f t="shared" si="100"/>
        <v>-119</v>
      </c>
      <c r="BC204" s="3">
        <f>SUMIF(MORTALIDAD!$AH:$AH,RESUMEN!AY204,MORTALIDAD!$AM:$AM)</f>
        <v>0</v>
      </c>
      <c r="BD204" s="3">
        <f>SUMIF(TRASLADOS!$AL:$AL,RESUMEN!AY204,TRASLADOS!$AO:$AO)</f>
        <v>0</v>
      </c>
      <c r="BE204" s="3">
        <f>SUMIF(TRASLADOS!$AL:$AL,RESUMEN!AY204,TRASLADOS!$AP:$AP)</f>
        <v>0</v>
      </c>
      <c r="BF204" s="3">
        <f>SUMIF(VENTAS!$AH:$AH,RESUMEN!AY204,VENTAS!$AL:$AL)</f>
        <v>0</v>
      </c>
      <c r="BG204" s="3">
        <f>SUMIF(VENTAS!$AH:$AH,RESUMEN!AY204,VENTAS!$AM:$AM)</f>
        <v>0</v>
      </c>
      <c r="BH204" s="97">
        <f t="shared" si="101"/>
        <v>2081</v>
      </c>
      <c r="BI204" s="96"/>
      <c r="BJ204" s="99">
        <f t="shared" si="88"/>
        <v>31</v>
      </c>
      <c r="BK204" s="11">
        <f t="shared" si="122"/>
        <v>43481</v>
      </c>
      <c r="BL204" s="3">
        <f t="shared" si="122"/>
        <v>214</v>
      </c>
      <c r="BM204" s="3">
        <f>SUMIF(MORTALIDAD!$AP:$AP,RESUMEN!BK204,MORTALIDAD!$AT:$AT)</f>
        <v>0</v>
      </c>
      <c r="BN204" s="19">
        <f t="shared" si="103"/>
        <v>-73</v>
      </c>
      <c r="BO204" s="3">
        <f>SUMIF(MORTALIDAD!$AP$6:$AP$200,RESUMEN!BK204,MORTALIDAD!$AU$6:$AU$200)</f>
        <v>0</v>
      </c>
      <c r="BP204" s="3">
        <f>SUMIF(TRASLADOS!$AU:$AU,RESUMEN!BK204,TRASLADOS!$AX:$AX)</f>
        <v>0</v>
      </c>
      <c r="BQ204" s="3">
        <f>SUMIF(TRASLADOS!$AU:$AU,RESUMEN!BK204,TRASLADOS!$AY:$AY)</f>
        <v>0</v>
      </c>
      <c r="BR204" s="3">
        <f>SUMIF(VENTAS!$AP:$AP,RESUMEN!BK204,VENTAS!$AT:$AT)</f>
        <v>0</v>
      </c>
      <c r="BS204" s="3">
        <f>SUMIF(VENTAS!$AP:$AP,RESUMEN!BK204,VENTAS!$AU:$AU)</f>
        <v>0</v>
      </c>
      <c r="BT204" s="36">
        <f t="shared" si="104"/>
        <v>2241</v>
      </c>
    </row>
    <row r="205" spans="2:72" x14ac:dyDescent="0.2">
      <c r="B205" s="3">
        <f t="shared" si="83"/>
        <v>31</v>
      </c>
      <c r="C205" s="11">
        <f t="shared" si="115"/>
        <v>43452</v>
      </c>
      <c r="D205" s="3">
        <f t="shared" si="116"/>
        <v>214</v>
      </c>
      <c r="E205" s="3">
        <f>SUMIF(MORTALIDAD!$B$6:$B$200,RESUMEN!C205,MORTALIDAD!$F$6:$F$200)</f>
        <v>0</v>
      </c>
      <c r="F205" s="17">
        <f t="shared" si="117"/>
        <v>-740</v>
      </c>
      <c r="G205" s="3">
        <f>SUMIF(MORTALIDAD!$B$6:$B$200,RESUMEN!C205,MORTALIDAD!$G$6:$G$200)</f>
        <v>0</v>
      </c>
      <c r="H205" s="3">
        <f>SUMIF(TRASLADOS!$B$6:$B$200,C205,TRASLADOS!$E$6:$E$200)</f>
        <v>0</v>
      </c>
      <c r="I205" s="3">
        <f>SUMIF(TRASLADOS!$B$6:$B$200,C205,TRASLADOS!$F$6:$F$200)</f>
        <v>0</v>
      </c>
      <c r="J205" s="3">
        <f>SUMIF(VENTAS!$B$6:$B$200,RESUMEN!C205,VENTAS!$F$6:$F$200)</f>
        <v>0</v>
      </c>
      <c r="K205" s="3">
        <f>SUMIF(VENTAS!$B$6:$B$200,RESUMEN!C205,VENTAS!$G$6:$G$200)</f>
        <v>0</v>
      </c>
      <c r="L205" s="97">
        <f t="shared" si="89"/>
        <v>1460</v>
      </c>
      <c r="M205" s="96"/>
      <c r="N205" s="99">
        <f t="shared" si="84"/>
        <v>31</v>
      </c>
      <c r="O205" s="11">
        <f t="shared" si="118"/>
        <v>43455</v>
      </c>
      <c r="P205" s="3">
        <f t="shared" si="118"/>
        <v>213</v>
      </c>
      <c r="Q205" s="3">
        <f>SUMIF(MORTALIDAD!$J:$J,RESUMEN!O205,MORTALIDAD!$N:$N)</f>
        <v>0</v>
      </c>
      <c r="R205" s="19">
        <f t="shared" si="91"/>
        <v>-680</v>
      </c>
      <c r="S205" s="3">
        <f>SUMIF(MORTALIDAD!$J:$J,RESUMEN!O205,MORTALIDAD!$O:$O)</f>
        <v>0</v>
      </c>
      <c r="T205" s="3">
        <f>SUMIF(TRASLADOS!$K:$K,RESUMEN!O205,TRASLADOS!$N:$N)</f>
        <v>0</v>
      </c>
      <c r="U205" s="3">
        <f>SUMIF(TRASLADOS!$K:$K,RESUMEN!O205,TRASLADOS!$O:$O)</f>
        <v>0</v>
      </c>
      <c r="V205" s="3">
        <f>SUMIF(VENTAS!$J:$J,RESUMEN!O205,VENTAS!$N:$N)</f>
        <v>0</v>
      </c>
      <c r="W205" s="3">
        <f>SUMIF(VENTAS!$J:$J,RESUMEN!O205,VENTAS!$O:$O)</f>
        <v>0</v>
      </c>
      <c r="X205" s="97">
        <f t="shared" si="92"/>
        <v>1520</v>
      </c>
      <c r="Y205" s="96"/>
      <c r="Z205" s="99">
        <f t="shared" si="85"/>
        <v>31</v>
      </c>
      <c r="AA205" s="11">
        <f t="shared" si="119"/>
        <v>43459</v>
      </c>
      <c r="AB205" s="3">
        <f t="shared" si="119"/>
        <v>212</v>
      </c>
      <c r="AC205" s="3">
        <f>SUMIF(MORTALIDAD!$R:$R,RESUMEN!AA205,MORTALIDAD!$V:$V)</f>
        <v>0</v>
      </c>
      <c r="AD205" s="19">
        <f t="shared" si="94"/>
        <v>-476</v>
      </c>
      <c r="AE205" s="3">
        <f>SUMIF(MORTALIDAD!$R:$R,RESUMEN!AA205,MORTALIDAD!$W:$W)</f>
        <v>0</v>
      </c>
      <c r="AF205" s="3">
        <f>SUMIF(TRASLADOS!$T:$T,RESUMEN!AA205,TRASLADOS!$W:$W)</f>
        <v>0</v>
      </c>
      <c r="AG205" s="3">
        <f>SUMIF(TRASLADOS!$T:$T,RESUMEN!AA205,TRASLADOS!$X:$X)</f>
        <v>0</v>
      </c>
      <c r="AH205" s="3">
        <f>SUMIF(VENTAS!$R:$R,RESUMEN!AA205,VENTAS!$V:$V)</f>
        <v>0</v>
      </c>
      <c r="AI205" s="3">
        <f>SUMIF(VENTAS!$R:$R,RESUMEN!AA205,VENTAS!$W:$W)</f>
        <v>0</v>
      </c>
      <c r="AJ205" s="97">
        <f t="shared" si="95"/>
        <v>1724</v>
      </c>
      <c r="AK205" s="96"/>
      <c r="AL205" s="99">
        <f t="shared" si="86"/>
        <v>31</v>
      </c>
      <c r="AM205" s="11">
        <f t="shared" si="120"/>
        <v>43466</v>
      </c>
      <c r="AN205" s="3">
        <f t="shared" si="120"/>
        <v>212</v>
      </c>
      <c r="AO205" s="3">
        <f>SUMIF(MORTALIDAD!$Z:$Z,RESUMEN!AM205,MORTALIDAD!$AD:$AD)</f>
        <v>0</v>
      </c>
      <c r="AP205" s="19">
        <f t="shared" si="97"/>
        <v>-124</v>
      </c>
      <c r="AQ205" s="3">
        <f>SUMIF(MORTALIDAD!$Z:$Z,RESUMEN!AM205,MORTALIDAD!$AE:$AE)</f>
        <v>0</v>
      </c>
      <c r="AR205" s="3">
        <f>SUMIF(TRASLADOS!$AC:$AC,RESUMEN!AM205,TRASLADOS!$AF:$AF)</f>
        <v>0</v>
      </c>
      <c r="AS205" s="3">
        <f>SUMIF(TRASLADOS!$AC:$AC,RESUMEN!AM205,TRASLADOS!$AG:$AG)</f>
        <v>0</v>
      </c>
      <c r="AT205" s="3">
        <f>SUMIF(VENTAS!$Z:$Z,RESUMEN!AM205,VENTAS!$AD:$AD)</f>
        <v>0</v>
      </c>
      <c r="AU205" s="3">
        <f>SUMIF(VENTAS!$Z:$Z,RESUMEN!AM205,VENTAS!$AE:$AE)</f>
        <v>0</v>
      </c>
      <c r="AV205" s="97">
        <f t="shared" si="98"/>
        <v>2076</v>
      </c>
      <c r="AW205" s="96"/>
      <c r="AX205" s="99">
        <f t="shared" si="87"/>
        <v>31</v>
      </c>
      <c r="AY205" s="11">
        <f t="shared" si="121"/>
        <v>43473</v>
      </c>
      <c r="AZ205" s="3">
        <f t="shared" si="121"/>
        <v>212</v>
      </c>
      <c r="BA205" s="3">
        <f>SUMIF(MORTALIDAD!$AH:$AH,RESUMEN!AY205,MORTALIDAD!$AL:$AL)</f>
        <v>0</v>
      </c>
      <c r="BB205" s="19">
        <f t="shared" si="100"/>
        <v>-119</v>
      </c>
      <c r="BC205" s="3">
        <f>SUMIF(MORTALIDAD!$AH:$AH,RESUMEN!AY205,MORTALIDAD!$AM:$AM)</f>
        <v>0</v>
      </c>
      <c r="BD205" s="3">
        <f>SUMIF(TRASLADOS!$AL:$AL,RESUMEN!AY205,TRASLADOS!$AO:$AO)</f>
        <v>0</v>
      </c>
      <c r="BE205" s="3">
        <f>SUMIF(TRASLADOS!$AL:$AL,RESUMEN!AY205,TRASLADOS!$AP:$AP)</f>
        <v>0</v>
      </c>
      <c r="BF205" s="3">
        <f>SUMIF(VENTAS!$AH:$AH,RESUMEN!AY205,VENTAS!$AL:$AL)</f>
        <v>0</v>
      </c>
      <c r="BG205" s="3">
        <f>SUMIF(VENTAS!$AH:$AH,RESUMEN!AY205,VENTAS!$AM:$AM)</f>
        <v>0</v>
      </c>
      <c r="BH205" s="97">
        <f t="shared" si="101"/>
        <v>2081</v>
      </c>
      <c r="BI205" s="96"/>
      <c r="BJ205" s="99">
        <f t="shared" si="88"/>
        <v>31</v>
      </c>
      <c r="BK205" s="11">
        <f t="shared" si="122"/>
        <v>43482</v>
      </c>
      <c r="BL205" s="3">
        <f t="shared" si="122"/>
        <v>215</v>
      </c>
      <c r="BM205" s="3">
        <f>SUMIF(MORTALIDAD!$AP:$AP,RESUMEN!BK205,MORTALIDAD!$AT:$AT)</f>
        <v>0</v>
      </c>
      <c r="BN205" s="19">
        <f t="shared" si="103"/>
        <v>-73</v>
      </c>
      <c r="BO205" s="3">
        <f>SUMIF(MORTALIDAD!$AP$6:$AP$200,RESUMEN!BK205,MORTALIDAD!$AU$6:$AU$200)</f>
        <v>0</v>
      </c>
      <c r="BP205" s="3">
        <f>SUMIF(TRASLADOS!$AU:$AU,RESUMEN!BK205,TRASLADOS!$AX:$AX)</f>
        <v>0</v>
      </c>
      <c r="BQ205" s="3">
        <f>SUMIF(TRASLADOS!$AU:$AU,RESUMEN!BK205,TRASLADOS!$AY:$AY)</f>
        <v>0</v>
      </c>
      <c r="BR205" s="3">
        <f>SUMIF(VENTAS!$AP:$AP,RESUMEN!BK205,VENTAS!$AT:$AT)</f>
        <v>0</v>
      </c>
      <c r="BS205" s="3">
        <f>SUMIF(VENTAS!$AP:$AP,RESUMEN!BK205,VENTAS!$AU:$AU)</f>
        <v>0</v>
      </c>
      <c r="BT205" s="36">
        <f t="shared" si="104"/>
        <v>2241</v>
      </c>
    </row>
    <row r="206" spans="2:72" x14ac:dyDescent="0.2">
      <c r="B206" s="3">
        <f t="shared" si="83"/>
        <v>31</v>
      </c>
      <c r="C206" s="11">
        <f t="shared" si="115"/>
        <v>43453</v>
      </c>
      <c r="D206" s="3">
        <f t="shared" si="116"/>
        <v>215</v>
      </c>
      <c r="E206" s="3">
        <f>SUMIF(MORTALIDAD!$B$6:$B$200,RESUMEN!C206,MORTALIDAD!$F$6:$F$200)</f>
        <v>0</v>
      </c>
      <c r="F206" s="17">
        <f t="shared" si="117"/>
        <v>-740</v>
      </c>
      <c r="G206" s="3">
        <f>SUMIF(MORTALIDAD!$B$6:$B$200,RESUMEN!C206,MORTALIDAD!$G$6:$G$200)</f>
        <v>0</v>
      </c>
      <c r="H206" s="3">
        <f>SUMIF(TRASLADOS!$B$6:$B$200,C206,TRASLADOS!$E$6:$E$200)</f>
        <v>0</v>
      </c>
      <c r="I206" s="3">
        <f>SUMIF(TRASLADOS!$B$6:$B$200,C206,TRASLADOS!$F$6:$F$200)</f>
        <v>0</v>
      </c>
      <c r="J206" s="3">
        <f>SUMIF(VENTAS!$B$6:$B$200,RESUMEN!C206,VENTAS!$F$6:$F$200)</f>
        <v>0</v>
      </c>
      <c r="K206" s="3">
        <f>SUMIF(VENTAS!$B$6:$B$200,RESUMEN!C206,VENTAS!$G$6:$G$200)</f>
        <v>0</v>
      </c>
      <c r="L206" s="97">
        <f t="shared" si="89"/>
        <v>1460</v>
      </c>
      <c r="M206" s="96"/>
      <c r="N206" s="99">
        <f t="shared" si="84"/>
        <v>31</v>
      </c>
      <c r="O206" s="11">
        <f t="shared" si="118"/>
        <v>43456</v>
      </c>
      <c r="P206" s="3">
        <f t="shared" si="118"/>
        <v>214</v>
      </c>
      <c r="Q206" s="3">
        <f>SUMIF(MORTALIDAD!$J:$J,RESUMEN!O206,MORTALIDAD!$N:$N)</f>
        <v>0</v>
      </c>
      <c r="R206" s="19">
        <f t="shared" si="91"/>
        <v>-680</v>
      </c>
      <c r="S206" s="3">
        <f>SUMIF(MORTALIDAD!$J:$J,RESUMEN!O206,MORTALIDAD!$O:$O)</f>
        <v>0</v>
      </c>
      <c r="T206" s="3">
        <f>SUMIF(TRASLADOS!$K:$K,RESUMEN!O206,TRASLADOS!$N:$N)</f>
        <v>0</v>
      </c>
      <c r="U206" s="3">
        <f>SUMIF(TRASLADOS!$K:$K,RESUMEN!O206,TRASLADOS!$O:$O)</f>
        <v>0</v>
      </c>
      <c r="V206" s="3">
        <f>SUMIF(VENTAS!$J:$J,RESUMEN!O206,VENTAS!$N:$N)</f>
        <v>0</v>
      </c>
      <c r="W206" s="3">
        <f>SUMIF(VENTAS!$J:$J,RESUMEN!O206,VENTAS!$O:$O)</f>
        <v>0</v>
      </c>
      <c r="X206" s="97">
        <f t="shared" si="92"/>
        <v>1520</v>
      </c>
      <c r="Y206" s="96"/>
      <c r="Z206" s="99">
        <f t="shared" si="85"/>
        <v>31</v>
      </c>
      <c r="AA206" s="11">
        <f t="shared" si="119"/>
        <v>43460</v>
      </c>
      <c r="AB206" s="3">
        <f t="shared" si="119"/>
        <v>213</v>
      </c>
      <c r="AC206" s="3">
        <f>SUMIF(MORTALIDAD!$R:$R,RESUMEN!AA206,MORTALIDAD!$V:$V)</f>
        <v>0</v>
      </c>
      <c r="AD206" s="19">
        <f t="shared" si="94"/>
        <v>-476</v>
      </c>
      <c r="AE206" s="3">
        <f>SUMIF(MORTALIDAD!$R:$R,RESUMEN!AA206,MORTALIDAD!$W:$W)</f>
        <v>0</v>
      </c>
      <c r="AF206" s="3">
        <f>SUMIF(TRASLADOS!$T:$T,RESUMEN!AA206,TRASLADOS!$W:$W)</f>
        <v>0</v>
      </c>
      <c r="AG206" s="3">
        <f>SUMIF(TRASLADOS!$T:$T,RESUMEN!AA206,TRASLADOS!$X:$X)</f>
        <v>0</v>
      </c>
      <c r="AH206" s="3">
        <f>SUMIF(VENTAS!$R:$R,RESUMEN!AA206,VENTAS!$V:$V)</f>
        <v>0</v>
      </c>
      <c r="AI206" s="3">
        <f>SUMIF(VENTAS!$R:$R,RESUMEN!AA206,VENTAS!$W:$W)</f>
        <v>0</v>
      </c>
      <c r="AJ206" s="97">
        <f t="shared" si="95"/>
        <v>1724</v>
      </c>
      <c r="AK206" s="96"/>
      <c r="AL206" s="99">
        <f t="shared" si="86"/>
        <v>31</v>
      </c>
      <c r="AM206" s="11">
        <f t="shared" si="120"/>
        <v>43467</v>
      </c>
      <c r="AN206" s="3">
        <f t="shared" si="120"/>
        <v>213</v>
      </c>
      <c r="AO206" s="3">
        <f>SUMIF(MORTALIDAD!$Z:$Z,RESUMEN!AM206,MORTALIDAD!$AD:$AD)</f>
        <v>0</v>
      </c>
      <c r="AP206" s="19">
        <f t="shared" si="97"/>
        <v>-124</v>
      </c>
      <c r="AQ206" s="3">
        <f>SUMIF(MORTALIDAD!$Z:$Z,RESUMEN!AM206,MORTALIDAD!$AE:$AE)</f>
        <v>0</v>
      </c>
      <c r="AR206" s="3">
        <f>SUMIF(TRASLADOS!$AC:$AC,RESUMEN!AM206,TRASLADOS!$AF:$AF)</f>
        <v>0</v>
      </c>
      <c r="AS206" s="3">
        <f>SUMIF(TRASLADOS!$AC:$AC,RESUMEN!AM206,TRASLADOS!$AG:$AG)</f>
        <v>0</v>
      </c>
      <c r="AT206" s="3">
        <f>SUMIF(VENTAS!$Z:$Z,RESUMEN!AM206,VENTAS!$AD:$AD)</f>
        <v>0</v>
      </c>
      <c r="AU206" s="3">
        <f>SUMIF(VENTAS!$Z:$Z,RESUMEN!AM206,VENTAS!$AE:$AE)</f>
        <v>0</v>
      </c>
      <c r="AV206" s="97">
        <f t="shared" si="98"/>
        <v>2076</v>
      </c>
      <c r="AW206" s="96"/>
      <c r="AX206" s="99">
        <f t="shared" si="87"/>
        <v>31</v>
      </c>
      <c r="AY206" s="11">
        <f t="shared" si="121"/>
        <v>43474</v>
      </c>
      <c r="AZ206" s="3">
        <f t="shared" si="121"/>
        <v>213</v>
      </c>
      <c r="BA206" s="3">
        <f>SUMIF(MORTALIDAD!$AH:$AH,RESUMEN!AY206,MORTALIDAD!$AL:$AL)</f>
        <v>0</v>
      </c>
      <c r="BB206" s="19">
        <f t="shared" si="100"/>
        <v>-119</v>
      </c>
      <c r="BC206" s="3">
        <f>SUMIF(MORTALIDAD!$AH:$AH,RESUMEN!AY206,MORTALIDAD!$AM:$AM)</f>
        <v>0</v>
      </c>
      <c r="BD206" s="3">
        <f>SUMIF(TRASLADOS!$AL:$AL,RESUMEN!AY206,TRASLADOS!$AO:$AO)</f>
        <v>0</v>
      </c>
      <c r="BE206" s="3">
        <f>SUMIF(TRASLADOS!$AL:$AL,RESUMEN!AY206,TRASLADOS!$AP:$AP)</f>
        <v>0</v>
      </c>
      <c r="BF206" s="3">
        <f>SUMIF(VENTAS!$AH:$AH,RESUMEN!AY206,VENTAS!$AL:$AL)</f>
        <v>0</v>
      </c>
      <c r="BG206" s="3">
        <f>SUMIF(VENTAS!$AH:$AH,RESUMEN!AY206,VENTAS!$AM:$AM)</f>
        <v>0</v>
      </c>
      <c r="BH206" s="97">
        <f t="shared" si="101"/>
        <v>2081</v>
      </c>
      <c r="BI206" s="96"/>
      <c r="BJ206" s="99">
        <f t="shared" si="88"/>
        <v>31</v>
      </c>
      <c r="BK206" s="11">
        <f t="shared" si="122"/>
        <v>43483</v>
      </c>
      <c r="BL206" s="3">
        <f t="shared" si="122"/>
        <v>216</v>
      </c>
      <c r="BM206" s="3">
        <f>SUMIF(MORTALIDAD!$AP:$AP,RESUMEN!BK206,MORTALIDAD!$AT:$AT)</f>
        <v>0</v>
      </c>
      <c r="BN206" s="19">
        <f t="shared" si="103"/>
        <v>-73</v>
      </c>
      <c r="BO206" s="3">
        <f>SUMIF(MORTALIDAD!$AP$6:$AP$200,RESUMEN!BK206,MORTALIDAD!$AU$6:$AU$200)</f>
        <v>0</v>
      </c>
      <c r="BP206" s="3">
        <f>SUMIF(TRASLADOS!$AU:$AU,RESUMEN!BK206,TRASLADOS!$AX:$AX)</f>
        <v>0</v>
      </c>
      <c r="BQ206" s="3">
        <f>SUMIF(TRASLADOS!$AU:$AU,RESUMEN!BK206,TRASLADOS!$AY:$AY)</f>
        <v>0</v>
      </c>
      <c r="BR206" s="3">
        <f>SUMIF(VENTAS!$AP:$AP,RESUMEN!BK206,VENTAS!$AT:$AT)</f>
        <v>0</v>
      </c>
      <c r="BS206" s="3">
        <f>SUMIF(VENTAS!$AP:$AP,RESUMEN!BK206,VENTAS!$AU:$AU)</f>
        <v>0</v>
      </c>
      <c r="BT206" s="36">
        <f t="shared" si="104"/>
        <v>2241</v>
      </c>
    </row>
    <row r="207" spans="2:72" x14ac:dyDescent="0.2">
      <c r="B207" s="3">
        <f t="shared" si="83"/>
        <v>31</v>
      </c>
      <c r="C207" s="11">
        <f t="shared" si="115"/>
        <v>43454</v>
      </c>
      <c r="D207" s="3">
        <f t="shared" si="116"/>
        <v>216</v>
      </c>
      <c r="E207" s="3">
        <f>SUMIF(MORTALIDAD!$B$6:$B$200,RESUMEN!C207,MORTALIDAD!$F$6:$F$200)</f>
        <v>0</v>
      </c>
      <c r="F207" s="17">
        <f t="shared" si="117"/>
        <v>-740</v>
      </c>
      <c r="G207" s="3">
        <f>SUMIF(MORTALIDAD!$B$6:$B$200,RESUMEN!C207,MORTALIDAD!$G$6:$G$200)</f>
        <v>0</v>
      </c>
      <c r="H207" s="3">
        <f>SUMIF(TRASLADOS!$B$6:$B$200,C207,TRASLADOS!$E$6:$E$200)</f>
        <v>0</v>
      </c>
      <c r="I207" s="3">
        <f>SUMIF(TRASLADOS!$B$6:$B$200,C207,TRASLADOS!$F$6:$F$200)</f>
        <v>0</v>
      </c>
      <c r="J207" s="3">
        <f>SUMIF(VENTAS!$B$6:$B$200,RESUMEN!C207,VENTAS!$F$6:$F$200)</f>
        <v>0</v>
      </c>
      <c r="K207" s="3">
        <f>SUMIF(VENTAS!$B$6:$B$200,RESUMEN!C207,VENTAS!$G$6:$G$200)</f>
        <v>0</v>
      </c>
      <c r="L207" s="97">
        <f t="shared" si="89"/>
        <v>1460</v>
      </c>
      <c r="M207" s="96"/>
      <c r="N207" s="99">
        <f t="shared" si="84"/>
        <v>31</v>
      </c>
      <c r="O207" s="11">
        <f t="shared" si="118"/>
        <v>43457</v>
      </c>
      <c r="P207" s="3">
        <f t="shared" si="118"/>
        <v>215</v>
      </c>
      <c r="Q207" s="3">
        <f>SUMIF(MORTALIDAD!$J:$J,RESUMEN!O207,MORTALIDAD!$N:$N)</f>
        <v>0</v>
      </c>
      <c r="R207" s="19">
        <f t="shared" si="91"/>
        <v>-680</v>
      </c>
      <c r="S207" s="3">
        <f>SUMIF(MORTALIDAD!$J:$J,RESUMEN!O207,MORTALIDAD!$O:$O)</f>
        <v>0</v>
      </c>
      <c r="T207" s="3">
        <f>SUMIF(TRASLADOS!$K:$K,RESUMEN!O207,TRASLADOS!$N:$N)</f>
        <v>0</v>
      </c>
      <c r="U207" s="3">
        <f>SUMIF(TRASLADOS!$K:$K,RESUMEN!O207,TRASLADOS!$O:$O)</f>
        <v>0</v>
      </c>
      <c r="V207" s="3">
        <f>SUMIF(VENTAS!$J:$J,RESUMEN!O207,VENTAS!$N:$N)</f>
        <v>0</v>
      </c>
      <c r="W207" s="3">
        <f>SUMIF(VENTAS!$J:$J,RESUMEN!O207,VENTAS!$O:$O)</f>
        <v>0</v>
      </c>
      <c r="X207" s="97">
        <f t="shared" si="92"/>
        <v>1520</v>
      </c>
      <c r="Y207" s="96"/>
      <c r="Z207" s="99">
        <f t="shared" si="85"/>
        <v>31</v>
      </c>
      <c r="AA207" s="11">
        <f t="shared" si="119"/>
        <v>43461</v>
      </c>
      <c r="AB207" s="3">
        <f t="shared" si="119"/>
        <v>214</v>
      </c>
      <c r="AC207" s="3">
        <f>SUMIF(MORTALIDAD!$R:$R,RESUMEN!AA207,MORTALIDAD!$V:$V)</f>
        <v>0</v>
      </c>
      <c r="AD207" s="19">
        <f t="shared" si="94"/>
        <v>-476</v>
      </c>
      <c r="AE207" s="3">
        <f>SUMIF(MORTALIDAD!$R:$R,RESUMEN!AA207,MORTALIDAD!$W:$W)</f>
        <v>0</v>
      </c>
      <c r="AF207" s="3">
        <f>SUMIF(TRASLADOS!$T:$T,RESUMEN!AA207,TRASLADOS!$W:$W)</f>
        <v>0</v>
      </c>
      <c r="AG207" s="3">
        <f>SUMIF(TRASLADOS!$T:$T,RESUMEN!AA207,TRASLADOS!$X:$X)</f>
        <v>0</v>
      </c>
      <c r="AH207" s="3">
        <f>SUMIF(VENTAS!$R:$R,RESUMEN!AA207,VENTAS!$V:$V)</f>
        <v>0</v>
      </c>
      <c r="AI207" s="3">
        <f>SUMIF(VENTAS!$R:$R,RESUMEN!AA207,VENTAS!$W:$W)</f>
        <v>0</v>
      </c>
      <c r="AJ207" s="97">
        <f t="shared" si="95"/>
        <v>1724</v>
      </c>
      <c r="AK207" s="96"/>
      <c r="AL207" s="99">
        <f t="shared" si="86"/>
        <v>31</v>
      </c>
      <c r="AM207" s="11">
        <f t="shared" si="120"/>
        <v>43468</v>
      </c>
      <c r="AN207" s="3">
        <f t="shared" si="120"/>
        <v>214</v>
      </c>
      <c r="AO207" s="3">
        <f>SUMIF(MORTALIDAD!$Z:$Z,RESUMEN!AM207,MORTALIDAD!$AD:$AD)</f>
        <v>0</v>
      </c>
      <c r="AP207" s="19">
        <f t="shared" si="97"/>
        <v>-124</v>
      </c>
      <c r="AQ207" s="3">
        <f>SUMIF(MORTALIDAD!$Z:$Z,RESUMEN!AM207,MORTALIDAD!$AE:$AE)</f>
        <v>0</v>
      </c>
      <c r="AR207" s="3">
        <f>SUMIF(TRASLADOS!$AC:$AC,RESUMEN!AM207,TRASLADOS!$AF:$AF)</f>
        <v>0</v>
      </c>
      <c r="AS207" s="3">
        <f>SUMIF(TRASLADOS!$AC:$AC,RESUMEN!AM207,TRASLADOS!$AG:$AG)</f>
        <v>0</v>
      </c>
      <c r="AT207" s="3">
        <f>SUMIF(VENTAS!$Z:$Z,RESUMEN!AM207,VENTAS!$AD:$AD)</f>
        <v>0</v>
      </c>
      <c r="AU207" s="3">
        <f>SUMIF(VENTAS!$Z:$Z,RESUMEN!AM207,VENTAS!$AE:$AE)</f>
        <v>0</v>
      </c>
      <c r="AV207" s="97">
        <f t="shared" si="98"/>
        <v>2076</v>
      </c>
      <c r="AW207" s="96"/>
      <c r="AX207" s="99">
        <f t="shared" si="87"/>
        <v>31</v>
      </c>
      <c r="AY207" s="11">
        <f t="shared" si="121"/>
        <v>43475</v>
      </c>
      <c r="AZ207" s="3">
        <f t="shared" si="121"/>
        <v>214</v>
      </c>
      <c r="BA207" s="3">
        <f>SUMIF(MORTALIDAD!$AH:$AH,RESUMEN!AY207,MORTALIDAD!$AL:$AL)</f>
        <v>0</v>
      </c>
      <c r="BB207" s="19">
        <f t="shared" si="100"/>
        <v>-119</v>
      </c>
      <c r="BC207" s="3">
        <f>SUMIF(MORTALIDAD!$AH:$AH,RESUMEN!AY207,MORTALIDAD!$AM:$AM)</f>
        <v>0</v>
      </c>
      <c r="BD207" s="3">
        <f>SUMIF(TRASLADOS!$AL:$AL,RESUMEN!AY207,TRASLADOS!$AO:$AO)</f>
        <v>0</v>
      </c>
      <c r="BE207" s="3">
        <f>SUMIF(TRASLADOS!$AL:$AL,RESUMEN!AY207,TRASLADOS!$AP:$AP)</f>
        <v>0</v>
      </c>
      <c r="BF207" s="3">
        <f>SUMIF(VENTAS!$AH:$AH,RESUMEN!AY207,VENTAS!$AL:$AL)</f>
        <v>0</v>
      </c>
      <c r="BG207" s="3">
        <f>SUMIF(VENTAS!$AH:$AH,RESUMEN!AY207,VENTAS!$AM:$AM)</f>
        <v>0</v>
      </c>
      <c r="BH207" s="97">
        <f t="shared" si="101"/>
        <v>2081</v>
      </c>
      <c r="BI207" s="96"/>
      <c r="BJ207" s="99">
        <f t="shared" si="88"/>
        <v>31</v>
      </c>
      <c r="BK207" s="11">
        <f t="shared" si="122"/>
        <v>43484</v>
      </c>
      <c r="BL207" s="3">
        <f t="shared" si="122"/>
        <v>217</v>
      </c>
      <c r="BM207" s="3">
        <f>SUMIF(MORTALIDAD!$AP:$AP,RESUMEN!BK207,MORTALIDAD!$AT:$AT)</f>
        <v>0</v>
      </c>
      <c r="BN207" s="19">
        <f t="shared" si="103"/>
        <v>-73</v>
      </c>
      <c r="BO207" s="3">
        <f>SUMIF(MORTALIDAD!$AP$6:$AP$200,RESUMEN!BK207,MORTALIDAD!$AU$6:$AU$200)</f>
        <v>0</v>
      </c>
      <c r="BP207" s="3">
        <f>SUMIF(TRASLADOS!$AU:$AU,RESUMEN!BK207,TRASLADOS!$AX:$AX)</f>
        <v>0</v>
      </c>
      <c r="BQ207" s="3">
        <f>SUMIF(TRASLADOS!$AU:$AU,RESUMEN!BK207,TRASLADOS!$AY:$AY)</f>
        <v>0</v>
      </c>
      <c r="BR207" s="3">
        <f>SUMIF(VENTAS!$AP:$AP,RESUMEN!BK207,VENTAS!$AT:$AT)</f>
        <v>0</v>
      </c>
      <c r="BS207" s="3">
        <f>SUMIF(VENTAS!$AP:$AP,RESUMEN!BK207,VENTAS!$AU:$AU)</f>
        <v>0</v>
      </c>
      <c r="BT207" s="36">
        <f t="shared" si="104"/>
        <v>2241</v>
      </c>
    </row>
    <row r="208" spans="2:72" x14ac:dyDescent="0.2">
      <c r="B208" s="3">
        <f t="shared" ref="B208:B248" si="123">WEEKNUM(C208-$D$7)</f>
        <v>31</v>
      </c>
      <c r="C208" s="11">
        <f t="shared" si="115"/>
        <v>43455</v>
      </c>
      <c r="D208" s="3">
        <f t="shared" si="116"/>
        <v>217</v>
      </c>
      <c r="E208" s="3">
        <f>SUMIF(MORTALIDAD!$B$6:$B$200,RESUMEN!C208,MORTALIDAD!$F$6:$F$200)</f>
        <v>0</v>
      </c>
      <c r="F208" s="17">
        <f t="shared" si="117"/>
        <v>-740</v>
      </c>
      <c r="G208" s="3">
        <f>SUMIF(MORTALIDAD!$B$6:$B$200,RESUMEN!C208,MORTALIDAD!$G$6:$G$200)</f>
        <v>0</v>
      </c>
      <c r="H208" s="3">
        <f>SUMIF(TRASLADOS!$B$6:$B$200,C208,TRASLADOS!$E$6:$E$200)</f>
        <v>0</v>
      </c>
      <c r="I208" s="3">
        <f>SUMIF(TRASLADOS!$B$6:$B$200,C208,TRASLADOS!$F$6:$F$200)</f>
        <v>0</v>
      </c>
      <c r="J208" s="3">
        <f>SUMIF(VENTAS!$B$6:$B$200,RESUMEN!C208,VENTAS!$F$6:$F$200)</f>
        <v>0</v>
      </c>
      <c r="K208" s="3">
        <f>SUMIF(VENTAS!$B$6:$B$200,RESUMEN!C208,VENTAS!$G$6:$G$200)</f>
        <v>0</v>
      </c>
      <c r="L208" s="97">
        <f t="shared" si="89"/>
        <v>1460</v>
      </c>
      <c r="M208" s="96"/>
      <c r="N208" s="99">
        <f t="shared" ref="N208:N248" si="124">WEEKNUM(O208-$P$7)</f>
        <v>31</v>
      </c>
      <c r="O208" s="11">
        <f t="shared" si="118"/>
        <v>43458</v>
      </c>
      <c r="P208" s="3">
        <f t="shared" si="118"/>
        <v>216</v>
      </c>
      <c r="Q208" s="3">
        <f>SUMIF(MORTALIDAD!$J:$J,RESUMEN!O208,MORTALIDAD!$N:$N)</f>
        <v>0</v>
      </c>
      <c r="R208" s="19">
        <f t="shared" si="91"/>
        <v>-680</v>
      </c>
      <c r="S208" s="3">
        <f>SUMIF(MORTALIDAD!$J:$J,RESUMEN!O208,MORTALIDAD!$O:$O)</f>
        <v>0</v>
      </c>
      <c r="T208" s="3">
        <f>SUMIF(TRASLADOS!$K:$K,RESUMEN!O208,TRASLADOS!$N:$N)</f>
        <v>0</v>
      </c>
      <c r="U208" s="3">
        <f>SUMIF(TRASLADOS!$K:$K,RESUMEN!O208,TRASLADOS!$O:$O)</f>
        <v>0</v>
      </c>
      <c r="V208" s="3">
        <f>SUMIF(VENTAS!$J:$J,RESUMEN!O208,VENTAS!$N:$N)</f>
        <v>0</v>
      </c>
      <c r="W208" s="3">
        <f>SUMIF(VENTAS!$J:$J,RESUMEN!O208,VENTAS!$O:$O)</f>
        <v>0</v>
      </c>
      <c r="X208" s="97">
        <f t="shared" si="92"/>
        <v>1520</v>
      </c>
      <c r="Y208" s="96"/>
      <c r="Z208" s="99">
        <f t="shared" ref="Z208:Z248" si="125">WEEKNUM(AA208-$AB$7)</f>
        <v>31</v>
      </c>
      <c r="AA208" s="11">
        <f t="shared" si="119"/>
        <v>43462</v>
      </c>
      <c r="AB208" s="3">
        <f t="shared" si="119"/>
        <v>215</v>
      </c>
      <c r="AC208" s="3">
        <f>SUMIF(MORTALIDAD!$R:$R,RESUMEN!AA208,MORTALIDAD!$V:$V)</f>
        <v>0</v>
      </c>
      <c r="AD208" s="19">
        <f t="shared" si="94"/>
        <v>-476</v>
      </c>
      <c r="AE208" s="3">
        <f>SUMIF(MORTALIDAD!$R:$R,RESUMEN!AA208,MORTALIDAD!$W:$W)</f>
        <v>0</v>
      </c>
      <c r="AF208" s="3">
        <f>SUMIF(TRASLADOS!$T:$T,RESUMEN!AA208,TRASLADOS!$W:$W)</f>
        <v>0</v>
      </c>
      <c r="AG208" s="3">
        <f>SUMIF(TRASLADOS!$T:$T,RESUMEN!AA208,TRASLADOS!$X:$X)</f>
        <v>0</v>
      </c>
      <c r="AH208" s="3">
        <f>SUMIF(VENTAS!$R:$R,RESUMEN!AA208,VENTAS!$V:$V)</f>
        <v>0</v>
      </c>
      <c r="AI208" s="3">
        <f>SUMIF(VENTAS!$R:$R,RESUMEN!AA208,VENTAS!$W:$W)</f>
        <v>0</v>
      </c>
      <c r="AJ208" s="97">
        <f t="shared" si="95"/>
        <v>1724</v>
      </c>
      <c r="AK208" s="96"/>
      <c r="AL208" s="99">
        <f t="shared" ref="AL208:AL248" si="126">WEEKNUM(AM208-$AN$7)</f>
        <v>31</v>
      </c>
      <c r="AM208" s="11">
        <f t="shared" si="120"/>
        <v>43469</v>
      </c>
      <c r="AN208" s="3">
        <f t="shared" si="120"/>
        <v>215</v>
      </c>
      <c r="AO208" s="3">
        <f>SUMIF(MORTALIDAD!$Z:$Z,RESUMEN!AM208,MORTALIDAD!$AD:$AD)</f>
        <v>0</v>
      </c>
      <c r="AP208" s="19">
        <f t="shared" si="97"/>
        <v>-124</v>
      </c>
      <c r="AQ208" s="3">
        <f>SUMIF(MORTALIDAD!$Z:$Z,RESUMEN!AM208,MORTALIDAD!$AE:$AE)</f>
        <v>0</v>
      </c>
      <c r="AR208" s="3">
        <f>SUMIF(TRASLADOS!$AC:$AC,RESUMEN!AM208,TRASLADOS!$AF:$AF)</f>
        <v>0</v>
      </c>
      <c r="AS208" s="3">
        <f>SUMIF(TRASLADOS!$AC:$AC,RESUMEN!AM208,TRASLADOS!$AG:$AG)</f>
        <v>0</v>
      </c>
      <c r="AT208" s="3">
        <f>SUMIF(VENTAS!$Z:$Z,RESUMEN!AM208,VENTAS!$AD:$AD)</f>
        <v>0</v>
      </c>
      <c r="AU208" s="3">
        <f>SUMIF(VENTAS!$Z:$Z,RESUMEN!AM208,VENTAS!$AE:$AE)</f>
        <v>0</v>
      </c>
      <c r="AV208" s="97">
        <f t="shared" si="98"/>
        <v>2076</v>
      </c>
      <c r="AW208" s="96"/>
      <c r="AX208" s="99">
        <f t="shared" ref="AX208:AX248" si="127">WEEKNUM(AY208-$AZ$7)</f>
        <v>31</v>
      </c>
      <c r="AY208" s="11">
        <f t="shared" si="121"/>
        <v>43476</v>
      </c>
      <c r="AZ208" s="3">
        <f t="shared" si="121"/>
        <v>215</v>
      </c>
      <c r="BA208" s="3">
        <f>SUMIF(MORTALIDAD!$AH:$AH,RESUMEN!AY208,MORTALIDAD!$AL:$AL)</f>
        <v>0</v>
      </c>
      <c r="BB208" s="19">
        <f t="shared" si="100"/>
        <v>-119</v>
      </c>
      <c r="BC208" s="3">
        <f>SUMIF(MORTALIDAD!$AH:$AH,RESUMEN!AY208,MORTALIDAD!$AM:$AM)</f>
        <v>0</v>
      </c>
      <c r="BD208" s="3">
        <f>SUMIF(TRASLADOS!$AL:$AL,RESUMEN!AY208,TRASLADOS!$AO:$AO)</f>
        <v>0</v>
      </c>
      <c r="BE208" s="3">
        <f>SUMIF(TRASLADOS!$AL:$AL,RESUMEN!AY208,TRASLADOS!$AP:$AP)</f>
        <v>0</v>
      </c>
      <c r="BF208" s="3">
        <f>SUMIF(VENTAS!$AH:$AH,RESUMEN!AY208,VENTAS!$AL:$AL)</f>
        <v>0</v>
      </c>
      <c r="BG208" s="3">
        <f>SUMIF(VENTAS!$AH:$AH,RESUMEN!AY208,VENTAS!$AM:$AM)</f>
        <v>0</v>
      </c>
      <c r="BH208" s="97">
        <f t="shared" si="101"/>
        <v>2081</v>
      </c>
      <c r="BI208" s="96"/>
      <c r="BJ208" s="99">
        <f t="shared" ref="BJ208:BJ248" si="128">WEEKNUM(BK208-$BL$7)</f>
        <v>32</v>
      </c>
      <c r="BK208" s="11">
        <f t="shared" si="122"/>
        <v>43485</v>
      </c>
      <c r="BL208" s="3">
        <f t="shared" si="122"/>
        <v>218</v>
      </c>
      <c r="BM208" s="3">
        <f>SUMIF(MORTALIDAD!$AP:$AP,RESUMEN!BK208,MORTALIDAD!$AT:$AT)</f>
        <v>0</v>
      </c>
      <c r="BN208" s="19">
        <f t="shared" si="103"/>
        <v>-73</v>
      </c>
      <c r="BO208" s="3">
        <f>SUMIF(MORTALIDAD!$AP$6:$AP$200,RESUMEN!BK208,MORTALIDAD!$AU$6:$AU$200)</f>
        <v>0</v>
      </c>
      <c r="BP208" s="3">
        <f>SUMIF(TRASLADOS!$AU:$AU,RESUMEN!BK208,TRASLADOS!$AX:$AX)</f>
        <v>0</v>
      </c>
      <c r="BQ208" s="3">
        <f>SUMIF(TRASLADOS!$AU:$AU,RESUMEN!BK208,TRASLADOS!$AY:$AY)</f>
        <v>0</v>
      </c>
      <c r="BR208" s="3">
        <f>SUMIF(VENTAS!$AP:$AP,RESUMEN!BK208,VENTAS!$AT:$AT)</f>
        <v>0</v>
      </c>
      <c r="BS208" s="3">
        <f>SUMIF(VENTAS!$AP:$AP,RESUMEN!BK208,VENTAS!$AU:$AU)</f>
        <v>0</v>
      </c>
      <c r="BT208" s="36">
        <f t="shared" si="104"/>
        <v>2241</v>
      </c>
    </row>
    <row r="209" spans="2:72" x14ac:dyDescent="0.2">
      <c r="B209" s="3">
        <f t="shared" si="123"/>
        <v>32</v>
      </c>
      <c r="C209" s="11">
        <f t="shared" si="115"/>
        <v>43456</v>
      </c>
      <c r="D209" s="3">
        <f t="shared" si="116"/>
        <v>218</v>
      </c>
      <c r="E209" s="3">
        <f>SUMIF(MORTALIDAD!$B$6:$B$200,RESUMEN!C209,MORTALIDAD!$F$6:$F$200)</f>
        <v>0</v>
      </c>
      <c r="F209" s="17">
        <f t="shared" si="117"/>
        <v>-740</v>
      </c>
      <c r="G209" s="3">
        <f>SUMIF(MORTALIDAD!$B$6:$B$200,RESUMEN!C209,MORTALIDAD!$G$6:$G$200)</f>
        <v>0</v>
      </c>
      <c r="H209" s="3">
        <f>SUMIF(TRASLADOS!$B$6:$B$200,C209,TRASLADOS!$E$6:$E$200)</f>
        <v>0</v>
      </c>
      <c r="I209" s="3">
        <f>SUMIF(TRASLADOS!$B$6:$B$200,C209,TRASLADOS!$F$6:$F$200)</f>
        <v>0</v>
      </c>
      <c r="J209" s="3">
        <f>SUMIF(VENTAS!$B$6:$B$200,RESUMEN!C209,VENTAS!$F$6:$F$200)</f>
        <v>0</v>
      </c>
      <c r="K209" s="3">
        <f>SUMIF(VENTAS!$B$6:$B$200,RESUMEN!C209,VENTAS!$G$6:$G$200)</f>
        <v>0</v>
      </c>
      <c r="L209" s="97">
        <f t="shared" ref="L209:L248" si="129">L208+E209+H209+I209+J209</f>
        <v>1460</v>
      </c>
      <c r="M209" s="96"/>
      <c r="N209" s="99">
        <f t="shared" si="124"/>
        <v>31</v>
      </c>
      <c r="O209" s="11">
        <f t="shared" ref="O209:P224" si="130">O208+1</f>
        <v>43459</v>
      </c>
      <c r="P209" s="3">
        <f t="shared" si="130"/>
        <v>217</v>
      </c>
      <c r="Q209" s="3">
        <f>SUMIF(MORTALIDAD!$J:$J,RESUMEN!O209,MORTALIDAD!$N:$N)</f>
        <v>0</v>
      </c>
      <c r="R209" s="19">
        <f t="shared" ref="R209:R248" si="131">R208+Q209</f>
        <v>-680</v>
      </c>
      <c r="S209" s="3">
        <f>SUMIF(MORTALIDAD!$J:$J,RESUMEN!O209,MORTALIDAD!$O:$O)</f>
        <v>0</v>
      </c>
      <c r="T209" s="3">
        <f>SUMIF(TRASLADOS!$K:$K,RESUMEN!O209,TRASLADOS!$N:$N)</f>
        <v>0</v>
      </c>
      <c r="U209" s="3">
        <f>SUMIF(TRASLADOS!$K:$K,RESUMEN!O209,TRASLADOS!$O:$O)</f>
        <v>0</v>
      </c>
      <c r="V209" s="3">
        <f>SUMIF(VENTAS!$J:$J,RESUMEN!O209,VENTAS!$N:$N)</f>
        <v>0</v>
      </c>
      <c r="W209" s="3">
        <f>SUMIF(VENTAS!$J:$J,RESUMEN!O209,VENTAS!$O:$O)</f>
        <v>0</v>
      </c>
      <c r="X209" s="97">
        <f t="shared" ref="X209:X249" si="132">X208+Q209+T209+U209+V209</f>
        <v>1520</v>
      </c>
      <c r="Y209" s="96"/>
      <c r="Z209" s="99">
        <f t="shared" si="125"/>
        <v>31</v>
      </c>
      <c r="AA209" s="11">
        <f t="shared" ref="AA209:AB224" si="133">AA208+1</f>
        <v>43463</v>
      </c>
      <c r="AB209" s="3">
        <f t="shared" si="133"/>
        <v>216</v>
      </c>
      <c r="AC209" s="3">
        <f>SUMIF(MORTALIDAD!$R:$R,RESUMEN!AA209,MORTALIDAD!$V:$V)</f>
        <v>0</v>
      </c>
      <c r="AD209" s="19">
        <f t="shared" ref="AD209:AD248" si="134">AD208+AC209</f>
        <v>-476</v>
      </c>
      <c r="AE209" s="3">
        <f>SUMIF(MORTALIDAD!$R:$R,RESUMEN!AA209,MORTALIDAD!$W:$W)</f>
        <v>0</v>
      </c>
      <c r="AF209" s="3">
        <f>SUMIF(TRASLADOS!$T:$T,RESUMEN!AA209,TRASLADOS!$W:$W)</f>
        <v>0</v>
      </c>
      <c r="AG209" s="3">
        <f>SUMIF(TRASLADOS!$T:$T,RESUMEN!AA209,TRASLADOS!$X:$X)</f>
        <v>0</v>
      </c>
      <c r="AH209" s="3">
        <f>SUMIF(VENTAS!$R:$R,RESUMEN!AA209,VENTAS!$V:$V)</f>
        <v>0</v>
      </c>
      <c r="AI209" s="3">
        <f>SUMIF(VENTAS!$R:$R,RESUMEN!AA209,VENTAS!$W:$W)</f>
        <v>0</v>
      </c>
      <c r="AJ209" s="97">
        <f t="shared" ref="AJ209:AJ249" si="135">AJ208+AC209+AF209+AG209+AH209</f>
        <v>1724</v>
      </c>
      <c r="AK209" s="96"/>
      <c r="AL209" s="99">
        <f t="shared" si="126"/>
        <v>31</v>
      </c>
      <c r="AM209" s="11">
        <f t="shared" ref="AM209:AN224" si="136">AM208+1</f>
        <v>43470</v>
      </c>
      <c r="AN209" s="3">
        <f t="shared" si="136"/>
        <v>216</v>
      </c>
      <c r="AO209" s="3">
        <f>SUMIF(MORTALIDAD!$Z:$Z,RESUMEN!AM209,MORTALIDAD!$AD:$AD)</f>
        <v>0</v>
      </c>
      <c r="AP209" s="19">
        <f t="shared" ref="AP209:AP248" si="137">AP208+AO209</f>
        <v>-124</v>
      </c>
      <c r="AQ209" s="3">
        <f>SUMIF(MORTALIDAD!$Z:$Z,RESUMEN!AM209,MORTALIDAD!$AE:$AE)</f>
        <v>0</v>
      </c>
      <c r="AR209" s="3">
        <f>SUMIF(TRASLADOS!$AC:$AC,RESUMEN!AM209,TRASLADOS!$AF:$AF)</f>
        <v>0</v>
      </c>
      <c r="AS209" s="3">
        <f>SUMIF(TRASLADOS!$AC:$AC,RESUMEN!AM209,TRASLADOS!$AG:$AG)</f>
        <v>0</v>
      </c>
      <c r="AT209" s="3">
        <f>SUMIF(VENTAS!$Z:$Z,RESUMEN!AM209,VENTAS!$AD:$AD)</f>
        <v>0</v>
      </c>
      <c r="AU209" s="3">
        <f>SUMIF(VENTAS!$Z:$Z,RESUMEN!AM209,VENTAS!$AE:$AE)</f>
        <v>0</v>
      </c>
      <c r="AV209" s="97">
        <f t="shared" ref="AV209:AV248" si="138">AV208+AO209+AR209+AS209+AT209</f>
        <v>2076</v>
      </c>
      <c r="AW209" s="96"/>
      <c r="AX209" s="99">
        <f t="shared" si="127"/>
        <v>31</v>
      </c>
      <c r="AY209" s="11">
        <f t="shared" ref="AY209:AZ224" si="139">AY208+1</f>
        <v>43477</v>
      </c>
      <c r="AZ209" s="3">
        <f t="shared" si="139"/>
        <v>216</v>
      </c>
      <c r="BA209" s="3">
        <f>SUMIF(MORTALIDAD!$AH:$AH,RESUMEN!AY209,MORTALIDAD!$AL:$AL)</f>
        <v>0</v>
      </c>
      <c r="BB209" s="19">
        <f t="shared" ref="BB209:BB248" si="140">BB208+BA209</f>
        <v>-119</v>
      </c>
      <c r="BC209" s="3">
        <f>SUMIF(MORTALIDAD!$AH:$AH,RESUMEN!AY209,MORTALIDAD!$AM:$AM)</f>
        <v>0</v>
      </c>
      <c r="BD209" s="3">
        <f>SUMIF(TRASLADOS!$AL:$AL,RESUMEN!AY209,TRASLADOS!$AO:$AO)</f>
        <v>0</v>
      </c>
      <c r="BE209" s="3">
        <f>SUMIF(TRASLADOS!$AL:$AL,RESUMEN!AY209,TRASLADOS!$AP:$AP)</f>
        <v>0</v>
      </c>
      <c r="BF209" s="3">
        <f>SUMIF(VENTAS!$AH:$AH,RESUMEN!AY209,VENTAS!$AL:$AL)</f>
        <v>0</v>
      </c>
      <c r="BG209" s="3">
        <f>SUMIF(VENTAS!$AH:$AH,RESUMEN!AY209,VENTAS!$AM:$AM)</f>
        <v>0</v>
      </c>
      <c r="BH209" s="97">
        <f t="shared" ref="BH209:BH249" si="141">BH208+BA209+BD209+BE209+BF209</f>
        <v>2081</v>
      </c>
      <c r="BI209" s="96"/>
      <c r="BJ209" s="99">
        <f t="shared" si="128"/>
        <v>32</v>
      </c>
      <c r="BK209" s="11">
        <f t="shared" ref="BK209:BL224" si="142">BK208+1</f>
        <v>43486</v>
      </c>
      <c r="BL209" s="3">
        <f t="shared" si="142"/>
        <v>219</v>
      </c>
      <c r="BM209" s="3">
        <f>SUMIF(MORTALIDAD!$AP:$AP,RESUMEN!BK209,MORTALIDAD!$AT:$AT)</f>
        <v>0</v>
      </c>
      <c r="BN209" s="19">
        <f t="shared" ref="BN209:BN248" si="143">BN208+BM209</f>
        <v>-73</v>
      </c>
      <c r="BO209" s="3">
        <f>SUMIF(MORTALIDAD!$AP$6:$AP$200,RESUMEN!BK209,MORTALIDAD!$AU$6:$AU$200)</f>
        <v>0</v>
      </c>
      <c r="BP209" s="3">
        <f>SUMIF(TRASLADOS!$AU:$AU,RESUMEN!BK209,TRASLADOS!$AX:$AX)</f>
        <v>0</v>
      </c>
      <c r="BQ209" s="3">
        <f>SUMIF(TRASLADOS!$AU:$AU,RESUMEN!BK209,TRASLADOS!$AY:$AY)</f>
        <v>0</v>
      </c>
      <c r="BR209" s="3">
        <f>SUMIF(VENTAS!$AP:$AP,RESUMEN!BK209,VENTAS!$AT:$AT)</f>
        <v>0</v>
      </c>
      <c r="BS209" s="3">
        <f>SUMIF(VENTAS!$AP:$AP,RESUMEN!BK209,VENTAS!$AU:$AU)</f>
        <v>0</v>
      </c>
      <c r="BT209" s="36">
        <f t="shared" ref="BT209:BT249" si="144">BT208+BM209+BP209+BQ209+BR209</f>
        <v>2241</v>
      </c>
    </row>
    <row r="210" spans="2:72" x14ac:dyDescent="0.2">
      <c r="B210" s="3">
        <f t="shared" si="123"/>
        <v>32</v>
      </c>
      <c r="C210" s="11">
        <f t="shared" si="115"/>
        <v>43457</v>
      </c>
      <c r="D210" s="3">
        <f t="shared" si="116"/>
        <v>219</v>
      </c>
      <c r="E210" s="3">
        <f>SUMIF(MORTALIDAD!$B$6:$B$200,RESUMEN!C210,MORTALIDAD!$F$6:$F$200)</f>
        <v>0</v>
      </c>
      <c r="F210" s="17">
        <f t="shared" si="117"/>
        <v>-740</v>
      </c>
      <c r="G210" s="3">
        <f>SUMIF(MORTALIDAD!$B$6:$B$200,RESUMEN!C210,MORTALIDAD!$G$6:$G$200)</f>
        <v>0</v>
      </c>
      <c r="H210" s="3">
        <f>SUMIF(TRASLADOS!$B$6:$B$200,C210,TRASLADOS!$E$6:$E$200)</f>
        <v>0</v>
      </c>
      <c r="I210" s="3">
        <f>SUMIF(TRASLADOS!$B$6:$B$200,C210,TRASLADOS!$F$6:$F$200)</f>
        <v>0</v>
      </c>
      <c r="J210" s="3">
        <f>SUMIF(VENTAS!$B$6:$B$200,RESUMEN!C210,VENTAS!$F$6:$F$200)</f>
        <v>0</v>
      </c>
      <c r="K210" s="3">
        <f>SUMIF(VENTAS!$B$6:$B$200,RESUMEN!C210,VENTAS!$G$6:$G$200)</f>
        <v>0</v>
      </c>
      <c r="L210" s="97">
        <f t="shared" si="129"/>
        <v>1460</v>
      </c>
      <c r="M210" s="96"/>
      <c r="N210" s="99">
        <f t="shared" si="124"/>
        <v>32</v>
      </c>
      <c r="O210" s="11">
        <f t="shared" si="130"/>
        <v>43460</v>
      </c>
      <c r="P210" s="3">
        <f t="shared" si="130"/>
        <v>218</v>
      </c>
      <c r="Q210" s="3">
        <f>SUMIF(MORTALIDAD!$J:$J,RESUMEN!O210,MORTALIDAD!$N:$N)</f>
        <v>0</v>
      </c>
      <c r="R210" s="19">
        <f t="shared" si="131"/>
        <v>-680</v>
      </c>
      <c r="S210" s="3">
        <f>SUMIF(MORTALIDAD!$J:$J,RESUMEN!O210,MORTALIDAD!$O:$O)</f>
        <v>0</v>
      </c>
      <c r="T210" s="3">
        <f>SUMIF(TRASLADOS!$K:$K,RESUMEN!O210,TRASLADOS!$N:$N)</f>
        <v>0</v>
      </c>
      <c r="U210" s="3">
        <f>SUMIF(TRASLADOS!$K:$K,RESUMEN!O210,TRASLADOS!$O:$O)</f>
        <v>0</v>
      </c>
      <c r="V210" s="3">
        <f>SUMIF(VENTAS!$J:$J,RESUMEN!O210,VENTAS!$N:$N)</f>
        <v>0</v>
      </c>
      <c r="W210" s="3">
        <f>SUMIF(VENTAS!$J:$J,RESUMEN!O210,VENTAS!$O:$O)</f>
        <v>0</v>
      </c>
      <c r="X210" s="97">
        <f t="shared" si="132"/>
        <v>1520</v>
      </c>
      <c r="Y210" s="96"/>
      <c r="Z210" s="99">
        <f t="shared" si="125"/>
        <v>31</v>
      </c>
      <c r="AA210" s="11">
        <f t="shared" si="133"/>
        <v>43464</v>
      </c>
      <c r="AB210" s="3">
        <f t="shared" si="133"/>
        <v>217</v>
      </c>
      <c r="AC210" s="3">
        <f>SUMIF(MORTALIDAD!$R:$R,RESUMEN!AA210,MORTALIDAD!$V:$V)</f>
        <v>0</v>
      </c>
      <c r="AD210" s="19">
        <f t="shared" si="134"/>
        <v>-476</v>
      </c>
      <c r="AE210" s="3">
        <f>SUMIF(MORTALIDAD!$R:$R,RESUMEN!AA210,MORTALIDAD!$W:$W)</f>
        <v>0</v>
      </c>
      <c r="AF210" s="3">
        <f>SUMIF(TRASLADOS!$T:$T,RESUMEN!AA210,TRASLADOS!$W:$W)</f>
        <v>0</v>
      </c>
      <c r="AG210" s="3">
        <f>SUMIF(TRASLADOS!$T:$T,RESUMEN!AA210,TRASLADOS!$X:$X)</f>
        <v>0</v>
      </c>
      <c r="AH210" s="3">
        <f>SUMIF(VENTAS!$R:$R,RESUMEN!AA210,VENTAS!$V:$V)</f>
        <v>0</v>
      </c>
      <c r="AI210" s="3">
        <f>SUMIF(VENTAS!$R:$R,RESUMEN!AA210,VENTAS!$W:$W)</f>
        <v>0</v>
      </c>
      <c r="AJ210" s="97">
        <f t="shared" si="135"/>
        <v>1724</v>
      </c>
      <c r="AK210" s="96"/>
      <c r="AL210" s="99">
        <f t="shared" si="126"/>
        <v>31</v>
      </c>
      <c r="AM210" s="11">
        <f t="shared" si="136"/>
        <v>43471</v>
      </c>
      <c r="AN210" s="3">
        <f t="shared" si="136"/>
        <v>217</v>
      </c>
      <c r="AO210" s="3">
        <f>SUMIF(MORTALIDAD!$Z:$Z,RESUMEN!AM210,MORTALIDAD!$AD:$AD)</f>
        <v>0</v>
      </c>
      <c r="AP210" s="19">
        <f t="shared" si="137"/>
        <v>-124</v>
      </c>
      <c r="AQ210" s="3">
        <f>SUMIF(MORTALIDAD!$Z:$Z,RESUMEN!AM210,MORTALIDAD!$AE:$AE)</f>
        <v>0</v>
      </c>
      <c r="AR210" s="3">
        <f>SUMIF(TRASLADOS!$AC:$AC,RESUMEN!AM210,TRASLADOS!$AF:$AF)</f>
        <v>0</v>
      </c>
      <c r="AS210" s="3">
        <f>SUMIF(TRASLADOS!$AC:$AC,RESUMEN!AM210,TRASLADOS!$AG:$AG)</f>
        <v>0</v>
      </c>
      <c r="AT210" s="3">
        <f>SUMIF(VENTAS!$Z:$Z,RESUMEN!AM210,VENTAS!$AD:$AD)</f>
        <v>0</v>
      </c>
      <c r="AU210" s="3">
        <f>SUMIF(VENTAS!$Z:$Z,RESUMEN!AM210,VENTAS!$AE:$AE)</f>
        <v>0</v>
      </c>
      <c r="AV210" s="97">
        <f t="shared" si="138"/>
        <v>2076</v>
      </c>
      <c r="AW210" s="96"/>
      <c r="AX210" s="99">
        <f t="shared" si="127"/>
        <v>31</v>
      </c>
      <c r="AY210" s="11">
        <f t="shared" si="139"/>
        <v>43478</v>
      </c>
      <c r="AZ210" s="3">
        <f t="shared" si="139"/>
        <v>217</v>
      </c>
      <c r="BA210" s="3">
        <f>SUMIF(MORTALIDAD!$AH:$AH,RESUMEN!AY210,MORTALIDAD!$AL:$AL)</f>
        <v>0</v>
      </c>
      <c r="BB210" s="19">
        <f t="shared" si="140"/>
        <v>-119</v>
      </c>
      <c r="BC210" s="3">
        <f>SUMIF(MORTALIDAD!$AH:$AH,RESUMEN!AY210,MORTALIDAD!$AM:$AM)</f>
        <v>0</v>
      </c>
      <c r="BD210" s="3">
        <f>SUMIF(TRASLADOS!$AL:$AL,RESUMEN!AY210,TRASLADOS!$AO:$AO)</f>
        <v>0</v>
      </c>
      <c r="BE210" s="3">
        <f>SUMIF(TRASLADOS!$AL:$AL,RESUMEN!AY210,TRASLADOS!$AP:$AP)</f>
        <v>0</v>
      </c>
      <c r="BF210" s="3">
        <f>SUMIF(VENTAS!$AH:$AH,RESUMEN!AY210,VENTAS!$AL:$AL)</f>
        <v>0</v>
      </c>
      <c r="BG210" s="3">
        <f>SUMIF(VENTAS!$AH:$AH,RESUMEN!AY210,VENTAS!$AM:$AM)</f>
        <v>0</v>
      </c>
      <c r="BH210" s="97">
        <f t="shared" si="141"/>
        <v>2081</v>
      </c>
      <c r="BI210" s="96"/>
      <c r="BJ210" s="99">
        <f t="shared" si="128"/>
        <v>32</v>
      </c>
      <c r="BK210" s="11">
        <f t="shared" si="142"/>
        <v>43487</v>
      </c>
      <c r="BL210" s="3">
        <f t="shared" si="142"/>
        <v>220</v>
      </c>
      <c r="BM210" s="3">
        <f>SUMIF(MORTALIDAD!$AP:$AP,RESUMEN!BK210,MORTALIDAD!$AT:$AT)</f>
        <v>0</v>
      </c>
      <c r="BN210" s="19">
        <f t="shared" si="143"/>
        <v>-73</v>
      </c>
      <c r="BO210" s="3">
        <f>SUMIF(MORTALIDAD!$AP$6:$AP$200,RESUMEN!BK210,MORTALIDAD!$AU$6:$AU$200)</f>
        <v>0</v>
      </c>
      <c r="BP210" s="3">
        <f>SUMIF(TRASLADOS!$AU:$AU,RESUMEN!BK210,TRASLADOS!$AX:$AX)</f>
        <v>0</v>
      </c>
      <c r="BQ210" s="3">
        <f>SUMIF(TRASLADOS!$AU:$AU,RESUMEN!BK210,TRASLADOS!$AY:$AY)</f>
        <v>0</v>
      </c>
      <c r="BR210" s="3">
        <f>SUMIF(VENTAS!$AP:$AP,RESUMEN!BK210,VENTAS!$AT:$AT)</f>
        <v>0</v>
      </c>
      <c r="BS210" s="3">
        <f>SUMIF(VENTAS!$AP:$AP,RESUMEN!BK210,VENTAS!$AU:$AU)</f>
        <v>0</v>
      </c>
      <c r="BT210" s="36">
        <f t="shared" si="144"/>
        <v>2241</v>
      </c>
    </row>
    <row r="211" spans="2:72" x14ac:dyDescent="0.2">
      <c r="B211" s="3">
        <f t="shared" si="123"/>
        <v>32</v>
      </c>
      <c r="C211" s="11">
        <f t="shared" si="115"/>
        <v>43458</v>
      </c>
      <c r="D211" s="3">
        <f t="shared" si="116"/>
        <v>220</v>
      </c>
      <c r="E211" s="3">
        <f>SUMIF(MORTALIDAD!$B$6:$B$200,RESUMEN!C211,MORTALIDAD!$F$6:$F$200)</f>
        <v>0</v>
      </c>
      <c r="F211" s="17">
        <f t="shared" si="117"/>
        <v>-740</v>
      </c>
      <c r="G211" s="3">
        <f>SUMIF(MORTALIDAD!$B$6:$B$200,RESUMEN!C211,MORTALIDAD!$G$6:$G$200)</f>
        <v>0</v>
      </c>
      <c r="H211" s="3">
        <f>SUMIF(TRASLADOS!$B$6:$B$200,C211,TRASLADOS!$E$6:$E$200)</f>
        <v>0</v>
      </c>
      <c r="I211" s="3">
        <f>SUMIF(TRASLADOS!$B$6:$B$200,C211,TRASLADOS!$F$6:$F$200)</f>
        <v>0</v>
      </c>
      <c r="J211" s="3">
        <f>SUMIF(VENTAS!$B$6:$B$200,RESUMEN!C211,VENTAS!$F$6:$F$200)</f>
        <v>0</v>
      </c>
      <c r="K211" s="3">
        <f>SUMIF(VENTAS!$B$6:$B$200,RESUMEN!C211,VENTAS!$G$6:$G$200)</f>
        <v>0</v>
      </c>
      <c r="L211" s="97">
        <f t="shared" si="129"/>
        <v>1460</v>
      </c>
      <c r="M211" s="96"/>
      <c r="N211" s="99">
        <f t="shared" si="124"/>
        <v>32</v>
      </c>
      <c r="O211" s="11">
        <f t="shared" si="130"/>
        <v>43461</v>
      </c>
      <c r="P211" s="3">
        <f t="shared" si="130"/>
        <v>219</v>
      </c>
      <c r="Q211" s="3">
        <f>SUMIF(MORTALIDAD!$J:$J,RESUMEN!O211,MORTALIDAD!$N:$N)</f>
        <v>0</v>
      </c>
      <c r="R211" s="19">
        <f t="shared" si="131"/>
        <v>-680</v>
      </c>
      <c r="S211" s="3">
        <f>SUMIF(MORTALIDAD!$J:$J,RESUMEN!O211,MORTALIDAD!$O:$O)</f>
        <v>0</v>
      </c>
      <c r="T211" s="3">
        <f>SUMIF(TRASLADOS!$K:$K,RESUMEN!O211,TRASLADOS!$N:$N)</f>
        <v>0</v>
      </c>
      <c r="U211" s="3">
        <f>SUMIF(TRASLADOS!$K:$K,RESUMEN!O211,TRASLADOS!$O:$O)</f>
        <v>0</v>
      </c>
      <c r="V211" s="3">
        <f>SUMIF(VENTAS!$J:$J,RESUMEN!O211,VENTAS!$N:$N)</f>
        <v>0</v>
      </c>
      <c r="W211" s="3">
        <f>SUMIF(VENTAS!$J:$J,RESUMEN!O211,VENTAS!$O:$O)</f>
        <v>0</v>
      </c>
      <c r="X211" s="97">
        <f t="shared" si="132"/>
        <v>1520</v>
      </c>
      <c r="Y211" s="96"/>
      <c r="Z211" s="99">
        <f t="shared" si="125"/>
        <v>32</v>
      </c>
      <c r="AA211" s="11">
        <f t="shared" si="133"/>
        <v>43465</v>
      </c>
      <c r="AB211" s="3">
        <f t="shared" si="133"/>
        <v>218</v>
      </c>
      <c r="AC211" s="3">
        <f>SUMIF(MORTALIDAD!$R:$R,RESUMEN!AA211,MORTALIDAD!$V:$V)</f>
        <v>0</v>
      </c>
      <c r="AD211" s="19">
        <f t="shared" si="134"/>
        <v>-476</v>
      </c>
      <c r="AE211" s="3">
        <f>SUMIF(MORTALIDAD!$R:$R,RESUMEN!AA211,MORTALIDAD!$W:$W)</f>
        <v>0</v>
      </c>
      <c r="AF211" s="3">
        <f>SUMIF(TRASLADOS!$T:$T,RESUMEN!AA211,TRASLADOS!$W:$W)</f>
        <v>0</v>
      </c>
      <c r="AG211" s="3">
        <f>SUMIF(TRASLADOS!$T:$T,RESUMEN!AA211,TRASLADOS!$X:$X)</f>
        <v>0</v>
      </c>
      <c r="AH211" s="3">
        <f>SUMIF(VENTAS!$R:$R,RESUMEN!AA211,VENTAS!$V:$V)</f>
        <v>0</v>
      </c>
      <c r="AI211" s="3">
        <f>SUMIF(VENTAS!$R:$R,RESUMEN!AA211,VENTAS!$W:$W)</f>
        <v>0</v>
      </c>
      <c r="AJ211" s="97">
        <f t="shared" si="135"/>
        <v>1724</v>
      </c>
      <c r="AK211" s="96"/>
      <c r="AL211" s="99">
        <f t="shared" si="126"/>
        <v>32</v>
      </c>
      <c r="AM211" s="11">
        <f t="shared" si="136"/>
        <v>43472</v>
      </c>
      <c r="AN211" s="3">
        <f t="shared" si="136"/>
        <v>218</v>
      </c>
      <c r="AO211" s="3">
        <f>SUMIF(MORTALIDAD!$Z:$Z,RESUMEN!AM211,MORTALIDAD!$AD:$AD)</f>
        <v>0</v>
      </c>
      <c r="AP211" s="19">
        <f t="shared" si="137"/>
        <v>-124</v>
      </c>
      <c r="AQ211" s="3">
        <f>SUMIF(MORTALIDAD!$Z:$Z,RESUMEN!AM211,MORTALIDAD!$AE:$AE)</f>
        <v>0</v>
      </c>
      <c r="AR211" s="3">
        <f>SUMIF(TRASLADOS!$AC:$AC,RESUMEN!AM211,TRASLADOS!$AF:$AF)</f>
        <v>0</v>
      </c>
      <c r="AS211" s="3">
        <f>SUMIF(TRASLADOS!$AC:$AC,RESUMEN!AM211,TRASLADOS!$AG:$AG)</f>
        <v>0</v>
      </c>
      <c r="AT211" s="3">
        <f>SUMIF(VENTAS!$Z:$Z,RESUMEN!AM211,VENTAS!$AD:$AD)</f>
        <v>0</v>
      </c>
      <c r="AU211" s="3">
        <f>SUMIF(VENTAS!$Z:$Z,RESUMEN!AM211,VENTAS!$AE:$AE)</f>
        <v>0</v>
      </c>
      <c r="AV211" s="97">
        <f t="shared" si="138"/>
        <v>2076</v>
      </c>
      <c r="AW211" s="96"/>
      <c r="AX211" s="99">
        <f t="shared" si="127"/>
        <v>32</v>
      </c>
      <c r="AY211" s="11">
        <f t="shared" si="139"/>
        <v>43479</v>
      </c>
      <c r="AZ211" s="3">
        <f t="shared" si="139"/>
        <v>218</v>
      </c>
      <c r="BA211" s="3">
        <f>SUMIF(MORTALIDAD!$AH:$AH,RESUMEN!AY211,MORTALIDAD!$AL:$AL)</f>
        <v>0</v>
      </c>
      <c r="BB211" s="19">
        <f t="shared" si="140"/>
        <v>-119</v>
      </c>
      <c r="BC211" s="3">
        <f>SUMIF(MORTALIDAD!$AH:$AH,RESUMEN!AY211,MORTALIDAD!$AM:$AM)</f>
        <v>0</v>
      </c>
      <c r="BD211" s="3">
        <f>SUMIF(TRASLADOS!$AL:$AL,RESUMEN!AY211,TRASLADOS!$AO:$AO)</f>
        <v>0</v>
      </c>
      <c r="BE211" s="3">
        <f>SUMIF(TRASLADOS!$AL:$AL,RESUMEN!AY211,TRASLADOS!$AP:$AP)</f>
        <v>0</v>
      </c>
      <c r="BF211" s="3">
        <f>SUMIF(VENTAS!$AH:$AH,RESUMEN!AY211,VENTAS!$AL:$AL)</f>
        <v>0</v>
      </c>
      <c r="BG211" s="3">
        <f>SUMIF(VENTAS!$AH:$AH,RESUMEN!AY211,VENTAS!$AM:$AM)</f>
        <v>0</v>
      </c>
      <c r="BH211" s="97">
        <f t="shared" si="141"/>
        <v>2081</v>
      </c>
      <c r="BI211" s="96"/>
      <c r="BJ211" s="99">
        <f t="shared" si="128"/>
        <v>32</v>
      </c>
      <c r="BK211" s="11">
        <f t="shared" si="142"/>
        <v>43488</v>
      </c>
      <c r="BL211" s="3">
        <f t="shared" si="142"/>
        <v>221</v>
      </c>
      <c r="BM211" s="3">
        <f>SUMIF(MORTALIDAD!$AP:$AP,RESUMEN!BK211,MORTALIDAD!$AT:$AT)</f>
        <v>0</v>
      </c>
      <c r="BN211" s="19">
        <f t="shared" si="143"/>
        <v>-73</v>
      </c>
      <c r="BO211" s="3">
        <f>SUMIF(MORTALIDAD!$AP$6:$AP$200,RESUMEN!BK211,MORTALIDAD!$AU$6:$AU$200)</f>
        <v>0</v>
      </c>
      <c r="BP211" s="3">
        <f>SUMIF(TRASLADOS!$AU:$AU,RESUMEN!BK211,TRASLADOS!$AX:$AX)</f>
        <v>0</v>
      </c>
      <c r="BQ211" s="3">
        <f>SUMIF(TRASLADOS!$AU:$AU,RESUMEN!BK211,TRASLADOS!$AY:$AY)</f>
        <v>0</v>
      </c>
      <c r="BR211" s="3">
        <f>SUMIF(VENTAS!$AP:$AP,RESUMEN!BK211,VENTAS!$AT:$AT)</f>
        <v>0</v>
      </c>
      <c r="BS211" s="3">
        <f>SUMIF(VENTAS!$AP:$AP,RESUMEN!BK211,VENTAS!$AU:$AU)</f>
        <v>0</v>
      </c>
      <c r="BT211" s="36">
        <f t="shared" si="144"/>
        <v>2241</v>
      </c>
    </row>
    <row r="212" spans="2:72" x14ac:dyDescent="0.2">
      <c r="B212" s="3">
        <f t="shared" si="123"/>
        <v>32</v>
      </c>
      <c r="C212" s="11">
        <f t="shared" si="115"/>
        <v>43459</v>
      </c>
      <c r="D212" s="3">
        <f t="shared" si="116"/>
        <v>221</v>
      </c>
      <c r="E212" s="3">
        <f>SUMIF(MORTALIDAD!$B$6:$B$200,RESUMEN!C212,MORTALIDAD!$F$6:$F$200)</f>
        <v>0</v>
      </c>
      <c r="F212" s="17">
        <f t="shared" si="117"/>
        <v>-740</v>
      </c>
      <c r="G212" s="3">
        <f>SUMIF(MORTALIDAD!$B$6:$B$200,RESUMEN!C212,MORTALIDAD!$G$6:$G$200)</f>
        <v>0</v>
      </c>
      <c r="H212" s="3">
        <f>SUMIF(TRASLADOS!$B$6:$B$200,C212,TRASLADOS!$E$6:$E$200)</f>
        <v>0</v>
      </c>
      <c r="I212" s="3">
        <f>SUMIF(TRASLADOS!$B$6:$B$200,C212,TRASLADOS!$F$6:$F$200)</f>
        <v>0</v>
      </c>
      <c r="J212" s="3">
        <f>SUMIF(VENTAS!$B$6:$B$200,RESUMEN!C212,VENTAS!$F$6:$F$200)</f>
        <v>0</v>
      </c>
      <c r="K212" s="3">
        <f>SUMIF(VENTAS!$B$6:$B$200,RESUMEN!C212,VENTAS!$G$6:$G$200)</f>
        <v>0</v>
      </c>
      <c r="L212" s="97">
        <f t="shared" si="129"/>
        <v>1460</v>
      </c>
      <c r="M212" s="96"/>
      <c r="N212" s="99">
        <f t="shared" si="124"/>
        <v>32</v>
      </c>
      <c r="O212" s="11">
        <f t="shared" si="130"/>
        <v>43462</v>
      </c>
      <c r="P212" s="3">
        <f t="shared" si="130"/>
        <v>220</v>
      </c>
      <c r="Q212" s="3">
        <f>SUMIF(MORTALIDAD!$J:$J,RESUMEN!O212,MORTALIDAD!$N:$N)</f>
        <v>0</v>
      </c>
      <c r="R212" s="19">
        <f t="shared" si="131"/>
        <v>-680</v>
      </c>
      <c r="S212" s="3">
        <f>SUMIF(MORTALIDAD!$J:$J,RESUMEN!O212,MORTALIDAD!$O:$O)</f>
        <v>0</v>
      </c>
      <c r="T212" s="3">
        <f>SUMIF(TRASLADOS!$K:$K,RESUMEN!O212,TRASLADOS!$N:$N)</f>
        <v>0</v>
      </c>
      <c r="U212" s="3">
        <f>SUMIF(TRASLADOS!$K:$K,RESUMEN!O212,TRASLADOS!$O:$O)</f>
        <v>0</v>
      </c>
      <c r="V212" s="3">
        <f>SUMIF(VENTAS!$J:$J,RESUMEN!O212,VENTAS!$N:$N)</f>
        <v>0</v>
      </c>
      <c r="W212" s="3">
        <f>SUMIF(VENTAS!$J:$J,RESUMEN!O212,VENTAS!$O:$O)</f>
        <v>0</v>
      </c>
      <c r="X212" s="97">
        <f t="shared" si="132"/>
        <v>1520</v>
      </c>
      <c r="Y212" s="96"/>
      <c r="Z212" s="99">
        <f t="shared" si="125"/>
        <v>32</v>
      </c>
      <c r="AA212" s="11">
        <f t="shared" si="133"/>
        <v>43466</v>
      </c>
      <c r="AB212" s="3">
        <f t="shared" si="133"/>
        <v>219</v>
      </c>
      <c r="AC212" s="3">
        <f>SUMIF(MORTALIDAD!$R:$R,RESUMEN!AA212,MORTALIDAD!$V:$V)</f>
        <v>0</v>
      </c>
      <c r="AD212" s="19">
        <f t="shared" si="134"/>
        <v>-476</v>
      </c>
      <c r="AE212" s="3">
        <f>SUMIF(MORTALIDAD!$R:$R,RESUMEN!AA212,MORTALIDAD!$W:$W)</f>
        <v>0</v>
      </c>
      <c r="AF212" s="3">
        <f>SUMIF(TRASLADOS!$T:$T,RESUMEN!AA212,TRASLADOS!$W:$W)</f>
        <v>0</v>
      </c>
      <c r="AG212" s="3">
        <f>SUMIF(TRASLADOS!$T:$T,RESUMEN!AA212,TRASLADOS!$X:$X)</f>
        <v>0</v>
      </c>
      <c r="AH212" s="3">
        <f>SUMIF(VENTAS!$R:$R,RESUMEN!AA212,VENTAS!$V:$V)</f>
        <v>0</v>
      </c>
      <c r="AI212" s="3">
        <f>SUMIF(VENTAS!$R:$R,RESUMEN!AA212,VENTAS!$W:$W)</f>
        <v>0</v>
      </c>
      <c r="AJ212" s="97">
        <f t="shared" si="135"/>
        <v>1724</v>
      </c>
      <c r="AK212" s="96"/>
      <c r="AL212" s="99">
        <f t="shared" si="126"/>
        <v>32</v>
      </c>
      <c r="AM212" s="11">
        <f t="shared" si="136"/>
        <v>43473</v>
      </c>
      <c r="AN212" s="3">
        <f t="shared" si="136"/>
        <v>219</v>
      </c>
      <c r="AO212" s="3">
        <f>SUMIF(MORTALIDAD!$Z:$Z,RESUMEN!AM212,MORTALIDAD!$AD:$AD)</f>
        <v>0</v>
      </c>
      <c r="AP212" s="19">
        <f t="shared" si="137"/>
        <v>-124</v>
      </c>
      <c r="AQ212" s="3">
        <f>SUMIF(MORTALIDAD!$Z:$Z,RESUMEN!AM212,MORTALIDAD!$AE:$AE)</f>
        <v>0</v>
      </c>
      <c r="AR212" s="3">
        <f>SUMIF(TRASLADOS!$AC:$AC,RESUMEN!AM212,TRASLADOS!$AF:$AF)</f>
        <v>0</v>
      </c>
      <c r="AS212" s="3">
        <f>SUMIF(TRASLADOS!$AC:$AC,RESUMEN!AM212,TRASLADOS!$AG:$AG)</f>
        <v>0</v>
      </c>
      <c r="AT212" s="3">
        <f>SUMIF(VENTAS!$Z:$Z,RESUMEN!AM212,VENTAS!$AD:$AD)</f>
        <v>0</v>
      </c>
      <c r="AU212" s="3">
        <f>SUMIF(VENTAS!$Z:$Z,RESUMEN!AM212,VENTAS!$AE:$AE)</f>
        <v>0</v>
      </c>
      <c r="AV212" s="97">
        <f t="shared" si="138"/>
        <v>2076</v>
      </c>
      <c r="AW212" s="96"/>
      <c r="AX212" s="99">
        <f t="shared" si="127"/>
        <v>32</v>
      </c>
      <c r="AY212" s="11">
        <f t="shared" si="139"/>
        <v>43480</v>
      </c>
      <c r="AZ212" s="3">
        <f t="shared" si="139"/>
        <v>219</v>
      </c>
      <c r="BA212" s="3">
        <f>SUMIF(MORTALIDAD!$AH:$AH,RESUMEN!AY212,MORTALIDAD!$AL:$AL)</f>
        <v>0</v>
      </c>
      <c r="BB212" s="19">
        <f t="shared" si="140"/>
        <v>-119</v>
      </c>
      <c r="BC212" s="3">
        <f>SUMIF(MORTALIDAD!$AH:$AH,RESUMEN!AY212,MORTALIDAD!$AM:$AM)</f>
        <v>0</v>
      </c>
      <c r="BD212" s="3">
        <f>SUMIF(TRASLADOS!$AL:$AL,RESUMEN!AY212,TRASLADOS!$AO:$AO)</f>
        <v>0</v>
      </c>
      <c r="BE212" s="3">
        <f>SUMIF(TRASLADOS!$AL:$AL,RESUMEN!AY212,TRASLADOS!$AP:$AP)</f>
        <v>0</v>
      </c>
      <c r="BF212" s="3">
        <f>SUMIF(VENTAS!$AH:$AH,RESUMEN!AY212,VENTAS!$AL:$AL)</f>
        <v>0</v>
      </c>
      <c r="BG212" s="3">
        <f>SUMIF(VENTAS!$AH:$AH,RESUMEN!AY212,VENTAS!$AM:$AM)</f>
        <v>0</v>
      </c>
      <c r="BH212" s="97">
        <f t="shared" si="141"/>
        <v>2081</v>
      </c>
      <c r="BI212" s="96"/>
      <c r="BJ212" s="99">
        <f t="shared" si="128"/>
        <v>32</v>
      </c>
      <c r="BK212" s="11">
        <f t="shared" si="142"/>
        <v>43489</v>
      </c>
      <c r="BL212" s="3">
        <f t="shared" si="142"/>
        <v>222</v>
      </c>
      <c r="BM212" s="3">
        <f>SUMIF(MORTALIDAD!$AP:$AP,RESUMEN!BK212,MORTALIDAD!$AT:$AT)</f>
        <v>0</v>
      </c>
      <c r="BN212" s="19">
        <f t="shared" si="143"/>
        <v>-73</v>
      </c>
      <c r="BO212" s="3">
        <f>SUMIF(MORTALIDAD!$AP$6:$AP$200,RESUMEN!BK212,MORTALIDAD!$AU$6:$AU$200)</f>
        <v>0</v>
      </c>
      <c r="BP212" s="3">
        <f>SUMIF(TRASLADOS!$AU:$AU,RESUMEN!BK212,TRASLADOS!$AX:$AX)</f>
        <v>0</v>
      </c>
      <c r="BQ212" s="3">
        <f>SUMIF(TRASLADOS!$AU:$AU,RESUMEN!BK212,TRASLADOS!$AY:$AY)</f>
        <v>0</v>
      </c>
      <c r="BR212" s="3">
        <f>SUMIF(VENTAS!$AP:$AP,RESUMEN!BK212,VENTAS!$AT:$AT)</f>
        <v>0</v>
      </c>
      <c r="BS212" s="3">
        <f>SUMIF(VENTAS!$AP:$AP,RESUMEN!BK212,VENTAS!$AU:$AU)</f>
        <v>0</v>
      </c>
      <c r="BT212" s="36">
        <f t="shared" si="144"/>
        <v>2241</v>
      </c>
    </row>
    <row r="213" spans="2:72" x14ac:dyDescent="0.2">
      <c r="B213" s="3">
        <f t="shared" si="123"/>
        <v>32</v>
      </c>
      <c r="C213" s="11">
        <f t="shared" si="115"/>
        <v>43460</v>
      </c>
      <c r="D213" s="3">
        <f t="shared" si="116"/>
        <v>222</v>
      </c>
      <c r="E213" s="3">
        <f>SUMIF(MORTALIDAD!$B$6:$B$200,RESUMEN!C213,MORTALIDAD!$F$6:$F$200)</f>
        <v>0</v>
      </c>
      <c r="F213" s="17">
        <f t="shared" si="117"/>
        <v>-740</v>
      </c>
      <c r="G213" s="3">
        <f>SUMIF(MORTALIDAD!$B$6:$B$200,RESUMEN!C213,MORTALIDAD!$G$6:$G$200)</f>
        <v>0</v>
      </c>
      <c r="H213" s="3">
        <f>SUMIF(TRASLADOS!$B$6:$B$200,C213,TRASLADOS!$E$6:$E$200)</f>
        <v>0</v>
      </c>
      <c r="I213" s="3">
        <f>SUMIF(TRASLADOS!$B$6:$B$200,C213,TRASLADOS!$F$6:$F$200)</f>
        <v>0</v>
      </c>
      <c r="J213" s="3">
        <f>SUMIF(VENTAS!$B$6:$B$200,RESUMEN!C213,VENTAS!$F$6:$F$200)</f>
        <v>0</v>
      </c>
      <c r="K213" s="3">
        <f>SUMIF(VENTAS!$B$6:$B$200,RESUMEN!C213,VENTAS!$G$6:$G$200)</f>
        <v>0</v>
      </c>
      <c r="L213" s="97">
        <f t="shared" si="129"/>
        <v>1460</v>
      </c>
      <c r="M213" s="96"/>
      <c r="N213" s="99">
        <f t="shared" si="124"/>
        <v>32</v>
      </c>
      <c r="O213" s="11">
        <f t="shared" si="130"/>
        <v>43463</v>
      </c>
      <c r="P213" s="3">
        <f t="shared" si="130"/>
        <v>221</v>
      </c>
      <c r="Q213" s="3">
        <f>SUMIF(MORTALIDAD!$J:$J,RESUMEN!O213,MORTALIDAD!$N:$N)</f>
        <v>0</v>
      </c>
      <c r="R213" s="19">
        <f t="shared" si="131"/>
        <v>-680</v>
      </c>
      <c r="S213" s="3">
        <f>SUMIF(MORTALIDAD!$J:$J,RESUMEN!O213,MORTALIDAD!$O:$O)</f>
        <v>0</v>
      </c>
      <c r="T213" s="3">
        <f>SUMIF(TRASLADOS!$K:$K,RESUMEN!O213,TRASLADOS!$N:$N)</f>
        <v>0</v>
      </c>
      <c r="U213" s="3">
        <f>SUMIF(TRASLADOS!$K:$K,RESUMEN!O213,TRASLADOS!$O:$O)</f>
        <v>0</v>
      </c>
      <c r="V213" s="3">
        <f>SUMIF(VENTAS!$J:$J,RESUMEN!O213,VENTAS!$N:$N)</f>
        <v>0</v>
      </c>
      <c r="W213" s="3">
        <f>SUMIF(VENTAS!$J:$J,RESUMEN!O213,VENTAS!$O:$O)</f>
        <v>0</v>
      </c>
      <c r="X213" s="97">
        <f t="shared" si="132"/>
        <v>1520</v>
      </c>
      <c r="Y213" s="96"/>
      <c r="Z213" s="99">
        <f t="shared" si="125"/>
        <v>32</v>
      </c>
      <c r="AA213" s="11">
        <f t="shared" si="133"/>
        <v>43467</v>
      </c>
      <c r="AB213" s="3">
        <f t="shared" si="133"/>
        <v>220</v>
      </c>
      <c r="AC213" s="3">
        <f>SUMIF(MORTALIDAD!$R:$R,RESUMEN!AA213,MORTALIDAD!$V:$V)</f>
        <v>0</v>
      </c>
      <c r="AD213" s="19">
        <f t="shared" si="134"/>
        <v>-476</v>
      </c>
      <c r="AE213" s="3">
        <f>SUMIF(MORTALIDAD!$R:$R,RESUMEN!AA213,MORTALIDAD!$W:$W)</f>
        <v>0</v>
      </c>
      <c r="AF213" s="3">
        <f>SUMIF(TRASLADOS!$T:$T,RESUMEN!AA213,TRASLADOS!$W:$W)</f>
        <v>0</v>
      </c>
      <c r="AG213" s="3">
        <f>SUMIF(TRASLADOS!$T:$T,RESUMEN!AA213,TRASLADOS!$X:$X)</f>
        <v>0</v>
      </c>
      <c r="AH213" s="3">
        <f>SUMIF(VENTAS!$R:$R,RESUMEN!AA213,VENTAS!$V:$V)</f>
        <v>0</v>
      </c>
      <c r="AI213" s="3">
        <f>SUMIF(VENTAS!$R:$R,RESUMEN!AA213,VENTAS!$W:$W)</f>
        <v>0</v>
      </c>
      <c r="AJ213" s="97">
        <f t="shared" si="135"/>
        <v>1724</v>
      </c>
      <c r="AK213" s="96"/>
      <c r="AL213" s="99">
        <f t="shared" si="126"/>
        <v>32</v>
      </c>
      <c r="AM213" s="11">
        <f t="shared" si="136"/>
        <v>43474</v>
      </c>
      <c r="AN213" s="3">
        <f t="shared" si="136"/>
        <v>220</v>
      </c>
      <c r="AO213" s="3">
        <f>SUMIF(MORTALIDAD!$Z:$Z,RESUMEN!AM213,MORTALIDAD!$AD:$AD)</f>
        <v>0</v>
      </c>
      <c r="AP213" s="19">
        <f t="shared" si="137"/>
        <v>-124</v>
      </c>
      <c r="AQ213" s="3">
        <f>SUMIF(MORTALIDAD!$Z:$Z,RESUMEN!AM213,MORTALIDAD!$AE:$AE)</f>
        <v>0</v>
      </c>
      <c r="AR213" s="3">
        <f>SUMIF(TRASLADOS!$AC:$AC,RESUMEN!AM213,TRASLADOS!$AF:$AF)</f>
        <v>0</v>
      </c>
      <c r="AS213" s="3">
        <f>SUMIF(TRASLADOS!$AC:$AC,RESUMEN!AM213,TRASLADOS!$AG:$AG)</f>
        <v>0</v>
      </c>
      <c r="AT213" s="3">
        <f>SUMIF(VENTAS!$Z:$Z,RESUMEN!AM213,VENTAS!$AD:$AD)</f>
        <v>0</v>
      </c>
      <c r="AU213" s="3">
        <f>SUMIF(VENTAS!$Z:$Z,RESUMEN!AM213,VENTAS!$AE:$AE)</f>
        <v>0</v>
      </c>
      <c r="AV213" s="97">
        <f t="shared" si="138"/>
        <v>2076</v>
      </c>
      <c r="AW213" s="96"/>
      <c r="AX213" s="99">
        <f t="shared" si="127"/>
        <v>32</v>
      </c>
      <c r="AY213" s="11">
        <f t="shared" si="139"/>
        <v>43481</v>
      </c>
      <c r="AZ213" s="3">
        <f t="shared" si="139"/>
        <v>220</v>
      </c>
      <c r="BA213" s="3">
        <f>SUMIF(MORTALIDAD!$AH:$AH,RESUMEN!AY213,MORTALIDAD!$AL:$AL)</f>
        <v>0</v>
      </c>
      <c r="BB213" s="19">
        <f t="shared" si="140"/>
        <v>-119</v>
      </c>
      <c r="BC213" s="3">
        <f>SUMIF(MORTALIDAD!$AH:$AH,RESUMEN!AY213,MORTALIDAD!$AM:$AM)</f>
        <v>0</v>
      </c>
      <c r="BD213" s="3">
        <f>SUMIF(TRASLADOS!$AL:$AL,RESUMEN!AY213,TRASLADOS!$AO:$AO)</f>
        <v>0</v>
      </c>
      <c r="BE213" s="3">
        <f>SUMIF(TRASLADOS!$AL:$AL,RESUMEN!AY213,TRASLADOS!$AP:$AP)</f>
        <v>0</v>
      </c>
      <c r="BF213" s="3">
        <f>SUMIF(VENTAS!$AH:$AH,RESUMEN!AY213,VENTAS!$AL:$AL)</f>
        <v>0</v>
      </c>
      <c r="BG213" s="3">
        <f>SUMIF(VENTAS!$AH:$AH,RESUMEN!AY213,VENTAS!$AM:$AM)</f>
        <v>0</v>
      </c>
      <c r="BH213" s="97">
        <f t="shared" si="141"/>
        <v>2081</v>
      </c>
      <c r="BI213" s="96"/>
      <c r="BJ213" s="99">
        <f t="shared" si="128"/>
        <v>32</v>
      </c>
      <c r="BK213" s="11">
        <f t="shared" si="142"/>
        <v>43490</v>
      </c>
      <c r="BL213" s="3">
        <f t="shared" si="142"/>
        <v>223</v>
      </c>
      <c r="BM213" s="3">
        <f>SUMIF(MORTALIDAD!$AP:$AP,RESUMEN!BK213,MORTALIDAD!$AT:$AT)</f>
        <v>0</v>
      </c>
      <c r="BN213" s="19">
        <f t="shared" si="143"/>
        <v>-73</v>
      </c>
      <c r="BO213" s="3">
        <f>SUMIF(MORTALIDAD!$AP$6:$AP$200,RESUMEN!BK213,MORTALIDAD!$AU$6:$AU$200)</f>
        <v>0</v>
      </c>
      <c r="BP213" s="3">
        <f>SUMIF(TRASLADOS!$AU:$AU,RESUMEN!BK213,TRASLADOS!$AX:$AX)</f>
        <v>0</v>
      </c>
      <c r="BQ213" s="3">
        <f>SUMIF(TRASLADOS!$AU:$AU,RESUMEN!BK213,TRASLADOS!$AY:$AY)</f>
        <v>0</v>
      </c>
      <c r="BR213" s="3">
        <f>SUMIF(VENTAS!$AP:$AP,RESUMEN!BK213,VENTAS!$AT:$AT)</f>
        <v>0</v>
      </c>
      <c r="BS213" s="3">
        <f>SUMIF(VENTAS!$AP:$AP,RESUMEN!BK213,VENTAS!$AU:$AU)</f>
        <v>0</v>
      </c>
      <c r="BT213" s="36">
        <f t="shared" si="144"/>
        <v>2241</v>
      </c>
    </row>
    <row r="214" spans="2:72" x14ac:dyDescent="0.2">
      <c r="B214" s="3">
        <f t="shared" si="123"/>
        <v>32</v>
      </c>
      <c r="C214" s="11">
        <f t="shared" si="115"/>
        <v>43461</v>
      </c>
      <c r="D214" s="3">
        <f t="shared" si="116"/>
        <v>223</v>
      </c>
      <c r="E214" s="3">
        <f>SUMIF(MORTALIDAD!$B$6:$B$200,RESUMEN!C214,MORTALIDAD!$F$6:$F$200)</f>
        <v>0</v>
      </c>
      <c r="F214" s="17">
        <f t="shared" si="117"/>
        <v>-740</v>
      </c>
      <c r="G214" s="3">
        <f>SUMIF(MORTALIDAD!$B$6:$B$200,RESUMEN!C214,MORTALIDAD!$G$6:$G$200)</f>
        <v>0</v>
      </c>
      <c r="H214" s="3">
        <f>SUMIF(TRASLADOS!$B$6:$B$200,C214,TRASLADOS!$E$6:$E$200)</f>
        <v>0</v>
      </c>
      <c r="I214" s="3">
        <f>SUMIF(TRASLADOS!$B$6:$B$200,C214,TRASLADOS!$F$6:$F$200)</f>
        <v>0</v>
      </c>
      <c r="J214" s="3">
        <f>SUMIF(VENTAS!$B$6:$B$200,RESUMEN!C214,VENTAS!$F$6:$F$200)</f>
        <v>0</v>
      </c>
      <c r="K214" s="3">
        <f>SUMIF(VENTAS!$B$6:$B$200,RESUMEN!C214,VENTAS!$G$6:$G$200)</f>
        <v>0</v>
      </c>
      <c r="L214" s="97">
        <f t="shared" si="129"/>
        <v>1460</v>
      </c>
      <c r="M214" s="96"/>
      <c r="N214" s="99">
        <f t="shared" si="124"/>
        <v>32</v>
      </c>
      <c r="O214" s="11">
        <f t="shared" si="130"/>
        <v>43464</v>
      </c>
      <c r="P214" s="3">
        <f t="shared" si="130"/>
        <v>222</v>
      </c>
      <c r="Q214" s="3">
        <f>SUMIF(MORTALIDAD!$J:$J,RESUMEN!O214,MORTALIDAD!$N:$N)</f>
        <v>0</v>
      </c>
      <c r="R214" s="19">
        <f t="shared" si="131"/>
        <v>-680</v>
      </c>
      <c r="S214" s="3">
        <f>SUMIF(MORTALIDAD!$J:$J,RESUMEN!O214,MORTALIDAD!$O:$O)</f>
        <v>0</v>
      </c>
      <c r="T214" s="3">
        <f>SUMIF(TRASLADOS!$K:$K,RESUMEN!O214,TRASLADOS!$N:$N)</f>
        <v>0</v>
      </c>
      <c r="U214" s="3">
        <f>SUMIF(TRASLADOS!$K:$K,RESUMEN!O214,TRASLADOS!$O:$O)</f>
        <v>0</v>
      </c>
      <c r="V214" s="3">
        <f>SUMIF(VENTAS!$J:$J,RESUMEN!O214,VENTAS!$N:$N)</f>
        <v>0</v>
      </c>
      <c r="W214" s="3">
        <f>SUMIF(VENTAS!$J:$J,RESUMEN!O214,VENTAS!$O:$O)</f>
        <v>0</v>
      </c>
      <c r="X214" s="97">
        <f t="shared" si="132"/>
        <v>1520</v>
      </c>
      <c r="Y214" s="96"/>
      <c r="Z214" s="99">
        <f t="shared" si="125"/>
        <v>32</v>
      </c>
      <c r="AA214" s="11">
        <f t="shared" si="133"/>
        <v>43468</v>
      </c>
      <c r="AB214" s="3">
        <f t="shared" si="133"/>
        <v>221</v>
      </c>
      <c r="AC214" s="3">
        <f>SUMIF(MORTALIDAD!$R:$R,RESUMEN!AA214,MORTALIDAD!$V:$V)</f>
        <v>0</v>
      </c>
      <c r="AD214" s="19">
        <f t="shared" si="134"/>
        <v>-476</v>
      </c>
      <c r="AE214" s="3">
        <f>SUMIF(MORTALIDAD!$R:$R,RESUMEN!AA214,MORTALIDAD!$W:$W)</f>
        <v>0</v>
      </c>
      <c r="AF214" s="3">
        <f>SUMIF(TRASLADOS!$T:$T,RESUMEN!AA214,TRASLADOS!$W:$W)</f>
        <v>0</v>
      </c>
      <c r="AG214" s="3">
        <f>SUMIF(TRASLADOS!$T:$T,RESUMEN!AA214,TRASLADOS!$X:$X)</f>
        <v>0</v>
      </c>
      <c r="AH214" s="3">
        <f>SUMIF(VENTAS!$R:$R,RESUMEN!AA214,VENTAS!$V:$V)</f>
        <v>0</v>
      </c>
      <c r="AI214" s="3">
        <f>SUMIF(VENTAS!$R:$R,RESUMEN!AA214,VENTAS!$W:$W)</f>
        <v>0</v>
      </c>
      <c r="AJ214" s="97">
        <f t="shared" si="135"/>
        <v>1724</v>
      </c>
      <c r="AK214" s="96"/>
      <c r="AL214" s="99">
        <f t="shared" si="126"/>
        <v>32</v>
      </c>
      <c r="AM214" s="11">
        <f t="shared" si="136"/>
        <v>43475</v>
      </c>
      <c r="AN214" s="3">
        <f t="shared" si="136"/>
        <v>221</v>
      </c>
      <c r="AO214" s="3">
        <f>SUMIF(MORTALIDAD!$Z:$Z,RESUMEN!AM214,MORTALIDAD!$AD:$AD)</f>
        <v>0</v>
      </c>
      <c r="AP214" s="19">
        <f t="shared" si="137"/>
        <v>-124</v>
      </c>
      <c r="AQ214" s="3">
        <f>SUMIF(MORTALIDAD!$Z:$Z,RESUMEN!AM214,MORTALIDAD!$AE:$AE)</f>
        <v>0</v>
      </c>
      <c r="AR214" s="3">
        <f>SUMIF(TRASLADOS!$AC:$AC,RESUMEN!AM214,TRASLADOS!$AF:$AF)</f>
        <v>0</v>
      </c>
      <c r="AS214" s="3">
        <f>SUMIF(TRASLADOS!$AC:$AC,RESUMEN!AM214,TRASLADOS!$AG:$AG)</f>
        <v>0</v>
      </c>
      <c r="AT214" s="3">
        <f>SUMIF(VENTAS!$Z:$Z,RESUMEN!AM214,VENTAS!$AD:$AD)</f>
        <v>0</v>
      </c>
      <c r="AU214" s="3">
        <f>SUMIF(VENTAS!$Z:$Z,RESUMEN!AM214,VENTAS!$AE:$AE)</f>
        <v>0</v>
      </c>
      <c r="AV214" s="97">
        <f t="shared" si="138"/>
        <v>2076</v>
      </c>
      <c r="AW214" s="96"/>
      <c r="AX214" s="99">
        <f t="shared" si="127"/>
        <v>32</v>
      </c>
      <c r="AY214" s="11">
        <f t="shared" si="139"/>
        <v>43482</v>
      </c>
      <c r="AZ214" s="3">
        <f t="shared" si="139"/>
        <v>221</v>
      </c>
      <c r="BA214" s="3">
        <f>SUMIF(MORTALIDAD!$AH:$AH,RESUMEN!AY214,MORTALIDAD!$AL:$AL)</f>
        <v>0</v>
      </c>
      <c r="BB214" s="19">
        <f t="shared" si="140"/>
        <v>-119</v>
      </c>
      <c r="BC214" s="3">
        <f>SUMIF(MORTALIDAD!$AH:$AH,RESUMEN!AY214,MORTALIDAD!$AM:$AM)</f>
        <v>0</v>
      </c>
      <c r="BD214" s="3">
        <f>SUMIF(TRASLADOS!$AL:$AL,RESUMEN!AY214,TRASLADOS!$AO:$AO)</f>
        <v>0</v>
      </c>
      <c r="BE214" s="3">
        <f>SUMIF(TRASLADOS!$AL:$AL,RESUMEN!AY214,TRASLADOS!$AP:$AP)</f>
        <v>0</v>
      </c>
      <c r="BF214" s="3">
        <f>SUMIF(VENTAS!$AH:$AH,RESUMEN!AY214,VENTAS!$AL:$AL)</f>
        <v>0</v>
      </c>
      <c r="BG214" s="3">
        <f>SUMIF(VENTAS!$AH:$AH,RESUMEN!AY214,VENTAS!$AM:$AM)</f>
        <v>0</v>
      </c>
      <c r="BH214" s="97">
        <f t="shared" si="141"/>
        <v>2081</v>
      </c>
      <c r="BI214" s="96"/>
      <c r="BJ214" s="99">
        <f t="shared" si="128"/>
        <v>32</v>
      </c>
      <c r="BK214" s="11">
        <f t="shared" si="142"/>
        <v>43491</v>
      </c>
      <c r="BL214" s="3">
        <f t="shared" si="142"/>
        <v>224</v>
      </c>
      <c r="BM214" s="3">
        <f>SUMIF(MORTALIDAD!$AP:$AP,RESUMEN!BK214,MORTALIDAD!$AT:$AT)</f>
        <v>0</v>
      </c>
      <c r="BN214" s="19">
        <f t="shared" si="143"/>
        <v>-73</v>
      </c>
      <c r="BO214" s="3">
        <f>SUMIF(MORTALIDAD!$AP$6:$AP$200,RESUMEN!BK214,MORTALIDAD!$AU$6:$AU$200)</f>
        <v>0</v>
      </c>
      <c r="BP214" s="3">
        <f>SUMIF(TRASLADOS!$AU:$AU,RESUMEN!BK214,TRASLADOS!$AX:$AX)</f>
        <v>0</v>
      </c>
      <c r="BQ214" s="3">
        <f>SUMIF(TRASLADOS!$AU:$AU,RESUMEN!BK214,TRASLADOS!$AY:$AY)</f>
        <v>0</v>
      </c>
      <c r="BR214" s="3">
        <f>SUMIF(VENTAS!$AP:$AP,RESUMEN!BK214,VENTAS!$AT:$AT)</f>
        <v>0</v>
      </c>
      <c r="BS214" s="3">
        <f>SUMIF(VENTAS!$AP:$AP,RESUMEN!BK214,VENTAS!$AU:$AU)</f>
        <v>0</v>
      </c>
      <c r="BT214" s="36">
        <f t="shared" si="144"/>
        <v>2241</v>
      </c>
    </row>
    <row r="215" spans="2:72" x14ac:dyDescent="0.2">
      <c r="B215" s="3">
        <f t="shared" si="123"/>
        <v>32</v>
      </c>
      <c r="C215" s="11">
        <f t="shared" si="115"/>
        <v>43462</v>
      </c>
      <c r="D215" s="3">
        <f t="shared" si="116"/>
        <v>224</v>
      </c>
      <c r="E215" s="3">
        <f>SUMIF(MORTALIDAD!$B$6:$B$200,RESUMEN!C215,MORTALIDAD!$F$6:$F$200)</f>
        <v>0</v>
      </c>
      <c r="F215" s="17">
        <f t="shared" si="117"/>
        <v>-740</v>
      </c>
      <c r="G215" s="3">
        <f>SUMIF(MORTALIDAD!$B$6:$B$200,RESUMEN!C215,MORTALIDAD!$G$6:$G$200)</f>
        <v>0</v>
      </c>
      <c r="H215" s="3">
        <f>SUMIF(TRASLADOS!$B$6:$B$200,C215,TRASLADOS!$E$6:$E$200)</f>
        <v>0</v>
      </c>
      <c r="I215" s="3">
        <f>SUMIF(TRASLADOS!$B$6:$B$200,C215,TRASLADOS!$F$6:$F$200)</f>
        <v>0</v>
      </c>
      <c r="J215" s="3">
        <f>SUMIF(VENTAS!$B$6:$B$200,RESUMEN!C215,VENTAS!$F$6:$F$200)</f>
        <v>0</v>
      </c>
      <c r="K215" s="3">
        <f>SUMIF(VENTAS!$B$6:$B$200,RESUMEN!C215,VENTAS!$G$6:$G$200)</f>
        <v>0</v>
      </c>
      <c r="L215" s="97">
        <f t="shared" si="129"/>
        <v>1460</v>
      </c>
      <c r="M215" s="96"/>
      <c r="N215" s="99">
        <f t="shared" si="124"/>
        <v>32</v>
      </c>
      <c r="O215" s="11">
        <f t="shared" si="130"/>
        <v>43465</v>
      </c>
      <c r="P215" s="3">
        <f t="shared" si="130"/>
        <v>223</v>
      </c>
      <c r="Q215" s="3">
        <f>SUMIF(MORTALIDAD!$J:$J,RESUMEN!O215,MORTALIDAD!$N:$N)</f>
        <v>0</v>
      </c>
      <c r="R215" s="19">
        <f t="shared" si="131"/>
        <v>-680</v>
      </c>
      <c r="S215" s="3">
        <f>SUMIF(MORTALIDAD!$J:$J,RESUMEN!O215,MORTALIDAD!$O:$O)</f>
        <v>0</v>
      </c>
      <c r="T215" s="3">
        <f>SUMIF(TRASLADOS!$K:$K,RESUMEN!O215,TRASLADOS!$N:$N)</f>
        <v>0</v>
      </c>
      <c r="U215" s="3">
        <f>SUMIF(TRASLADOS!$K:$K,RESUMEN!O215,TRASLADOS!$O:$O)</f>
        <v>0</v>
      </c>
      <c r="V215" s="3">
        <f>SUMIF(VENTAS!$J:$J,RESUMEN!O215,VENTAS!$N:$N)</f>
        <v>0</v>
      </c>
      <c r="W215" s="3">
        <f>SUMIF(VENTAS!$J:$J,RESUMEN!O215,VENTAS!$O:$O)</f>
        <v>0</v>
      </c>
      <c r="X215" s="97">
        <f t="shared" si="132"/>
        <v>1520</v>
      </c>
      <c r="Y215" s="96"/>
      <c r="Z215" s="99">
        <f t="shared" si="125"/>
        <v>32</v>
      </c>
      <c r="AA215" s="11">
        <f t="shared" si="133"/>
        <v>43469</v>
      </c>
      <c r="AB215" s="3">
        <f t="shared" si="133"/>
        <v>222</v>
      </c>
      <c r="AC215" s="3">
        <f>SUMIF(MORTALIDAD!$R:$R,RESUMEN!AA215,MORTALIDAD!$V:$V)</f>
        <v>0</v>
      </c>
      <c r="AD215" s="19">
        <f t="shared" si="134"/>
        <v>-476</v>
      </c>
      <c r="AE215" s="3">
        <f>SUMIF(MORTALIDAD!$R:$R,RESUMEN!AA215,MORTALIDAD!$W:$W)</f>
        <v>0</v>
      </c>
      <c r="AF215" s="3">
        <f>SUMIF(TRASLADOS!$T:$T,RESUMEN!AA215,TRASLADOS!$W:$W)</f>
        <v>0</v>
      </c>
      <c r="AG215" s="3">
        <f>SUMIF(TRASLADOS!$T:$T,RESUMEN!AA215,TRASLADOS!$X:$X)</f>
        <v>0</v>
      </c>
      <c r="AH215" s="3">
        <f>SUMIF(VENTAS!$R:$R,RESUMEN!AA215,VENTAS!$V:$V)</f>
        <v>0</v>
      </c>
      <c r="AI215" s="3">
        <f>SUMIF(VENTAS!$R:$R,RESUMEN!AA215,VENTAS!$W:$W)</f>
        <v>0</v>
      </c>
      <c r="AJ215" s="97">
        <f t="shared" si="135"/>
        <v>1724</v>
      </c>
      <c r="AK215" s="96"/>
      <c r="AL215" s="99">
        <f t="shared" si="126"/>
        <v>32</v>
      </c>
      <c r="AM215" s="11">
        <f t="shared" si="136"/>
        <v>43476</v>
      </c>
      <c r="AN215" s="3">
        <f t="shared" si="136"/>
        <v>222</v>
      </c>
      <c r="AO215" s="3">
        <f>SUMIF(MORTALIDAD!$Z:$Z,RESUMEN!AM215,MORTALIDAD!$AD:$AD)</f>
        <v>0</v>
      </c>
      <c r="AP215" s="19">
        <f t="shared" si="137"/>
        <v>-124</v>
      </c>
      <c r="AQ215" s="3">
        <f>SUMIF(MORTALIDAD!$Z:$Z,RESUMEN!AM215,MORTALIDAD!$AE:$AE)</f>
        <v>0</v>
      </c>
      <c r="AR215" s="3">
        <f>SUMIF(TRASLADOS!$AC:$AC,RESUMEN!AM215,TRASLADOS!$AF:$AF)</f>
        <v>0</v>
      </c>
      <c r="AS215" s="3">
        <f>SUMIF(TRASLADOS!$AC:$AC,RESUMEN!AM215,TRASLADOS!$AG:$AG)</f>
        <v>0</v>
      </c>
      <c r="AT215" s="3">
        <f>SUMIF(VENTAS!$Z:$Z,RESUMEN!AM215,VENTAS!$AD:$AD)</f>
        <v>0</v>
      </c>
      <c r="AU215" s="3">
        <f>SUMIF(VENTAS!$Z:$Z,RESUMEN!AM215,VENTAS!$AE:$AE)</f>
        <v>0</v>
      </c>
      <c r="AV215" s="97">
        <f t="shared" si="138"/>
        <v>2076</v>
      </c>
      <c r="AW215" s="96"/>
      <c r="AX215" s="99">
        <f t="shared" si="127"/>
        <v>32</v>
      </c>
      <c r="AY215" s="11">
        <f t="shared" si="139"/>
        <v>43483</v>
      </c>
      <c r="AZ215" s="3">
        <f t="shared" si="139"/>
        <v>222</v>
      </c>
      <c r="BA215" s="3">
        <f>SUMIF(MORTALIDAD!$AH:$AH,RESUMEN!AY215,MORTALIDAD!$AL:$AL)</f>
        <v>0</v>
      </c>
      <c r="BB215" s="19">
        <f t="shared" si="140"/>
        <v>-119</v>
      </c>
      <c r="BC215" s="3">
        <f>SUMIF(MORTALIDAD!$AH:$AH,RESUMEN!AY215,MORTALIDAD!$AM:$AM)</f>
        <v>0</v>
      </c>
      <c r="BD215" s="3">
        <f>SUMIF(TRASLADOS!$AL:$AL,RESUMEN!AY215,TRASLADOS!$AO:$AO)</f>
        <v>0</v>
      </c>
      <c r="BE215" s="3">
        <f>SUMIF(TRASLADOS!$AL:$AL,RESUMEN!AY215,TRASLADOS!$AP:$AP)</f>
        <v>0</v>
      </c>
      <c r="BF215" s="3">
        <f>SUMIF(VENTAS!$AH:$AH,RESUMEN!AY215,VENTAS!$AL:$AL)</f>
        <v>0</v>
      </c>
      <c r="BG215" s="3">
        <f>SUMIF(VENTAS!$AH:$AH,RESUMEN!AY215,VENTAS!$AM:$AM)</f>
        <v>0</v>
      </c>
      <c r="BH215" s="97">
        <f t="shared" si="141"/>
        <v>2081</v>
      </c>
      <c r="BI215" s="96"/>
      <c r="BJ215" s="99">
        <f t="shared" si="128"/>
        <v>33</v>
      </c>
      <c r="BK215" s="11">
        <f t="shared" si="142"/>
        <v>43492</v>
      </c>
      <c r="BL215" s="3">
        <f t="shared" si="142"/>
        <v>225</v>
      </c>
      <c r="BM215" s="3">
        <f>SUMIF(MORTALIDAD!$AP:$AP,RESUMEN!BK215,MORTALIDAD!$AT:$AT)</f>
        <v>0</v>
      </c>
      <c r="BN215" s="19">
        <f t="shared" si="143"/>
        <v>-73</v>
      </c>
      <c r="BO215" s="3">
        <f>SUMIF(MORTALIDAD!$AP$6:$AP$200,RESUMEN!BK215,MORTALIDAD!$AU$6:$AU$200)</f>
        <v>0</v>
      </c>
      <c r="BP215" s="3">
        <f>SUMIF(TRASLADOS!$AU:$AU,RESUMEN!BK215,TRASLADOS!$AX:$AX)</f>
        <v>0</v>
      </c>
      <c r="BQ215" s="3">
        <f>SUMIF(TRASLADOS!$AU:$AU,RESUMEN!BK215,TRASLADOS!$AY:$AY)</f>
        <v>0</v>
      </c>
      <c r="BR215" s="3">
        <f>SUMIF(VENTAS!$AP:$AP,RESUMEN!BK215,VENTAS!$AT:$AT)</f>
        <v>0</v>
      </c>
      <c r="BS215" s="3">
        <f>SUMIF(VENTAS!$AP:$AP,RESUMEN!BK215,VENTAS!$AU:$AU)</f>
        <v>0</v>
      </c>
      <c r="BT215" s="36">
        <f t="shared" si="144"/>
        <v>2241</v>
      </c>
    </row>
    <row r="216" spans="2:72" x14ac:dyDescent="0.2">
      <c r="B216" s="3">
        <f t="shared" si="123"/>
        <v>33</v>
      </c>
      <c r="C216" s="11">
        <f t="shared" si="115"/>
        <v>43463</v>
      </c>
      <c r="D216" s="3">
        <f t="shared" si="116"/>
        <v>225</v>
      </c>
      <c r="E216" s="3">
        <f>SUMIF(MORTALIDAD!$B$6:$B$200,RESUMEN!C216,MORTALIDAD!$F$6:$F$200)</f>
        <v>0</v>
      </c>
      <c r="F216" s="17">
        <f t="shared" si="117"/>
        <v>-740</v>
      </c>
      <c r="G216" s="3">
        <f>SUMIF(MORTALIDAD!$B$6:$B$200,RESUMEN!C216,MORTALIDAD!$G$6:$G$200)</f>
        <v>0</v>
      </c>
      <c r="H216" s="3">
        <f>SUMIF(TRASLADOS!$B$6:$B$200,C216,TRASLADOS!$E$6:$E$200)</f>
        <v>0</v>
      </c>
      <c r="I216" s="3">
        <f>SUMIF(TRASLADOS!$B$6:$B$200,C216,TRASLADOS!$F$6:$F$200)</f>
        <v>0</v>
      </c>
      <c r="J216" s="3">
        <f>SUMIF(VENTAS!$B$6:$B$200,RESUMEN!C216,VENTAS!$F$6:$F$200)</f>
        <v>0</v>
      </c>
      <c r="K216" s="3">
        <f>SUMIF(VENTAS!$B$6:$B$200,RESUMEN!C216,VENTAS!$G$6:$G$200)</f>
        <v>0</v>
      </c>
      <c r="L216" s="97">
        <f t="shared" si="129"/>
        <v>1460</v>
      </c>
      <c r="M216" s="96"/>
      <c r="N216" s="99">
        <f t="shared" si="124"/>
        <v>32</v>
      </c>
      <c r="O216" s="11">
        <f t="shared" si="130"/>
        <v>43466</v>
      </c>
      <c r="P216" s="3">
        <f t="shared" si="130"/>
        <v>224</v>
      </c>
      <c r="Q216" s="3">
        <f>SUMIF(MORTALIDAD!$J:$J,RESUMEN!O216,MORTALIDAD!$N:$N)</f>
        <v>0</v>
      </c>
      <c r="R216" s="19">
        <f t="shared" si="131"/>
        <v>-680</v>
      </c>
      <c r="S216" s="3">
        <f>SUMIF(MORTALIDAD!$J:$J,RESUMEN!O216,MORTALIDAD!$O:$O)</f>
        <v>0</v>
      </c>
      <c r="T216" s="3">
        <f>SUMIF(TRASLADOS!$K:$K,RESUMEN!O216,TRASLADOS!$N:$N)</f>
        <v>0</v>
      </c>
      <c r="U216" s="3">
        <f>SUMIF(TRASLADOS!$K:$K,RESUMEN!O216,TRASLADOS!$O:$O)</f>
        <v>0</v>
      </c>
      <c r="V216" s="3">
        <f>SUMIF(VENTAS!$J:$J,RESUMEN!O216,VENTAS!$N:$N)</f>
        <v>0</v>
      </c>
      <c r="W216" s="3">
        <f>SUMIF(VENTAS!$J:$J,RESUMEN!O216,VENTAS!$O:$O)</f>
        <v>0</v>
      </c>
      <c r="X216" s="97">
        <f t="shared" si="132"/>
        <v>1520</v>
      </c>
      <c r="Y216" s="96"/>
      <c r="Z216" s="99">
        <f t="shared" si="125"/>
        <v>32</v>
      </c>
      <c r="AA216" s="11">
        <f t="shared" si="133"/>
        <v>43470</v>
      </c>
      <c r="AB216" s="3">
        <f t="shared" si="133"/>
        <v>223</v>
      </c>
      <c r="AC216" s="3">
        <f>SUMIF(MORTALIDAD!$R:$R,RESUMEN!AA216,MORTALIDAD!$V:$V)</f>
        <v>0</v>
      </c>
      <c r="AD216" s="19">
        <f t="shared" si="134"/>
        <v>-476</v>
      </c>
      <c r="AE216" s="3">
        <f>SUMIF(MORTALIDAD!$R:$R,RESUMEN!AA216,MORTALIDAD!$W:$W)</f>
        <v>0</v>
      </c>
      <c r="AF216" s="3">
        <f>SUMIF(TRASLADOS!$T:$T,RESUMEN!AA216,TRASLADOS!$W:$W)</f>
        <v>0</v>
      </c>
      <c r="AG216" s="3">
        <f>SUMIF(TRASLADOS!$T:$T,RESUMEN!AA216,TRASLADOS!$X:$X)</f>
        <v>0</v>
      </c>
      <c r="AH216" s="3">
        <f>SUMIF(VENTAS!$R:$R,RESUMEN!AA216,VENTAS!$V:$V)</f>
        <v>0</v>
      </c>
      <c r="AI216" s="3">
        <f>SUMIF(VENTAS!$R:$R,RESUMEN!AA216,VENTAS!$W:$W)</f>
        <v>0</v>
      </c>
      <c r="AJ216" s="97">
        <f t="shared" si="135"/>
        <v>1724</v>
      </c>
      <c r="AK216" s="96"/>
      <c r="AL216" s="99">
        <f t="shared" si="126"/>
        <v>32</v>
      </c>
      <c r="AM216" s="11">
        <f t="shared" si="136"/>
        <v>43477</v>
      </c>
      <c r="AN216" s="3">
        <f t="shared" si="136"/>
        <v>223</v>
      </c>
      <c r="AO216" s="3">
        <f>SUMIF(MORTALIDAD!$Z:$Z,RESUMEN!AM216,MORTALIDAD!$AD:$AD)</f>
        <v>0</v>
      </c>
      <c r="AP216" s="19">
        <f t="shared" si="137"/>
        <v>-124</v>
      </c>
      <c r="AQ216" s="3">
        <f>SUMIF(MORTALIDAD!$Z:$Z,RESUMEN!AM216,MORTALIDAD!$AE:$AE)</f>
        <v>0</v>
      </c>
      <c r="AR216" s="3">
        <f>SUMIF(TRASLADOS!$AC:$AC,RESUMEN!AM216,TRASLADOS!$AF:$AF)</f>
        <v>0</v>
      </c>
      <c r="AS216" s="3">
        <f>SUMIF(TRASLADOS!$AC:$AC,RESUMEN!AM216,TRASLADOS!$AG:$AG)</f>
        <v>0</v>
      </c>
      <c r="AT216" s="3">
        <f>SUMIF(VENTAS!$Z:$Z,RESUMEN!AM216,VENTAS!$AD:$AD)</f>
        <v>0</v>
      </c>
      <c r="AU216" s="3">
        <f>SUMIF(VENTAS!$Z:$Z,RESUMEN!AM216,VENTAS!$AE:$AE)</f>
        <v>0</v>
      </c>
      <c r="AV216" s="97">
        <f t="shared" si="138"/>
        <v>2076</v>
      </c>
      <c r="AW216" s="96"/>
      <c r="AX216" s="99">
        <f t="shared" si="127"/>
        <v>32</v>
      </c>
      <c r="AY216" s="11">
        <f t="shared" si="139"/>
        <v>43484</v>
      </c>
      <c r="AZ216" s="3">
        <f t="shared" si="139"/>
        <v>223</v>
      </c>
      <c r="BA216" s="3">
        <f>SUMIF(MORTALIDAD!$AH:$AH,RESUMEN!AY216,MORTALIDAD!$AL:$AL)</f>
        <v>0</v>
      </c>
      <c r="BB216" s="19">
        <f t="shared" si="140"/>
        <v>-119</v>
      </c>
      <c r="BC216" s="3">
        <f>SUMIF(MORTALIDAD!$AH:$AH,RESUMEN!AY216,MORTALIDAD!$AM:$AM)</f>
        <v>0</v>
      </c>
      <c r="BD216" s="3">
        <f>SUMIF(TRASLADOS!$AL:$AL,RESUMEN!AY216,TRASLADOS!$AO:$AO)</f>
        <v>0</v>
      </c>
      <c r="BE216" s="3">
        <f>SUMIF(TRASLADOS!$AL:$AL,RESUMEN!AY216,TRASLADOS!$AP:$AP)</f>
        <v>0</v>
      </c>
      <c r="BF216" s="3">
        <f>SUMIF(VENTAS!$AH:$AH,RESUMEN!AY216,VENTAS!$AL:$AL)</f>
        <v>0</v>
      </c>
      <c r="BG216" s="3">
        <f>SUMIF(VENTAS!$AH:$AH,RESUMEN!AY216,VENTAS!$AM:$AM)</f>
        <v>0</v>
      </c>
      <c r="BH216" s="97">
        <f t="shared" si="141"/>
        <v>2081</v>
      </c>
      <c r="BI216" s="96"/>
      <c r="BJ216" s="99">
        <f t="shared" si="128"/>
        <v>33</v>
      </c>
      <c r="BK216" s="11">
        <f t="shared" si="142"/>
        <v>43493</v>
      </c>
      <c r="BL216" s="3">
        <f t="shared" si="142"/>
        <v>226</v>
      </c>
      <c r="BM216" s="3">
        <f>SUMIF(MORTALIDAD!$AP:$AP,RESUMEN!BK216,MORTALIDAD!$AT:$AT)</f>
        <v>0</v>
      </c>
      <c r="BN216" s="19">
        <f t="shared" si="143"/>
        <v>-73</v>
      </c>
      <c r="BO216" s="3">
        <f>SUMIF(MORTALIDAD!$AP$6:$AP$200,RESUMEN!BK216,MORTALIDAD!$AU$6:$AU$200)</f>
        <v>0</v>
      </c>
      <c r="BP216" s="3">
        <f>SUMIF(TRASLADOS!$AU:$AU,RESUMEN!BK216,TRASLADOS!$AX:$AX)</f>
        <v>0</v>
      </c>
      <c r="BQ216" s="3">
        <f>SUMIF(TRASLADOS!$AU:$AU,RESUMEN!BK216,TRASLADOS!$AY:$AY)</f>
        <v>0</v>
      </c>
      <c r="BR216" s="3">
        <f>SUMIF(VENTAS!$AP:$AP,RESUMEN!BK216,VENTAS!$AT:$AT)</f>
        <v>0</v>
      </c>
      <c r="BS216" s="3">
        <f>SUMIF(VENTAS!$AP:$AP,RESUMEN!BK216,VENTAS!$AU:$AU)</f>
        <v>0</v>
      </c>
      <c r="BT216" s="36">
        <f t="shared" si="144"/>
        <v>2241</v>
      </c>
    </row>
    <row r="217" spans="2:72" x14ac:dyDescent="0.2">
      <c r="B217" s="3">
        <f t="shared" si="123"/>
        <v>33</v>
      </c>
      <c r="C217" s="11">
        <f t="shared" si="115"/>
        <v>43464</v>
      </c>
      <c r="D217" s="3">
        <f t="shared" si="116"/>
        <v>226</v>
      </c>
      <c r="E217" s="3">
        <f>SUMIF(MORTALIDAD!$B$6:$B$200,RESUMEN!C217,MORTALIDAD!$F$6:$F$200)</f>
        <v>0</v>
      </c>
      <c r="F217" s="17">
        <f t="shared" si="117"/>
        <v>-740</v>
      </c>
      <c r="G217" s="3">
        <f>SUMIF(MORTALIDAD!$B$6:$B$200,RESUMEN!C217,MORTALIDAD!$G$6:$G$200)</f>
        <v>0</v>
      </c>
      <c r="H217" s="3">
        <f>SUMIF(TRASLADOS!$B$6:$B$200,C217,TRASLADOS!$E$6:$E$200)</f>
        <v>0</v>
      </c>
      <c r="I217" s="3">
        <f>SUMIF(TRASLADOS!$B$6:$B$200,C217,TRASLADOS!$F$6:$F$200)</f>
        <v>0</v>
      </c>
      <c r="J217" s="3">
        <f>SUMIF(VENTAS!$B$6:$B$200,RESUMEN!C217,VENTAS!$F$6:$F$200)</f>
        <v>0</v>
      </c>
      <c r="K217" s="3">
        <f>SUMIF(VENTAS!$B$6:$B$200,RESUMEN!C217,VENTAS!$G$6:$G$200)</f>
        <v>0</v>
      </c>
      <c r="L217" s="97">
        <f t="shared" si="129"/>
        <v>1460</v>
      </c>
      <c r="M217" s="96"/>
      <c r="N217" s="99">
        <f t="shared" si="124"/>
        <v>33</v>
      </c>
      <c r="O217" s="11">
        <f t="shared" si="130"/>
        <v>43467</v>
      </c>
      <c r="P217" s="3">
        <f t="shared" si="130"/>
        <v>225</v>
      </c>
      <c r="Q217" s="3">
        <f>SUMIF(MORTALIDAD!$J:$J,RESUMEN!O217,MORTALIDAD!$N:$N)</f>
        <v>0</v>
      </c>
      <c r="R217" s="19">
        <f t="shared" si="131"/>
        <v>-680</v>
      </c>
      <c r="S217" s="3">
        <f>SUMIF(MORTALIDAD!$J:$J,RESUMEN!O217,MORTALIDAD!$O:$O)</f>
        <v>0</v>
      </c>
      <c r="T217" s="3">
        <f>SUMIF(TRASLADOS!$K:$K,RESUMEN!O217,TRASLADOS!$N:$N)</f>
        <v>0</v>
      </c>
      <c r="U217" s="3">
        <f>SUMIF(TRASLADOS!$K:$K,RESUMEN!O217,TRASLADOS!$O:$O)</f>
        <v>0</v>
      </c>
      <c r="V217" s="3">
        <f>SUMIF(VENTAS!$J:$J,RESUMEN!O217,VENTAS!$N:$N)</f>
        <v>0</v>
      </c>
      <c r="W217" s="3">
        <f>SUMIF(VENTAS!$J:$J,RESUMEN!O217,VENTAS!$O:$O)</f>
        <v>0</v>
      </c>
      <c r="X217" s="97">
        <f t="shared" si="132"/>
        <v>1520</v>
      </c>
      <c r="Y217" s="96"/>
      <c r="Z217" s="99">
        <f t="shared" si="125"/>
        <v>32</v>
      </c>
      <c r="AA217" s="11">
        <f t="shared" si="133"/>
        <v>43471</v>
      </c>
      <c r="AB217" s="3">
        <f t="shared" si="133"/>
        <v>224</v>
      </c>
      <c r="AC217" s="3">
        <f>SUMIF(MORTALIDAD!$R:$R,RESUMEN!AA217,MORTALIDAD!$V:$V)</f>
        <v>0</v>
      </c>
      <c r="AD217" s="19">
        <f t="shared" si="134"/>
        <v>-476</v>
      </c>
      <c r="AE217" s="3">
        <f>SUMIF(MORTALIDAD!$R:$R,RESUMEN!AA217,MORTALIDAD!$W:$W)</f>
        <v>0</v>
      </c>
      <c r="AF217" s="3">
        <f>SUMIF(TRASLADOS!$T:$T,RESUMEN!AA217,TRASLADOS!$W:$W)</f>
        <v>0</v>
      </c>
      <c r="AG217" s="3">
        <f>SUMIF(TRASLADOS!$T:$T,RESUMEN!AA217,TRASLADOS!$X:$X)</f>
        <v>0</v>
      </c>
      <c r="AH217" s="3">
        <f>SUMIF(VENTAS!$R:$R,RESUMEN!AA217,VENTAS!$V:$V)</f>
        <v>0</v>
      </c>
      <c r="AI217" s="3">
        <f>SUMIF(VENTAS!$R:$R,RESUMEN!AA217,VENTAS!$W:$W)</f>
        <v>0</v>
      </c>
      <c r="AJ217" s="97">
        <f t="shared" si="135"/>
        <v>1724</v>
      </c>
      <c r="AK217" s="96"/>
      <c r="AL217" s="99">
        <f t="shared" si="126"/>
        <v>32</v>
      </c>
      <c r="AM217" s="11">
        <f t="shared" si="136"/>
        <v>43478</v>
      </c>
      <c r="AN217" s="3">
        <f t="shared" si="136"/>
        <v>224</v>
      </c>
      <c r="AO217" s="3">
        <f>SUMIF(MORTALIDAD!$Z:$Z,RESUMEN!AM217,MORTALIDAD!$AD:$AD)</f>
        <v>0</v>
      </c>
      <c r="AP217" s="19">
        <f t="shared" si="137"/>
        <v>-124</v>
      </c>
      <c r="AQ217" s="3">
        <f>SUMIF(MORTALIDAD!$Z:$Z,RESUMEN!AM217,MORTALIDAD!$AE:$AE)</f>
        <v>0</v>
      </c>
      <c r="AR217" s="3">
        <f>SUMIF(TRASLADOS!$AC:$AC,RESUMEN!AM217,TRASLADOS!$AF:$AF)</f>
        <v>0</v>
      </c>
      <c r="AS217" s="3">
        <f>SUMIF(TRASLADOS!$AC:$AC,RESUMEN!AM217,TRASLADOS!$AG:$AG)</f>
        <v>0</v>
      </c>
      <c r="AT217" s="3">
        <f>SUMIF(VENTAS!$Z:$Z,RESUMEN!AM217,VENTAS!$AD:$AD)</f>
        <v>0</v>
      </c>
      <c r="AU217" s="3">
        <f>SUMIF(VENTAS!$Z:$Z,RESUMEN!AM217,VENTAS!$AE:$AE)</f>
        <v>0</v>
      </c>
      <c r="AV217" s="97">
        <f t="shared" si="138"/>
        <v>2076</v>
      </c>
      <c r="AW217" s="96"/>
      <c r="AX217" s="99">
        <f t="shared" si="127"/>
        <v>32</v>
      </c>
      <c r="AY217" s="11">
        <f t="shared" si="139"/>
        <v>43485</v>
      </c>
      <c r="AZ217" s="3">
        <f t="shared" si="139"/>
        <v>224</v>
      </c>
      <c r="BA217" s="3">
        <f>SUMIF(MORTALIDAD!$AH:$AH,RESUMEN!AY217,MORTALIDAD!$AL:$AL)</f>
        <v>0</v>
      </c>
      <c r="BB217" s="19">
        <f t="shared" si="140"/>
        <v>-119</v>
      </c>
      <c r="BC217" s="3">
        <f>SUMIF(MORTALIDAD!$AH:$AH,RESUMEN!AY217,MORTALIDAD!$AM:$AM)</f>
        <v>0</v>
      </c>
      <c r="BD217" s="3">
        <f>SUMIF(TRASLADOS!$AL:$AL,RESUMEN!AY217,TRASLADOS!$AO:$AO)</f>
        <v>0</v>
      </c>
      <c r="BE217" s="3">
        <f>SUMIF(TRASLADOS!$AL:$AL,RESUMEN!AY217,TRASLADOS!$AP:$AP)</f>
        <v>0</v>
      </c>
      <c r="BF217" s="3">
        <f>SUMIF(VENTAS!$AH:$AH,RESUMEN!AY217,VENTAS!$AL:$AL)</f>
        <v>0</v>
      </c>
      <c r="BG217" s="3">
        <f>SUMIF(VENTAS!$AH:$AH,RESUMEN!AY217,VENTAS!$AM:$AM)</f>
        <v>0</v>
      </c>
      <c r="BH217" s="97">
        <f t="shared" si="141"/>
        <v>2081</v>
      </c>
      <c r="BI217" s="96"/>
      <c r="BJ217" s="99">
        <f t="shared" si="128"/>
        <v>33</v>
      </c>
      <c r="BK217" s="11">
        <f t="shared" si="142"/>
        <v>43494</v>
      </c>
      <c r="BL217" s="3">
        <f t="shared" si="142"/>
        <v>227</v>
      </c>
      <c r="BM217" s="3">
        <f>SUMIF(MORTALIDAD!$AP:$AP,RESUMEN!BK217,MORTALIDAD!$AT:$AT)</f>
        <v>0</v>
      </c>
      <c r="BN217" s="19">
        <f t="shared" si="143"/>
        <v>-73</v>
      </c>
      <c r="BO217" s="3">
        <f>SUMIF(MORTALIDAD!$AP$6:$AP$200,RESUMEN!BK217,MORTALIDAD!$AU$6:$AU$200)</f>
        <v>0</v>
      </c>
      <c r="BP217" s="3">
        <f>SUMIF(TRASLADOS!$AU:$AU,RESUMEN!BK217,TRASLADOS!$AX:$AX)</f>
        <v>0</v>
      </c>
      <c r="BQ217" s="3">
        <f>SUMIF(TRASLADOS!$AU:$AU,RESUMEN!BK217,TRASLADOS!$AY:$AY)</f>
        <v>0</v>
      </c>
      <c r="BR217" s="3">
        <f>SUMIF(VENTAS!$AP:$AP,RESUMEN!BK217,VENTAS!$AT:$AT)</f>
        <v>0</v>
      </c>
      <c r="BS217" s="3">
        <f>SUMIF(VENTAS!$AP:$AP,RESUMEN!BK217,VENTAS!$AU:$AU)</f>
        <v>0</v>
      </c>
      <c r="BT217" s="36">
        <f t="shared" si="144"/>
        <v>2241</v>
      </c>
    </row>
    <row r="218" spans="2:72" x14ac:dyDescent="0.2">
      <c r="B218" s="3">
        <f t="shared" si="123"/>
        <v>33</v>
      </c>
      <c r="C218" s="11">
        <f t="shared" si="115"/>
        <v>43465</v>
      </c>
      <c r="D218" s="3">
        <f t="shared" si="116"/>
        <v>227</v>
      </c>
      <c r="E218" s="3">
        <f>SUMIF(MORTALIDAD!$B$6:$B$200,RESUMEN!C218,MORTALIDAD!$F$6:$F$200)</f>
        <v>0</v>
      </c>
      <c r="F218" s="17">
        <f t="shared" si="117"/>
        <v>-740</v>
      </c>
      <c r="G218" s="3">
        <f>SUMIF(MORTALIDAD!$B$6:$B$200,RESUMEN!C218,MORTALIDAD!$G$6:$G$200)</f>
        <v>0</v>
      </c>
      <c r="H218" s="3">
        <f>SUMIF(TRASLADOS!$B$6:$B$200,C218,TRASLADOS!$E$6:$E$200)</f>
        <v>0</v>
      </c>
      <c r="I218" s="3">
        <f>SUMIF(TRASLADOS!$B$6:$B$200,C218,TRASLADOS!$F$6:$F$200)</f>
        <v>0</v>
      </c>
      <c r="J218" s="3">
        <f>SUMIF(VENTAS!$B$6:$B$200,RESUMEN!C218,VENTAS!$F$6:$F$200)</f>
        <v>0</v>
      </c>
      <c r="K218" s="3">
        <f>SUMIF(VENTAS!$B$6:$B$200,RESUMEN!C218,VENTAS!$G$6:$G$200)</f>
        <v>0</v>
      </c>
      <c r="L218" s="97">
        <f t="shared" si="129"/>
        <v>1460</v>
      </c>
      <c r="M218" s="96"/>
      <c r="N218" s="99">
        <f t="shared" si="124"/>
        <v>33</v>
      </c>
      <c r="O218" s="11">
        <f t="shared" si="130"/>
        <v>43468</v>
      </c>
      <c r="P218" s="3">
        <f t="shared" si="130"/>
        <v>226</v>
      </c>
      <c r="Q218" s="3">
        <f>SUMIF(MORTALIDAD!$J:$J,RESUMEN!O218,MORTALIDAD!$N:$N)</f>
        <v>0</v>
      </c>
      <c r="R218" s="19">
        <f t="shared" si="131"/>
        <v>-680</v>
      </c>
      <c r="S218" s="3">
        <f>SUMIF(MORTALIDAD!$J:$J,RESUMEN!O218,MORTALIDAD!$O:$O)</f>
        <v>0</v>
      </c>
      <c r="T218" s="3">
        <f>SUMIF(TRASLADOS!$K:$K,RESUMEN!O218,TRASLADOS!$N:$N)</f>
        <v>0</v>
      </c>
      <c r="U218" s="3">
        <f>SUMIF(TRASLADOS!$K:$K,RESUMEN!O218,TRASLADOS!$O:$O)</f>
        <v>0</v>
      </c>
      <c r="V218" s="3">
        <f>SUMIF(VENTAS!$J:$J,RESUMEN!O218,VENTAS!$N:$N)</f>
        <v>0</v>
      </c>
      <c r="W218" s="3">
        <f>SUMIF(VENTAS!$J:$J,RESUMEN!O218,VENTAS!$O:$O)</f>
        <v>0</v>
      </c>
      <c r="X218" s="97">
        <f t="shared" si="132"/>
        <v>1520</v>
      </c>
      <c r="Y218" s="96"/>
      <c r="Z218" s="99">
        <f t="shared" si="125"/>
        <v>33</v>
      </c>
      <c r="AA218" s="11">
        <f t="shared" si="133"/>
        <v>43472</v>
      </c>
      <c r="AB218" s="3">
        <f t="shared" si="133"/>
        <v>225</v>
      </c>
      <c r="AC218" s="3">
        <f>SUMIF(MORTALIDAD!$R:$R,RESUMEN!AA218,MORTALIDAD!$V:$V)</f>
        <v>0</v>
      </c>
      <c r="AD218" s="19">
        <f t="shared" si="134"/>
        <v>-476</v>
      </c>
      <c r="AE218" s="3">
        <f>SUMIF(MORTALIDAD!$R:$R,RESUMEN!AA218,MORTALIDAD!$W:$W)</f>
        <v>0</v>
      </c>
      <c r="AF218" s="3">
        <f>SUMIF(TRASLADOS!$T:$T,RESUMEN!AA218,TRASLADOS!$W:$W)</f>
        <v>0</v>
      </c>
      <c r="AG218" s="3">
        <f>SUMIF(TRASLADOS!$T:$T,RESUMEN!AA218,TRASLADOS!$X:$X)</f>
        <v>0</v>
      </c>
      <c r="AH218" s="3">
        <f>SUMIF(VENTAS!$R:$R,RESUMEN!AA218,VENTAS!$V:$V)</f>
        <v>0</v>
      </c>
      <c r="AI218" s="3">
        <f>SUMIF(VENTAS!$R:$R,RESUMEN!AA218,VENTAS!$W:$W)</f>
        <v>0</v>
      </c>
      <c r="AJ218" s="97">
        <f t="shared" si="135"/>
        <v>1724</v>
      </c>
      <c r="AK218" s="96"/>
      <c r="AL218" s="99">
        <f t="shared" si="126"/>
        <v>33</v>
      </c>
      <c r="AM218" s="11">
        <f t="shared" si="136"/>
        <v>43479</v>
      </c>
      <c r="AN218" s="3">
        <f t="shared" si="136"/>
        <v>225</v>
      </c>
      <c r="AO218" s="3">
        <f>SUMIF(MORTALIDAD!$Z:$Z,RESUMEN!AM218,MORTALIDAD!$AD:$AD)</f>
        <v>0</v>
      </c>
      <c r="AP218" s="19">
        <f t="shared" si="137"/>
        <v>-124</v>
      </c>
      <c r="AQ218" s="3">
        <f>SUMIF(MORTALIDAD!$Z:$Z,RESUMEN!AM218,MORTALIDAD!$AE:$AE)</f>
        <v>0</v>
      </c>
      <c r="AR218" s="3">
        <f>SUMIF(TRASLADOS!$AC:$AC,RESUMEN!AM218,TRASLADOS!$AF:$AF)</f>
        <v>0</v>
      </c>
      <c r="AS218" s="3">
        <f>SUMIF(TRASLADOS!$AC:$AC,RESUMEN!AM218,TRASLADOS!$AG:$AG)</f>
        <v>0</v>
      </c>
      <c r="AT218" s="3">
        <f>SUMIF(VENTAS!$Z:$Z,RESUMEN!AM218,VENTAS!$AD:$AD)</f>
        <v>0</v>
      </c>
      <c r="AU218" s="3">
        <f>SUMIF(VENTAS!$Z:$Z,RESUMEN!AM218,VENTAS!$AE:$AE)</f>
        <v>0</v>
      </c>
      <c r="AV218" s="97">
        <f t="shared" si="138"/>
        <v>2076</v>
      </c>
      <c r="AW218" s="96"/>
      <c r="AX218" s="99">
        <f t="shared" si="127"/>
        <v>33</v>
      </c>
      <c r="AY218" s="11">
        <f t="shared" si="139"/>
        <v>43486</v>
      </c>
      <c r="AZ218" s="3">
        <f t="shared" si="139"/>
        <v>225</v>
      </c>
      <c r="BA218" s="3">
        <f>SUMIF(MORTALIDAD!$AH:$AH,RESUMEN!AY218,MORTALIDAD!$AL:$AL)</f>
        <v>0</v>
      </c>
      <c r="BB218" s="19">
        <f t="shared" si="140"/>
        <v>-119</v>
      </c>
      <c r="BC218" s="3">
        <f>SUMIF(MORTALIDAD!$AH:$AH,RESUMEN!AY218,MORTALIDAD!$AM:$AM)</f>
        <v>0</v>
      </c>
      <c r="BD218" s="3">
        <f>SUMIF(TRASLADOS!$AL:$AL,RESUMEN!AY218,TRASLADOS!$AO:$AO)</f>
        <v>0</v>
      </c>
      <c r="BE218" s="3">
        <f>SUMIF(TRASLADOS!$AL:$AL,RESUMEN!AY218,TRASLADOS!$AP:$AP)</f>
        <v>0</v>
      </c>
      <c r="BF218" s="3">
        <f>SUMIF(VENTAS!$AH:$AH,RESUMEN!AY218,VENTAS!$AL:$AL)</f>
        <v>0</v>
      </c>
      <c r="BG218" s="3">
        <f>SUMIF(VENTAS!$AH:$AH,RESUMEN!AY218,VENTAS!$AM:$AM)</f>
        <v>0</v>
      </c>
      <c r="BH218" s="97">
        <f t="shared" si="141"/>
        <v>2081</v>
      </c>
      <c r="BI218" s="96"/>
      <c r="BJ218" s="99">
        <f t="shared" si="128"/>
        <v>33</v>
      </c>
      <c r="BK218" s="11">
        <f t="shared" si="142"/>
        <v>43495</v>
      </c>
      <c r="BL218" s="3">
        <f t="shared" si="142"/>
        <v>228</v>
      </c>
      <c r="BM218" s="3">
        <f>SUMIF(MORTALIDAD!$AP:$AP,RESUMEN!BK218,MORTALIDAD!$AT:$AT)</f>
        <v>0</v>
      </c>
      <c r="BN218" s="19">
        <f t="shared" si="143"/>
        <v>-73</v>
      </c>
      <c r="BO218" s="3">
        <f>SUMIF(MORTALIDAD!$AP$6:$AP$200,RESUMEN!BK218,MORTALIDAD!$AU$6:$AU$200)</f>
        <v>0</v>
      </c>
      <c r="BP218" s="3">
        <f>SUMIF(TRASLADOS!$AU:$AU,RESUMEN!BK218,TRASLADOS!$AX:$AX)</f>
        <v>0</v>
      </c>
      <c r="BQ218" s="3">
        <f>SUMIF(TRASLADOS!$AU:$AU,RESUMEN!BK218,TRASLADOS!$AY:$AY)</f>
        <v>0</v>
      </c>
      <c r="BR218" s="3">
        <f>SUMIF(VENTAS!$AP:$AP,RESUMEN!BK218,VENTAS!$AT:$AT)</f>
        <v>0</v>
      </c>
      <c r="BS218" s="3">
        <f>SUMIF(VENTAS!$AP:$AP,RESUMEN!BK218,VENTAS!$AU:$AU)</f>
        <v>0</v>
      </c>
      <c r="BT218" s="36">
        <f t="shared" si="144"/>
        <v>2241</v>
      </c>
    </row>
    <row r="219" spans="2:72" x14ac:dyDescent="0.2">
      <c r="B219" s="3">
        <f t="shared" si="123"/>
        <v>33</v>
      </c>
      <c r="C219" s="11">
        <f t="shared" si="115"/>
        <v>43466</v>
      </c>
      <c r="D219" s="3">
        <f t="shared" si="116"/>
        <v>228</v>
      </c>
      <c r="E219" s="3">
        <f>SUMIF(MORTALIDAD!$B$6:$B$200,RESUMEN!C219,MORTALIDAD!$F$6:$F$200)</f>
        <v>0</v>
      </c>
      <c r="F219" s="17">
        <f t="shared" si="117"/>
        <v>-740</v>
      </c>
      <c r="G219" s="3">
        <f>SUMIF(MORTALIDAD!$B$6:$B$200,RESUMEN!C219,MORTALIDAD!$G$6:$G$200)</f>
        <v>0</v>
      </c>
      <c r="H219" s="3">
        <f>SUMIF(TRASLADOS!$B$6:$B$200,C219,TRASLADOS!$E$6:$E$200)</f>
        <v>0</v>
      </c>
      <c r="I219" s="3">
        <f>SUMIF(TRASLADOS!$B$6:$B$200,C219,TRASLADOS!$F$6:$F$200)</f>
        <v>0</v>
      </c>
      <c r="J219" s="3">
        <f>SUMIF(VENTAS!$B$6:$B$200,RESUMEN!C219,VENTAS!$F$6:$F$200)</f>
        <v>0</v>
      </c>
      <c r="K219" s="3">
        <f>SUMIF(VENTAS!$B$6:$B$200,RESUMEN!C219,VENTAS!$G$6:$G$200)</f>
        <v>0</v>
      </c>
      <c r="L219" s="97">
        <f t="shared" si="129"/>
        <v>1460</v>
      </c>
      <c r="M219" s="96"/>
      <c r="N219" s="99">
        <f t="shared" si="124"/>
        <v>33</v>
      </c>
      <c r="O219" s="11">
        <f t="shared" si="130"/>
        <v>43469</v>
      </c>
      <c r="P219" s="3">
        <f t="shared" si="130"/>
        <v>227</v>
      </c>
      <c r="Q219" s="3">
        <f>SUMIF(MORTALIDAD!$J:$J,RESUMEN!O219,MORTALIDAD!$N:$N)</f>
        <v>0</v>
      </c>
      <c r="R219" s="19">
        <f t="shared" si="131"/>
        <v>-680</v>
      </c>
      <c r="S219" s="3">
        <f>SUMIF(MORTALIDAD!$J:$J,RESUMEN!O219,MORTALIDAD!$O:$O)</f>
        <v>0</v>
      </c>
      <c r="T219" s="3">
        <f>SUMIF(TRASLADOS!$K:$K,RESUMEN!O219,TRASLADOS!$N:$N)</f>
        <v>0</v>
      </c>
      <c r="U219" s="3">
        <f>SUMIF(TRASLADOS!$K:$K,RESUMEN!O219,TRASLADOS!$O:$O)</f>
        <v>0</v>
      </c>
      <c r="V219" s="3">
        <f>SUMIF(VENTAS!$J:$J,RESUMEN!O219,VENTAS!$N:$N)</f>
        <v>0</v>
      </c>
      <c r="W219" s="3">
        <f>SUMIF(VENTAS!$J:$J,RESUMEN!O219,VENTAS!$O:$O)</f>
        <v>0</v>
      </c>
      <c r="X219" s="97">
        <f t="shared" si="132"/>
        <v>1520</v>
      </c>
      <c r="Y219" s="96"/>
      <c r="Z219" s="99">
        <f t="shared" si="125"/>
        <v>33</v>
      </c>
      <c r="AA219" s="11">
        <f t="shared" si="133"/>
        <v>43473</v>
      </c>
      <c r="AB219" s="3">
        <f t="shared" si="133"/>
        <v>226</v>
      </c>
      <c r="AC219" s="3">
        <f>SUMIF(MORTALIDAD!$R:$R,RESUMEN!AA219,MORTALIDAD!$V:$V)</f>
        <v>0</v>
      </c>
      <c r="AD219" s="19">
        <f t="shared" si="134"/>
        <v>-476</v>
      </c>
      <c r="AE219" s="3">
        <f>SUMIF(MORTALIDAD!$R:$R,RESUMEN!AA219,MORTALIDAD!$W:$W)</f>
        <v>0</v>
      </c>
      <c r="AF219" s="3">
        <f>SUMIF(TRASLADOS!$T:$T,RESUMEN!AA219,TRASLADOS!$W:$W)</f>
        <v>0</v>
      </c>
      <c r="AG219" s="3">
        <f>SUMIF(TRASLADOS!$T:$T,RESUMEN!AA219,TRASLADOS!$X:$X)</f>
        <v>0</v>
      </c>
      <c r="AH219" s="3">
        <f>SUMIF(VENTAS!$R:$R,RESUMEN!AA219,VENTAS!$V:$V)</f>
        <v>0</v>
      </c>
      <c r="AI219" s="3">
        <f>SUMIF(VENTAS!$R:$R,RESUMEN!AA219,VENTAS!$W:$W)</f>
        <v>0</v>
      </c>
      <c r="AJ219" s="97">
        <f t="shared" si="135"/>
        <v>1724</v>
      </c>
      <c r="AK219" s="96"/>
      <c r="AL219" s="99">
        <f t="shared" si="126"/>
        <v>33</v>
      </c>
      <c r="AM219" s="11">
        <f t="shared" si="136"/>
        <v>43480</v>
      </c>
      <c r="AN219" s="3">
        <f t="shared" si="136"/>
        <v>226</v>
      </c>
      <c r="AO219" s="3">
        <f>SUMIF(MORTALIDAD!$Z:$Z,RESUMEN!AM219,MORTALIDAD!$AD:$AD)</f>
        <v>0</v>
      </c>
      <c r="AP219" s="19">
        <f t="shared" si="137"/>
        <v>-124</v>
      </c>
      <c r="AQ219" s="3">
        <f>SUMIF(MORTALIDAD!$Z:$Z,RESUMEN!AM219,MORTALIDAD!$AE:$AE)</f>
        <v>0</v>
      </c>
      <c r="AR219" s="3">
        <f>SUMIF(TRASLADOS!$AC:$AC,RESUMEN!AM219,TRASLADOS!$AF:$AF)</f>
        <v>0</v>
      </c>
      <c r="AS219" s="3">
        <f>SUMIF(TRASLADOS!$AC:$AC,RESUMEN!AM219,TRASLADOS!$AG:$AG)</f>
        <v>0</v>
      </c>
      <c r="AT219" s="3">
        <f>SUMIF(VENTAS!$Z:$Z,RESUMEN!AM219,VENTAS!$AD:$AD)</f>
        <v>0</v>
      </c>
      <c r="AU219" s="3">
        <f>SUMIF(VENTAS!$Z:$Z,RESUMEN!AM219,VENTAS!$AE:$AE)</f>
        <v>0</v>
      </c>
      <c r="AV219" s="97">
        <f t="shared" si="138"/>
        <v>2076</v>
      </c>
      <c r="AW219" s="96"/>
      <c r="AX219" s="99">
        <f t="shared" si="127"/>
        <v>33</v>
      </c>
      <c r="AY219" s="11">
        <f t="shared" si="139"/>
        <v>43487</v>
      </c>
      <c r="AZ219" s="3">
        <f t="shared" si="139"/>
        <v>226</v>
      </c>
      <c r="BA219" s="3">
        <f>SUMIF(MORTALIDAD!$AH:$AH,RESUMEN!AY219,MORTALIDAD!$AL:$AL)</f>
        <v>0</v>
      </c>
      <c r="BB219" s="19">
        <f t="shared" si="140"/>
        <v>-119</v>
      </c>
      <c r="BC219" s="3">
        <f>SUMIF(MORTALIDAD!$AH:$AH,RESUMEN!AY219,MORTALIDAD!$AM:$AM)</f>
        <v>0</v>
      </c>
      <c r="BD219" s="3">
        <f>SUMIF(TRASLADOS!$AL:$AL,RESUMEN!AY219,TRASLADOS!$AO:$AO)</f>
        <v>0</v>
      </c>
      <c r="BE219" s="3">
        <f>SUMIF(TRASLADOS!$AL:$AL,RESUMEN!AY219,TRASLADOS!$AP:$AP)</f>
        <v>0</v>
      </c>
      <c r="BF219" s="3">
        <f>SUMIF(VENTAS!$AH:$AH,RESUMEN!AY219,VENTAS!$AL:$AL)</f>
        <v>0</v>
      </c>
      <c r="BG219" s="3">
        <f>SUMIF(VENTAS!$AH:$AH,RESUMEN!AY219,VENTAS!$AM:$AM)</f>
        <v>0</v>
      </c>
      <c r="BH219" s="97">
        <f t="shared" si="141"/>
        <v>2081</v>
      </c>
      <c r="BI219" s="96"/>
      <c r="BJ219" s="99">
        <f t="shared" si="128"/>
        <v>33</v>
      </c>
      <c r="BK219" s="11">
        <f t="shared" si="142"/>
        <v>43496</v>
      </c>
      <c r="BL219" s="3">
        <f t="shared" si="142"/>
        <v>229</v>
      </c>
      <c r="BM219" s="3">
        <f>SUMIF(MORTALIDAD!$AP:$AP,RESUMEN!BK219,MORTALIDAD!$AT:$AT)</f>
        <v>0</v>
      </c>
      <c r="BN219" s="19">
        <f t="shared" si="143"/>
        <v>-73</v>
      </c>
      <c r="BO219" s="3">
        <f>SUMIF(MORTALIDAD!$AP$6:$AP$200,RESUMEN!BK219,MORTALIDAD!$AU$6:$AU$200)</f>
        <v>0</v>
      </c>
      <c r="BP219" s="3">
        <f>SUMIF(TRASLADOS!$AU:$AU,RESUMEN!BK219,TRASLADOS!$AX:$AX)</f>
        <v>0</v>
      </c>
      <c r="BQ219" s="3">
        <f>SUMIF(TRASLADOS!$AU:$AU,RESUMEN!BK219,TRASLADOS!$AY:$AY)</f>
        <v>0</v>
      </c>
      <c r="BR219" s="3">
        <f>SUMIF(VENTAS!$AP:$AP,RESUMEN!BK219,VENTAS!$AT:$AT)</f>
        <v>0</v>
      </c>
      <c r="BS219" s="3">
        <f>SUMIF(VENTAS!$AP:$AP,RESUMEN!BK219,VENTAS!$AU:$AU)</f>
        <v>0</v>
      </c>
      <c r="BT219" s="36">
        <f t="shared" si="144"/>
        <v>2241</v>
      </c>
    </row>
    <row r="220" spans="2:72" x14ac:dyDescent="0.2">
      <c r="B220" s="3">
        <f t="shared" si="123"/>
        <v>33</v>
      </c>
      <c r="C220" s="11">
        <f t="shared" si="115"/>
        <v>43467</v>
      </c>
      <c r="D220" s="3">
        <f t="shared" si="116"/>
        <v>229</v>
      </c>
      <c r="E220" s="3">
        <f>SUMIF(MORTALIDAD!$B$6:$B$200,RESUMEN!C220,MORTALIDAD!$F$6:$F$200)</f>
        <v>0</v>
      </c>
      <c r="F220" s="17">
        <f t="shared" si="117"/>
        <v>-740</v>
      </c>
      <c r="G220" s="3">
        <f>SUMIF(MORTALIDAD!$B$6:$B$200,RESUMEN!C220,MORTALIDAD!$G$6:$G$200)</f>
        <v>0</v>
      </c>
      <c r="H220" s="3">
        <f>SUMIF(TRASLADOS!$B$6:$B$200,C220,TRASLADOS!$E$6:$E$200)</f>
        <v>0</v>
      </c>
      <c r="I220" s="3">
        <f>SUMIF(TRASLADOS!$B$6:$B$200,C220,TRASLADOS!$F$6:$F$200)</f>
        <v>0</v>
      </c>
      <c r="J220" s="3">
        <f>SUMIF(VENTAS!$B$6:$B$200,RESUMEN!C220,VENTAS!$F$6:$F$200)</f>
        <v>0</v>
      </c>
      <c r="K220" s="3">
        <f>SUMIF(VENTAS!$B$6:$B$200,RESUMEN!C220,VENTAS!$G$6:$G$200)</f>
        <v>0</v>
      </c>
      <c r="L220" s="97">
        <f t="shared" si="129"/>
        <v>1460</v>
      </c>
      <c r="M220" s="96"/>
      <c r="N220" s="99">
        <f t="shared" si="124"/>
        <v>33</v>
      </c>
      <c r="O220" s="11">
        <f t="shared" si="130"/>
        <v>43470</v>
      </c>
      <c r="P220" s="3">
        <f t="shared" si="130"/>
        <v>228</v>
      </c>
      <c r="Q220" s="3">
        <f>SUMIF(MORTALIDAD!$J:$J,RESUMEN!O220,MORTALIDAD!$N:$N)</f>
        <v>0</v>
      </c>
      <c r="R220" s="19">
        <f t="shared" si="131"/>
        <v>-680</v>
      </c>
      <c r="S220" s="3">
        <f>SUMIF(MORTALIDAD!$J:$J,RESUMEN!O220,MORTALIDAD!$O:$O)</f>
        <v>0</v>
      </c>
      <c r="T220" s="3">
        <f>SUMIF(TRASLADOS!$K:$K,RESUMEN!O220,TRASLADOS!$N:$N)</f>
        <v>0</v>
      </c>
      <c r="U220" s="3">
        <f>SUMIF(TRASLADOS!$K:$K,RESUMEN!O220,TRASLADOS!$O:$O)</f>
        <v>0</v>
      </c>
      <c r="V220" s="3">
        <f>SUMIF(VENTAS!$J:$J,RESUMEN!O220,VENTAS!$N:$N)</f>
        <v>0</v>
      </c>
      <c r="W220" s="3">
        <f>SUMIF(VENTAS!$J:$J,RESUMEN!O220,VENTAS!$O:$O)</f>
        <v>0</v>
      </c>
      <c r="X220" s="97">
        <f t="shared" si="132"/>
        <v>1520</v>
      </c>
      <c r="Y220" s="96"/>
      <c r="Z220" s="99">
        <f t="shared" si="125"/>
        <v>33</v>
      </c>
      <c r="AA220" s="11">
        <f t="shared" si="133"/>
        <v>43474</v>
      </c>
      <c r="AB220" s="3">
        <f t="shared" si="133"/>
        <v>227</v>
      </c>
      <c r="AC220" s="3">
        <f>SUMIF(MORTALIDAD!$R:$R,RESUMEN!AA220,MORTALIDAD!$V:$V)</f>
        <v>0</v>
      </c>
      <c r="AD220" s="19">
        <f t="shared" si="134"/>
        <v>-476</v>
      </c>
      <c r="AE220" s="3">
        <f>SUMIF(MORTALIDAD!$R:$R,RESUMEN!AA220,MORTALIDAD!$W:$W)</f>
        <v>0</v>
      </c>
      <c r="AF220" s="3">
        <f>SUMIF(TRASLADOS!$T:$T,RESUMEN!AA220,TRASLADOS!$W:$W)</f>
        <v>0</v>
      </c>
      <c r="AG220" s="3">
        <f>SUMIF(TRASLADOS!$T:$T,RESUMEN!AA220,TRASLADOS!$X:$X)</f>
        <v>0</v>
      </c>
      <c r="AH220" s="3">
        <f>SUMIF(VENTAS!$R:$R,RESUMEN!AA220,VENTAS!$V:$V)</f>
        <v>0</v>
      </c>
      <c r="AI220" s="3">
        <f>SUMIF(VENTAS!$R:$R,RESUMEN!AA220,VENTAS!$W:$W)</f>
        <v>0</v>
      </c>
      <c r="AJ220" s="97">
        <f t="shared" si="135"/>
        <v>1724</v>
      </c>
      <c r="AK220" s="96"/>
      <c r="AL220" s="99">
        <f t="shared" si="126"/>
        <v>33</v>
      </c>
      <c r="AM220" s="11">
        <f t="shared" si="136"/>
        <v>43481</v>
      </c>
      <c r="AN220" s="3">
        <f t="shared" si="136"/>
        <v>227</v>
      </c>
      <c r="AO220" s="3">
        <f>SUMIF(MORTALIDAD!$Z:$Z,RESUMEN!AM220,MORTALIDAD!$AD:$AD)</f>
        <v>0</v>
      </c>
      <c r="AP220" s="19">
        <f t="shared" si="137"/>
        <v>-124</v>
      </c>
      <c r="AQ220" s="3">
        <f>SUMIF(MORTALIDAD!$Z:$Z,RESUMEN!AM220,MORTALIDAD!$AE:$AE)</f>
        <v>0</v>
      </c>
      <c r="AR220" s="3">
        <f>SUMIF(TRASLADOS!$AC:$AC,RESUMEN!AM220,TRASLADOS!$AF:$AF)</f>
        <v>0</v>
      </c>
      <c r="AS220" s="3">
        <f>SUMIF(TRASLADOS!$AC:$AC,RESUMEN!AM220,TRASLADOS!$AG:$AG)</f>
        <v>0</v>
      </c>
      <c r="AT220" s="3">
        <f>SUMIF(VENTAS!$Z:$Z,RESUMEN!AM220,VENTAS!$AD:$AD)</f>
        <v>0</v>
      </c>
      <c r="AU220" s="3">
        <f>SUMIF(VENTAS!$Z:$Z,RESUMEN!AM220,VENTAS!$AE:$AE)</f>
        <v>0</v>
      </c>
      <c r="AV220" s="97">
        <f t="shared" si="138"/>
        <v>2076</v>
      </c>
      <c r="AW220" s="96"/>
      <c r="AX220" s="99">
        <f t="shared" si="127"/>
        <v>33</v>
      </c>
      <c r="AY220" s="11">
        <f t="shared" si="139"/>
        <v>43488</v>
      </c>
      <c r="AZ220" s="3">
        <f t="shared" si="139"/>
        <v>227</v>
      </c>
      <c r="BA220" s="3">
        <f>SUMIF(MORTALIDAD!$AH:$AH,RESUMEN!AY220,MORTALIDAD!$AL:$AL)</f>
        <v>0</v>
      </c>
      <c r="BB220" s="19">
        <f t="shared" si="140"/>
        <v>-119</v>
      </c>
      <c r="BC220" s="3">
        <f>SUMIF(MORTALIDAD!$AH:$AH,RESUMEN!AY220,MORTALIDAD!$AM:$AM)</f>
        <v>0</v>
      </c>
      <c r="BD220" s="3">
        <f>SUMIF(TRASLADOS!$AL:$AL,RESUMEN!AY220,TRASLADOS!$AO:$AO)</f>
        <v>0</v>
      </c>
      <c r="BE220" s="3">
        <f>SUMIF(TRASLADOS!$AL:$AL,RESUMEN!AY220,TRASLADOS!$AP:$AP)</f>
        <v>0</v>
      </c>
      <c r="BF220" s="3">
        <f>SUMIF(VENTAS!$AH:$AH,RESUMEN!AY220,VENTAS!$AL:$AL)</f>
        <v>0</v>
      </c>
      <c r="BG220" s="3">
        <f>SUMIF(VENTAS!$AH:$AH,RESUMEN!AY220,VENTAS!$AM:$AM)</f>
        <v>0</v>
      </c>
      <c r="BH220" s="97">
        <f t="shared" si="141"/>
        <v>2081</v>
      </c>
      <c r="BI220" s="96"/>
      <c r="BJ220" s="99">
        <f t="shared" si="128"/>
        <v>33</v>
      </c>
      <c r="BK220" s="11">
        <f t="shared" si="142"/>
        <v>43497</v>
      </c>
      <c r="BL220" s="3">
        <f t="shared" si="142"/>
        <v>230</v>
      </c>
      <c r="BM220" s="3">
        <f>SUMIF(MORTALIDAD!$AP:$AP,RESUMEN!BK220,MORTALIDAD!$AT:$AT)</f>
        <v>0</v>
      </c>
      <c r="BN220" s="19">
        <f t="shared" si="143"/>
        <v>-73</v>
      </c>
      <c r="BO220" s="3">
        <f>SUMIF(MORTALIDAD!$AP$6:$AP$200,RESUMEN!BK220,MORTALIDAD!$AU$6:$AU$200)</f>
        <v>0</v>
      </c>
      <c r="BP220" s="3">
        <f>SUMIF(TRASLADOS!$AU:$AU,RESUMEN!BK220,TRASLADOS!$AX:$AX)</f>
        <v>0</v>
      </c>
      <c r="BQ220" s="3">
        <f>SUMIF(TRASLADOS!$AU:$AU,RESUMEN!BK220,TRASLADOS!$AY:$AY)</f>
        <v>0</v>
      </c>
      <c r="BR220" s="3">
        <f>SUMIF(VENTAS!$AP:$AP,RESUMEN!BK220,VENTAS!$AT:$AT)</f>
        <v>0</v>
      </c>
      <c r="BS220" s="3">
        <f>SUMIF(VENTAS!$AP:$AP,RESUMEN!BK220,VENTAS!$AU:$AU)</f>
        <v>0</v>
      </c>
      <c r="BT220" s="36">
        <f t="shared" si="144"/>
        <v>2241</v>
      </c>
    </row>
    <row r="221" spans="2:72" x14ac:dyDescent="0.2">
      <c r="B221" s="3">
        <f t="shared" si="123"/>
        <v>33</v>
      </c>
      <c r="C221" s="11">
        <f t="shared" si="115"/>
        <v>43468</v>
      </c>
      <c r="D221" s="3">
        <f t="shared" si="116"/>
        <v>230</v>
      </c>
      <c r="E221" s="3">
        <f>SUMIF(MORTALIDAD!$B$6:$B$200,RESUMEN!C221,MORTALIDAD!$F$6:$F$200)</f>
        <v>0</v>
      </c>
      <c r="F221" s="17">
        <f t="shared" si="117"/>
        <v>-740</v>
      </c>
      <c r="G221" s="3">
        <f>SUMIF(MORTALIDAD!$B$6:$B$200,RESUMEN!C221,MORTALIDAD!$G$6:$G$200)</f>
        <v>0</v>
      </c>
      <c r="H221" s="3">
        <f>SUMIF(TRASLADOS!$B$6:$B$200,C221,TRASLADOS!$E$6:$E$200)</f>
        <v>0</v>
      </c>
      <c r="I221" s="3">
        <f>SUMIF(TRASLADOS!$B$6:$B$200,C221,TRASLADOS!$F$6:$F$200)</f>
        <v>0</v>
      </c>
      <c r="J221" s="3">
        <f>SUMIF(VENTAS!$B$6:$B$200,RESUMEN!C221,VENTAS!$F$6:$F$200)</f>
        <v>0</v>
      </c>
      <c r="K221" s="3">
        <f>SUMIF(VENTAS!$B$6:$B$200,RESUMEN!C221,VENTAS!$G$6:$G$200)</f>
        <v>0</v>
      </c>
      <c r="L221" s="97">
        <f t="shared" si="129"/>
        <v>1460</v>
      </c>
      <c r="M221" s="96"/>
      <c r="N221" s="99">
        <f t="shared" si="124"/>
        <v>33</v>
      </c>
      <c r="O221" s="11">
        <f t="shared" si="130"/>
        <v>43471</v>
      </c>
      <c r="P221" s="3">
        <f t="shared" si="130"/>
        <v>229</v>
      </c>
      <c r="Q221" s="3">
        <f>SUMIF(MORTALIDAD!$J:$J,RESUMEN!O221,MORTALIDAD!$N:$N)</f>
        <v>0</v>
      </c>
      <c r="R221" s="19">
        <f t="shared" si="131"/>
        <v>-680</v>
      </c>
      <c r="S221" s="3">
        <f>SUMIF(MORTALIDAD!$J:$J,RESUMEN!O221,MORTALIDAD!$O:$O)</f>
        <v>0</v>
      </c>
      <c r="T221" s="3">
        <f>SUMIF(TRASLADOS!$K:$K,RESUMEN!O221,TRASLADOS!$N:$N)</f>
        <v>0</v>
      </c>
      <c r="U221" s="3">
        <f>SUMIF(TRASLADOS!$K:$K,RESUMEN!O221,TRASLADOS!$O:$O)</f>
        <v>0</v>
      </c>
      <c r="V221" s="3">
        <f>SUMIF(VENTAS!$J:$J,RESUMEN!O221,VENTAS!$N:$N)</f>
        <v>0</v>
      </c>
      <c r="W221" s="3">
        <f>SUMIF(VENTAS!$J:$J,RESUMEN!O221,VENTAS!$O:$O)</f>
        <v>0</v>
      </c>
      <c r="X221" s="97">
        <f t="shared" si="132"/>
        <v>1520</v>
      </c>
      <c r="Y221" s="96"/>
      <c r="Z221" s="99">
        <f t="shared" si="125"/>
        <v>33</v>
      </c>
      <c r="AA221" s="11">
        <f t="shared" si="133"/>
        <v>43475</v>
      </c>
      <c r="AB221" s="3">
        <f t="shared" si="133"/>
        <v>228</v>
      </c>
      <c r="AC221" s="3">
        <f>SUMIF(MORTALIDAD!$R:$R,RESUMEN!AA221,MORTALIDAD!$V:$V)</f>
        <v>0</v>
      </c>
      <c r="AD221" s="19">
        <f t="shared" si="134"/>
        <v>-476</v>
      </c>
      <c r="AE221" s="3">
        <f>SUMIF(MORTALIDAD!$R:$R,RESUMEN!AA221,MORTALIDAD!$W:$W)</f>
        <v>0</v>
      </c>
      <c r="AF221" s="3">
        <f>SUMIF(TRASLADOS!$T:$T,RESUMEN!AA221,TRASLADOS!$W:$W)</f>
        <v>0</v>
      </c>
      <c r="AG221" s="3">
        <f>SUMIF(TRASLADOS!$T:$T,RESUMEN!AA221,TRASLADOS!$X:$X)</f>
        <v>0</v>
      </c>
      <c r="AH221" s="3">
        <f>SUMIF(VENTAS!$R:$R,RESUMEN!AA221,VENTAS!$V:$V)</f>
        <v>0</v>
      </c>
      <c r="AI221" s="3">
        <f>SUMIF(VENTAS!$R:$R,RESUMEN!AA221,VENTAS!$W:$W)</f>
        <v>0</v>
      </c>
      <c r="AJ221" s="97">
        <f t="shared" si="135"/>
        <v>1724</v>
      </c>
      <c r="AK221" s="96"/>
      <c r="AL221" s="99">
        <f t="shared" si="126"/>
        <v>33</v>
      </c>
      <c r="AM221" s="11">
        <f t="shared" si="136"/>
        <v>43482</v>
      </c>
      <c r="AN221" s="3">
        <f t="shared" si="136"/>
        <v>228</v>
      </c>
      <c r="AO221" s="3">
        <f>SUMIF(MORTALIDAD!$Z:$Z,RESUMEN!AM221,MORTALIDAD!$AD:$AD)</f>
        <v>0</v>
      </c>
      <c r="AP221" s="19">
        <f t="shared" si="137"/>
        <v>-124</v>
      </c>
      <c r="AQ221" s="3">
        <f>SUMIF(MORTALIDAD!$Z:$Z,RESUMEN!AM221,MORTALIDAD!$AE:$AE)</f>
        <v>0</v>
      </c>
      <c r="AR221" s="3">
        <f>SUMIF(TRASLADOS!$AC:$AC,RESUMEN!AM221,TRASLADOS!$AF:$AF)</f>
        <v>0</v>
      </c>
      <c r="AS221" s="3">
        <f>SUMIF(TRASLADOS!$AC:$AC,RESUMEN!AM221,TRASLADOS!$AG:$AG)</f>
        <v>0</v>
      </c>
      <c r="AT221" s="3">
        <f>SUMIF(VENTAS!$Z:$Z,RESUMEN!AM221,VENTAS!$AD:$AD)</f>
        <v>0</v>
      </c>
      <c r="AU221" s="3">
        <f>SUMIF(VENTAS!$Z:$Z,RESUMEN!AM221,VENTAS!$AE:$AE)</f>
        <v>0</v>
      </c>
      <c r="AV221" s="97">
        <f t="shared" si="138"/>
        <v>2076</v>
      </c>
      <c r="AW221" s="96"/>
      <c r="AX221" s="99">
        <f t="shared" si="127"/>
        <v>33</v>
      </c>
      <c r="AY221" s="11">
        <f t="shared" si="139"/>
        <v>43489</v>
      </c>
      <c r="AZ221" s="3">
        <f t="shared" si="139"/>
        <v>228</v>
      </c>
      <c r="BA221" s="3">
        <f>SUMIF(MORTALIDAD!$AH:$AH,RESUMEN!AY221,MORTALIDAD!$AL:$AL)</f>
        <v>0</v>
      </c>
      <c r="BB221" s="19">
        <f t="shared" si="140"/>
        <v>-119</v>
      </c>
      <c r="BC221" s="3">
        <f>SUMIF(MORTALIDAD!$AH:$AH,RESUMEN!AY221,MORTALIDAD!$AM:$AM)</f>
        <v>0</v>
      </c>
      <c r="BD221" s="3">
        <f>SUMIF(TRASLADOS!$AL:$AL,RESUMEN!AY221,TRASLADOS!$AO:$AO)</f>
        <v>0</v>
      </c>
      <c r="BE221" s="3">
        <f>SUMIF(TRASLADOS!$AL:$AL,RESUMEN!AY221,TRASLADOS!$AP:$AP)</f>
        <v>0</v>
      </c>
      <c r="BF221" s="3">
        <f>SUMIF(VENTAS!$AH:$AH,RESUMEN!AY221,VENTAS!$AL:$AL)</f>
        <v>0</v>
      </c>
      <c r="BG221" s="3">
        <f>SUMIF(VENTAS!$AH:$AH,RESUMEN!AY221,VENTAS!$AM:$AM)</f>
        <v>0</v>
      </c>
      <c r="BH221" s="97">
        <f t="shared" si="141"/>
        <v>2081</v>
      </c>
      <c r="BI221" s="96"/>
      <c r="BJ221" s="99">
        <f t="shared" si="128"/>
        <v>33</v>
      </c>
      <c r="BK221" s="11">
        <f t="shared" si="142"/>
        <v>43498</v>
      </c>
      <c r="BL221" s="3">
        <f t="shared" si="142"/>
        <v>231</v>
      </c>
      <c r="BM221" s="3">
        <f>SUMIF(MORTALIDAD!$AP:$AP,RESUMEN!BK221,MORTALIDAD!$AT:$AT)</f>
        <v>0</v>
      </c>
      <c r="BN221" s="19">
        <f t="shared" si="143"/>
        <v>-73</v>
      </c>
      <c r="BO221" s="3">
        <f>SUMIF(MORTALIDAD!$AP$6:$AP$200,RESUMEN!BK221,MORTALIDAD!$AU$6:$AU$200)</f>
        <v>0</v>
      </c>
      <c r="BP221" s="3">
        <f>SUMIF(TRASLADOS!$AU:$AU,RESUMEN!BK221,TRASLADOS!$AX:$AX)</f>
        <v>0</v>
      </c>
      <c r="BQ221" s="3">
        <f>SUMIF(TRASLADOS!$AU:$AU,RESUMEN!BK221,TRASLADOS!$AY:$AY)</f>
        <v>0</v>
      </c>
      <c r="BR221" s="3">
        <f>SUMIF(VENTAS!$AP:$AP,RESUMEN!BK221,VENTAS!$AT:$AT)</f>
        <v>0</v>
      </c>
      <c r="BS221" s="3">
        <f>SUMIF(VENTAS!$AP:$AP,RESUMEN!BK221,VENTAS!$AU:$AU)</f>
        <v>0</v>
      </c>
      <c r="BT221" s="36">
        <f t="shared" si="144"/>
        <v>2241</v>
      </c>
    </row>
    <row r="222" spans="2:72" x14ac:dyDescent="0.2">
      <c r="B222" s="3">
        <f t="shared" si="123"/>
        <v>33</v>
      </c>
      <c r="C222" s="11">
        <f t="shared" si="115"/>
        <v>43469</v>
      </c>
      <c r="D222" s="3">
        <f t="shared" si="116"/>
        <v>231</v>
      </c>
      <c r="E222" s="3">
        <f>SUMIF(MORTALIDAD!$B$6:$B$200,RESUMEN!C222,MORTALIDAD!$F$6:$F$200)</f>
        <v>0</v>
      </c>
      <c r="F222" s="17">
        <f t="shared" si="117"/>
        <v>-740</v>
      </c>
      <c r="G222" s="3">
        <f>SUMIF(MORTALIDAD!$B$6:$B$200,RESUMEN!C222,MORTALIDAD!$G$6:$G$200)</f>
        <v>0</v>
      </c>
      <c r="H222" s="3">
        <f>SUMIF(TRASLADOS!$B$6:$B$200,C222,TRASLADOS!$E$6:$E$200)</f>
        <v>0</v>
      </c>
      <c r="I222" s="3">
        <f>SUMIF(TRASLADOS!$B$6:$B$200,C222,TRASLADOS!$F$6:$F$200)</f>
        <v>0</v>
      </c>
      <c r="J222" s="3">
        <f>SUMIF(VENTAS!$B$6:$B$200,RESUMEN!C222,VENTAS!$F$6:$F$200)</f>
        <v>0</v>
      </c>
      <c r="K222" s="3">
        <f>SUMIF(VENTAS!$B$6:$B$200,RESUMEN!C222,VENTAS!$G$6:$G$200)</f>
        <v>0</v>
      </c>
      <c r="L222" s="97">
        <f t="shared" si="129"/>
        <v>1460</v>
      </c>
      <c r="M222" s="96"/>
      <c r="N222" s="99">
        <f t="shared" si="124"/>
        <v>33</v>
      </c>
      <c r="O222" s="11">
        <f t="shared" si="130"/>
        <v>43472</v>
      </c>
      <c r="P222" s="3">
        <f t="shared" si="130"/>
        <v>230</v>
      </c>
      <c r="Q222" s="3">
        <f>SUMIF(MORTALIDAD!$J:$J,RESUMEN!O222,MORTALIDAD!$N:$N)</f>
        <v>0</v>
      </c>
      <c r="R222" s="19">
        <f t="shared" si="131"/>
        <v>-680</v>
      </c>
      <c r="S222" s="3">
        <f>SUMIF(MORTALIDAD!$J:$J,RESUMEN!O222,MORTALIDAD!$O:$O)</f>
        <v>0</v>
      </c>
      <c r="T222" s="3">
        <f>SUMIF(TRASLADOS!$K:$K,RESUMEN!O222,TRASLADOS!$N:$N)</f>
        <v>0</v>
      </c>
      <c r="U222" s="3">
        <f>SUMIF(TRASLADOS!$K:$K,RESUMEN!O222,TRASLADOS!$O:$O)</f>
        <v>0</v>
      </c>
      <c r="V222" s="3">
        <f>SUMIF(VENTAS!$J:$J,RESUMEN!O222,VENTAS!$N:$N)</f>
        <v>0</v>
      </c>
      <c r="W222" s="3">
        <f>SUMIF(VENTAS!$J:$J,RESUMEN!O222,VENTAS!$O:$O)</f>
        <v>0</v>
      </c>
      <c r="X222" s="97">
        <f t="shared" si="132"/>
        <v>1520</v>
      </c>
      <c r="Y222" s="96"/>
      <c r="Z222" s="99">
        <f t="shared" si="125"/>
        <v>33</v>
      </c>
      <c r="AA222" s="11">
        <f t="shared" si="133"/>
        <v>43476</v>
      </c>
      <c r="AB222" s="3">
        <f t="shared" si="133"/>
        <v>229</v>
      </c>
      <c r="AC222" s="3">
        <f>SUMIF(MORTALIDAD!$R:$R,RESUMEN!AA222,MORTALIDAD!$V:$V)</f>
        <v>0</v>
      </c>
      <c r="AD222" s="19">
        <f t="shared" si="134"/>
        <v>-476</v>
      </c>
      <c r="AE222" s="3">
        <f>SUMIF(MORTALIDAD!$R:$R,RESUMEN!AA222,MORTALIDAD!$W:$W)</f>
        <v>0</v>
      </c>
      <c r="AF222" s="3">
        <f>SUMIF(TRASLADOS!$T:$T,RESUMEN!AA222,TRASLADOS!$W:$W)</f>
        <v>0</v>
      </c>
      <c r="AG222" s="3">
        <f>SUMIF(TRASLADOS!$T:$T,RESUMEN!AA222,TRASLADOS!$X:$X)</f>
        <v>0</v>
      </c>
      <c r="AH222" s="3">
        <f>SUMIF(VENTAS!$R:$R,RESUMEN!AA222,VENTAS!$V:$V)</f>
        <v>0</v>
      </c>
      <c r="AI222" s="3">
        <f>SUMIF(VENTAS!$R:$R,RESUMEN!AA222,VENTAS!$W:$W)</f>
        <v>0</v>
      </c>
      <c r="AJ222" s="97">
        <f t="shared" si="135"/>
        <v>1724</v>
      </c>
      <c r="AK222" s="96"/>
      <c r="AL222" s="99">
        <f t="shared" si="126"/>
        <v>33</v>
      </c>
      <c r="AM222" s="11">
        <f t="shared" si="136"/>
        <v>43483</v>
      </c>
      <c r="AN222" s="3">
        <f t="shared" si="136"/>
        <v>229</v>
      </c>
      <c r="AO222" s="3">
        <f>SUMIF(MORTALIDAD!$Z:$Z,RESUMEN!AM222,MORTALIDAD!$AD:$AD)</f>
        <v>0</v>
      </c>
      <c r="AP222" s="19">
        <f t="shared" si="137"/>
        <v>-124</v>
      </c>
      <c r="AQ222" s="3">
        <f>SUMIF(MORTALIDAD!$Z:$Z,RESUMEN!AM222,MORTALIDAD!$AE:$AE)</f>
        <v>0</v>
      </c>
      <c r="AR222" s="3">
        <f>SUMIF(TRASLADOS!$AC:$AC,RESUMEN!AM222,TRASLADOS!$AF:$AF)</f>
        <v>0</v>
      </c>
      <c r="AS222" s="3">
        <f>SUMIF(TRASLADOS!$AC:$AC,RESUMEN!AM222,TRASLADOS!$AG:$AG)</f>
        <v>0</v>
      </c>
      <c r="AT222" s="3">
        <f>SUMIF(VENTAS!$Z:$Z,RESUMEN!AM222,VENTAS!$AD:$AD)</f>
        <v>0</v>
      </c>
      <c r="AU222" s="3">
        <f>SUMIF(VENTAS!$Z:$Z,RESUMEN!AM222,VENTAS!$AE:$AE)</f>
        <v>0</v>
      </c>
      <c r="AV222" s="97">
        <f t="shared" si="138"/>
        <v>2076</v>
      </c>
      <c r="AW222" s="96"/>
      <c r="AX222" s="99">
        <f t="shared" si="127"/>
        <v>33</v>
      </c>
      <c r="AY222" s="11">
        <f t="shared" si="139"/>
        <v>43490</v>
      </c>
      <c r="AZ222" s="3">
        <f t="shared" si="139"/>
        <v>229</v>
      </c>
      <c r="BA222" s="3">
        <f>SUMIF(MORTALIDAD!$AH:$AH,RESUMEN!AY222,MORTALIDAD!$AL:$AL)</f>
        <v>0</v>
      </c>
      <c r="BB222" s="19">
        <f t="shared" si="140"/>
        <v>-119</v>
      </c>
      <c r="BC222" s="3">
        <f>SUMIF(MORTALIDAD!$AH:$AH,RESUMEN!AY222,MORTALIDAD!$AM:$AM)</f>
        <v>0</v>
      </c>
      <c r="BD222" s="3">
        <f>SUMIF(TRASLADOS!$AL:$AL,RESUMEN!AY222,TRASLADOS!$AO:$AO)</f>
        <v>0</v>
      </c>
      <c r="BE222" s="3">
        <f>SUMIF(TRASLADOS!$AL:$AL,RESUMEN!AY222,TRASLADOS!$AP:$AP)</f>
        <v>0</v>
      </c>
      <c r="BF222" s="3">
        <f>SUMIF(VENTAS!$AH:$AH,RESUMEN!AY222,VENTAS!$AL:$AL)</f>
        <v>0</v>
      </c>
      <c r="BG222" s="3">
        <f>SUMIF(VENTAS!$AH:$AH,RESUMEN!AY222,VENTAS!$AM:$AM)</f>
        <v>0</v>
      </c>
      <c r="BH222" s="97">
        <f t="shared" si="141"/>
        <v>2081</v>
      </c>
      <c r="BI222" s="96"/>
      <c r="BJ222" s="99">
        <f t="shared" si="128"/>
        <v>34</v>
      </c>
      <c r="BK222" s="11">
        <f t="shared" si="142"/>
        <v>43499</v>
      </c>
      <c r="BL222" s="3">
        <f t="shared" si="142"/>
        <v>232</v>
      </c>
      <c r="BM222" s="3">
        <f>SUMIF(MORTALIDAD!$AP:$AP,RESUMEN!BK222,MORTALIDAD!$AT:$AT)</f>
        <v>0</v>
      </c>
      <c r="BN222" s="19">
        <f t="shared" si="143"/>
        <v>-73</v>
      </c>
      <c r="BO222" s="3">
        <f>SUMIF(MORTALIDAD!$AP$6:$AP$200,RESUMEN!BK222,MORTALIDAD!$AU$6:$AU$200)</f>
        <v>0</v>
      </c>
      <c r="BP222" s="3">
        <f>SUMIF(TRASLADOS!$AU:$AU,RESUMEN!BK222,TRASLADOS!$AX:$AX)</f>
        <v>0</v>
      </c>
      <c r="BQ222" s="3">
        <f>SUMIF(TRASLADOS!$AU:$AU,RESUMEN!BK222,TRASLADOS!$AY:$AY)</f>
        <v>0</v>
      </c>
      <c r="BR222" s="3">
        <f>SUMIF(VENTAS!$AP:$AP,RESUMEN!BK222,VENTAS!$AT:$AT)</f>
        <v>0</v>
      </c>
      <c r="BS222" s="3">
        <f>SUMIF(VENTAS!$AP:$AP,RESUMEN!BK222,VENTAS!$AU:$AU)</f>
        <v>0</v>
      </c>
      <c r="BT222" s="36">
        <f t="shared" si="144"/>
        <v>2241</v>
      </c>
    </row>
    <row r="223" spans="2:72" x14ac:dyDescent="0.2">
      <c r="B223" s="3">
        <f t="shared" si="123"/>
        <v>34</v>
      </c>
      <c r="C223" s="11">
        <f t="shared" si="115"/>
        <v>43470</v>
      </c>
      <c r="D223" s="3">
        <f t="shared" si="116"/>
        <v>232</v>
      </c>
      <c r="E223" s="3">
        <f>SUMIF(MORTALIDAD!$B$6:$B$200,RESUMEN!C223,MORTALIDAD!$F$6:$F$200)</f>
        <v>0</v>
      </c>
      <c r="F223" s="17">
        <f t="shared" si="117"/>
        <v>-740</v>
      </c>
      <c r="G223" s="3">
        <f>SUMIF(MORTALIDAD!$B$6:$B$200,RESUMEN!C223,MORTALIDAD!$G$6:$G$200)</f>
        <v>0</v>
      </c>
      <c r="H223" s="3">
        <f>SUMIF(TRASLADOS!$B$6:$B$200,C223,TRASLADOS!$E$6:$E$200)</f>
        <v>0</v>
      </c>
      <c r="I223" s="3">
        <f>SUMIF(TRASLADOS!$B$6:$B$200,C223,TRASLADOS!$F$6:$F$200)</f>
        <v>0</v>
      </c>
      <c r="J223" s="3">
        <f>SUMIF(VENTAS!$B$6:$B$200,RESUMEN!C223,VENTAS!$F$6:$F$200)</f>
        <v>0</v>
      </c>
      <c r="K223" s="3">
        <f>SUMIF(VENTAS!$B$6:$B$200,RESUMEN!C223,VENTAS!$G$6:$G$200)</f>
        <v>0</v>
      </c>
      <c r="L223" s="97">
        <f t="shared" si="129"/>
        <v>1460</v>
      </c>
      <c r="M223" s="96"/>
      <c r="N223" s="99">
        <f t="shared" si="124"/>
        <v>33</v>
      </c>
      <c r="O223" s="11">
        <f t="shared" si="130"/>
        <v>43473</v>
      </c>
      <c r="P223" s="3">
        <f t="shared" si="130"/>
        <v>231</v>
      </c>
      <c r="Q223" s="3">
        <f>SUMIF(MORTALIDAD!$J:$J,RESUMEN!O223,MORTALIDAD!$N:$N)</f>
        <v>0</v>
      </c>
      <c r="R223" s="19">
        <f t="shared" si="131"/>
        <v>-680</v>
      </c>
      <c r="S223" s="3">
        <f>SUMIF(MORTALIDAD!$J:$J,RESUMEN!O223,MORTALIDAD!$O:$O)</f>
        <v>0</v>
      </c>
      <c r="T223" s="3">
        <f>SUMIF(TRASLADOS!$K:$K,RESUMEN!O223,TRASLADOS!$N:$N)</f>
        <v>0</v>
      </c>
      <c r="U223" s="3">
        <f>SUMIF(TRASLADOS!$K:$K,RESUMEN!O223,TRASLADOS!$O:$O)</f>
        <v>0</v>
      </c>
      <c r="V223" s="3">
        <f>SUMIF(VENTAS!$J:$J,RESUMEN!O223,VENTAS!$N:$N)</f>
        <v>0</v>
      </c>
      <c r="W223" s="3">
        <f>SUMIF(VENTAS!$J:$J,RESUMEN!O223,VENTAS!$O:$O)</f>
        <v>0</v>
      </c>
      <c r="X223" s="97">
        <f t="shared" si="132"/>
        <v>1520</v>
      </c>
      <c r="Y223" s="96"/>
      <c r="Z223" s="99">
        <f t="shared" si="125"/>
        <v>33</v>
      </c>
      <c r="AA223" s="11">
        <f t="shared" si="133"/>
        <v>43477</v>
      </c>
      <c r="AB223" s="3">
        <f t="shared" si="133"/>
        <v>230</v>
      </c>
      <c r="AC223" s="3">
        <f>SUMIF(MORTALIDAD!$R:$R,RESUMEN!AA223,MORTALIDAD!$V:$V)</f>
        <v>0</v>
      </c>
      <c r="AD223" s="19">
        <f t="shared" si="134"/>
        <v>-476</v>
      </c>
      <c r="AE223" s="3">
        <f>SUMIF(MORTALIDAD!$R:$R,RESUMEN!AA223,MORTALIDAD!$W:$W)</f>
        <v>0</v>
      </c>
      <c r="AF223" s="3">
        <f>SUMIF(TRASLADOS!$T:$T,RESUMEN!AA223,TRASLADOS!$W:$W)</f>
        <v>0</v>
      </c>
      <c r="AG223" s="3">
        <f>SUMIF(TRASLADOS!$T:$T,RESUMEN!AA223,TRASLADOS!$X:$X)</f>
        <v>0</v>
      </c>
      <c r="AH223" s="3">
        <f>SUMIF(VENTAS!$R:$R,RESUMEN!AA223,VENTAS!$V:$V)</f>
        <v>0</v>
      </c>
      <c r="AI223" s="3">
        <f>SUMIF(VENTAS!$R:$R,RESUMEN!AA223,VENTAS!$W:$W)</f>
        <v>0</v>
      </c>
      <c r="AJ223" s="97">
        <f t="shared" si="135"/>
        <v>1724</v>
      </c>
      <c r="AK223" s="96"/>
      <c r="AL223" s="99">
        <f t="shared" si="126"/>
        <v>33</v>
      </c>
      <c r="AM223" s="11">
        <f t="shared" si="136"/>
        <v>43484</v>
      </c>
      <c r="AN223" s="3">
        <f t="shared" si="136"/>
        <v>230</v>
      </c>
      <c r="AO223" s="3">
        <f>SUMIF(MORTALIDAD!$Z:$Z,RESUMEN!AM223,MORTALIDAD!$AD:$AD)</f>
        <v>0</v>
      </c>
      <c r="AP223" s="19">
        <f t="shared" si="137"/>
        <v>-124</v>
      </c>
      <c r="AQ223" s="3">
        <f>SUMIF(MORTALIDAD!$Z:$Z,RESUMEN!AM223,MORTALIDAD!$AE:$AE)</f>
        <v>0</v>
      </c>
      <c r="AR223" s="3">
        <f>SUMIF(TRASLADOS!$AC:$AC,RESUMEN!AM223,TRASLADOS!$AF:$AF)</f>
        <v>0</v>
      </c>
      <c r="AS223" s="3">
        <f>SUMIF(TRASLADOS!$AC:$AC,RESUMEN!AM223,TRASLADOS!$AG:$AG)</f>
        <v>0</v>
      </c>
      <c r="AT223" s="3">
        <f>SUMIF(VENTAS!$Z:$Z,RESUMEN!AM223,VENTAS!$AD:$AD)</f>
        <v>0</v>
      </c>
      <c r="AU223" s="3">
        <f>SUMIF(VENTAS!$Z:$Z,RESUMEN!AM223,VENTAS!$AE:$AE)</f>
        <v>0</v>
      </c>
      <c r="AV223" s="97">
        <f t="shared" si="138"/>
        <v>2076</v>
      </c>
      <c r="AW223" s="96"/>
      <c r="AX223" s="99">
        <f t="shared" si="127"/>
        <v>33</v>
      </c>
      <c r="AY223" s="11">
        <f t="shared" si="139"/>
        <v>43491</v>
      </c>
      <c r="AZ223" s="3">
        <f t="shared" si="139"/>
        <v>230</v>
      </c>
      <c r="BA223" s="3">
        <f>SUMIF(MORTALIDAD!$AH:$AH,RESUMEN!AY223,MORTALIDAD!$AL:$AL)</f>
        <v>0</v>
      </c>
      <c r="BB223" s="19">
        <f t="shared" si="140"/>
        <v>-119</v>
      </c>
      <c r="BC223" s="3">
        <f>SUMIF(MORTALIDAD!$AH:$AH,RESUMEN!AY223,MORTALIDAD!$AM:$AM)</f>
        <v>0</v>
      </c>
      <c r="BD223" s="3">
        <f>SUMIF(TRASLADOS!$AL:$AL,RESUMEN!AY223,TRASLADOS!$AO:$AO)</f>
        <v>0</v>
      </c>
      <c r="BE223" s="3">
        <f>SUMIF(TRASLADOS!$AL:$AL,RESUMEN!AY223,TRASLADOS!$AP:$AP)</f>
        <v>0</v>
      </c>
      <c r="BF223" s="3">
        <f>SUMIF(VENTAS!$AH:$AH,RESUMEN!AY223,VENTAS!$AL:$AL)</f>
        <v>0</v>
      </c>
      <c r="BG223" s="3">
        <f>SUMIF(VENTAS!$AH:$AH,RESUMEN!AY223,VENTAS!$AM:$AM)</f>
        <v>0</v>
      </c>
      <c r="BH223" s="97">
        <f t="shared" si="141"/>
        <v>2081</v>
      </c>
      <c r="BI223" s="96"/>
      <c r="BJ223" s="99">
        <f t="shared" si="128"/>
        <v>34</v>
      </c>
      <c r="BK223" s="11">
        <f t="shared" si="142"/>
        <v>43500</v>
      </c>
      <c r="BL223" s="3">
        <f t="shared" si="142"/>
        <v>233</v>
      </c>
      <c r="BM223" s="3">
        <f>SUMIF(MORTALIDAD!$AP:$AP,RESUMEN!BK223,MORTALIDAD!$AT:$AT)</f>
        <v>0</v>
      </c>
      <c r="BN223" s="19">
        <f t="shared" si="143"/>
        <v>-73</v>
      </c>
      <c r="BO223" s="3">
        <f>SUMIF(MORTALIDAD!$AP$6:$AP$200,RESUMEN!BK223,MORTALIDAD!$AU$6:$AU$200)</f>
        <v>0</v>
      </c>
      <c r="BP223" s="3">
        <f>SUMIF(TRASLADOS!$AU:$AU,RESUMEN!BK223,TRASLADOS!$AX:$AX)</f>
        <v>0</v>
      </c>
      <c r="BQ223" s="3">
        <f>SUMIF(TRASLADOS!$AU:$AU,RESUMEN!BK223,TRASLADOS!$AY:$AY)</f>
        <v>0</v>
      </c>
      <c r="BR223" s="3">
        <f>SUMIF(VENTAS!$AP:$AP,RESUMEN!BK223,VENTAS!$AT:$AT)</f>
        <v>0</v>
      </c>
      <c r="BS223" s="3">
        <f>SUMIF(VENTAS!$AP:$AP,RESUMEN!BK223,VENTAS!$AU:$AU)</f>
        <v>0</v>
      </c>
      <c r="BT223" s="36">
        <f t="shared" si="144"/>
        <v>2241</v>
      </c>
    </row>
    <row r="224" spans="2:72" x14ac:dyDescent="0.2">
      <c r="B224" s="3">
        <f t="shared" si="123"/>
        <v>34</v>
      </c>
      <c r="C224" s="11">
        <f t="shared" si="115"/>
        <v>43471</v>
      </c>
      <c r="D224" s="3">
        <f t="shared" si="116"/>
        <v>233</v>
      </c>
      <c r="E224" s="3">
        <f>SUMIF(MORTALIDAD!$B$6:$B$200,RESUMEN!C224,MORTALIDAD!$F$6:$F$200)</f>
        <v>0</v>
      </c>
      <c r="F224" s="17">
        <f t="shared" si="117"/>
        <v>-740</v>
      </c>
      <c r="G224" s="3">
        <f>SUMIF(MORTALIDAD!$B$6:$B$200,RESUMEN!C224,MORTALIDAD!$G$6:$G$200)</f>
        <v>0</v>
      </c>
      <c r="H224" s="3">
        <f>SUMIF(TRASLADOS!$B$6:$B$200,C224,TRASLADOS!$E$6:$E$200)</f>
        <v>0</v>
      </c>
      <c r="I224" s="3">
        <f>SUMIF(TRASLADOS!$B$6:$B$200,C224,TRASLADOS!$F$6:$F$200)</f>
        <v>0</v>
      </c>
      <c r="J224" s="3">
        <f>SUMIF(VENTAS!$B$6:$B$200,RESUMEN!C224,VENTAS!$F$6:$F$200)</f>
        <v>0</v>
      </c>
      <c r="K224" s="3">
        <f>SUMIF(VENTAS!$B$6:$B$200,RESUMEN!C224,VENTAS!$G$6:$G$200)</f>
        <v>0</v>
      </c>
      <c r="L224" s="97">
        <f t="shared" si="129"/>
        <v>1460</v>
      </c>
      <c r="M224" s="96"/>
      <c r="N224" s="99">
        <f t="shared" si="124"/>
        <v>34</v>
      </c>
      <c r="O224" s="11">
        <f t="shared" si="130"/>
        <v>43474</v>
      </c>
      <c r="P224" s="3">
        <f t="shared" si="130"/>
        <v>232</v>
      </c>
      <c r="Q224" s="3">
        <f>SUMIF(MORTALIDAD!$J:$J,RESUMEN!O224,MORTALIDAD!$N:$N)</f>
        <v>0</v>
      </c>
      <c r="R224" s="19">
        <f t="shared" si="131"/>
        <v>-680</v>
      </c>
      <c r="S224" s="3">
        <f>SUMIF(MORTALIDAD!$J:$J,RESUMEN!O224,MORTALIDAD!$O:$O)</f>
        <v>0</v>
      </c>
      <c r="T224" s="3">
        <f>SUMIF(TRASLADOS!$K:$K,RESUMEN!O224,TRASLADOS!$N:$N)</f>
        <v>0</v>
      </c>
      <c r="U224" s="3">
        <f>SUMIF(TRASLADOS!$K:$K,RESUMEN!O224,TRASLADOS!$O:$O)</f>
        <v>0</v>
      </c>
      <c r="V224" s="3">
        <f>SUMIF(VENTAS!$J:$J,RESUMEN!O224,VENTAS!$N:$N)</f>
        <v>0</v>
      </c>
      <c r="W224" s="3">
        <f>SUMIF(VENTAS!$J:$J,RESUMEN!O224,VENTAS!$O:$O)</f>
        <v>0</v>
      </c>
      <c r="X224" s="97">
        <f t="shared" si="132"/>
        <v>1520</v>
      </c>
      <c r="Y224" s="96"/>
      <c r="Z224" s="99">
        <f t="shared" si="125"/>
        <v>33</v>
      </c>
      <c r="AA224" s="11">
        <f t="shared" si="133"/>
        <v>43478</v>
      </c>
      <c r="AB224" s="3">
        <f t="shared" si="133"/>
        <v>231</v>
      </c>
      <c r="AC224" s="3">
        <f>SUMIF(MORTALIDAD!$R:$R,RESUMEN!AA224,MORTALIDAD!$V:$V)</f>
        <v>0</v>
      </c>
      <c r="AD224" s="19">
        <f t="shared" si="134"/>
        <v>-476</v>
      </c>
      <c r="AE224" s="3">
        <f>SUMIF(MORTALIDAD!$R:$R,RESUMEN!AA224,MORTALIDAD!$W:$W)</f>
        <v>0</v>
      </c>
      <c r="AF224" s="3">
        <f>SUMIF(TRASLADOS!$T:$T,RESUMEN!AA224,TRASLADOS!$W:$W)</f>
        <v>0</v>
      </c>
      <c r="AG224" s="3">
        <f>SUMIF(TRASLADOS!$T:$T,RESUMEN!AA224,TRASLADOS!$X:$X)</f>
        <v>0</v>
      </c>
      <c r="AH224" s="3">
        <f>SUMIF(VENTAS!$R:$R,RESUMEN!AA224,VENTAS!$V:$V)</f>
        <v>0</v>
      </c>
      <c r="AI224" s="3">
        <f>SUMIF(VENTAS!$R:$R,RESUMEN!AA224,VENTAS!$W:$W)</f>
        <v>0</v>
      </c>
      <c r="AJ224" s="97">
        <f t="shared" si="135"/>
        <v>1724</v>
      </c>
      <c r="AK224" s="96"/>
      <c r="AL224" s="99">
        <f t="shared" si="126"/>
        <v>33</v>
      </c>
      <c r="AM224" s="11">
        <f t="shared" si="136"/>
        <v>43485</v>
      </c>
      <c r="AN224" s="3">
        <f t="shared" si="136"/>
        <v>231</v>
      </c>
      <c r="AO224" s="3">
        <f>SUMIF(MORTALIDAD!$Z:$Z,RESUMEN!AM224,MORTALIDAD!$AD:$AD)</f>
        <v>0</v>
      </c>
      <c r="AP224" s="19">
        <f t="shared" si="137"/>
        <v>-124</v>
      </c>
      <c r="AQ224" s="3">
        <f>SUMIF(MORTALIDAD!$Z:$Z,RESUMEN!AM224,MORTALIDAD!$AE:$AE)</f>
        <v>0</v>
      </c>
      <c r="AR224" s="3">
        <f>SUMIF(TRASLADOS!$AC:$AC,RESUMEN!AM224,TRASLADOS!$AF:$AF)</f>
        <v>0</v>
      </c>
      <c r="AS224" s="3">
        <f>SUMIF(TRASLADOS!$AC:$AC,RESUMEN!AM224,TRASLADOS!$AG:$AG)</f>
        <v>0</v>
      </c>
      <c r="AT224" s="3">
        <f>SUMIF(VENTAS!$Z:$Z,RESUMEN!AM224,VENTAS!$AD:$AD)</f>
        <v>0</v>
      </c>
      <c r="AU224" s="3">
        <f>SUMIF(VENTAS!$Z:$Z,RESUMEN!AM224,VENTAS!$AE:$AE)</f>
        <v>0</v>
      </c>
      <c r="AV224" s="97">
        <f t="shared" si="138"/>
        <v>2076</v>
      </c>
      <c r="AW224" s="96"/>
      <c r="AX224" s="99">
        <f t="shared" si="127"/>
        <v>33</v>
      </c>
      <c r="AY224" s="11">
        <f t="shared" si="139"/>
        <v>43492</v>
      </c>
      <c r="AZ224" s="3">
        <f t="shared" si="139"/>
        <v>231</v>
      </c>
      <c r="BA224" s="3">
        <f>SUMIF(MORTALIDAD!$AH:$AH,RESUMEN!AY224,MORTALIDAD!$AL:$AL)</f>
        <v>0</v>
      </c>
      <c r="BB224" s="19">
        <f t="shared" si="140"/>
        <v>-119</v>
      </c>
      <c r="BC224" s="3">
        <f>SUMIF(MORTALIDAD!$AH:$AH,RESUMEN!AY224,MORTALIDAD!$AM:$AM)</f>
        <v>0</v>
      </c>
      <c r="BD224" s="3">
        <f>SUMIF(TRASLADOS!$AL:$AL,RESUMEN!AY224,TRASLADOS!$AO:$AO)</f>
        <v>0</v>
      </c>
      <c r="BE224" s="3">
        <f>SUMIF(TRASLADOS!$AL:$AL,RESUMEN!AY224,TRASLADOS!$AP:$AP)</f>
        <v>0</v>
      </c>
      <c r="BF224" s="3">
        <f>SUMIF(VENTAS!$AH:$AH,RESUMEN!AY224,VENTAS!$AL:$AL)</f>
        <v>0</v>
      </c>
      <c r="BG224" s="3">
        <f>SUMIF(VENTAS!$AH:$AH,RESUMEN!AY224,VENTAS!$AM:$AM)</f>
        <v>0</v>
      </c>
      <c r="BH224" s="97">
        <f t="shared" si="141"/>
        <v>2081</v>
      </c>
      <c r="BI224" s="96"/>
      <c r="BJ224" s="99">
        <f t="shared" si="128"/>
        <v>34</v>
      </c>
      <c r="BK224" s="11">
        <f t="shared" si="142"/>
        <v>43501</v>
      </c>
      <c r="BL224" s="3">
        <f t="shared" si="142"/>
        <v>234</v>
      </c>
      <c r="BM224" s="3">
        <f>SUMIF(MORTALIDAD!$AP:$AP,RESUMEN!BK224,MORTALIDAD!$AT:$AT)</f>
        <v>0</v>
      </c>
      <c r="BN224" s="19">
        <f t="shared" si="143"/>
        <v>-73</v>
      </c>
      <c r="BO224" s="3">
        <f>SUMIF(MORTALIDAD!$AP$6:$AP$200,RESUMEN!BK224,MORTALIDAD!$AU$6:$AU$200)</f>
        <v>0</v>
      </c>
      <c r="BP224" s="3">
        <f>SUMIF(TRASLADOS!$AU:$AU,RESUMEN!BK224,TRASLADOS!$AX:$AX)</f>
        <v>0</v>
      </c>
      <c r="BQ224" s="3">
        <f>SUMIF(TRASLADOS!$AU:$AU,RESUMEN!BK224,TRASLADOS!$AY:$AY)</f>
        <v>0</v>
      </c>
      <c r="BR224" s="3">
        <f>SUMIF(VENTAS!$AP:$AP,RESUMEN!BK224,VENTAS!$AT:$AT)</f>
        <v>0</v>
      </c>
      <c r="BS224" s="3">
        <f>SUMIF(VENTAS!$AP:$AP,RESUMEN!BK224,VENTAS!$AU:$AU)</f>
        <v>0</v>
      </c>
      <c r="BT224" s="36">
        <f t="shared" si="144"/>
        <v>2241</v>
      </c>
    </row>
    <row r="225" spans="2:72" x14ac:dyDescent="0.2">
      <c r="B225" s="3">
        <f t="shared" si="123"/>
        <v>34</v>
      </c>
      <c r="C225" s="11">
        <f t="shared" si="115"/>
        <v>43472</v>
      </c>
      <c r="D225" s="3">
        <f t="shared" si="116"/>
        <v>234</v>
      </c>
      <c r="E225" s="3">
        <f>SUMIF(MORTALIDAD!$B$6:$B$200,RESUMEN!C225,MORTALIDAD!$F$6:$F$200)</f>
        <v>0</v>
      </c>
      <c r="F225" s="17">
        <f t="shared" si="117"/>
        <v>-740</v>
      </c>
      <c r="G225" s="3">
        <f>SUMIF(MORTALIDAD!$B$6:$B$200,RESUMEN!C225,MORTALIDAD!$G$6:$G$200)</f>
        <v>0</v>
      </c>
      <c r="H225" s="3">
        <f>SUMIF(TRASLADOS!$B$6:$B$200,C225,TRASLADOS!$E$6:$E$200)</f>
        <v>0</v>
      </c>
      <c r="I225" s="3">
        <f>SUMIF(TRASLADOS!$B$6:$B$200,C225,TRASLADOS!$F$6:$F$200)</f>
        <v>0</v>
      </c>
      <c r="J225" s="3">
        <f>SUMIF(VENTAS!$B$6:$B$200,RESUMEN!C225,VENTAS!$F$6:$F$200)</f>
        <v>0</v>
      </c>
      <c r="K225" s="3">
        <f>SUMIF(VENTAS!$B$6:$B$200,RESUMEN!C225,VENTAS!$G$6:$G$200)</f>
        <v>0</v>
      </c>
      <c r="L225" s="97">
        <f t="shared" si="129"/>
        <v>1460</v>
      </c>
      <c r="M225" s="96"/>
      <c r="N225" s="99">
        <f t="shared" si="124"/>
        <v>34</v>
      </c>
      <c r="O225" s="11">
        <f t="shared" ref="O225:P240" si="145">O224+1</f>
        <v>43475</v>
      </c>
      <c r="P225" s="3">
        <f t="shared" si="145"/>
        <v>233</v>
      </c>
      <c r="Q225" s="3">
        <f>SUMIF(MORTALIDAD!$J:$J,RESUMEN!O225,MORTALIDAD!$N:$N)</f>
        <v>0</v>
      </c>
      <c r="R225" s="19">
        <f t="shared" si="131"/>
        <v>-680</v>
      </c>
      <c r="S225" s="3">
        <f>SUMIF(MORTALIDAD!$J:$J,RESUMEN!O225,MORTALIDAD!$O:$O)</f>
        <v>0</v>
      </c>
      <c r="T225" s="3">
        <f>SUMIF(TRASLADOS!$K:$K,RESUMEN!O225,TRASLADOS!$N:$N)</f>
        <v>0</v>
      </c>
      <c r="U225" s="3">
        <f>SUMIF(TRASLADOS!$K:$K,RESUMEN!O225,TRASLADOS!$O:$O)</f>
        <v>0</v>
      </c>
      <c r="V225" s="3">
        <f>SUMIF(VENTAS!$J:$J,RESUMEN!O225,VENTAS!$N:$N)</f>
        <v>0</v>
      </c>
      <c r="W225" s="3">
        <f>SUMIF(VENTAS!$J:$J,RESUMEN!O225,VENTAS!$O:$O)</f>
        <v>0</v>
      </c>
      <c r="X225" s="97">
        <f t="shared" si="132"/>
        <v>1520</v>
      </c>
      <c r="Y225" s="96"/>
      <c r="Z225" s="99">
        <f t="shared" si="125"/>
        <v>34</v>
      </c>
      <c r="AA225" s="11">
        <f t="shared" ref="AA225:AB240" si="146">AA224+1</f>
        <v>43479</v>
      </c>
      <c r="AB225" s="3">
        <f t="shared" si="146"/>
        <v>232</v>
      </c>
      <c r="AC225" s="3">
        <f>SUMIF(MORTALIDAD!$R:$R,RESUMEN!AA225,MORTALIDAD!$V:$V)</f>
        <v>0</v>
      </c>
      <c r="AD225" s="19">
        <f t="shared" si="134"/>
        <v>-476</v>
      </c>
      <c r="AE225" s="3">
        <f>SUMIF(MORTALIDAD!$R:$R,RESUMEN!AA225,MORTALIDAD!$W:$W)</f>
        <v>0</v>
      </c>
      <c r="AF225" s="3">
        <f>SUMIF(TRASLADOS!$T:$T,RESUMEN!AA225,TRASLADOS!$W:$W)</f>
        <v>0</v>
      </c>
      <c r="AG225" s="3">
        <f>SUMIF(TRASLADOS!$T:$T,RESUMEN!AA225,TRASLADOS!$X:$X)</f>
        <v>0</v>
      </c>
      <c r="AH225" s="3">
        <f>SUMIF(VENTAS!$R:$R,RESUMEN!AA225,VENTAS!$V:$V)</f>
        <v>0</v>
      </c>
      <c r="AI225" s="3">
        <f>SUMIF(VENTAS!$R:$R,RESUMEN!AA225,VENTAS!$W:$W)</f>
        <v>0</v>
      </c>
      <c r="AJ225" s="97">
        <f t="shared" si="135"/>
        <v>1724</v>
      </c>
      <c r="AK225" s="96"/>
      <c r="AL225" s="99">
        <f t="shared" si="126"/>
        <v>34</v>
      </c>
      <c r="AM225" s="11">
        <f t="shared" ref="AM225:AN240" si="147">AM224+1</f>
        <v>43486</v>
      </c>
      <c r="AN225" s="3">
        <f t="shared" si="147"/>
        <v>232</v>
      </c>
      <c r="AO225" s="3">
        <f>SUMIF(MORTALIDAD!$Z:$Z,RESUMEN!AM225,MORTALIDAD!$AD:$AD)</f>
        <v>0</v>
      </c>
      <c r="AP225" s="19">
        <f t="shared" si="137"/>
        <v>-124</v>
      </c>
      <c r="AQ225" s="3">
        <f>SUMIF(MORTALIDAD!$Z:$Z,RESUMEN!AM225,MORTALIDAD!$AE:$AE)</f>
        <v>0</v>
      </c>
      <c r="AR225" s="3">
        <f>SUMIF(TRASLADOS!$AC:$AC,RESUMEN!AM225,TRASLADOS!$AF:$AF)</f>
        <v>0</v>
      </c>
      <c r="AS225" s="3">
        <f>SUMIF(TRASLADOS!$AC:$AC,RESUMEN!AM225,TRASLADOS!$AG:$AG)</f>
        <v>0</v>
      </c>
      <c r="AT225" s="3">
        <f>SUMIF(VENTAS!$Z:$Z,RESUMEN!AM225,VENTAS!$AD:$AD)</f>
        <v>0</v>
      </c>
      <c r="AU225" s="3">
        <f>SUMIF(VENTAS!$Z:$Z,RESUMEN!AM225,VENTAS!$AE:$AE)</f>
        <v>0</v>
      </c>
      <c r="AV225" s="97">
        <f t="shared" si="138"/>
        <v>2076</v>
      </c>
      <c r="AW225" s="96"/>
      <c r="AX225" s="99">
        <f t="shared" si="127"/>
        <v>34</v>
      </c>
      <c r="AY225" s="11">
        <f t="shared" ref="AY225:AZ240" si="148">AY224+1</f>
        <v>43493</v>
      </c>
      <c r="AZ225" s="3">
        <f t="shared" si="148"/>
        <v>232</v>
      </c>
      <c r="BA225" s="3">
        <f>SUMIF(MORTALIDAD!$AH:$AH,RESUMEN!AY225,MORTALIDAD!$AL:$AL)</f>
        <v>0</v>
      </c>
      <c r="BB225" s="19">
        <f t="shared" si="140"/>
        <v>-119</v>
      </c>
      <c r="BC225" s="3">
        <f>SUMIF(MORTALIDAD!$AH:$AH,RESUMEN!AY225,MORTALIDAD!$AM:$AM)</f>
        <v>0</v>
      </c>
      <c r="BD225" s="3">
        <f>SUMIF(TRASLADOS!$AL:$AL,RESUMEN!AY225,TRASLADOS!$AO:$AO)</f>
        <v>0</v>
      </c>
      <c r="BE225" s="3">
        <f>SUMIF(TRASLADOS!$AL:$AL,RESUMEN!AY225,TRASLADOS!$AP:$AP)</f>
        <v>0</v>
      </c>
      <c r="BF225" s="3">
        <f>SUMIF(VENTAS!$AH:$AH,RESUMEN!AY225,VENTAS!$AL:$AL)</f>
        <v>0</v>
      </c>
      <c r="BG225" s="3">
        <f>SUMIF(VENTAS!$AH:$AH,RESUMEN!AY225,VENTAS!$AM:$AM)</f>
        <v>0</v>
      </c>
      <c r="BH225" s="97">
        <f t="shared" si="141"/>
        <v>2081</v>
      </c>
      <c r="BI225" s="96"/>
      <c r="BJ225" s="99">
        <f t="shared" si="128"/>
        <v>34</v>
      </c>
      <c r="BK225" s="11">
        <f t="shared" ref="BK225:BL240" si="149">BK224+1</f>
        <v>43502</v>
      </c>
      <c r="BL225" s="3">
        <f t="shared" si="149"/>
        <v>235</v>
      </c>
      <c r="BM225" s="3">
        <f>SUMIF(MORTALIDAD!$AP:$AP,RESUMEN!BK225,MORTALIDAD!$AT:$AT)</f>
        <v>0</v>
      </c>
      <c r="BN225" s="19">
        <f t="shared" si="143"/>
        <v>-73</v>
      </c>
      <c r="BO225" s="3">
        <f>SUMIF(MORTALIDAD!$AP$6:$AP$200,RESUMEN!BK225,MORTALIDAD!$AU$6:$AU$200)</f>
        <v>0</v>
      </c>
      <c r="BP225" s="3">
        <f>SUMIF(TRASLADOS!$AU:$AU,RESUMEN!BK225,TRASLADOS!$AX:$AX)</f>
        <v>0</v>
      </c>
      <c r="BQ225" s="3">
        <f>SUMIF(TRASLADOS!$AU:$AU,RESUMEN!BK225,TRASLADOS!$AY:$AY)</f>
        <v>0</v>
      </c>
      <c r="BR225" s="3">
        <f>SUMIF(VENTAS!$AP:$AP,RESUMEN!BK225,VENTAS!$AT:$AT)</f>
        <v>0</v>
      </c>
      <c r="BS225" s="3">
        <f>SUMIF(VENTAS!$AP:$AP,RESUMEN!BK225,VENTAS!$AU:$AU)</f>
        <v>0</v>
      </c>
      <c r="BT225" s="36">
        <f t="shared" si="144"/>
        <v>2241</v>
      </c>
    </row>
    <row r="226" spans="2:72" x14ac:dyDescent="0.2">
      <c r="B226" s="3">
        <f t="shared" si="123"/>
        <v>34</v>
      </c>
      <c r="C226" s="11">
        <f t="shared" si="115"/>
        <v>43473</v>
      </c>
      <c r="D226" s="3">
        <f t="shared" si="116"/>
        <v>235</v>
      </c>
      <c r="E226" s="3">
        <f>SUMIF(MORTALIDAD!$B$6:$B$200,RESUMEN!C226,MORTALIDAD!$F$6:$F$200)</f>
        <v>0</v>
      </c>
      <c r="F226" s="17">
        <f t="shared" si="117"/>
        <v>-740</v>
      </c>
      <c r="G226" s="3">
        <f>SUMIF(MORTALIDAD!$B$6:$B$200,RESUMEN!C226,MORTALIDAD!$G$6:$G$200)</f>
        <v>0</v>
      </c>
      <c r="H226" s="3">
        <f>SUMIF(TRASLADOS!$B$6:$B$200,C226,TRASLADOS!$E$6:$E$200)</f>
        <v>0</v>
      </c>
      <c r="I226" s="3">
        <f>SUMIF(TRASLADOS!$B$6:$B$200,C226,TRASLADOS!$F$6:$F$200)</f>
        <v>0</v>
      </c>
      <c r="J226" s="3">
        <f>SUMIF(VENTAS!$B$6:$B$200,RESUMEN!C226,VENTAS!$F$6:$F$200)</f>
        <v>0</v>
      </c>
      <c r="K226" s="3">
        <f>SUMIF(VENTAS!$B$6:$B$200,RESUMEN!C226,VENTAS!$G$6:$G$200)</f>
        <v>0</v>
      </c>
      <c r="L226" s="97">
        <f t="shared" si="129"/>
        <v>1460</v>
      </c>
      <c r="M226" s="96"/>
      <c r="N226" s="99">
        <f t="shared" si="124"/>
        <v>34</v>
      </c>
      <c r="O226" s="11">
        <f t="shared" si="145"/>
        <v>43476</v>
      </c>
      <c r="P226" s="3">
        <f t="shared" si="145"/>
        <v>234</v>
      </c>
      <c r="Q226" s="3">
        <f>SUMIF(MORTALIDAD!$J:$J,RESUMEN!O226,MORTALIDAD!$N:$N)</f>
        <v>0</v>
      </c>
      <c r="R226" s="19">
        <f t="shared" si="131"/>
        <v>-680</v>
      </c>
      <c r="S226" s="3">
        <f>SUMIF(MORTALIDAD!$J:$J,RESUMEN!O226,MORTALIDAD!$O:$O)</f>
        <v>0</v>
      </c>
      <c r="T226" s="3">
        <f>SUMIF(TRASLADOS!$K:$K,RESUMEN!O226,TRASLADOS!$N:$N)</f>
        <v>0</v>
      </c>
      <c r="U226" s="3">
        <f>SUMIF(TRASLADOS!$K:$K,RESUMEN!O226,TRASLADOS!$O:$O)</f>
        <v>0</v>
      </c>
      <c r="V226" s="3">
        <f>SUMIF(VENTAS!$J:$J,RESUMEN!O226,VENTAS!$N:$N)</f>
        <v>0</v>
      </c>
      <c r="W226" s="3">
        <f>SUMIF(VENTAS!$J:$J,RESUMEN!O226,VENTAS!$O:$O)</f>
        <v>0</v>
      </c>
      <c r="X226" s="97">
        <f t="shared" si="132"/>
        <v>1520</v>
      </c>
      <c r="Y226" s="96"/>
      <c r="Z226" s="99">
        <f t="shared" si="125"/>
        <v>34</v>
      </c>
      <c r="AA226" s="11">
        <f t="shared" si="146"/>
        <v>43480</v>
      </c>
      <c r="AB226" s="3">
        <f t="shared" si="146"/>
        <v>233</v>
      </c>
      <c r="AC226" s="3">
        <f>SUMIF(MORTALIDAD!$R:$R,RESUMEN!AA226,MORTALIDAD!$V:$V)</f>
        <v>0</v>
      </c>
      <c r="AD226" s="19">
        <f t="shared" si="134"/>
        <v>-476</v>
      </c>
      <c r="AE226" s="3">
        <f>SUMIF(MORTALIDAD!$R:$R,RESUMEN!AA226,MORTALIDAD!$W:$W)</f>
        <v>0</v>
      </c>
      <c r="AF226" s="3">
        <f>SUMIF(TRASLADOS!$T:$T,RESUMEN!AA226,TRASLADOS!$W:$W)</f>
        <v>0</v>
      </c>
      <c r="AG226" s="3">
        <f>SUMIF(TRASLADOS!$T:$T,RESUMEN!AA226,TRASLADOS!$X:$X)</f>
        <v>0</v>
      </c>
      <c r="AH226" s="3">
        <f>SUMIF(VENTAS!$R:$R,RESUMEN!AA226,VENTAS!$V:$V)</f>
        <v>0</v>
      </c>
      <c r="AI226" s="3">
        <f>SUMIF(VENTAS!$R:$R,RESUMEN!AA226,VENTAS!$W:$W)</f>
        <v>0</v>
      </c>
      <c r="AJ226" s="97">
        <f t="shared" si="135"/>
        <v>1724</v>
      </c>
      <c r="AK226" s="96"/>
      <c r="AL226" s="99">
        <f t="shared" si="126"/>
        <v>34</v>
      </c>
      <c r="AM226" s="11">
        <f t="shared" si="147"/>
        <v>43487</v>
      </c>
      <c r="AN226" s="3">
        <f t="shared" si="147"/>
        <v>233</v>
      </c>
      <c r="AO226" s="3">
        <f>SUMIF(MORTALIDAD!$Z:$Z,RESUMEN!AM226,MORTALIDAD!$AD:$AD)</f>
        <v>0</v>
      </c>
      <c r="AP226" s="19">
        <f t="shared" si="137"/>
        <v>-124</v>
      </c>
      <c r="AQ226" s="3">
        <f>SUMIF(MORTALIDAD!$Z:$Z,RESUMEN!AM226,MORTALIDAD!$AE:$AE)</f>
        <v>0</v>
      </c>
      <c r="AR226" s="3">
        <f>SUMIF(TRASLADOS!$AC:$AC,RESUMEN!AM226,TRASLADOS!$AF:$AF)</f>
        <v>0</v>
      </c>
      <c r="AS226" s="3">
        <f>SUMIF(TRASLADOS!$AC:$AC,RESUMEN!AM226,TRASLADOS!$AG:$AG)</f>
        <v>0</v>
      </c>
      <c r="AT226" s="3">
        <f>SUMIF(VENTAS!$Z:$Z,RESUMEN!AM226,VENTAS!$AD:$AD)</f>
        <v>0</v>
      </c>
      <c r="AU226" s="3">
        <f>SUMIF(VENTAS!$Z:$Z,RESUMEN!AM226,VENTAS!$AE:$AE)</f>
        <v>0</v>
      </c>
      <c r="AV226" s="97">
        <f t="shared" si="138"/>
        <v>2076</v>
      </c>
      <c r="AW226" s="96"/>
      <c r="AX226" s="99">
        <f t="shared" si="127"/>
        <v>34</v>
      </c>
      <c r="AY226" s="11">
        <f t="shared" si="148"/>
        <v>43494</v>
      </c>
      <c r="AZ226" s="3">
        <f t="shared" si="148"/>
        <v>233</v>
      </c>
      <c r="BA226" s="3">
        <f>SUMIF(MORTALIDAD!$AH:$AH,RESUMEN!AY226,MORTALIDAD!$AL:$AL)</f>
        <v>0</v>
      </c>
      <c r="BB226" s="19">
        <f t="shared" si="140"/>
        <v>-119</v>
      </c>
      <c r="BC226" s="3">
        <f>SUMIF(MORTALIDAD!$AH:$AH,RESUMEN!AY226,MORTALIDAD!$AM:$AM)</f>
        <v>0</v>
      </c>
      <c r="BD226" s="3">
        <f>SUMIF(TRASLADOS!$AL:$AL,RESUMEN!AY226,TRASLADOS!$AO:$AO)</f>
        <v>0</v>
      </c>
      <c r="BE226" s="3">
        <f>SUMIF(TRASLADOS!$AL:$AL,RESUMEN!AY226,TRASLADOS!$AP:$AP)</f>
        <v>0</v>
      </c>
      <c r="BF226" s="3">
        <f>SUMIF(VENTAS!$AH:$AH,RESUMEN!AY226,VENTAS!$AL:$AL)</f>
        <v>0</v>
      </c>
      <c r="BG226" s="3">
        <f>SUMIF(VENTAS!$AH:$AH,RESUMEN!AY226,VENTAS!$AM:$AM)</f>
        <v>0</v>
      </c>
      <c r="BH226" s="97">
        <f t="shared" si="141"/>
        <v>2081</v>
      </c>
      <c r="BI226" s="96"/>
      <c r="BJ226" s="99">
        <f t="shared" si="128"/>
        <v>34</v>
      </c>
      <c r="BK226" s="11">
        <f t="shared" si="149"/>
        <v>43503</v>
      </c>
      <c r="BL226" s="3">
        <f t="shared" si="149"/>
        <v>236</v>
      </c>
      <c r="BM226" s="3">
        <f>SUMIF(MORTALIDAD!$AP:$AP,RESUMEN!BK226,MORTALIDAD!$AT:$AT)</f>
        <v>0</v>
      </c>
      <c r="BN226" s="19">
        <f t="shared" si="143"/>
        <v>-73</v>
      </c>
      <c r="BO226" s="3">
        <f>SUMIF(MORTALIDAD!$AP$6:$AP$200,RESUMEN!BK226,MORTALIDAD!$AU$6:$AU$200)</f>
        <v>0</v>
      </c>
      <c r="BP226" s="3">
        <f>SUMIF(TRASLADOS!$AU:$AU,RESUMEN!BK226,TRASLADOS!$AX:$AX)</f>
        <v>0</v>
      </c>
      <c r="BQ226" s="3">
        <f>SUMIF(TRASLADOS!$AU:$AU,RESUMEN!BK226,TRASLADOS!$AY:$AY)</f>
        <v>0</v>
      </c>
      <c r="BR226" s="3">
        <f>SUMIF(VENTAS!$AP:$AP,RESUMEN!BK226,VENTAS!$AT:$AT)</f>
        <v>0</v>
      </c>
      <c r="BS226" s="3">
        <f>SUMIF(VENTAS!$AP:$AP,RESUMEN!BK226,VENTAS!$AU:$AU)</f>
        <v>0</v>
      </c>
      <c r="BT226" s="36">
        <f t="shared" si="144"/>
        <v>2241</v>
      </c>
    </row>
    <row r="227" spans="2:72" x14ac:dyDescent="0.2">
      <c r="B227" s="3">
        <f t="shared" si="123"/>
        <v>34</v>
      </c>
      <c r="C227" s="11">
        <f t="shared" si="115"/>
        <v>43474</v>
      </c>
      <c r="D227" s="3">
        <f t="shared" si="116"/>
        <v>236</v>
      </c>
      <c r="E227" s="3">
        <f>SUMIF(MORTALIDAD!$B$6:$B$200,RESUMEN!C227,MORTALIDAD!$F$6:$F$200)</f>
        <v>0</v>
      </c>
      <c r="F227" s="17">
        <f t="shared" si="117"/>
        <v>-740</v>
      </c>
      <c r="G227" s="3">
        <f>SUMIF(MORTALIDAD!$B$6:$B$200,RESUMEN!C227,MORTALIDAD!$G$6:$G$200)</f>
        <v>0</v>
      </c>
      <c r="H227" s="3">
        <f>SUMIF(TRASLADOS!$B$6:$B$200,C227,TRASLADOS!$E$6:$E$200)</f>
        <v>0</v>
      </c>
      <c r="I227" s="3">
        <f>SUMIF(TRASLADOS!$B$6:$B$200,C227,TRASLADOS!$F$6:$F$200)</f>
        <v>0</v>
      </c>
      <c r="J227" s="3">
        <f>SUMIF(VENTAS!$B$6:$B$200,RESUMEN!C227,VENTAS!$F$6:$F$200)</f>
        <v>0</v>
      </c>
      <c r="K227" s="3">
        <f>SUMIF(VENTAS!$B$6:$B$200,RESUMEN!C227,VENTAS!$G$6:$G$200)</f>
        <v>0</v>
      </c>
      <c r="L227" s="97">
        <f t="shared" si="129"/>
        <v>1460</v>
      </c>
      <c r="M227" s="96"/>
      <c r="N227" s="99">
        <f t="shared" si="124"/>
        <v>34</v>
      </c>
      <c r="O227" s="11">
        <f t="shared" si="145"/>
        <v>43477</v>
      </c>
      <c r="P227" s="3">
        <f t="shared" si="145"/>
        <v>235</v>
      </c>
      <c r="Q227" s="3">
        <f>SUMIF(MORTALIDAD!$J:$J,RESUMEN!O227,MORTALIDAD!$N:$N)</f>
        <v>0</v>
      </c>
      <c r="R227" s="19">
        <f t="shared" si="131"/>
        <v>-680</v>
      </c>
      <c r="S227" s="3">
        <f>SUMIF(MORTALIDAD!$J:$J,RESUMEN!O227,MORTALIDAD!$O:$O)</f>
        <v>0</v>
      </c>
      <c r="T227" s="3">
        <f>SUMIF(TRASLADOS!$K:$K,RESUMEN!O227,TRASLADOS!$N:$N)</f>
        <v>0</v>
      </c>
      <c r="U227" s="3">
        <f>SUMIF(TRASLADOS!$K:$K,RESUMEN!O227,TRASLADOS!$O:$O)</f>
        <v>0</v>
      </c>
      <c r="V227" s="3">
        <f>SUMIF(VENTAS!$J:$J,RESUMEN!O227,VENTAS!$N:$N)</f>
        <v>0</v>
      </c>
      <c r="W227" s="3">
        <f>SUMIF(VENTAS!$J:$J,RESUMEN!O227,VENTAS!$O:$O)</f>
        <v>0</v>
      </c>
      <c r="X227" s="97">
        <f t="shared" si="132"/>
        <v>1520</v>
      </c>
      <c r="Y227" s="96"/>
      <c r="Z227" s="99">
        <f t="shared" si="125"/>
        <v>34</v>
      </c>
      <c r="AA227" s="11">
        <f t="shared" si="146"/>
        <v>43481</v>
      </c>
      <c r="AB227" s="3">
        <f t="shared" si="146"/>
        <v>234</v>
      </c>
      <c r="AC227" s="3">
        <f>SUMIF(MORTALIDAD!$R:$R,RESUMEN!AA227,MORTALIDAD!$V:$V)</f>
        <v>0</v>
      </c>
      <c r="AD227" s="19">
        <f t="shared" si="134"/>
        <v>-476</v>
      </c>
      <c r="AE227" s="3">
        <f>SUMIF(MORTALIDAD!$R:$R,RESUMEN!AA227,MORTALIDAD!$W:$W)</f>
        <v>0</v>
      </c>
      <c r="AF227" s="3">
        <f>SUMIF(TRASLADOS!$T:$T,RESUMEN!AA227,TRASLADOS!$W:$W)</f>
        <v>0</v>
      </c>
      <c r="AG227" s="3">
        <f>SUMIF(TRASLADOS!$T:$T,RESUMEN!AA227,TRASLADOS!$X:$X)</f>
        <v>0</v>
      </c>
      <c r="AH227" s="3">
        <f>SUMIF(VENTAS!$R:$R,RESUMEN!AA227,VENTAS!$V:$V)</f>
        <v>0</v>
      </c>
      <c r="AI227" s="3">
        <f>SUMIF(VENTAS!$R:$R,RESUMEN!AA227,VENTAS!$W:$W)</f>
        <v>0</v>
      </c>
      <c r="AJ227" s="97">
        <f t="shared" si="135"/>
        <v>1724</v>
      </c>
      <c r="AK227" s="96"/>
      <c r="AL227" s="99">
        <f t="shared" si="126"/>
        <v>34</v>
      </c>
      <c r="AM227" s="11">
        <f t="shared" si="147"/>
        <v>43488</v>
      </c>
      <c r="AN227" s="3">
        <f t="shared" si="147"/>
        <v>234</v>
      </c>
      <c r="AO227" s="3">
        <f>SUMIF(MORTALIDAD!$Z:$Z,RESUMEN!AM227,MORTALIDAD!$AD:$AD)</f>
        <v>0</v>
      </c>
      <c r="AP227" s="19">
        <f t="shared" si="137"/>
        <v>-124</v>
      </c>
      <c r="AQ227" s="3">
        <f>SUMIF(MORTALIDAD!$Z:$Z,RESUMEN!AM227,MORTALIDAD!$AE:$AE)</f>
        <v>0</v>
      </c>
      <c r="AR227" s="3">
        <f>SUMIF(TRASLADOS!$AC:$AC,RESUMEN!AM227,TRASLADOS!$AF:$AF)</f>
        <v>0</v>
      </c>
      <c r="AS227" s="3">
        <f>SUMIF(TRASLADOS!$AC:$AC,RESUMEN!AM227,TRASLADOS!$AG:$AG)</f>
        <v>0</v>
      </c>
      <c r="AT227" s="3">
        <f>SUMIF(VENTAS!$Z:$Z,RESUMEN!AM227,VENTAS!$AD:$AD)</f>
        <v>0</v>
      </c>
      <c r="AU227" s="3">
        <f>SUMIF(VENTAS!$Z:$Z,RESUMEN!AM227,VENTAS!$AE:$AE)</f>
        <v>0</v>
      </c>
      <c r="AV227" s="97">
        <f t="shared" si="138"/>
        <v>2076</v>
      </c>
      <c r="AW227" s="96"/>
      <c r="AX227" s="99">
        <f t="shared" si="127"/>
        <v>34</v>
      </c>
      <c r="AY227" s="11">
        <f t="shared" si="148"/>
        <v>43495</v>
      </c>
      <c r="AZ227" s="3">
        <f t="shared" si="148"/>
        <v>234</v>
      </c>
      <c r="BA227" s="3">
        <f>SUMIF(MORTALIDAD!$AH:$AH,RESUMEN!AY227,MORTALIDAD!$AL:$AL)</f>
        <v>0</v>
      </c>
      <c r="BB227" s="19">
        <f t="shared" si="140"/>
        <v>-119</v>
      </c>
      <c r="BC227" s="3">
        <f>SUMIF(MORTALIDAD!$AH:$AH,RESUMEN!AY227,MORTALIDAD!$AM:$AM)</f>
        <v>0</v>
      </c>
      <c r="BD227" s="3">
        <f>SUMIF(TRASLADOS!$AL:$AL,RESUMEN!AY227,TRASLADOS!$AO:$AO)</f>
        <v>0</v>
      </c>
      <c r="BE227" s="3">
        <f>SUMIF(TRASLADOS!$AL:$AL,RESUMEN!AY227,TRASLADOS!$AP:$AP)</f>
        <v>0</v>
      </c>
      <c r="BF227" s="3">
        <f>SUMIF(VENTAS!$AH:$AH,RESUMEN!AY227,VENTAS!$AL:$AL)</f>
        <v>0</v>
      </c>
      <c r="BG227" s="3">
        <f>SUMIF(VENTAS!$AH:$AH,RESUMEN!AY227,VENTAS!$AM:$AM)</f>
        <v>0</v>
      </c>
      <c r="BH227" s="97">
        <f t="shared" si="141"/>
        <v>2081</v>
      </c>
      <c r="BI227" s="96"/>
      <c r="BJ227" s="99">
        <f t="shared" si="128"/>
        <v>34</v>
      </c>
      <c r="BK227" s="11">
        <f t="shared" si="149"/>
        <v>43504</v>
      </c>
      <c r="BL227" s="3">
        <f t="shared" si="149"/>
        <v>237</v>
      </c>
      <c r="BM227" s="3">
        <f>SUMIF(MORTALIDAD!$AP:$AP,RESUMEN!BK227,MORTALIDAD!$AT:$AT)</f>
        <v>0</v>
      </c>
      <c r="BN227" s="19">
        <f t="shared" si="143"/>
        <v>-73</v>
      </c>
      <c r="BO227" s="3">
        <f>SUMIF(MORTALIDAD!$AP$6:$AP$200,RESUMEN!BK227,MORTALIDAD!$AU$6:$AU$200)</f>
        <v>0</v>
      </c>
      <c r="BP227" s="3">
        <f>SUMIF(TRASLADOS!$AU:$AU,RESUMEN!BK227,TRASLADOS!$AX:$AX)</f>
        <v>0</v>
      </c>
      <c r="BQ227" s="3">
        <f>SUMIF(TRASLADOS!$AU:$AU,RESUMEN!BK227,TRASLADOS!$AY:$AY)</f>
        <v>0</v>
      </c>
      <c r="BR227" s="3">
        <f>SUMIF(VENTAS!$AP:$AP,RESUMEN!BK227,VENTAS!$AT:$AT)</f>
        <v>0</v>
      </c>
      <c r="BS227" s="3">
        <f>SUMIF(VENTAS!$AP:$AP,RESUMEN!BK227,VENTAS!$AU:$AU)</f>
        <v>0</v>
      </c>
      <c r="BT227" s="36">
        <f t="shared" si="144"/>
        <v>2241</v>
      </c>
    </row>
    <row r="228" spans="2:72" x14ac:dyDescent="0.2">
      <c r="B228" s="3">
        <f t="shared" si="123"/>
        <v>34</v>
      </c>
      <c r="C228" s="11">
        <f t="shared" si="115"/>
        <v>43475</v>
      </c>
      <c r="D228" s="3">
        <f t="shared" si="116"/>
        <v>237</v>
      </c>
      <c r="E228" s="3">
        <f>SUMIF(MORTALIDAD!$B$6:$B$200,RESUMEN!C228,MORTALIDAD!$F$6:$F$200)</f>
        <v>0</v>
      </c>
      <c r="F228" s="17">
        <f t="shared" si="117"/>
        <v>-740</v>
      </c>
      <c r="G228" s="3">
        <f>SUMIF(MORTALIDAD!$B$6:$B$200,RESUMEN!C228,MORTALIDAD!$G$6:$G$200)</f>
        <v>0</v>
      </c>
      <c r="H228" s="3">
        <f>SUMIF(TRASLADOS!$B$6:$B$200,C228,TRASLADOS!$E$6:$E$200)</f>
        <v>0</v>
      </c>
      <c r="I228" s="3">
        <f>SUMIF(TRASLADOS!$B$6:$B$200,C228,TRASLADOS!$F$6:$F$200)</f>
        <v>0</v>
      </c>
      <c r="J228" s="3">
        <f>SUMIF(VENTAS!$B$6:$B$200,RESUMEN!C228,VENTAS!$F$6:$F$200)</f>
        <v>0</v>
      </c>
      <c r="K228" s="3">
        <f>SUMIF(VENTAS!$B$6:$B$200,RESUMEN!C228,VENTAS!$G$6:$G$200)</f>
        <v>0</v>
      </c>
      <c r="L228" s="97">
        <f t="shared" si="129"/>
        <v>1460</v>
      </c>
      <c r="M228" s="96"/>
      <c r="N228" s="99">
        <f t="shared" si="124"/>
        <v>34</v>
      </c>
      <c r="O228" s="11">
        <f t="shared" si="145"/>
        <v>43478</v>
      </c>
      <c r="P228" s="3">
        <f t="shared" si="145"/>
        <v>236</v>
      </c>
      <c r="Q228" s="3">
        <f>SUMIF(MORTALIDAD!$J:$J,RESUMEN!O228,MORTALIDAD!$N:$N)</f>
        <v>0</v>
      </c>
      <c r="R228" s="19">
        <f t="shared" si="131"/>
        <v>-680</v>
      </c>
      <c r="S228" s="3">
        <f>SUMIF(MORTALIDAD!$J:$J,RESUMEN!O228,MORTALIDAD!$O:$O)</f>
        <v>0</v>
      </c>
      <c r="T228" s="3">
        <f>SUMIF(TRASLADOS!$K:$K,RESUMEN!O228,TRASLADOS!$N:$N)</f>
        <v>0</v>
      </c>
      <c r="U228" s="3">
        <f>SUMIF(TRASLADOS!$K:$K,RESUMEN!O228,TRASLADOS!$O:$O)</f>
        <v>0</v>
      </c>
      <c r="V228" s="3">
        <f>SUMIF(VENTAS!$J:$J,RESUMEN!O228,VENTAS!$N:$N)</f>
        <v>0</v>
      </c>
      <c r="W228" s="3">
        <f>SUMIF(VENTAS!$J:$J,RESUMEN!O228,VENTAS!$O:$O)</f>
        <v>0</v>
      </c>
      <c r="X228" s="97">
        <f t="shared" si="132"/>
        <v>1520</v>
      </c>
      <c r="Y228" s="96"/>
      <c r="Z228" s="99">
        <f t="shared" si="125"/>
        <v>34</v>
      </c>
      <c r="AA228" s="11">
        <f t="shared" si="146"/>
        <v>43482</v>
      </c>
      <c r="AB228" s="3">
        <f t="shared" si="146"/>
        <v>235</v>
      </c>
      <c r="AC228" s="3">
        <f>SUMIF(MORTALIDAD!$R:$R,RESUMEN!AA228,MORTALIDAD!$V:$V)</f>
        <v>0</v>
      </c>
      <c r="AD228" s="19">
        <f t="shared" si="134"/>
        <v>-476</v>
      </c>
      <c r="AE228" s="3">
        <f>SUMIF(MORTALIDAD!$R:$R,RESUMEN!AA228,MORTALIDAD!$W:$W)</f>
        <v>0</v>
      </c>
      <c r="AF228" s="3">
        <f>SUMIF(TRASLADOS!$T:$T,RESUMEN!AA228,TRASLADOS!$W:$W)</f>
        <v>0</v>
      </c>
      <c r="AG228" s="3">
        <f>SUMIF(TRASLADOS!$T:$T,RESUMEN!AA228,TRASLADOS!$X:$X)</f>
        <v>0</v>
      </c>
      <c r="AH228" s="3">
        <f>SUMIF(VENTAS!$R:$R,RESUMEN!AA228,VENTAS!$V:$V)</f>
        <v>0</v>
      </c>
      <c r="AI228" s="3">
        <f>SUMIF(VENTAS!$R:$R,RESUMEN!AA228,VENTAS!$W:$W)</f>
        <v>0</v>
      </c>
      <c r="AJ228" s="97">
        <f t="shared" si="135"/>
        <v>1724</v>
      </c>
      <c r="AK228" s="96"/>
      <c r="AL228" s="99">
        <f t="shared" si="126"/>
        <v>34</v>
      </c>
      <c r="AM228" s="11">
        <f t="shared" si="147"/>
        <v>43489</v>
      </c>
      <c r="AN228" s="3">
        <f t="shared" si="147"/>
        <v>235</v>
      </c>
      <c r="AO228" s="3">
        <f>SUMIF(MORTALIDAD!$Z:$Z,RESUMEN!AM228,MORTALIDAD!$AD:$AD)</f>
        <v>0</v>
      </c>
      <c r="AP228" s="19">
        <f t="shared" si="137"/>
        <v>-124</v>
      </c>
      <c r="AQ228" s="3">
        <f>SUMIF(MORTALIDAD!$Z:$Z,RESUMEN!AM228,MORTALIDAD!$AE:$AE)</f>
        <v>0</v>
      </c>
      <c r="AR228" s="3">
        <f>SUMIF(TRASLADOS!$AC:$AC,RESUMEN!AM228,TRASLADOS!$AF:$AF)</f>
        <v>0</v>
      </c>
      <c r="AS228" s="3">
        <f>SUMIF(TRASLADOS!$AC:$AC,RESUMEN!AM228,TRASLADOS!$AG:$AG)</f>
        <v>0</v>
      </c>
      <c r="AT228" s="3">
        <f>SUMIF(VENTAS!$Z:$Z,RESUMEN!AM228,VENTAS!$AD:$AD)</f>
        <v>0</v>
      </c>
      <c r="AU228" s="3">
        <f>SUMIF(VENTAS!$Z:$Z,RESUMEN!AM228,VENTAS!$AE:$AE)</f>
        <v>0</v>
      </c>
      <c r="AV228" s="97">
        <f t="shared" si="138"/>
        <v>2076</v>
      </c>
      <c r="AW228" s="96"/>
      <c r="AX228" s="99">
        <f t="shared" si="127"/>
        <v>34</v>
      </c>
      <c r="AY228" s="11">
        <f t="shared" si="148"/>
        <v>43496</v>
      </c>
      <c r="AZ228" s="3">
        <f t="shared" si="148"/>
        <v>235</v>
      </c>
      <c r="BA228" s="3">
        <f>SUMIF(MORTALIDAD!$AH:$AH,RESUMEN!AY228,MORTALIDAD!$AL:$AL)</f>
        <v>0</v>
      </c>
      <c r="BB228" s="19">
        <f t="shared" si="140"/>
        <v>-119</v>
      </c>
      <c r="BC228" s="3">
        <f>SUMIF(MORTALIDAD!$AH:$AH,RESUMEN!AY228,MORTALIDAD!$AM:$AM)</f>
        <v>0</v>
      </c>
      <c r="BD228" s="3">
        <f>SUMIF(TRASLADOS!$AL:$AL,RESUMEN!AY228,TRASLADOS!$AO:$AO)</f>
        <v>0</v>
      </c>
      <c r="BE228" s="3">
        <f>SUMIF(TRASLADOS!$AL:$AL,RESUMEN!AY228,TRASLADOS!$AP:$AP)</f>
        <v>0</v>
      </c>
      <c r="BF228" s="3">
        <f>SUMIF(VENTAS!$AH:$AH,RESUMEN!AY228,VENTAS!$AL:$AL)</f>
        <v>0</v>
      </c>
      <c r="BG228" s="3">
        <f>SUMIF(VENTAS!$AH:$AH,RESUMEN!AY228,VENTAS!$AM:$AM)</f>
        <v>0</v>
      </c>
      <c r="BH228" s="97">
        <f t="shared" si="141"/>
        <v>2081</v>
      </c>
      <c r="BI228" s="96"/>
      <c r="BJ228" s="99">
        <f t="shared" si="128"/>
        <v>34</v>
      </c>
      <c r="BK228" s="11">
        <f t="shared" si="149"/>
        <v>43505</v>
      </c>
      <c r="BL228" s="3">
        <f t="shared" si="149"/>
        <v>238</v>
      </c>
      <c r="BM228" s="3">
        <f>SUMIF(MORTALIDAD!$AP:$AP,RESUMEN!BK228,MORTALIDAD!$AT:$AT)</f>
        <v>0</v>
      </c>
      <c r="BN228" s="19">
        <f t="shared" si="143"/>
        <v>-73</v>
      </c>
      <c r="BO228" s="3">
        <f>SUMIF(MORTALIDAD!$AP$6:$AP$200,RESUMEN!BK228,MORTALIDAD!$AU$6:$AU$200)</f>
        <v>0</v>
      </c>
      <c r="BP228" s="3">
        <f>SUMIF(TRASLADOS!$AU:$AU,RESUMEN!BK228,TRASLADOS!$AX:$AX)</f>
        <v>0</v>
      </c>
      <c r="BQ228" s="3">
        <f>SUMIF(TRASLADOS!$AU:$AU,RESUMEN!BK228,TRASLADOS!$AY:$AY)</f>
        <v>0</v>
      </c>
      <c r="BR228" s="3">
        <f>SUMIF(VENTAS!$AP:$AP,RESUMEN!BK228,VENTAS!$AT:$AT)</f>
        <v>0</v>
      </c>
      <c r="BS228" s="3">
        <f>SUMIF(VENTAS!$AP:$AP,RESUMEN!BK228,VENTAS!$AU:$AU)</f>
        <v>0</v>
      </c>
      <c r="BT228" s="36">
        <f t="shared" si="144"/>
        <v>2241</v>
      </c>
    </row>
    <row r="229" spans="2:72" x14ac:dyDescent="0.2">
      <c r="B229" s="3">
        <f t="shared" si="123"/>
        <v>34</v>
      </c>
      <c r="C229" s="11">
        <f t="shared" si="115"/>
        <v>43476</v>
      </c>
      <c r="D229" s="3">
        <f t="shared" si="116"/>
        <v>238</v>
      </c>
      <c r="E229" s="3">
        <f>SUMIF(MORTALIDAD!$B$6:$B$200,RESUMEN!C229,MORTALIDAD!$F$6:$F$200)</f>
        <v>0</v>
      </c>
      <c r="F229" s="17">
        <f t="shared" si="117"/>
        <v>-740</v>
      </c>
      <c r="G229" s="3">
        <f>SUMIF(MORTALIDAD!$B$6:$B$200,RESUMEN!C229,MORTALIDAD!$G$6:$G$200)</f>
        <v>0</v>
      </c>
      <c r="H229" s="3">
        <f>SUMIF(TRASLADOS!$B$6:$B$200,C229,TRASLADOS!$E$6:$E$200)</f>
        <v>0</v>
      </c>
      <c r="I229" s="3">
        <f>SUMIF(TRASLADOS!$B$6:$B$200,C229,TRASLADOS!$F$6:$F$200)</f>
        <v>0</v>
      </c>
      <c r="J229" s="3">
        <f>SUMIF(VENTAS!$B$6:$B$200,RESUMEN!C229,VENTAS!$F$6:$F$200)</f>
        <v>0</v>
      </c>
      <c r="K229" s="3">
        <f>SUMIF(VENTAS!$B$6:$B$200,RESUMEN!C229,VENTAS!$G$6:$G$200)</f>
        <v>0</v>
      </c>
      <c r="L229" s="97">
        <f t="shared" si="129"/>
        <v>1460</v>
      </c>
      <c r="M229" s="96"/>
      <c r="N229" s="99">
        <f t="shared" si="124"/>
        <v>34</v>
      </c>
      <c r="O229" s="11">
        <f t="shared" si="145"/>
        <v>43479</v>
      </c>
      <c r="P229" s="3">
        <f t="shared" si="145"/>
        <v>237</v>
      </c>
      <c r="Q229" s="3">
        <f>SUMIF(MORTALIDAD!$J:$J,RESUMEN!O229,MORTALIDAD!$N:$N)</f>
        <v>0</v>
      </c>
      <c r="R229" s="19">
        <f t="shared" si="131"/>
        <v>-680</v>
      </c>
      <c r="S229" s="3">
        <f>SUMIF(MORTALIDAD!$J:$J,RESUMEN!O229,MORTALIDAD!$O:$O)</f>
        <v>0</v>
      </c>
      <c r="T229" s="3">
        <f>SUMIF(TRASLADOS!$K:$K,RESUMEN!O229,TRASLADOS!$N:$N)</f>
        <v>0</v>
      </c>
      <c r="U229" s="3">
        <f>SUMIF(TRASLADOS!$K:$K,RESUMEN!O229,TRASLADOS!$O:$O)</f>
        <v>0</v>
      </c>
      <c r="V229" s="3">
        <f>SUMIF(VENTAS!$J:$J,RESUMEN!O229,VENTAS!$N:$N)</f>
        <v>0</v>
      </c>
      <c r="W229" s="3">
        <f>SUMIF(VENTAS!$J:$J,RESUMEN!O229,VENTAS!$O:$O)</f>
        <v>0</v>
      </c>
      <c r="X229" s="97">
        <f t="shared" si="132"/>
        <v>1520</v>
      </c>
      <c r="Y229" s="96"/>
      <c r="Z229" s="99">
        <f t="shared" si="125"/>
        <v>34</v>
      </c>
      <c r="AA229" s="11">
        <f t="shared" si="146"/>
        <v>43483</v>
      </c>
      <c r="AB229" s="3">
        <f t="shared" si="146"/>
        <v>236</v>
      </c>
      <c r="AC229" s="3">
        <f>SUMIF(MORTALIDAD!$R:$R,RESUMEN!AA229,MORTALIDAD!$V:$V)</f>
        <v>0</v>
      </c>
      <c r="AD229" s="19">
        <f t="shared" si="134"/>
        <v>-476</v>
      </c>
      <c r="AE229" s="3">
        <f>SUMIF(MORTALIDAD!$R:$R,RESUMEN!AA229,MORTALIDAD!$W:$W)</f>
        <v>0</v>
      </c>
      <c r="AF229" s="3">
        <f>SUMIF(TRASLADOS!$T:$T,RESUMEN!AA229,TRASLADOS!$W:$W)</f>
        <v>0</v>
      </c>
      <c r="AG229" s="3">
        <f>SUMIF(TRASLADOS!$T:$T,RESUMEN!AA229,TRASLADOS!$X:$X)</f>
        <v>0</v>
      </c>
      <c r="AH229" s="3">
        <f>SUMIF(VENTAS!$R:$R,RESUMEN!AA229,VENTAS!$V:$V)</f>
        <v>0</v>
      </c>
      <c r="AI229" s="3">
        <f>SUMIF(VENTAS!$R:$R,RESUMEN!AA229,VENTAS!$W:$W)</f>
        <v>0</v>
      </c>
      <c r="AJ229" s="97">
        <f t="shared" si="135"/>
        <v>1724</v>
      </c>
      <c r="AK229" s="96"/>
      <c r="AL229" s="99">
        <f t="shared" si="126"/>
        <v>34</v>
      </c>
      <c r="AM229" s="11">
        <f t="shared" si="147"/>
        <v>43490</v>
      </c>
      <c r="AN229" s="3">
        <f t="shared" si="147"/>
        <v>236</v>
      </c>
      <c r="AO229" s="3">
        <f>SUMIF(MORTALIDAD!$Z:$Z,RESUMEN!AM229,MORTALIDAD!$AD:$AD)</f>
        <v>0</v>
      </c>
      <c r="AP229" s="19">
        <f t="shared" si="137"/>
        <v>-124</v>
      </c>
      <c r="AQ229" s="3">
        <f>SUMIF(MORTALIDAD!$Z:$Z,RESUMEN!AM229,MORTALIDAD!$AE:$AE)</f>
        <v>0</v>
      </c>
      <c r="AR229" s="3">
        <f>SUMIF(TRASLADOS!$AC:$AC,RESUMEN!AM229,TRASLADOS!$AF:$AF)</f>
        <v>0</v>
      </c>
      <c r="AS229" s="3">
        <f>SUMIF(TRASLADOS!$AC:$AC,RESUMEN!AM229,TRASLADOS!$AG:$AG)</f>
        <v>0</v>
      </c>
      <c r="AT229" s="3">
        <f>SUMIF(VENTAS!$Z:$Z,RESUMEN!AM229,VENTAS!$AD:$AD)</f>
        <v>0</v>
      </c>
      <c r="AU229" s="3">
        <f>SUMIF(VENTAS!$Z:$Z,RESUMEN!AM229,VENTAS!$AE:$AE)</f>
        <v>0</v>
      </c>
      <c r="AV229" s="97">
        <f t="shared" si="138"/>
        <v>2076</v>
      </c>
      <c r="AW229" s="96"/>
      <c r="AX229" s="99">
        <f t="shared" si="127"/>
        <v>34</v>
      </c>
      <c r="AY229" s="11">
        <f t="shared" si="148"/>
        <v>43497</v>
      </c>
      <c r="AZ229" s="3">
        <f t="shared" si="148"/>
        <v>236</v>
      </c>
      <c r="BA229" s="3">
        <f>SUMIF(MORTALIDAD!$AH:$AH,RESUMEN!AY229,MORTALIDAD!$AL:$AL)</f>
        <v>0</v>
      </c>
      <c r="BB229" s="19">
        <f t="shared" si="140"/>
        <v>-119</v>
      </c>
      <c r="BC229" s="3">
        <f>SUMIF(MORTALIDAD!$AH:$AH,RESUMEN!AY229,MORTALIDAD!$AM:$AM)</f>
        <v>0</v>
      </c>
      <c r="BD229" s="3">
        <f>SUMIF(TRASLADOS!$AL:$AL,RESUMEN!AY229,TRASLADOS!$AO:$AO)</f>
        <v>0</v>
      </c>
      <c r="BE229" s="3">
        <f>SUMIF(TRASLADOS!$AL:$AL,RESUMEN!AY229,TRASLADOS!$AP:$AP)</f>
        <v>0</v>
      </c>
      <c r="BF229" s="3">
        <f>SUMIF(VENTAS!$AH:$AH,RESUMEN!AY229,VENTAS!$AL:$AL)</f>
        <v>0</v>
      </c>
      <c r="BG229" s="3">
        <f>SUMIF(VENTAS!$AH:$AH,RESUMEN!AY229,VENTAS!$AM:$AM)</f>
        <v>0</v>
      </c>
      <c r="BH229" s="97">
        <f t="shared" si="141"/>
        <v>2081</v>
      </c>
      <c r="BI229" s="96"/>
      <c r="BJ229" s="99">
        <f t="shared" si="128"/>
        <v>35</v>
      </c>
      <c r="BK229" s="11">
        <f t="shared" si="149"/>
        <v>43506</v>
      </c>
      <c r="BL229" s="3">
        <f t="shared" si="149"/>
        <v>239</v>
      </c>
      <c r="BM229" s="3">
        <f>SUMIF(MORTALIDAD!$AP:$AP,RESUMEN!BK229,MORTALIDAD!$AT:$AT)</f>
        <v>0</v>
      </c>
      <c r="BN229" s="19">
        <f t="shared" si="143"/>
        <v>-73</v>
      </c>
      <c r="BO229" s="3">
        <f>SUMIF(MORTALIDAD!$AP$6:$AP$200,RESUMEN!BK229,MORTALIDAD!$AU$6:$AU$200)</f>
        <v>0</v>
      </c>
      <c r="BP229" s="3">
        <f>SUMIF(TRASLADOS!$AU:$AU,RESUMEN!BK229,TRASLADOS!$AX:$AX)</f>
        <v>0</v>
      </c>
      <c r="BQ229" s="3">
        <f>SUMIF(TRASLADOS!$AU:$AU,RESUMEN!BK229,TRASLADOS!$AY:$AY)</f>
        <v>0</v>
      </c>
      <c r="BR229" s="3">
        <f>SUMIF(VENTAS!$AP:$AP,RESUMEN!BK229,VENTAS!$AT:$AT)</f>
        <v>0</v>
      </c>
      <c r="BS229" s="3">
        <f>SUMIF(VENTAS!$AP:$AP,RESUMEN!BK229,VENTAS!$AU:$AU)</f>
        <v>0</v>
      </c>
      <c r="BT229" s="36">
        <f t="shared" si="144"/>
        <v>2241</v>
      </c>
    </row>
    <row r="230" spans="2:72" x14ac:dyDescent="0.2">
      <c r="B230" s="3">
        <f t="shared" si="123"/>
        <v>35</v>
      </c>
      <c r="C230" s="11">
        <f t="shared" si="115"/>
        <v>43477</v>
      </c>
      <c r="D230" s="3">
        <f t="shared" si="116"/>
        <v>239</v>
      </c>
      <c r="E230" s="3">
        <f>SUMIF(MORTALIDAD!$B$6:$B$200,RESUMEN!C230,MORTALIDAD!$F$6:$F$200)</f>
        <v>0</v>
      </c>
      <c r="F230" s="17">
        <f t="shared" si="117"/>
        <v>-740</v>
      </c>
      <c r="G230" s="3">
        <f>SUMIF(MORTALIDAD!$B$6:$B$200,RESUMEN!C230,MORTALIDAD!$G$6:$G$200)</f>
        <v>0</v>
      </c>
      <c r="H230" s="3">
        <f>SUMIF(TRASLADOS!$B$6:$B$200,C230,TRASLADOS!$E$6:$E$200)</f>
        <v>0</v>
      </c>
      <c r="I230" s="3">
        <f>SUMIF(TRASLADOS!$B$6:$B$200,C230,TRASLADOS!$F$6:$F$200)</f>
        <v>0</v>
      </c>
      <c r="J230" s="3">
        <f>SUMIF(VENTAS!$B$6:$B$200,RESUMEN!C230,VENTAS!$F$6:$F$200)</f>
        <v>0</v>
      </c>
      <c r="K230" s="3">
        <f>SUMIF(VENTAS!$B$6:$B$200,RESUMEN!C230,VENTAS!$G$6:$G$200)</f>
        <v>0</v>
      </c>
      <c r="L230" s="97">
        <f t="shared" si="129"/>
        <v>1460</v>
      </c>
      <c r="M230" s="96"/>
      <c r="N230" s="99">
        <f t="shared" si="124"/>
        <v>34</v>
      </c>
      <c r="O230" s="11">
        <f t="shared" si="145"/>
        <v>43480</v>
      </c>
      <c r="P230" s="3">
        <f t="shared" si="145"/>
        <v>238</v>
      </c>
      <c r="Q230" s="3">
        <f>SUMIF(MORTALIDAD!$J:$J,RESUMEN!O230,MORTALIDAD!$N:$N)</f>
        <v>0</v>
      </c>
      <c r="R230" s="19">
        <f t="shared" si="131"/>
        <v>-680</v>
      </c>
      <c r="S230" s="3">
        <f>SUMIF(MORTALIDAD!$J:$J,RESUMEN!O230,MORTALIDAD!$O:$O)</f>
        <v>0</v>
      </c>
      <c r="T230" s="3">
        <f>SUMIF(TRASLADOS!$K:$K,RESUMEN!O230,TRASLADOS!$N:$N)</f>
        <v>0</v>
      </c>
      <c r="U230" s="3">
        <f>SUMIF(TRASLADOS!$K:$K,RESUMEN!O230,TRASLADOS!$O:$O)</f>
        <v>0</v>
      </c>
      <c r="V230" s="3">
        <f>SUMIF(VENTAS!$J:$J,RESUMEN!O230,VENTAS!$N:$N)</f>
        <v>0</v>
      </c>
      <c r="W230" s="3">
        <f>SUMIF(VENTAS!$J:$J,RESUMEN!O230,VENTAS!$O:$O)</f>
        <v>0</v>
      </c>
      <c r="X230" s="97">
        <f t="shared" si="132"/>
        <v>1520</v>
      </c>
      <c r="Y230" s="96"/>
      <c r="Z230" s="99">
        <f t="shared" si="125"/>
        <v>34</v>
      </c>
      <c r="AA230" s="11">
        <f t="shared" si="146"/>
        <v>43484</v>
      </c>
      <c r="AB230" s="3">
        <f t="shared" si="146"/>
        <v>237</v>
      </c>
      <c r="AC230" s="3">
        <f>SUMIF(MORTALIDAD!$R:$R,RESUMEN!AA230,MORTALIDAD!$V:$V)</f>
        <v>0</v>
      </c>
      <c r="AD230" s="19">
        <f t="shared" si="134"/>
        <v>-476</v>
      </c>
      <c r="AE230" s="3">
        <f>SUMIF(MORTALIDAD!$R:$R,RESUMEN!AA230,MORTALIDAD!$W:$W)</f>
        <v>0</v>
      </c>
      <c r="AF230" s="3">
        <f>SUMIF(TRASLADOS!$T:$T,RESUMEN!AA230,TRASLADOS!$W:$W)</f>
        <v>0</v>
      </c>
      <c r="AG230" s="3">
        <f>SUMIF(TRASLADOS!$T:$T,RESUMEN!AA230,TRASLADOS!$X:$X)</f>
        <v>0</v>
      </c>
      <c r="AH230" s="3">
        <f>SUMIF(VENTAS!$R:$R,RESUMEN!AA230,VENTAS!$V:$V)</f>
        <v>0</v>
      </c>
      <c r="AI230" s="3">
        <f>SUMIF(VENTAS!$R:$R,RESUMEN!AA230,VENTAS!$W:$W)</f>
        <v>0</v>
      </c>
      <c r="AJ230" s="97">
        <f t="shared" si="135"/>
        <v>1724</v>
      </c>
      <c r="AK230" s="96"/>
      <c r="AL230" s="99">
        <f t="shared" si="126"/>
        <v>34</v>
      </c>
      <c r="AM230" s="11">
        <f t="shared" si="147"/>
        <v>43491</v>
      </c>
      <c r="AN230" s="3">
        <f t="shared" si="147"/>
        <v>237</v>
      </c>
      <c r="AO230" s="3">
        <f>SUMIF(MORTALIDAD!$Z:$Z,RESUMEN!AM230,MORTALIDAD!$AD:$AD)</f>
        <v>0</v>
      </c>
      <c r="AP230" s="19">
        <f t="shared" si="137"/>
        <v>-124</v>
      </c>
      <c r="AQ230" s="3">
        <f>SUMIF(MORTALIDAD!$Z:$Z,RESUMEN!AM230,MORTALIDAD!$AE:$AE)</f>
        <v>0</v>
      </c>
      <c r="AR230" s="3">
        <f>SUMIF(TRASLADOS!$AC:$AC,RESUMEN!AM230,TRASLADOS!$AF:$AF)</f>
        <v>0</v>
      </c>
      <c r="AS230" s="3">
        <f>SUMIF(TRASLADOS!$AC:$AC,RESUMEN!AM230,TRASLADOS!$AG:$AG)</f>
        <v>0</v>
      </c>
      <c r="AT230" s="3">
        <f>SUMIF(VENTAS!$Z:$Z,RESUMEN!AM230,VENTAS!$AD:$AD)</f>
        <v>0</v>
      </c>
      <c r="AU230" s="3">
        <f>SUMIF(VENTAS!$Z:$Z,RESUMEN!AM230,VENTAS!$AE:$AE)</f>
        <v>0</v>
      </c>
      <c r="AV230" s="97">
        <f t="shared" si="138"/>
        <v>2076</v>
      </c>
      <c r="AW230" s="96"/>
      <c r="AX230" s="99">
        <f t="shared" si="127"/>
        <v>34</v>
      </c>
      <c r="AY230" s="11">
        <f t="shared" si="148"/>
        <v>43498</v>
      </c>
      <c r="AZ230" s="3">
        <f t="shared" si="148"/>
        <v>237</v>
      </c>
      <c r="BA230" s="3">
        <f>SUMIF(MORTALIDAD!$AH:$AH,RESUMEN!AY230,MORTALIDAD!$AL:$AL)</f>
        <v>0</v>
      </c>
      <c r="BB230" s="19">
        <f t="shared" si="140"/>
        <v>-119</v>
      </c>
      <c r="BC230" s="3">
        <f>SUMIF(MORTALIDAD!$AH:$AH,RESUMEN!AY230,MORTALIDAD!$AM:$AM)</f>
        <v>0</v>
      </c>
      <c r="BD230" s="3">
        <f>SUMIF(TRASLADOS!$AL:$AL,RESUMEN!AY230,TRASLADOS!$AO:$AO)</f>
        <v>0</v>
      </c>
      <c r="BE230" s="3">
        <f>SUMIF(TRASLADOS!$AL:$AL,RESUMEN!AY230,TRASLADOS!$AP:$AP)</f>
        <v>0</v>
      </c>
      <c r="BF230" s="3">
        <f>SUMIF(VENTAS!$AH:$AH,RESUMEN!AY230,VENTAS!$AL:$AL)</f>
        <v>0</v>
      </c>
      <c r="BG230" s="3">
        <f>SUMIF(VENTAS!$AH:$AH,RESUMEN!AY230,VENTAS!$AM:$AM)</f>
        <v>0</v>
      </c>
      <c r="BH230" s="97">
        <f t="shared" si="141"/>
        <v>2081</v>
      </c>
      <c r="BI230" s="96"/>
      <c r="BJ230" s="99">
        <f t="shared" si="128"/>
        <v>35</v>
      </c>
      <c r="BK230" s="11">
        <f t="shared" si="149"/>
        <v>43507</v>
      </c>
      <c r="BL230" s="3">
        <f t="shared" si="149"/>
        <v>240</v>
      </c>
      <c r="BM230" s="3">
        <f>SUMIF(MORTALIDAD!$AP:$AP,RESUMEN!BK230,MORTALIDAD!$AT:$AT)</f>
        <v>0</v>
      </c>
      <c r="BN230" s="19">
        <f t="shared" si="143"/>
        <v>-73</v>
      </c>
      <c r="BO230" s="3">
        <f>SUMIF(MORTALIDAD!$AP$6:$AP$200,RESUMEN!BK230,MORTALIDAD!$AU$6:$AU$200)</f>
        <v>0</v>
      </c>
      <c r="BP230" s="3">
        <f>SUMIF(TRASLADOS!$AU:$AU,RESUMEN!BK230,TRASLADOS!$AX:$AX)</f>
        <v>0</v>
      </c>
      <c r="BQ230" s="3">
        <f>SUMIF(TRASLADOS!$AU:$AU,RESUMEN!BK230,TRASLADOS!$AY:$AY)</f>
        <v>0</v>
      </c>
      <c r="BR230" s="3">
        <f>SUMIF(VENTAS!$AP:$AP,RESUMEN!BK230,VENTAS!$AT:$AT)</f>
        <v>0</v>
      </c>
      <c r="BS230" s="3">
        <f>SUMIF(VENTAS!$AP:$AP,RESUMEN!BK230,VENTAS!$AU:$AU)</f>
        <v>0</v>
      </c>
      <c r="BT230" s="36">
        <f t="shared" si="144"/>
        <v>2241</v>
      </c>
    </row>
    <row r="231" spans="2:72" x14ac:dyDescent="0.2">
      <c r="B231" s="3">
        <f t="shared" si="123"/>
        <v>35</v>
      </c>
      <c r="C231" s="11">
        <f t="shared" si="115"/>
        <v>43478</v>
      </c>
      <c r="D231" s="3">
        <f t="shared" si="116"/>
        <v>240</v>
      </c>
      <c r="E231" s="3">
        <f>SUMIF(MORTALIDAD!$B$6:$B$200,RESUMEN!C231,MORTALIDAD!$F$6:$F$200)</f>
        <v>0</v>
      </c>
      <c r="F231" s="17">
        <f t="shared" si="117"/>
        <v>-740</v>
      </c>
      <c r="G231" s="3">
        <f>SUMIF(MORTALIDAD!$B$6:$B$200,RESUMEN!C231,MORTALIDAD!$G$6:$G$200)</f>
        <v>0</v>
      </c>
      <c r="H231" s="3">
        <f>SUMIF(TRASLADOS!$B$6:$B$200,C231,TRASLADOS!$E$6:$E$200)</f>
        <v>0</v>
      </c>
      <c r="I231" s="3">
        <f>SUMIF(TRASLADOS!$B$6:$B$200,C231,TRASLADOS!$F$6:$F$200)</f>
        <v>0</v>
      </c>
      <c r="J231" s="3">
        <f>SUMIF(VENTAS!$B$6:$B$200,RESUMEN!C231,VENTAS!$F$6:$F$200)</f>
        <v>0</v>
      </c>
      <c r="K231" s="3">
        <f>SUMIF(VENTAS!$B$6:$B$200,RESUMEN!C231,VENTAS!$G$6:$G$200)</f>
        <v>0</v>
      </c>
      <c r="L231" s="97">
        <f t="shared" si="129"/>
        <v>1460</v>
      </c>
      <c r="M231" s="96"/>
      <c r="N231" s="99">
        <f t="shared" si="124"/>
        <v>35</v>
      </c>
      <c r="O231" s="11">
        <f t="shared" si="145"/>
        <v>43481</v>
      </c>
      <c r="P231" s="3">
        <f t="shared" si="145"/>
        <v>239</v>
      </c>
      <c r="Q231" s="3">
        <f>SUMIF(MORTALIDAD!$J:$J,RESUMEN!O231,MORTALIDAD!$N:$N)</f>
        <v>0</v>
      </c>
      <c r="R231" s="19">
        <f t="shared" si="131"/>
        <v>-680</v>
      </c>
      <c r="S231" s="3">
        <f>SUMIF(MORTALIDAD!$J:$J,RESUMEN!O231,MORTALIDAD!$O:$O)</f>
        <v>0</v>
      </c>
      <c r="T231" s="3">
        <f>SUMIF(TRASLADOS!$K:$K,RESUMEN!O231,TRASLADOS!$N:$N)</f>
        <v>0</v>
      </c>
      <c r="U231" s="3">
        <f>SUMIF(TRASLADOS!$K:$K,RESUMEN!O231,TRASLADOS!$O:$O)</f>
        <v>0</v>
      </c>
      <c r="V231" s="3">
        <f>SUMIF(VENTAS!$J:$J,RESUMEN!O231,VENTAS!$N:$N)</f>
        <v>0</v>
      </c>
      <c r="W231" s="3">
        <f>SUMIF(VENTAS!$J:$J,RESUMEN!O231,VENTAS!$O:$O)</f>
        <v>0</v>
      </c>
      <c r="X231" s="97">
        <f t="shared" si="132"/>
        <v>1520</v>
      </c>
      <c r="Y231" s="96"/>
      <c r="Z231" s="99">
        <f t="shared" si="125"/>
        <v>34</v>
      </c>
      <c r="AA231" s="11">
        <f t="shared" si="146"/>
        <v>43485</v>
      </c>
      <c r="AB231" s="3">
        <f t="shared" si="146"/>
        <v>238</v>
      </c>
      <c r="AC231" s="3">
        <f>SUMIF(MORTALIDAD!$R:$R,RESUMEN!AA231,MORTALIDAD!$V:$V)</f>
        <v>0</v>
      </c>
      <c r="AD231" s="19">
        <f t="shared" si="134"/>
        <v>-476</v>
      </c>
      <c r="AE231" s="3">
        <f>SUMIF(MORTALIDAD!$R:$R,RESUMEN!AA231,MORTALIDAD!$W:$W)</f>
        <v>0</v>
      </c>
      <c r="AF231" s="3">
        <f>SUMIF(TRASLADOS!$T:$T,RESUMEN!AA231,TRASLADOS!$W:$W)</f>
        <v>0</v>
      </c>
      <c r="AG231" s="3">
        <f>SUMIF(TRASLADOS!$T:$T,RESUMEN!AA231,TRASLADOS!$X:$X)</f>
        <v>0</v>
      </c>
      <c r="AH231" s="3">
        <f>SUMIF(VENTAS!$R:$R,RESUMEN!AA231,VENTAS!$V:$V)</f>
        <v>0</v>
      </c>
      <c r="AI231" s="3">
        <f>SUMIF(VENTAS!$R:$R,RESUMEN!AA231,VENTAS!$W:$W)</f>
        <v>0</v>
      </c>
      <c r="AJ231" s="97">
        <f t="shared" si="135"/>
        <v>1724</v>
      </c>
      <c r="AK231" s="96"/>
      <c r="AL231" s="99">
        <f t="shared" si="126"/>
        <v>34</v>
      </c>
      <c r="AM231" s="11">
        <f t="shared" si="147"/>
        <v>43492</v>
      </c>
      <c r="AN231" s="3">
        <f t="shared" si="147"/>
        <v>238</v>
      </c>
      <c r="AO231" s="3">
        <f>SUMIF(MORTALIDAD!$Z:$Z,RESUMEN!AM231,MORTALIDAD!$AD:$AD)</f>
        <v>0</v>
      </c>
      <c r="AP231" s="19">
        <f t="shared" si="137"/>
        <v>-124</v>
      </c>
      <c r="AQ231" s="3">
        <f>SUMIF(MORTALIDAD!$Z:$Z,RESUMEN!AM231,MORTALIDAD!$AE:$AE)</f>
        <v>0</v>
      </c>
      <c r="AR231" s="3">
        <f>SUMIF(TRASLADOS!$AC:$AC,RESUMEN!AM231,TRASLADOS!$AF:$AF)</f>
        <v>0</v>
      </c>
      <c r="AS231" s="3">
        <f>SUMIF(TRASLADOS!$AC:$AC,RESUMEN!AM231,TRASLADOS!$AG:$AG)</f>
        <v>0</v>
      </c>
      <c r="AT231" s="3">
        <f>SUMIF(VENTAS!$Z:$Z,RESUMEN!AM231,VENTAS!$AD:$AD)</f>
        <v>0</v>
      </c>
      <c r="AU231" s="3">
        <f>SUMIF(VENTAS!$Z:$Z,RESUMEN!AM231,VENTAS!$AE:$AE)</f>
        <v>0</v>
      </c>
      <c r="AV231" s="97">
        <f t="shared" si="138"/>
        <v>2076</v>
      </c>
      <c r="AW231" s="96"/>
      <c r="AX231" s="99">
        <f t="shared" si="127"/>
        <v>34</v>
      </c>
      <c r="AY231" s="11">
        <f t="shared" si="148"/>
        <v>43499</v>
      </c>
      <c r="AZ231" s="3">
        <f t="shared" si="148"/>
        <v>238</v>
      </c>
      <c r="BA231" s="3">
        <f>SUMIF(MORTALIDAD!$AH:$AH,RESUMEN!AY231,MORTALIDAD!$AL:$AL)</f>
        <v>0</v>
      </c>
      <c r="BB231" s="19">
        <f t="shared" si="140"/>
        <v>-119</v>
      </c>
      <c r="BC231" s="3">
        <f>SUMIF(MORTALIDAD!$AH:$AH,RESUMEN!AY231,MORTALIDAD!$AM:$AM)</f>
        <v>0</v>
      </c>
      <c r="BD231" s="3">
        <f>SUMIF(TRASLADOS!$AL:$AL,RESUMEN!AY231,TRASLADOS!$AO:$AO)</f>
        <v>0</v>
      </c>
      <c r="BE231" s="3">
        <f>SUMIF(TRASLADOS!$AL:$AL,RESUMEN!AY231,TRASLADOS!$AP:$AP)</f>
        <v>0</v>
      </c>
      <c r="BF231" s="3">
        <f>SUMIF(VENTAS!$AH:$AH,RESUMEN!AY231,VENTAS!$AL:$AL)</f>
        <v>0</v>
      </c>
      <c r="BG231" s="3">
        <f>SUMIF(VENTAS!$AH:$AH,RESUMEN!AY231,VENTAS!$AM:$AM)</f>
        <v>0</v>
      </c>
      <c r="BH231" s="97">
        <f t="shared" si="141"/>
        <v>2081</v>
      </c>
      <c r="BI231" s="96"/>
      <c r="BJ231" s="99">
        <f t="shared" si="128"/>
        <v>35</v>
      </c>
      <c r="BK231" s="11">
        <f t="shared" si="149"/>
        <v>43508</v>
      </c>
      <c r="BL231" s="3">
        <f t="shared" si="149"/>
        <v>241</v>
      </c>
      <c r="BM231" s="3">
        <f>SUMIF(MORTALIDAD!$AP:$AP,RESUMEN!BK231,MORTALIDAD!$AT:$AT)</f>
        <v>0</v>
      </c>
      <c r="BN231" s="19">
        <f t="shared" si="143"/>
        <v>-73</v>
      </c>
      <c r="BO231" s="3">
        <f>SUMIF(MORTALIDAD!$AP$6:$AP$200,RESUMEN!BK231,MORTALIDAD!$AU$6:$AU$200)</f>
        <v>0</v>
      </c>
      <c r="BP231" s="3">
        <f>SUMIF(TRASLADOS!$AU:$AU,RESUMEN!BK231,TRASLADOS!$AX:$AX)</f>
        <v>0</v>
      </c>
      <c r="BQ231" s="3">
        <f>SUMIF(TRASLADOS!$AU:$AU,RESUMEN!BK231,TRASLADOS!$AY:$AY)</f>
        <v>0</v>
      </c>
      <c r="BR231" s="3">
        <f>SUMIF(VENTAS!$AP:$AP,RESUMEN!BK231,VENTAS!$AT:$AT)</f>
        <v>0</v>
      </c>
      <c r="BS231" s="3">
        <f>SUMIF(VENTAS!$AP:$AP,RESUMEN!BK231,VENTAS!$AU:$AU)</f>
        <v>0</v>
      </c>
      <c r="BT231" s="36">
        <f t="shared" si="144"/>
        <v>2241</v>
      </c>
    </row>
    <row r="232" spans="2:72" x14ac:dyDescent="0.2">
      <c r="B232" s="3">
        <f t="shared" si="123"/>
        <v>35</v>
      </c>
      <c r="C232" s="11">
        <f t="shared" si="115"/>
        <v>43479</v>
      </c>
      <c r="D232" s="3">
        <f t="shared" si="116"/>
        <v>241</v>
      </c>
      <c r="E232" s="3">
        <f>SUMIF(MORTALIDAD!$B$6:$B$200,RESUMEN!C232,MORTALIDAD!$F$6:$F$200)</f>
        <v>0</v>
      </c>
      <c r="F232" s="17">
        <f t="shared" si="117"/>
        <v>-740</v>
      </c>
      <c r="G232" s="3">
        <f>SUMIF(MORTALIDAD!$B$6:$B$200,RESUMEN!C232,MORTALIDAD!$G$6:$G$200)</f>
        <v>0</v>
      </c>
      <c r="H232" s="3">
        <f>SUMIF(TRASLADOS!$B$6:$B$200,C232,TRASLADOS!$E$6:$E$200)</f>
        <v>0</v>
      </c>
      <c r="I232" s="3">
        <f>SUMIF(TRASLADOS!$B$6:$B$200,C232,TRASLADOS!$F$6:$F$200)</f>
        <v>0</v>
      </c>
      <c r="J232" s="3">
        <f>SUMIF(VENTAS!$B$6:$B$200,RESUMEN!C232,VENTAS!$F$6:$F$200)</f>
        <v>0</v>
      </c>
      <c r="K232" s="3">
        <f>SUMIF(VENTAS!$B$6:$B$200,RESUMEN!C232,VENTAS!$G$6:$G$200)</f>
        <v>0</v>
      </c>
      <c r="L232" s="97">
        <f t="shared" si="129"/>
        <v>1460</v>
      </c>
      <c r="M232" s="96"/>
      <c r="N232" s="99">
        <f t="shared" si="124"/>
        <v>35</v>
      </c>
      <c r="O232" s="11">
        <f t="shared" si="145"/>
        <v>43482</v>
      </c>
      <c r="P232" s="3">
        <f t="shared" si="145"/>
        <v>240</v>
      </c>
      <c r="Q232" s="3">
        <f>SUMIF(MORTALIDAD!$J:$J,RESUMEN!O232,MORTALIDAD!$N:$N)</f>
        <v>0</v>
      </c>
      <c r="R232" s="19">
        <f t="shared" si="131"/>
        <v>-680</v>
      </c>
      <c r="S232" s="3">
        <f>SUMIF(MORTALIDAD!$J:$J,RESUMEN!O232,MORTALIDAD!$O:$O)</f>
        <v>0</v>
      </c>
      <c r="T232" s="3">
        <f>SUMIF(TRASLADOS!$K:$K,RESUMEN!O232,TRASLADOS!$N:$N)</f>
        <v>0</v>
      </c>
      <c r="U232" s="3">
        <f>SUMIF(TRASLADOS!$K:$K,RESUMEN!O232,TRASLADOS!$O:$O)</f>
        <v>0</v>
      </c>
      <c r="V232" s="3">
        <f>SUMIF(VENTAS!$J:$J,RESUMEN!O232,VENTAS!$N:$N)</f>
        <v>0</v>
      </c>
      <c r="W232" s="3">
        <f>SUMIF(VENTAS!$J:$J,RESUMEN!O232,VENTAS!$O:$O)</f>
        <v>0</v>
      </c>
      <c r="X232" s="97">
        <f t="shared" si="132"/>
        <v>1520</v>
      </c>
      <c r="Y232" s="96"/>
      <c r="Z232" s="99">
        <f t="shared" si="125"/>
        <v>35</v>
      </c>
      <c r="AA232" s="11">
        <f t="shared" si="146"/>
        <v>43486</v>
      </c>
      <c r="AB232" s="3">
        <f t="shared" si="146"/>
        <v>239</v>
      </c>
      <c r="AC232" s="3">
        <f>SUMIF(MORTALIDAD!$R:$R,RESUMEN!AA232,MORTALIDAD!$V:$V)</f>
        <v>0</v>
      </c>
      <c r="AD232" s="19">
        <f t="shared" si="134"/>
        <v>-476</v>
      </c>
      <c r="AE232" s="3">
        <f>SUMIF(MORTALIDAD!$R:$R,RESUMEN!AA232,MORTALIDAD!$W:$W)</f>
        <v>0</v>
      </c>
      <c r="AF232" s="3">
        <f>SUMIF(TRASLADOS!$T:$T,RESUMEN!AA232,TRASLADOS!$W:$W)</f>
        <v>0</v>
      </c>
      <c r="AG232" s="3">
        <f>SUMIF(TRASLADOS!$T:$T,RESUMEN!AA232,TRASLADOS!$X:$X)</f>
        <v>0</v>
      </c>
      <c r="AH232" s="3">
        <f>SUMIF(VENTAS!$R:$R,RESUMEN!AA232,VENTAS!$V:$V)</f>
        <v>0</v>
      </c>
      <c r="AI232" s="3">
        <f>SUMIF(VENTAS!$R:$R,RESUMEN!AA232,VENTAS!$W:$W)</f>
        <v>0</v>
      </c>
      <c r="AJ232" s="97">
        <f t="shared" si="135"/>
        <v>1724</v>
      </c>
      <c r="AK232" s="96"/>
      <c r="AL232" s="99">
        <f t="shared" si="126"/>
        <v>35</v>
      </c>
      <c r="AM232" s="11">
        <f t="shared" si="147"/>
        <v>43493</v>
      </c>
      <c r="AN232" s="3">
        <f t="shared" si="147"/>
        <v>239</v>
      </c>
      <c r="AO232" s="3">
        <f>SUMIF(MORTALIDAD!$Z:$Z,RESUMEN!AM232,MORTALIDAD!$AD:$AD)</f>
        <v>0</v>
      </c>
      <c r="AP232" s="19">
        <f t="shared" si="137"/>
        <v>-124</v>
      </c>
      <c r="AQ232" s="3">
        <f>SUMIF(MORTALIDAD!$Z:$Z,RESUMEN!AM232,MORTALIDAD!$AE:$AE)</f>
        <v>0</v>
      </c>
      <c r="AR232" s="3">
        <f>SUMIF(TRASLADOS!$AC:$AC,RESUMEN!AM232,TRASLADOS!$AF:$AF)</f>
        <v>0</v>
      </c>
      <c r="AS232" s="3">
        <f>SUMIF(TRASLADOS!$AC:$AC,RESUMEN!AM232,TRASLADOS!$AG:$AG)</f>
        <v>0</v>
      </c>
      <c r="AT232" s="3">
        <f>SUMIF(VENTAS!$Z:$Z,RESUMEN!AM232,VENTAS!$AD:$AD)</f>
        <v>0</v>
      </c>
      <c r="AU232" s="3">
        <f>SUMIF(VENTAS!$Z:$Z,RESUMEN!AM232,VENTAS!$AE:$AE)</f>
        <v>0</v>
      </c>
      <c r="AV232" s="97">
        <f t="shared" si="138"/>
        <v>2076</v>
      </c>
      <c r="AW232" s="96"/>
      <c r="AX232" s="99">
        <f t="shared" si="127"/>
        <v>35</v>
      </c>
      <c r="AY232" s="11">
        <f t="shared" si="148"/>
        <v>43500</v>
      </c>
      <c r="AZ232" s="3">
        <f t="shared" si="148"/>
        <v>239</v>
      </c>
      <c r="BA232" s="3">
        <f>SUMIF(MORTALIDAD!$AH:$AH,RESUMEN!AY232,MORTALIDAD!$AL:$AL)</f>
        <v>0</v>
      </c>
      <c r="BB232" s="19">
        <f t="shared" si="140"/>
        <v>-119</v>
      </c>
      <c r="BC232" s="3">
        <f>SUMIF(MORTALIDAD!$AH:$AH,RESUMEN!AY232,MORTALIDAD!$AM:$AM)</f>
        <v>0</v>
      </c>
      <c r="BD232" s="3">
        <f>SUMIF(TRASLADOS!$AL:$AL,RESUMEN!AY232,TRASLADOS!$AO:$AO)</f>
        <v>0</v>
      </c>
      <c r="BE232" s="3">
        <f>SUMIF(TRASLADOS!$AL:$AL,RESUMEN!AY232,TRASLADOS!$AP:$AP)</f>
        <v>0</v>
      </c>
      <c r="BF232" s="3">
        <f>SUMIF(VENTAS!$AH:$AH,RESUMEN!AY232,VENTAS!$AL:$AL)</f>
        <v>0</v>
      </c>
      <c r="BG232" s="3">
        <f>SUMIF(VENTAS!$AH:$AH,RESUMEN!AY232,VENTAS!$AM:$AM)</f>
        <v>0</v>
      </c>
      <c r="BH232" s="97">
        <f t="shared" si="141"/>
        <v>2081</v>
      </c>
      <c r="BI232" s="96"/>
      <c r="BJ232" s="99">
        <f t="shared" si="128"/>
        <v>35</v>
      </c>
      <c r="BK232" s="11">
        <f t="shared" si="149"/>
        <v>43509</v>
      </c>
      <c r="BL232" s="3">
        <f t="shared" si="149"/>
        <v>242</v>
      </c>
      <c r="BM232" s="3">
        <f>SUMIF(MORTALIDAD!$AP:$AP,RESUMEN!BK232,MORTALIDAD!$AT:$AT)</f>
        <v>0</v>
      </c>
      <c r="BN232" s="19">
        <f t="shared" si="143"/>
        <v>-73</v>
      </c>
      <c r="BO232" s="3">
        <f>SUMIF(MORTALIDAD!$AP$6:$AP$200,RESUMEN!BK232,MORTALIDAD!$AU$6:$AU$200)</f>
        <v>0</v>
      </c>
      <c r="BP232" s="3">
        <f>SUMIF(TRASLADOS!$AU:$AU,RESUMEN!BK232,TRASLADOS!$AX:$AX)</f>
        <v>0</v>
      </c>
      <c r="BQ232" s="3">
        <f>SUMIF(TRASLADOS!$AU:$AU,RESUMEN!BK232,TRASLADOS!$AY:$AY)</f>
        <v>0</v>
      </c>
      <c r="BR232" s="3">
        <f>SUMIF(VENTAS!$AP:$AP,RESUMEN!BK232,VENTAS!$AT:$AT)</f>
        <v>0</v>
      </c>
      <c r="BS232" s="3">
        <f>SUMIF(VENTAS!$AP:$AP,RESUMEN!BK232,VENTAS!$AU:$AU)</f>
        <v>0</v>
      </c>
      <c r="BT232" s="36">
        <f t="shared" si="144"/>
        <v>2241</v>
      </c>
    </row>
    <row r="233" spans="2:72" x14ac:dyDescent="0.2">
      <c r="B233" s="3">
        <f t="shared" si="123"/>
        <v>35</v>
      </c>
      <c r="C233" s="11">
        <f t="shared" si="115"/>
        <v>43480</v>
      </c>
      <c r="D233" s="3">
        <f t="shared" si="116"/>
        <v>242</v>
      </c>
      <c r="E233" s="3">
        <f>SUMIF(MORTALIDAD!$B$6:$B$200,RESUMEN!C233,MORTALIDAD!$F$6:$F$200)</f>
        <v>0</v>
      </c>
      <c r="F233" s="17">
        <f t="shared" si="117"/>
        <v>-740</v>
      </c>
      <c r="G233" s="3">
        <f>SUMIF(MORTALIDAD!$B$6:$B$200,RESUMEN!C233,MORTALIDAD!$G$6:$G$200)</f>
        <v>0</v>
      </c>
      <c r="H233" s="3">
        <f>SUMIF(TRASLADOS!$B$6:$B$200,C233,TRASLADOS!$E$6:$E$200)</f>
        <v>0</v>
      </c>
      <c r="I233" s="3">
        <f>SUMIF(TRASLADOS!$B$6:$B$200,C233,TRASLADOS!$F$6:$F$200)</f>
        <v>0</v>
      </c>
      <c r="J233" s="3">
        <f>SUMIF(VENTAS!$B$6:$B$200,RESUMEN!C233,VENTAS!$F$6:$F$200)</f>
        <v>0</v>
      </c>
      <c r="K233" s="3">
        <f>SUMIF(VENTAS!$B$6:$B$200,RESUMEN!C233,VENTAS!$G$6:$G$200)</f>
        <v>0</v>
      </c>
      <c r="L233" s="97">
        <f t="shared" si="129"/>
        <v>1460</v>
      </c>
      <c r="M233" s="96"/>
      <c r="N233" s="99">
        <f t="shared" si="124"/>
        <v>35</v>
      </c>
      <c r="O233" s="11">
        <f t="shared" si="145"/>
        <v>43483</v>
      </c>
      <c r="P233" s="3">
        <f t="shared" si="145"/>
        <v>241</v>
      </c>
      <c r="Q233" s="3">
        <f>SUMIF(MORTALIDAD!$J:$J,RESUMEN!O233,MORTALIDAD!$N:$N)</f>
        <v>0</v>
      </c>
      <c r="R233" s="19">
        <f t="shared" si="131"/>
        <v>-680</v>
      </c>
      <c r="S233" s="3">
        <f>SUMIF(MORTALIDAD!$J:$J,RESUMEN!O233,MORTALIDAD!$O:$O)</f>
        <v>0</v>
      </c>
      <c r="T233" s="3">
        <f>SUMIF(TRASLADOS!$K:$K,RESUMEN!O233,TRASLADOS!$N:$N)</f>
        <v>0</v>
      </c>
      <c r="U233" s="3">
        <f>SUMIF(TRASLADOS!$K:$K,RESUMEN!O233,TRASLADOS!$O:$O)</f>
        <v>0</v>
      </c>
      <c r="V233" s="3">
        <f>SUMIF(VENTAS!$J:$J,RESUMEN!O233,VENTAS!$N:$N)</f>
        <v>0</v>
      </c>
      <c r="W233" s="3">
        <f>SUMIF(VENTAS!$J:$J,RESUMEN!O233,VENTAS!$O:$O)</f>
        <v>0</v>
      </c>
      <c r="X233" s="97">
        <f t="shared" si="132"/>
        <v>1520</v>
      </c>
      <c r="Y233" s="96"/>
      <c r="Z233" s="99">
        <f t="shared" si="125"/>
        <v>35</v>
      </c>
      <c r="AA233" s="11">
        <f t="shared" si="146"/>
        <v>43487</v>
      </c>
      <c r="AB233" s="3">
        <f t="shared" si="146"/>
        <v>240</v>
      </c>
      <c r="AC233" s="3">
        <f>SUMIF(MORTALIDAD!$R:$R,RESUMEN!AA233,MORTALIDAD!$V:$V)</f>
        <v>0</v>
      </c>
      <c r="AD233" s="19">
        <f t="shared" si="134"/>
        <v>-476</v>
      </c>
      <c r="AE233" s="3">
        <f>SUMIF(MORTALIDAD!$R:$R,RESUMEN!AA233,MORTALIDAD!$W:$W)</f>
        <v>0</v>
      </c>
      <c r="AF233" s="3">
        <f>SUMIF(TRASLADOS!$T:$T,RESUMEN!AA233,TRASLADOS!$W:$W)</f>
        <v>0</v>
      </c>
      <c r="AG233" s="3">
        <f>SUMIF(TRASLADOS!$T:$T,RESUMEN!AA233,TRASLADOS!$X:$X)</f>
        <v>0</v>
      </c>
      <c r="AH233" s="3">
        <f>SUMIF(VENTAS!$R:$R,RESUMEN!AA233,VENTAS!$V:$V)</f>
        <v>0</v>
      </c>
      <c r="AI233" s="3">
        <f>SUMIF(VENTAS!$R:$R,RESUMEN!AA233,VENTAS!$W:$W)</f>
        <v>0</v>
      </c>
      <c r="AJ233" s="97">
        <f t="shared" si="135"/>
        <v>1724</v>
      </c>
      <c r="AK233" s="96"/>
      <c r="AL233" s="99">
        <f t="shared" si="126"/>
        <v>35</v>
      </c>
      <c r="AM233" s="11">
        <f t="shared" si="147"/>
        <v>43494</v>
      </c>
      <c r="AN233" s="3">
        <f t="shared" si="147"/>
        <v>240</v>
      </c>
      <c r="AO233" s="3">
        <f>SUMIF(MORTALIDAD!$Z:$Z,RESUMEN!AM233,MORTALIDAD!$AD:$AD)</f>
        <v>0</v>
      </c>
      <c r="AP233" s="19">
        <f t="shared" si="137"/>
        <v>-124</v>
      </c>
      <c r="AQ233" s="3">
        <f>SUMIF(MORTALIDAD!$Z:$Z,RESUMEN!AM233,MORTALIDAD!$AE:$AE)</f>
        <v>0</v>
      </c>
      <c r="AR233" s="3">
        <f>SUMIF(TRASLADOS!$AC:$AC,RESUMEN!AM233,TRASLADOS!$AF:$AF)</f>
        <v>0</v>
      </c>
      <c r="AS233" s="3">
        <f>SUMIF(TRASLADOS!$AC:$AC,RESUMEN!AM233,TRASLADOS!$AG:$AG)</f>
        <v>0</v>
      </c>
      <c r="AT233" s="3">
        <f>SUMIF(VENTAS!$Z:$Z,RESUMEN!AM233,VENTAS!$AD:$AD)</f>
        <v>0</v>
      </c>
      <c r="AU233" s="3">
        <f>SUMIF(VENTAS!$Z:$Z,RESUMEN!AM233,VENTAS!$AE:$AE)</f>
        <v>0</v>
      </c>
      <c r="AV233" s="97">
        <f t="shared" si="138"/>
        <v>2076</v>
      </c>
      <c r="AW233" s="96"/>
      <c r="AX233" s="99">
        <f t="shared" si="127"/>
        <v>35</v>
      </c>
      <c r="AY233" s="11">
        <f t="shared" si="148"/>
        <v>43501</v>
      </c>
      <c r="AZ233" s="3">
        <f t="shared" si="148"/>
        <v>240</v>
      </c>
      <c r="BA233" s="3">
        <f>SUMIF(MORTALIDAD!$AH:$AH,RESUMEN!AY233,MORTALIDAD!$AL:$AL)</f>
        <v>0</v>
      </c>
      <c r="BB233" s="19">
        <f t="shared" si="140"/>
        <v>-119</v>
      </c>
      <c r="BC233" s="3">
        <f>SUMIF(MORTALIDAD!$AH:$AH,RESUMEN!AY233,MORTALIDAD!$AM:$AM)</f>
        <v>0</v>
      </c>
      <c r="BD233" s="3">
        <f>SUMIF(TRASLADOS!$AL:$AL,RESUMEN!AY233,TRASLADOS!$AO:$AO)</f>
        <v>0</v>
      </c>
      <c r="BE233" s="3">
        <f>SUMIF(TRASLADOS!$AL:$AL,RESUMEN!AY233,TRASLADOS!$AP:$AP)</f>
        <v>0</v>
      </c>
      <c r="BF233" s="3">
        <f>SUMIF(VENTAS!$AH:$AH,RESUMEN!AY233,VENTAS!$AL:$AL)</f>
        <v>0</v>
      </c>
      <c r="BG233" s="3">
        <f>SUMIF(VENTAS!$AH:$AH,RESUMEN!AY233,VENTAS!$AM:$AM)</f>
        <v>0</v>
      </c>
      <c r="BH233" s="97">
        <f t="shared" si="141"/>
        <v>2081</v>
      </c>
      <c r="BI233" s="96"/>
      <c r="BJ233" s="99">
        <f t="shared" si="128"/>
        <v>35</v>
      </c>
      <c r="BK233" s="11">
        <f t="shared" si="149"/>
        <v>43510</v>
      </c>
      <c r="BL233" s="3">
        <f t="shared" si="149"/>
        <v>243</v>
      </c>
      <c r="BM233" s="3">
        <f>SUMIF(MORTALIDAD!$AP:$AP,RESUMEN!BK233,MORTALIDAD!$AT:$AT)</f>
        <v>0</v>
      </c>
      <c r="BN233" s="19">
        <f t="shared" si="143"/>
        <v>-73</v>
      </c>
      <c r="BO233" s="3">
        <f>SUMIF(MORTALIDAD!$AP$6:$AP$200,RESUMEN!BK233,MORTALIDAD!$AU$6:$AU$200)</f>
        <v>0</v>
      </c>
      <c r="BP233" s="3">
        <f>SUMIF(TRASLADOS!$AU:$AU,RESUMEN!BK233,TRASLADOS!$AX:$AX)</f>
        <v>0</v>
      </c>
      <c r="BQ233" s="3">
        <f>SUMIF(TRASLADOS!$AU:$AU,RESUMEN!BK233,TRASLADOS!$AY:$AY)</f>
        <v>0</v>
      </c>
      <c r="BR233" s="3">
        <f>SUMIF(VENTAS!$AP:$AP,RESUMEN!BK233,VENTAS!$AT:$AT)</f>
        <v>0</v>
      </c>
      <c r="BS233" s="3">
        <f>SUMIF(VENTAS!$AP:$AP,RESUMEN!BK233,VENTAS!$AU:$AU)</f>
        <v>0</v>
      </c>
      <c r="BT233" s="36">
        <f t="shared" si="144"/>
        <v>2241</v>
      </c>
    </row>
    <row r="234" spans="2:72" x14ac:dyDescent="0.2">
      <c r="B234" s="3">
        <f t="shared" si="123"/>
        <v>35</v>
      </c>
      <c r="C234" s="11">
        <f t="shared" si="115"/>
        <v>43481</v>
      </c>
      <c r="D234" s="3">
        <f t="shared" si="116"/>
        <v>243</v>
      </c>
      <c r="E234" s="3">
        <f>SUMIF(MORTALIDAD!$B$6:$B$200,RESUMEN!C234,MORTALIDAD!$F$6:$F$200)</f>
        <v>0</v>
      </c>
      <c r="F234" s="17">
        <f t="shared" si="117"/>
        <v>-740</v>
      </c>
      <c r="G234" s="3">
        <f>SUMIF(MORTALIDAD!$B$6:$B$200,RESUMEN!C234,MORTALIDAD!$G$6:$G$200)</f>
        <v>0</v>
      </c>
      <c r="H234" s="3">
        <f>SUMIF(TRASLADOS!$B$6:$B$200,C234,TRASLADOS!$E$6:$E$200)</f>
        <v>0</v>
      </c>
      <c r="I234" s="3">
        <f>SUMIF(TRASLADOS!$B$6:$B$200,C234,TRASLADOS!$F$6:$F$200)</f>
        <v>0</v>
      </c>
      <c r="J234" s="3">
        <f>SUMIF(VENTAS!$B$6:$B$200,RESUMEN!C234,VENTAS!$F$6:$F$200)</f>
        <v>0</v>
      </c>
      <c r="K234" s="3">
        <f>SUMIF(VENTAS!$B$6:$B$200,RESUMEN!C234,VENTAS!$G$6:$G$200)</f>
        <v>0</v>
      </c>
      <c r="L234" s="97">
        <f t="shared" si="129"/>
        <v>1460</v>
      </c>
      <c r="M234" s="96"/>
      <c r="N234" s="99">
        <f t="shared" si="124"/>
        <v>35</v>
      </c>
      <c r="O234" s="11">
        <f t="shared" si="145"/>
        <v>43484</v>
      </c>
      <c r="P234" s="3">
        <f t="shared" si="145"/>
        <v>242</v>
      </c>
      <c r="Q234" s="3">
        <f>SUMIF(MORTALIDAD!$J:$J,RESUMEN!O234,MORTALIDAD!$N:$N)</f>
        <v>0</v>
      </c>
      <c r="R234" s="19">
        <f t="shared" si="131"/>
        <v>-680</v>
      </c>
      <c r="S234" s="3">
        <f>SUMIF(MORTALIDAD!$J:$J,RESUMEN!O234,MORTALIDAD!$O:$O)</f>
        <v>0</v>
      </c>
      <c r="T234" s="3">
        <f>SUMIF(TRASLADOS!$K:$K,RESUMEN!O234,TRASLADOS!$N:$N)</f>
        <v>0</v>
      </c>
      <c r="U234" s="3">
        <f>SUMIF(TRASLADOS!$K:$K,RESUMEN!O234,TRASLADOS!$O:$O)</f>
        <v>0</v>
      </c>
      <c r="V234" s="3">
        <f>SUMIF(VENTAS!$J:$J,RESUMEN!O234,VENTAS!$N:$N)</f>
        <v>0</v>
      </c>
      <c r="W234" s="3">
        <f>SUMIF(VENTAS!$J:$J,RESUMEN!O234,VENTAS!$O:$O)</f>
        <v>0</v>
      </c>
      <c r="X234" s="97">
        <f t="shared" si="132"/>
        <v>1520</v>
      </c>
      <c r="Y234" s="96"/>
      <c r="Z234" s="99">
        <f t="shared" si="125"/>
        <v>35</v>
      </c>
      <c r="AA234" s="11">
        <f t="shared" si="146"/>
        <v>43488</v>
      </c>
      <c r="AB234" s="3">
        <f t="shared" si="146"/>
        <v>241</v>
      </c>
      <c r="AC234" s="3">
        <f>SUMIF(MORTALIDAD!$R:$R,RESUMEN!AA234,MORTALIDAD!$V:$V)</f>
        <v>0</v>
      </c>
      <c r="AD234" s="19">
        <f t="shared" si="134"/>
        <v>-476</v>
      </c>
      <c r="AE234" s="3">
        <f>SUMIF(MORTALIDAD!$R:$R,RESUMEN!AA234,MORTALIDAD!$W:$W)</f>
        <v>0</v>
      </c>
      <c r="AF234" s="3">
        <f>SUMIF(TRASLADOS!$T:$T,RESUMEN!AA234,TRASLADOS!$W:$W)</f>
        <v>0</v>
      </c>
      <c r="AG234" s="3">
        <f>SUMIF(TRASLADOS!$T:$T,RESUMEN!AA234,TRASLADOS!$X:$X)</f>
        <v>0</v>
      </c>
      <c r="AH234" s="3">
        <f>SUMIF(VENTAS!$R:$R,RESUMEN!AA234,VENTAS!$V:$V)</f>
        <v>0</v>
      </c>
      <c r="AI234" s="3">
        <f>SUMIF(VENTAS!$R:$R,RESUMEN!AA234,VENTAS!$W:$W)</f>
        <v>0</v>
      </c>
      <c r="AJ234" s="97">
        <f t="shared" si="135"/>
        <v>1724</v>
      </c>
      <c r="AK234" s="96"/>
      <c r="AL234" s="99">
        <f t="shared" si="126"/>
        <v>35</v>
      </c>
      <c r="AM234" s="11">
        <f t="shared" si="147"/>
        <v>43495</v>
      </c>
      <c r="AN234" s="3">
        <f t="shared" si="147"/>
        <v>241</v>
      </c>
      <c r="AO234" s="3">
        <f>SUMIF(MORTALIDAD!$Z:$Z,RESUMEN!AM234,MORTALIDAD!$AD:$AD)</f>
        <v>0</v>
      </c>
      <c r="AP234" s="19">
        <f t="shared" si="137"/>
        <v>-124</v>
      </c>
      <c r="AQ234" s="3">
        <f>SUMIF(MORTALIDAD!$Z:$Z,RESUMEN!AM234,MORTALIDAD!$AE:$AE)</f>
        <v>0</v>
      </c>
      <c r="AR234" s="3">
        <f>SUMIF(TRASLADOS!$AC:$AC,RESUMEN!AM234,TRASLADOS!$AF:$AF)</f>
        <v>0</v>
      </c>
      <c r="AS234" s="3">
        <f>SUMIF(TRASLADOS!$AC:$AC,RESUMEN!AM234,TRASLADOS!$AG:$AG)</f>
        <v>0</v>
      </c>
      <c r="AT234" s="3">
        <f>SUMIF(VENTAS!$Z:$Z,RESUMEN!AM234,VENTAS!$AD:$AD)</f>
        <v>0</v>
      </c>
      <c r="AU234" s="3">
        <f>SUMIF(VENTAS!$Z:$Z,RESUMEN!AM234,VENTAS!$AE:$AE)</f>
        <v>0</v>
      </c>
      <c r="AV234" s="97">
        <f t="shared" si="138"/>
        <v>2076</v>
      </c>
      <c r="AW234" s="96"/>
      <c r="AX234" s="99">
        <f t="shared" si="127"/>
        <v>35</v>
      </c>
      <c r="AY234" s="11">
        <f t="shared" si="148"/>
        <v>43502</v>
      </c>
      <c r="AZ234" s="3">
        <f t="shared" si="148"/>
        <v>241</v>
      </c>
      <c r="BA234" s="3">
        <f>SUMIF(MORTALIDAD!$AH:$AH,RESUMEN!AY234,MORTALIDAD!$AL:$AL)</f>
        <v>0</v>
      </c>
      <c r="BB234" s="19">
        <f t="shared" si="140"/>
        <v>-119</v>
      </c>
      <c r="BC234" s="3">
        <f>SUMIF(MORTALIDAD!$AH:$AH,RESUMEN!AY234,MORTALIDAD!$AM:$AM)</f>
        <v>0</v>
      </c>
      <c r="BD234" s="3">
        <f>SUMIF(TRASLADOS!$AL:$AL,RESUMEN!AY234,TRASLADOS!$AO:$AO)</f>
        <v>0</v>
      </c>
      <c r="BE234" s="3">
        <f>SUMIF(TRASLADOS!$AL:$AL,RESUMEN!AY234,TRASLADOS!$AP:$AP)</f>
        <v>0</v>
      </c>
      <c r="BF234" s="3">
        <f>SUMIF(VENTAS!$AH:$AH,RESUMEN!AY234,VENTAS!$AL:$AL)</f>
        <v>0</v>
      </c>
      <c r="BG234" s="3">
        <f>SUMIF(VENTAS!$AH:$AH,RESUMEN!AY234,VENTAS!$AM:$AM)</f>
        <v>0</v>
      </c>
      <c r="BH234" s="97">
        <f t="shared" si="141"/>
        <v>2081</v>
      </c>
      <c r="BI234" s="96"/>
      <c r="BJ234" s="99">
        <f t="shared" si="128"/>
        <v>35</v>
      </c>
      <c r="BK234" s="11">
        <f t="shared" si="149"/>
        <v>43511</v>
      </c>
      <c r="BL234" s="3">
        <f t="shared" si="149"/>
        <v>244</v>
      </c>
      <c r="BM234" s="3">
        <f>SUMIF(MORTALIDAD!$AP:$AP,RESUMEN!BK234,MORTALIDAD!$AT:$AT)</f>
        <v>0</v>
      </c>
      <c r="BN234" s="19">
        <f t="shared" si="143"/>
        <v>-73</v>
      </c>
      <c r="BO234" s="3">
        <f>SUMIF(MORTALIDAD!$AP$6:$AP$200,RESUMEN!BK234,MORTALIDAD!$AU$6:$AU$200)</f>
        <v>0</v>
      </c>
      <c r="BP234" s="3">
        <f>SUMIF(TRASLADOS!$AU:$AU,RESUMEN!BK234,TRASLADOS!$AX:$AX)</f>
        <v>0</v>
      </c>
      <c r="BQ234" s="3">
        <f>SUMIF(TRASLADOS!$AU:$AU,RESUMEN!BK234,TRASLADOS!$AY:$AY)</f>
        <v>0</v>
      </c>
      <c r="BR234" s="3">
        <f>SUMIF(VENTAS!$AP:$AP,RESUMEN!BK234,VENTAS!$AT:$AT)</f>
        <v>0</v>
      </c>
      <c r="BS234" s="3">
        <f>SUMIF(VENTAS!$AP:$AP,RESUMEN!BK234,VENTAS!$AU:$AU)</f>
        <v>0</v>
      </c>
      <c r="BT234" s="36">
        <f t="shared" si="144"/>
        <v>2241</v>
      </c>
    </row>
    <row r="235" spans="2:72" x14ac:dyDescent="0.2">
      <c r="B235" s="3">
        <f t="shared" si="123"/>
        <v>35</v>
      </c>
      <c r="C235" s="11">
        <f t="shared" si="115"/>
        <v>43482</v>
      </c>
      <c r="D235" s="3">
        <f t="shared" si="116"/>
        <v>244</v>
      </c>
      <c r="E235" s="3">
        <f>SUMIF(MORTALIDAD!$B$6:$B$200,RESUMEN!C235,MORTALIDAD!$F$6:$F$200)</f>
        <v>0</v>
      </c>
      <c r="F235" s="17">
        <f t="shared" si="117"/>
        <v>-740</v>
      </c>
      <c r="G235" s="3">
        <f>SUMIF(MORTALIDAD!$B$6:$B$200,RESUMEN!C235,MORTALIDAD!$G$6:$G$200)</f>
        <v>0</v>
      </c>
      <c r="H235" s="3">
        <f>SUMIF(TRASLADOS!$B$6:$B$200,C235,TRASLADOS!$E$6:$E$200)</f>
        <v>0</v>
      </c>
      <c r="I235" s="3">
        <f>SUMIF(TRASLADOS!$B$6:$B$200,C235,TRASLADOS!$F$6:$F$200)</f>
        <v>0</v>
      </c>
      <c r="J235" s="3">
        <f>SUMIF(VENTAS!$B$6:$B$200,RESUMEN!C235,VENTAS!$F$6:$F$200)</f>
        <v>0</v>
      </c>
      <c r="K235" s="3">
        <f>SUMIF(VENTAS!$B$6:$B$200,RESUMEN!C235,VENTAS!$G$6:$G$200)</f>
        <v>0</v>
      </c>
      <c r="L235" s="97">
        <f t="shared" si="129"/>
        <v>1460</v>
      </c>
      <c r="M235" s="96"/>
      <c r="N235" s="99">
        <f t="shared" si="124"/>
        <v>35</v>
      </c>
      <c r="O235" s="11">
        <f t="shared" si="145"/>
        <v>43485</v>
      </c>
      <c r="P235" s="3">
        <f t="shared" si="145"/>
        <v>243</v>
      </c>
      <c r="Q235" s="3">
        <f>SUMIF(MORTALIDAD!$J:$J,RESUMEN!O235,MORTALIDAD!$N:$N)</f>
        <v>0</v>
      </c>
      <c r="R235" s="19">
        <f t="shared" si="131"/>
        <v>-680</v>
      </c>
      <c r="S235" s="3">
        <f>SUMIF(MORTALIDAD!$J:$J,RESUMEN!O235,MORTALIDAD!$O:$O)</f>
        <v>0</v>
      </c>
      <c r="T235" s="3">
        <f>SUMIF(TRASLADOS!$K:$K,RESUMEN!O235,TRASLADOS!$N:$N)</f>
        <v>0</v>
      </c>
      <c r="U235" s="3">
        <f>SUMIF(TRASLADOS!$K:$K,RESUMEN!O235,TRASLADOS!$O:$O)</f>
        <v>0</v>
      </c>
      <c r="V235" s="3">
        <f>SUMIF(VENTAS!$J:$J,RESUMEN!O235,VENTAS!$N:$N)</f>
        <v>0</v>
      </c>
      <c r="W235" s="3">
        <f>SUMIF(VENTAS!$J:$J,RESUMEN!O235,VENTAS!$O:$O)</f>
        <v>0</v>
      </c>
      <c r="X235" s="97">
        <f t="shared" si="132"/>
        <v>1520</v>
      </c>
      <c r="Y235" s="96"/>
      <c r="Z235" s="99">
        <f t="shared" si="125"/>
        <v>35</v>
      </c>
      <c r="AA235" s="11">
        <f t="shared" si="146"/>
        <v>43489</v>
      </c>
      <c r="AB235" s="3">
        <f t="shared" si="146"/>
        <v>242</v>
      </c>
      <c r="AC235" s="3">
        <f>SUMIF(MORTALIDAD!$R:$R,RESUMEN!AA235,MORTALIDAD!$V:$V)</f>
        <v>0</v>
      </c>
      <c r="AD235" s="19">
        <f t="shared" si="134"/>
        <v>-476</v>
      </c>
      <c r="AE235" s="3">
        <f>SUMIF(MORTALIDAD!$R:$R,RESUMEN!AA235,MORTALIDAD!$W:$W)</f>
        <v>0</v>
      </c>
      <c r="AF235" s="3">
        <f>SUMIF(TRASLADOS!$T:$T,RESUMEN!AA235,TRASLADOS!$W:$W)</f>
        <v>0</v>
      </c>
      <c r="AG235" s="3">
        <f>SUMIF(TRASLADOS!$T:$T,RESUMEN!AA235,TRASLADOS!$X:$X)</f>
        <v>0</v>
      </c>
      <c r="AH235" s="3">
        <f>SUMIF(VENTAS!$R:$R,RESUMEN!AA235,VENTAS!$V:$V)</f>
        <v>0</v>
      </c>
      <c r="AI235" s="3">
        <f>SUMIF(VENTAS!$R:$R,RESUMEN!AA235,VENTAS!$W:$W)</f>
        <v>0</v>
      </c>
      <c r="AJ235" s="97">
        <f t="shared" si="135"/>
        <v>1724</v>
      </c>
      <c r="AK235" s="96"/>
      <c r="AL235" s="99">
        <f t="shared" si="126"/>
        <v>35</v>
      </c>
      <c r="AM235" s="11">
        <f t="shared" si="147"/>
        <v>43496</v>
      </c>
      <c r="AN235" s="3">
        <f t="shared" si="147"/>
        <v>242</v>
      </c>
      <c r="AO235" s="3">
        <f>SUMIF(MORTALIDAD!$Z:$Z,RESUMEN!AM235,MORTALIDAD!$AD:$AD)</f>
        <v>0</v>
      </c>
      <c r="AP235" s="19">
        <f t="shared" si="137"/>
        <v>-124</v>
      </c>
      <c r="AQ235" s="3">
        <f>SUMIF(MORTALIDAD!$Z:$Z,RESUMEN!AM235,MORTALIDAD!$AE:$AE)</f>
        <v>0</v>
      </c>
      <c r="AR235" s="3">
        <f>SUMIF(TRASLADOS!$AC:$AC,RESUMEN!AM235,TRASLADOS!$AF:$AF)</f>
        <v>0</v>
      </c>
      <c r="AS235" s="3">
        <f>SUMIF(TRASLADOS!$AC:$AC,RESUMEN!AM235,TRASLADOS!$AG:$AG)</f>
        <v>0</v>
      </c>
      <c r="AT235" s="3">
        <f>SUMIF(VENTAS!$Z:$Z,RESUMEN!AM235,VENTAS!$AD:$AD)</f>
        <v>0</v>
      </c>
      <c r="AU235" s="3">
        <f>SUMIF(VENTAS!$Z:$Z,RESUMEN!AM235,VENTAS!$AE:$AE)</f>
        <v>0</v>
      </c>
      <c r="AV235" s="97">
        <f t="shared" si="138"/>
        <v>2076</v>
      </c>
      <c r="AW235" s="96"/>
      <c r="AX235" s="99">
        <f t="shared" si="127"/>
        <v>35</v>
      </c>
      <c r="AY235" s="11">
        <f t="shared" si="148"/>
        <v>43503</v>
      </c>
      <c r="AZ235" s="3">
        <f t="shared" si="148"/>
        <v>242</v>
      </c>
      <c r="BA235" s="3">
        <f>SUMIF(MORTALIDAD!$AH:$AH,RESUMEN!AY235,MORTALIDAD!$AL:$AL)</f>
        <v>0</v>
      </c>
      <c r="BB235" s="19">
        <f t="shared" si="140"/>
        <v>-119</v>
      </c>
      <c r="BC235" s="3">
        <f>SUMIF(MORTALIDAD!$AH:$AH,RESUMEN!AY235,MORTALIDAD!$AM:$AM)</f>
        <v>0</v>
      </c>
      <c r="BD235" s="3">
        <f>SUMIF(TRASLADOS!$AL:$AL,RESUMEN!AY235,TRASLADOS!$AO:$AO)</f>
        <v>0</v>
      </c>
      <c r="BE235" s="3">
        <f>SUMIF(TRASLADOS!$AL:$AL,RESUMEN!AY235,TRASLADOS!$AP:$AP)</f>
        <v>0</v>
      </c>
      <c r="BF235" s="3">
        <f>SUMIF(VENTAS!$AH:$AH,RESUMEN!AY235,VENTAS!$AL:$AL)</f>
        <v>0</v>
      </c>
      <c r="BG235" s="3">
        <f>SUMIF(VENTAS!$AH:$AH,RESUMEN!AY235,VENTAS!$AM:$AM)</f>
        <v>0</v>
      </c>
      <c r="BH235" s="97">
        <f t="shared" si="141"/>
        <v>2081</v>
      </c>
      <c r="BI235" s="96"/>
      <c r="BJ235" s="99">
        <f t="shared" si="128"/>
        <v>35</v>
      </c>
      <c r="BK235" s="11">
        <f t="shared" si="149"/>
        <v>43512</v>
      </c>
      <c r="BL235" s="3">
        <f t="shared" si="149"/>
        <v>245</v>
      </c>
      <c r="BM235" s="3">
        <f>SUMIF(MORTALIDAD!$AP:$AP,RESUMEN!BK235,MORTALIDAD!$AT:$AT)</f>
        <v>0</v>
      </c>
      <c r="BN235" s="19">
        <f t="shared" si="143"/>
        <v>-73</v>
      </c>
      <c r="BO235" s="3">
        <f>SUMIF(MORTALIDAD!$AP$6:$AP$200,RESUMEN!BK235,MORTALIDAD!$AU$6:$AU$200)</f>
        <v>0</v>
      </c>
      <c r="BP235" s="3">
        <f>SUMIF(TRASLADOS!$AU:$AU,RESUMEN!BK235,TRASLADOS!$AX:$AX)</f>
        <v>0</v>
      </c>
      <c r="BQ235" s="3">
        <f>SUMIF(TRASLADOS!$AU:$AU,RESUMEN!BK235,TRASLADOS!$AY:$AY)</f>
        <v>0</v>
      </c>
      <c r="BR235" s="3">
        <f>SUMIF(VENTAS!$AP:$AP,RESUMEN!BK235,VENTAS!$AT:$AT)</f>
        <v>0</v>
      </c>
      <c r="BS235" s="3">
        <f>SUMIF(VENTAS!$AP:$AP,RESUMEN!BK235,VENTAS!$AU:$AU)</f>
        <v>0</v>
      </c>
      <c r="BT235" s="36">
        <f t="shared" si="144"/>
        <v>2241</v>
      </c>
    </row>
    <row r="236" spans="2:72" x14ac:dyDescent="0.2">
      <c r="B236" s="3">
        <f t="shared" si="123"/>
        <v>35</v>
      </c>
      <c r="C236" s="11">
        <f t="shared" si="115"/>
        <v>43483</v>
      </c>
      <c r="D236" s="3">
        <f t="shared" si="116"/>
        <v>245</v>
      </c>
      <c r="E236" s="3">
        <f>SUMIF(MORTALIDAD!$B$6:$B$200,RESUMEN!C236,MORTALIDAD!$F$6:$F$200)</f>
        <v>0</v>
      </c>
      <c r="F236" s="17">
        <f t="shared" si="117"/>
        <v>-740</v>
      </c>
      <c r="G236" s="3">
        <f>SUMIF(MORTALIDAD!$B$6:$B$200,RESUMEN!C236,MORTALIDAD!$G$6:$G$200)</f>
        <v>0</v>
      </c>
      <c r="H236" s="3">
        <f>SUMIF(TRASLADOS!$B$6:$B$200,C236,TRASLADOS!$E$6:$E$200)</f>
        <v>0</v>
      </c>
      <c r="I236" s="3">
        <f>SUMIF(TRASLADOS!$B$6:$B$200,C236,TRASLADOS!$F$6:$F$200)</f>
        <v>0</v>
      </c>
      <c r="J236" s="3">
        <f>SUMIF(VENTAS!$B$6:$B$200,RESUMEN!C236,VENTAS!$F$6:$F$200)</f>
        <v>0</v>
      </c>
      <c r="K236" s="3">
        <f>SUMIF(VENTAS!$B$6:$B$200,RESUMEN!C236,VENTAS!$G$6:$G$200)</f>
        <v>0</v>
      </c>
      <c r="L236" s="97">
        <f t="shared" si="129"/>
        <v>1460</v>
      </c>
      <c r="M236" s="96"/>
      <c r="N236" s="99">
        <f t="shared" si="124"/>
        <v>35</v>
      </c>
      <c r="O236" s="11">
        <f t="shared" si="145"/>
        <v>43486</v>
      </c>
      <c r="P236" s="3">
        <f t="shared" si="145"/>
        <v>244</v>
      </c>
      <c r="Q236" s="3">
        <f>SUMIF(MORTALIDAD!$J:$J,RESUMEN!O236,MORTALIDAD!$N:$N)</f>
        <v>0</v>
      </c>
      <c r="R236" s="19">
        <f t="shared" si="131"/>
        <v>-680</v>
      </c>
      <c r="S236" s="3">
        <f>SUMIF(MORTALIDAD!$J:$J,RESUMEN!O236,MORTALIDAD!$O:$O)</f>
        <v>0</v>
      </c>
      <c r="T236" s="3">
        <f>SUMIF(TRASLADOS!$K:$K,RESUMEN!O236,TRASLADOS!$N:$N)</f>
        <v>0</v>
      </c>
      <c r="U236" s="3">
        <f>SUMIF(TRASLADOS!$K:$K,RESUMEN!O236,TRASLADOS!$O:$O)</f>
        <v>0</v>
      </c>
      <c r="V236" s="3">
        <f>SUMIF(VENTAS!$J:$J,RESUMEN!O236,VENTAS!$N:$N)</f>
        <v>0</v>
      </c>
      <c r="W236" s="3">
        <f>SUMIF(VENTAS!$J:$J,RESUMEN!O236,VENTAS!$O:$O)</f>
        <v>0</v>
      </c>
      <c r="X236" s="97">
        <f t="shared" si="132"/>
        <v>1520</v>
      </c>
      <c r="Y236" s="96"/>
      <c r="Z236" s="99">
        <f t="shared" si="125"/>
        <v>35</v>
      </c>
      <c r="AA236" s="11">
        <f t="shared" si="146"/>
        <v>43490</v>
      </c>
      <c r="AB236" s="3">
        <f t="shared" si="146"/>
        <v>243</v>
      </c>
      <c r="AC236" s="3">
        <f>SUMIF(MORTALIDAD!$R:$R,RESUMEN!AA236,MORTALIDAD!$V:$V)</f>
        <v>0</v>
      </c>
      <c r="AD236" s="19">
        <f t="shared" si="134"/>
        <v>-476</v>
      </c>
      <c r="AE236" s="3">
        <f>SUMIF(MORTALIDAD!$R:$R,RESUMEN!AA236,MORTALIDAD!$W:$W)</f>
        <v>0</v>
      </c>
      <c r="AF236" s="3">
        <f>SUMIF(TRASLADOS!$T:$T,RESUMEN!AA236,TRASLADOS!$W:$W)</f>
        <v>0</v>
      </c>
      <c r="AG236" s="3">
        <f>SUMIF(TRASLADOS!$T:$T,RESUMEN!AA236,TRASLADOS!$X:$X)</f>
        <v>0</v>
      </c>
      <c r="AH236" s="3">
        <f>SUMIF(VENTAS!$R:$R,RESUMEN!AA236,VENTAS!$V:$V)</f>
        <v>0</v>
      </c>
      <c r="AI236" s="3">
        <f>SUMIF(VENTAS!$R:$R,RESUMEN!AA236,VENTAS!$W:$W)</f>
        <v>0</v>
      </c>
      <c r="AJ236" s="97">
        <f t="shared" si="135"/>
        <v>1724</v>
      </c>
      <c r="AK236" s="96"/>
      <c r="AL236" s="99">
        <f t="shared" si="126"/>
        <v>35</v>
      </c>
      <c r="AM236" s="11">
        <f t="shared" si="147"/>
        <v>43497</v>
      </c>
      <c r="AN236" s="3">
        <f t="shared" si="147"/>
        <v>243</v>
      </c>
      <c r="AO236" s="3">
        <f>SUMIF(MORTALIDAD!$Z:$Z,RESUMEN!AM236,MORTALIDAD!$AD:$AD)</f>
        <v>0</v>
      </c>
      <c r="AP236" s="19">
        <f t="shared" si="137"/>
        <v>-124</v>
      </c>
      <c r="AQ236" s="3">
        <f>SUMIF(MORTALIDAD!$Z:$Z,RESUMEN!AM236,MORTALIDAD!$AE:$AE)</f>
        <v>0</v>
      </c>
      <c r="AR236" s="3">
        <f>SUMIF(TRASLADOS!$AC:$AC,RESUMEN!AM236,TRASLADOS!$AF:$AF)</f>
        <v>0</v>
      </c>
      <c r="AS236" s="3">
        <f>SUMIF(TRASLADOS!$AC:$AC,RESUMEN!AM236,TRASLADOS!$AG:$AG)</f>
        <v>0</v>
      </c>
      <c r="AT236" s="3">
        <f>SUMIF(VENTAS!$Z:$Z,RESUMEN!AM236,VENTAS!$AD:$AD)</f>
        <v>0</v>
      </c>
      <c r="AU236" s="3">
        <f>SUMIF(VENTAS!$Z:$Z,RESUMEN!AM236,VENTAS!$AE:$AE)</f>
        <v>0</v>
      </c>
      <c r="AV236" s="97">
        <f t="shared" si="138"/>
        <v>2076</v>
      </c>
      <c r="AW236" s="96"/>
      <c r="AX236" s="99">
        <f t="shared" si="127"/>
        <v>35</v>
      </c>
      <c r="AY236" s="11">
        <f t="shared" si="148"/>
        <v>43504</v>
      </c>
      <c r="AZ236" s="3">
        <f t="shared" si="148"/>
        <v>243</v>
      </c>
      <c r="BA236" s="3">
        <f>SUMIF(MORTALIDAD!$AH:$AH,RESUMEN!AY236,MORTALIDAD!$AL:$AL)</f>
        <v>0</v>
      </c>
      <c r="BB236" s="19">
        <f t="shared" si="140"/>
        <v>-119</v>
      </c>
      <c r="BC236" s="3">
        <f>SUMIF(MORTALIDAD!$AH:$AH,RESUMEN!AY236,MORTALIDAD!$AM:$AM)</f>
        <v>0</v>
      </c>
      <c r="BD236" s="3">
        <f>SUMIF(TRASLADOS!$AL:$AL,RESUMEN!AY236,TRASLADOS!$AO:$AO)</f>
        <v>0</v>
      </c>
      <c r="BE236" s="3">
        <f>SUMIF(TRASLADOS!$AL:$AL,RESUMEN!AY236,TRASLADOS!$AP:$AP)</f>
        <v>0</v>
      </c>
      <c r="BF236" s="3">
        <f>SUMIF(VENTAS!$AH:$AH,RESUMEN!AY236,VENTAS!$AL:$AL)</f>
        <v>0</v>
      </c>
      <c r="BG236" s="3">
        <f>SUMIF(VENTAS!$AH:$AH,RESUMEN!AY236,VENTAS!$AM:$AM)</f>
        <v>0</v>
      </c>
      <c r="BH236" s="97">
        <f t="shared" si="141"/>
        <v>2081</v>
      </c>
      <c r="BI236" s="96"/>
      <c r="BJ236" s="99">
        <f t="shared" si="128"/>
        <v>36</v>
      </c>
      <c r="BK236" s="11">
        <f t="shared" si="149"/>
        <v>43513</v>
      </c>
      <c r="BL236" s="3">
        <f t="shared" si="149"/>
        <v>246</v>
      </c>
      <c r="BM236" s="3">
        <f>SUMIF(MORTALIDAD!$AP:$AP,RESUMEN!BK236,MORTALIDAD!$AT:$AT)</f>
        <v>0</v>
      </c>
      <c r="BN236" s="19">
        <f t="shared" si="143"/>
        <v>-73</v>
      </c>
      <c r="BO236" s="3">
        <f>SUMIF(MORTALIDAD!$AP$6:$AP$200,RESUMEN!BK236,MORTALIDAD!$AU$6:$AU$200)</f>
        <v>0</v>
      </c>
      <c r="BP236" s="3">
        <f>SUMIF(TRASLADOS!$AU:$AU,RESUMEN!BK236,TRASLADOS!$AX:$AX)</f>
        <v>0</v>
      </c>
      <c r="BQ236" s="3">
        <f>SUMIF(TRASLADOS!$AU:$AU,RESUMEN!BK236,TRASLADOS!$AY:$AY)</f>
        <v>0</v>
      </c>
      <c r="BR236" s="3">
        <f>SUMIF(VENTAS!$AP:$AP,RESUMEN!BK236,VENTAS!$AT:$AT)</f>
        <v>0</v>
      </c>
      <c r="BS236" s="3">
        <f>SUMIF(VENTAS!$AP:$AP,RESUMEN!BK236,VENTAS!$AU:$AU)</f>
        <v>0</v>
      </c>
      <c r="BT236" s="36">
        <f t="shared" si="144"/>
        <v>2241</v>
      </c>
    </row>
    <row r="237" spans="2:72" x14ac:dyDescent="0.2">
      <c r="B237" s="3">
        <f t="shared" si="123"/>
        <v>36</v>
      </c>
      <c r="C237" s="11">
        <f t="shared" si="115"/>
        <v>43484</v>
      </c>
      <c r="D237" s="3">
        <f t="shared" si="116"/>
        <v>246</v>
      </c>
      <c r="E237" s="3">
        <f>SUMIF(MORTALIDAD!$B$6:$B$200,RESUMEN!C237,MORTALIDAD!$F$6:$F$200)</f>
        <v>0</v>
      </c>
      <c r="F237" s="17">
        <f t="shared" si="117"/>
        <v>-740</v>
      </c>
      <c r="G237" s="3">
        <f>SUMIF(MORTALIDAD!$B$6:$B$200,RESUMEN!C237,MORTALIDAD!$G$6:$G$200)</f>
        <v>0</v>
      </c>
      <c r="H237" s="3">
        <f>SUMIF(TRASLADOS!$B$6:$B$200,C237,TRASLADOS!$E$6:$E$200)</f>
        <v>0</v>
      </c>
      <c r="I237" s="3">
        <f>SUMIF(TRASLADOS!$B$6:$B$200,C237,TRASLADOS!$F$6:$F$200)</f>
        <v>0</v>
      </c>
      <c r="J237" s="3">
        <f>SUMIF(VENTAS!$B$6:$B$200,RESUMEN!C237,VENTAS!$F$6:$F$200)</f>
        <v>0</v>
      </c>
      <c r="K237" s="3">
        <f>SUMIF(VENTAS!$B$6:$B$200,RESUMEN!C237,VENTAS!$G$6:$G$200)</f>
        <v>0</v>
      </c>
      <c r="L237" s="97">
        <f t="shared" si="129"/>
        <v>1460</v>
      </c>
      <c r="M237" s="96"/>
      <c r="N237" s="99">
        <f t="shared" si="124"/>
        <v>35</v>
      </c>
      <c r="O237" s="11">
        <f t="shared" si="145"/>
        <v>43487</v>
      </c>
      <c r="P237" s="3">
        <f t="shared" si="145"/>
        <v>245</v>
      </c>
      <c r="Q237" s="3">
        <f>SUMIF(MORTALIDAD!$J:$J,RESUMEN!O237,MORTALIDAD!$N:$N)</f>
        <v>0</v>
      </c>
      <c r="R237" s="19">
        <f t="shared" si="131"/>
        <v>-680</v>
      </c>
      <c r="S237" s="3">
        <f>SUMIF(MORTALIDAD!$J:$J,RESUMEN!O237,MORTALIDAD!$O:$O)</f>
        <v>0</v>
      </c>
      <c r="T237" s="3">
        <f>SUMIF(TRASLADOS!$K:$K,RESUMEN!O237,TRASLADOS!$N:$N)</f>
        <v>0</v>
      </c>
      <c r="U237" s="3">
        <f>SUMIF(TRASLADOS!$K:$K,RESUMEN!O237,TRASLADOS!$O:$O)</f>
        <v>0</v>
      </c>
      <c r="V237" s="3">
        <f>SUMIF(VENTAS!$J:$J,RESUMEN!O237,VENTAS!$N:$N)</f>
        <v>0</v>
      </c>
      <c r="W237" s="3">
        <f>SUMIF(VENTAS!$J:$J,RESUMEN!O237,VENTAS!$O:$O)</f>
        <v>0</v>
      </c>
      <c r="X237" s="97">
        <f t="shared" si="132"/>
        <v>1520</v>
      </c>
      <c r="Y237" s="96"/>
      <c r="Z237" s="99">
        <f t="shared" si="125"/>
        <v>35</v>
      </c>
      <c r="AA237" s="11">
        <f t="shared" si="146"/>
        <v>43491</v>
      </c>
      <c r="AB237" s="3">
        <f t="shared" si="146"/>
        <v>244</v>
      </c>
      <c r="AC237" s="3">
        <f>SUMIF(MORTALIDAD!$R:$R,RESUMEN!AA237,MORTALIDAD!$V:$V)</f>
        <v>0</v>
      </c>
      <c r="AD237" s="19">
        <f t="shared" si="134"/>
        <v>-476</v>
      </c>
      <c r="AE237" s="3">
        <f>SUMIF(MORTALIDAD!$R:$R,RESUMEN!AA237,MORTALIDAD!$W:$W)</f>
        <v>0</v>
      </c>
      <c r="AF237" s="3">
        <f>SUMIF(TRASLADOS!$T:$T,RESUMEN!AA237,TRASLADOS!$W:$W)</f>
        <v>0</v>
      </c>
      <c r="AG237" s="3">
        <f>SUMIF(TRASLADOS!$T:$T,RESUMEN!AA237,TRASLADOS!$X:$X)</f>
        <v>0</v>
      </c>
      <c r="AH237" s="3">
        <f>SUMIF(VENTAS!$R:$R,RESUMEN!AA237,VENTAS!$V:$V)</f>
        <v>0</v>
      </c>
      <c r="AI237" s="3">
        <f>SUMIF(VENTAS!$R:$R,RESUMEN!AA237,VENTAS!$W:$W)</f>
        <v>0</v>
      </c>
      <c r="AJ237" s="97">
        <f t="shared" si="135"/>
        <v>1724</v>
      </c>
      <c r="AK237" s="96"/>
      <c r="AL237" s="99">
        <f t="shared" si="126"/>
        <v>35</v>
      </c>
      <c r="AM237" s="11">
        <f t="shared" si="147"/>
        <v>43498</v>
      </c>
      <c r="AN237" s="3">
        <f t="shared" si="147"/>
        <v>244</v>
      </c>
      <c r="AO237" s="3">
        <f>SUMIF(MORTALIDAD!$Z:$Z,RESUMEN!AM237,MORTALIDAD!$AD:$AD)</f>
        <v>0</v>
      </c>
      <c r="AP237" s="19">
        <f t="shared" si="137"/>
        <v>-124</v>
      </c>
      <c r="AQ237" s="3">
        <f>SUMIF(MORTALIDAD!$Z:$Z,RESUMEN!AM237,MORTALIDAD!$AE:$AE)</f>
        <v>0</v>
      </c>
      <c r="AR237" s="3">
        <f>SUMIF(TRASLADOS!$AC:$AC,RESUMEN!AM237,TRASLADOS!$AF:$AF)</f>
        <v>0</v>
      </c>
      <c r="AS237" s="3">
        <f>SUMIF(TRASLADOS!$AC:$AC,RESUMEN!AM237,TRASLADOS!$AG:$AG)</f>
        <v>0</v>
      </c>
      <c r="AT237" s="3">
        <f>SUMIF(VENTAS!$Z:$Z,RESUMEN!AM237,VENTAS!$AD:$AD)</f>
        <v>0</v>
      </c>
      <c r="AU237" s="3">
        <f>SUMIF(VENTAS!$Z:$Z,RESUMEN!AM237,VENTAS!$AE:$AE)</f>
        <v>0</v>
      </c>
      <c r="AV237" s="97">
        <f t="shared" si="138"/>
        <v>2076</v>
      </c>
      <c r="AW237" s="96"/>
      <c r="AX237" s="99">
        <f t="shared" si="127"/>
        <v>35</v>
      </c>
      <c r="AY237" s="11">
        <f t="shared" si="148"/>
        <v>43505</v>
      </c>
      <c r="AZ237" s="3">
        <f t="shared" si="148"/>
        <v>244</v>
      </c>
      <c r="BA237" s="3">
        <f>SUMIF(MORTALIDAD!$AH:$AH,RESUMEN!AY237,MORTALIDAD!$AL:$AL)</f>
        <v>0</v>
      </c>
      <c r="BB237" s="19">
        <f t="shared" si="140"/>
        <v>-119</v>
      </c>
      <c r="BC237" s="3">
        <f>SUMIF(MORTALIDAD!$AH:$AH,RESUMEN!AY237,MORTALIDAD!$AM:$AM)</f>
        <v>0</v>
      </c>
      <c r="BD237" s="3">
        <f>SUMIF(TRASLADOS!$AL:$AL,RESUMEN!AY237,TRASLADOS!$AO:$AO)</f>
        <v>0</v>
      </c>
      <c r="BE237" s="3">
        <f>SUMIF(TRASLADOS!$AL:$AL,RESUMEN!AY237,TRASLADOS!$AP:$AP)</f>
        <v>0</v>
      </c>
      <c r="BF237" s="3">
        <f>SUMIF(VENTAS!$AH:$AH,RESUMEN!AY237,VENTAS!$AL:$AL)</f>
        <v>0</v>
      </c>
      <c r="BG237" s="3">
        <f>SUMIF(VENTAS!$AH:$AH,RESUMEN!AY237,VENTAS!$AM:$AM)</f>
        <v>0</v>
      </c>
      <c r="BH237" s="97">
        <f t="shared" si="141"/>
        <v>2081</v>
      </c>
      <c r="BI237" s="96"/>
      <c r="BJ237" s="99">
        <f t="shared" si="128"/>
        <v>36</v>
      </c>
      <c r="BK237" s="11">
        <f t="shared" si="149"/>
        <v>43514</v>
      </c>
      <c r="BL237" s="3">
        <f t="shared" si="149"/>
        <v>247</v>
      </c>
      <c r="BM237" s="3">
        <f>SUMIF(MORTALIDAD!$AP:$AP,RESUMEN!BK237,MORTALIDAD!$AT:$AT)</f>
        <v>0</v>
      </c>
      <c r="BN237" s="19">
        <f t="shared" si="143"/>
        <v>-73</v>
      </c>
      <c r="BO237" s="3">
        <f>SUMIF(MORTALIDAD!$AP$6:$AP$200,RESUMEN!BK237,MORTALIDAD!$AU$6:$AU$200)</f>
        <v>0</v>
      </c>
      <c r="BP237" s="3">
        <f>SUMIF(TRASLADOS!$AU:$AU,RESUMEN!BK237,TRASLADOS!$AX:$AX)</f>
        <v>0</v>
      </c>
      <c r="BQ237" s="3">
        <f>SUMIF(TRASLADOS!$AU:$AU,RESUMEN!BK237,TRASLADOS!$AY:$AY)</f>
        <v>0</v>
      </c>
      <c r="BR237" s="3">
        <f>SUMIF(VENTAS!$AP:$AP,RESUMEN!BK237,VENTAS!$AT:$AT)</f>
        <v>0</v>
      </c>
      <c r="BS237" s="3">
        <f>SUMIF(VENTAS!$AP:$AP,RESUMEN!BK237,VENTAS!$AU:$AU)</f>
        <v>0</v>
      </c>
      <c r="BT237" s="36">
        <f t="shared" si="144"/>
        <v>2241</v>
      </c>
    </row>
    <row r="238" spans="2:72" x14ac:dyDescent="0.2">
      <c r="B238" s="3">
        <f t="shared" si="123"/>
        <v>36</v>
      </c>
      <c r="C238" s="11">
        <f t="shared" si="115"/>
        <v>43485</v>
      </c>
      <c r="D238" s="3">
        <f t="shared" si="116"/>
        <v>247</v>
      </c>
      <c r="E238" s="3">
        <f>SUMIF(MORTALIDAD!$B$6:$B$200,RESUMEN!C238,MORTALIDAD!$F$6:$F$200)</f>
        <v>0</v>
      </c>
      <c r="F238" s="17">
        <f t="shared" si="117"/>
        <v>-740</v>
      </c>
      <c r="G238" s="3">
        <f>SUMIF(MORTALIDAD!$B$6:$B$200,RESUMEN!C238,MORTALIDAD!$G$6:$G$200)</f>
        <v>0</v>
      </c>
      <c r="H238" s="3">
        <f>SUMIF(TRASLADOS!$B$6:$B$200,C238,TRASLADOS!$E$6:$E$200)</f>
        <v>0</v>
      </c>
      <c r="I238" s="3">
        <f>SUMIF(TRASLADOS!$B$6:$B$200,C238,TRASLADOS!$F$6:$F$200)</f>
        <v>0</v>
      </c>
      <c r="J238" s="3">
        <f>SUMIF(VENTAS!$B$6:$B$200,RESUMEN!C238,VENTAS!$F$6:$F$200)</f>
        <v>0</v>
      </c>
      <c r="K238" s="3">
        <f>SUMIF(VENTAS!$B$6:$B$200,RESUMEN!C238,VENTAS!$G$6:$G$200)</f>
        <v>0</v>
      </c>
      <c r="L238" s="97">
        <f t="shared" si="129"/>
        <v>1460</v>
      </c>
      <c r="M238" s="96"/>
      <c r="N238" s="99">
        <f t="shared" si="124"/>
        <v>36</v>
      </c>
      <c r="O238" s="11">
        <f t="shared" si="145"/>
        <v>43488</v>
      </c>
      <c r="P238" s="3">
        <f t="shared" si="145"/>
        <v>246</v>
      </c>
      <c r="Q238" s="3">
        <f>SUMIF(MORTALIDAD!$J:$J,RESUMEN!O238,MORTALIDAD!$N:$N)</f>
        <v>0</v>
      </c>
      <c r="R238" s="19">
        <f t="shared" si="131"/>
        <v>-680</v>
      </c>
      <c r="S238" s="3">
        <f>SUMIF(MORTALIDAD!$J:$J,RESUMEN!O238,MORTALIDAD!$O:$O)</f>
        <v>0</v>
      </c>
      <c r="T238" s="3">
        <f>SUMIF(TRASLADOS!$K:$K,RESUMEN!O238,TRASLADOS!$N:$N)</f>
        <v>0</v>
      </c>
      <c r="U238" s="3">
        <f>SUMIF(TRASLADOS!$K:$K,RESUMEN!O238,TRASLADOS!$O:$O)</f>
        <v>0</v>
      </c>
      <c r="V238" s="3">
        <f>SUMIF(VENTAS!$J:$J,RESUMEN!O238,VENTAS!$N:$N)</f>
        <v>0</v>
      </c>
      <c r="W238" s="3">
        <f>SUMIF(VENTAS!$J:$J,RESUMEN!O238,VENTAS!$O:$O)</f>
        <v>0</v>
      </c>
      <c r="X238" s="97">
        <f t="shared" si="132"/>
        <v>1520</v>
      </c>
      <c r="Y238" s="96"/>
      <c r="Z238" s="99">
        <f t="shared" si="125"/>
        <v>35</v>
      </c>
      <c r="AA238" s="11">
        <f t="shared" si="146"/>
        <v>43492</v>
      </c>
      <c r="AB238" s="3">
        <f t="shared" si="146"/>
        <v>245</v>
      </c>
      <c r="AC238" s="3">
        <f>SUMIF(MORTALIDAD!$R:$R,RESUMEN!AA238,MORTALIDAD!$V:$V)</f>
        <v>0</v>
      </c>
      <c r="AD238" s="19">
        <f t="shared" si="134"/>
        <v>-476</v>
      </c>
      <c r="AE238" s="3">
        <f>SUMIF(MORTALIDAD!$R:$R,RESUMEN!AA238,MORTALIDAD!$W:$W)</f>
        <v>0</v>
      </c>
      <c r="AF238" s="3">
        <f>SUMIF(TRASLADOS!$T:$T,RESUMEN!AA238,TRASLADOS!$W:$W)</f>
        <v>0</v>
      </c>
      <c r="AG238" s="3">
        <f>SUMIF(TRASLADOS!$T:$T,RESUMEN!AA238,TRASLADOS!$X:$X)</f>
        <v>0</v>
      </c>
      <c r="AH238" s="3">
        <f>SUMIF(VENTAS!$R:$R,RESUMEN!AA238,VENTAS!$V:$V)</f>
        <v>0</v>
      </c>
      <c r="AI238" s="3">
        <f>SUMIF(VENTAS!$R:$R,RESUMEN!AA238,VENTAS!$W:$W)</f>
        <v>0</v>
      </c>
      <c r="AJ238" s="97">
        <f t="shared" si="135"/>
        <v>1724</v>
      </c>
      <c r="AK238" s="96"/>
      <c r="AL238" s="99">
        <f t="shared" si="126"/>
        <v>35</v>
      </c>
      <c r="AM238" s="11">
        <f t="shared" si="147"/>
        <v>43499</v>
      </c>
      <c r="AN238" s="3">
        <f t="shared" si="147"/>
        <v>245</v>
      </c>
      <c r="AO238" s="3">
        <f>SUMIF(MORTALIDAD!$Z:$Z,RESUMEN!AM238,MORTALIDAD!$AD:$AD)</f>
        <v>0</v>
      </c>
      <c r="AP238" s="19">
        <f t="shared" si="137"/>
        <v>-124</v>
      </c>
      <c r="AQ238" s="3">
        <f>SUMIF(MORTALIDAD!$Z:$Z,RESUMEN!AM238,MORTALIDAD!$AE:$AE)</f>
        <v>0</v>
      </c>
      <c r="AR238" s="3">
        <f>SUMIF(TRASLADOS!$AC:$AC,RESUMEN!AM238,TRASLADOS!$AF:$AF)</f>
        <v>0</v>
      </c>
      <c r="AS238" s="3">
        <f>SUMIF(TRASLADOS!$AC:$AC,RESUMEN!AM238,TRASLADOS!$AG:$AG)</f>
        <v>0</v>
      </c>
      <c r="AT238" s="3">
        <f>SUMIF(VENTAS!$Z:$Z,RESUMEN!AM238,VENTAS!$AD:$AD)</f>
        <v>0</v>
      </c>
      <c r="AU238" s="3">
        <f>SUMIF(VENTAS!$Z:$Z,RESUMEN!AM238,VENTAS!$AE:$AE)</f>
        <v>0</v>
      </c>
      <c r="AV238" s="97">
        <f t="shared" si="138"/>
        <v>2076</v>
      </c>
      <c r="AW238" s="96"/>
      <c r="AX238" s="99">
        <f t="shared" si="127"/>
        <v>35</v>
      </c>
      <c r="AY238" s="11">
        <f t="shared" si="148"/>
        <v>43506</v>
      </c>
      <c r="AZ238" s="3">
        <f t="shared" si="148"/>
        <v>245</v>
      </c>
      <c r="BA238" s="3">
        <f>SUMIF(MORTALIDAD!$AH:$AH,RESUMEN!AY238,MORTALIDAD!$AL:$AL)</f>
        <v>0</v>
      </c>
      <c r="BB238" s="19">
        <f t="shared" si="140"/>
        <v>-119</v>
      </c>
      <c r="BC238" s="3">
        <f>SUMIF(MORTALIDAD!$AH:$AH,RESUMEN!AY238,MORTALIDAD!$AM:$AM)</f>
        <v>0</v>
      </c>
      <c r="BD238" s="3">
        <f>SUMIF(TRASLADOS!$AL:$AL,RESUMEN!AY238,TRASLADOS!$AO:$AO)</f>
        <v>0</v>
      </c>
      <c r="BE238" s="3">
        <f>SUMIF(TRASLADOS!$AL:$AL,RESUMEN!AY238,TRASLADOS!$AP:$AP)</f>
        <v>0</v>
      </c>
      <c r="BF238" s="3">
        <f>SUMIF(VENTAS!$AH:$AH,RESUMEN!AY238,VENTAS!$AL:$AL)</f>
        <v>0</v>
      </c>
      <c r="BG238" s="3">
        <f>SUMIF(VENTAS!$AH:$AH,RESUMEN!AY238,VENTAS!$AM:$AM)</f>
        <v>0</v>
      </c>
      <c r="BH238" s="97">
        <f t="shared" si="141"/>
        <v>2081</v>
      </c>
      <c r="BI238" s="96"/>
      <c r="BJ238" s="99">
        <f t="shared" si="128"/>
        <v>36</v>
      </c>
      <c r="BK238" s="11">
        <f t="shared" si="149"/>
        <v>43515</v>
      </c>
      <c r="BL238" s="3">
        <f t="shared" si="149"/>
        <v>248</v>
      </c>
      <c r="BM238" s="3">
        <f>SUMIF(MORTALIDAD!$AP:$AP,RESUMEN!BK238,MORTALIDAD!$AT:$AT)</f>
        <v>0</v>
      </c>
      <c r="BN238" s="19">
        <f t="shared" si="143"/>
        <v>-73</v>
      </c>
      <c r="BO238" s="3">
        <f>SUMIF(MORTALIDAD!$AP$6:$AP$200,RESUMEN!BK238,MORTALIDAD!$AU$6:$AU$200)</f>
        <v>0</v>
      </c>
      <c r="BP238" s="3">
        <f>SUMIF(TRASLADOS!$AU:$AU,RESUMEN!BK238,TRASLADOS!$AX:$AX)</f>
        <v>0</v>
      </c>
      <c r="BQ238" s="3">
        <f>SUMIF(TRASLADOS!$AU:$AU,RESUMEN!BK238,TRASLADOS!$AY:$AY)</f>
        <v>0</v>
      </c>
      <c r="BR238" s="3">
        <f>SUMIF(VENTAS!$AP:$AP,RESUMEN!BK238,VENTAS!$AT:$AT)</f>
        <v>0</v>
      </c>
      <c r="BS238" s="3">
        <f>SUMIF(VENTAS!$AP:$AP,RESUMEN!BK238,VENTAS!$AU:$AU)</f>
        <v>0</v>
      </c>
      <c r="BT238" s="36">
        <f t="shared" si="144"/>
        <v>2241</v>
      </c>
    </row>
    <row r="239" spans="2:72" x14ac:dyDescent="0.2">
      <c r="B239" s="3">
        <f t="shared" si="123"/>
        <v>36</v>
      </c>
      <c r="C239" s="11">
        <f t="shared" si="115"/>
        <v>43486</v>
      </c>
      <c r="D239" s="3">
        <f t="shared" si="116"/>
        <v>248</v>
      </c>
      <c r="E239" s="3">
        <f>SUMIF(MORTALIDAD!$B$6:$B$200,RESUMEN!C239,MORTALIDAD!$F$6:$F$200)</f>
        <v>0</v>
      </c>
      <c r="F239" s="17">
        <f t="shared" si="117"/>
        <v>-740</v>
      </c>
      <c r="G239" s="3">
        <f>SUMIF(MORTALIDAD!$B$6:$B$200,RESUMEN!C239,MORTALIDAD!$G$6:$G$200)</f>
        <v>0</v>
      </c>
      <c r="H239" s="3">
        <f>SUMIF(TRASLADOS!$B$6:$B$200,C239,TRASLADOS!$E$6:$E$200)</f>
        <v>0</v>
      </c>
      <c r="I239" s="3">
        <f>SUMIF(TRASLADOS!$B$6:$B$200,C239,TRASLADOS!$F$6:$F$200)</f>
        <v>0</v>
      </c>
      <c r="J239" s="3">
        <f>SUMIF(VENTAS!$B$6:$B$200,RESUMEN!C239,VENTAS!$F$6:$F$200)</f>
        <v>0</v>
      </c>
      <c r="K239" s="3">
        <f>SUMIF(VENTAS!$B$6:$B$200,RESUMEN!C239,VENTAS!$G$6:$G$200)</f>
        <v>0</v>
      </c>
      <c r="L239" s="97">
        <f t="shared" si="129"/>
        <v>1460</v>
      </c>
      <c r="M239" s="96"/>
      <c r="N239" s="99">
        <f t="shared" si="124"/>
        <v>36</v>
      </c>
      <c r="O239" s="11">
        <f t="shared" si="145"/>
        <v>43489</v>
      </c>
      <c r="P239" s="3">
        <f t="shared" si="145"/>
        <v>247</v>
      </c>
      <c r="Q239" s="3">
        <f>SUMIF(MORTALIDAD!$J:$J,RESUMEN!O239,MORTALIDAD!$N:$N)</f>
        <v>0</v>
      </c>
      <c r="R239" s="19">
        <f t="shared" si="131"/>
        <v>-680</v>
      </c>
      <c r="S239" s="3">
        <f>SUMIF(MORTALIDAD!$J:$J,RESUMEN!O239,MORTALIDAD!$O:$O)</f>
        <v>0</v>
      </c>
      <c r="T239" s="3">
        <f>SUMIF(TRASLADOS!$K:$K,RESUMEN!O239,TRASLADOS!$N:$N)</f>
        <v>0</v>
      </c>
      <c r="U239" s="3">
        <f>SUMIF(TRASLADOS!$K:$K,RESUMEN!O239,TRASLADOS!$O:$O)</f>
        <v>0</v>
      </c>
      <c r="V239" s="3">
        <f>SUMIF(VENTAS!$J:$J,RESUMEN!O239,VENTAS!$N:$N)</f>
        <v>0</v>
      </c>
      <c r="W239" s="3">
        <f>SUMIF(VENTAS!$J:$J,RESUMEN!O239,VENTAS!$O:$O)</f>
        <v>0</v>
      </c>
      <c r="X239" s="97">
        <f t="shared" si="132"/>
        <v>1520</v>
      </c>
      <c r="Y239" s="96"/>
      <c r="Z239" s="99">
        <f t="shared" si="125"/>
        <v>36</v>
      </c>
      <c r="AA239" s="11">
        <f t="shared" si="146"/>
        <v>43493</v>
      </c>
      <c r="AB239" s="3">
        <f t="shared" si="146"/>
        <v>246</v>
      </c>
      <c r="AC239" s="3">
        <f>SUMIF(MORTALIDAD!$R:$R,RESUMEN!AA239,MORTALIDAD!$V:$V)</f>
        <v>0</v>
      </c>
      <c r="AD239" s="19">
        <f t="shared" si="134"/>
        <v>-476</v>
      </c>
      <c r="AE239" s="3">
        <f>SUMIF(MORTALIDAD!$R:$R,RESUMEN!AA239,MORTALIDAD!$W:$W)</f>
        <v>0</v>
      </c>
      <c r="AF239" s="3">
        <f>SUMIF(TRASLADOS!$T:$T,RESUMEN!AA239,TRASLADOS!$W:$W)</f>
        <v>0</v>
      </c>
      <c r="AG239" s="3">
        <f>SUMIF(TRASLADOS!$T:$T,RESUMEN!AA239,TRASLADOS!$X:$X)</f>
        <v>0</v>
      </c>
      <c r="AH239" s="3">
        <f>SUMIF(VENTAS!$R:$R,RESUMEN!AA239,VENTAS!$V:$V)</f>
        <v>0</v>
      </c>
      <c r="AI239" s="3">
        <f>SUMIF(VENTAS!$R:$R,RESUMEN!AA239,VENTAS!$W:$W)</f>
        <v>0</v>
      </c>
      <c r="AJ239" s="97">
        <f t="shared" si="135"/>
        <v>1724</v>
      </c>
      <c r="AK239" s="96"/>
      <c r="AL239" s="99">
        <f t="shared" si="126"/>
        <v>36</v>
      </c>
      <c r="AM239" s="11">
        <f t="shared" si="147"/>
        <v>43500</v>
      </c>
      <c r="AN239" s="3">
        <f t="shared" si="147"/>
        <v>246</v>
      </c>
      <c r="AO239" s="3">
        <f>SUMIF(MORTALIDAD!$Z:$Z,RESUMEN!AM239,MORTALIDAD!$AD:$AD)</f>
        <v>0</v>
      </c>
      <c r="AP239" s="19">
        <f t="shared" si="137"/>
        <v>-124</v>
      </c>
      <c r="AQ239" s="3">
        <f>SUMIF(MORTALIDAD!$Z:$Z,RESUMEN!AM239,MORTALIDAD!$AE:$AE)</f>
        <v>0</v>
      </c>
      <c r="AR239" s="3">
        <f>SUMIF(TRASLADOS!$AC:$AC,RESUMEN!AM239,TRASLADOS!$AF:$AF)</f>
        <v>0</v>
      </c>
      <c r="AS239" s="3">
        <f>SUMIF(TRASLADOS!$AC:$AC,RESUMEN!AM239,TRASLADOS!$AG:$AG)</f>
        <v>0</v>
      </c>
      <c r="AT239" s="3">
        <f>SUMIF(VENTAS!$Z:$Z,RESUMEN!AM239,VENTAS!$AD:$AD)</f>
        <v>0</v>
      </c>
      <c r="AU239" s="3">
        <f>SUMIF(VENTAS!$Z:$Z,RESUMEN!AM239,VENTAS!$AE:$AE)</f>
        <v>0</v>
      </c>
      <c r="AV239" s="97">
        <f t="shared" si="138"/>
        <v>2076</v>
      </c>
      <c r="AW239" s="96"/>
      <c r="AX239" s="99">
        <f t="shared" si="127"/>
        <v>36</v>
      </c>
      <c r="AY239" s="11">
        <f t="shared" si="148"/>
        <v>43507</v>
      </c>
      <c r="AZ239" s="3">
        <f t="shared" si="148"/>
        <v>246</v>
      </c>
      <c r="BA239" s="3">
        <f>SUMIF(MORTALIDAD!$AH:$AH,RESUMEN!AY239,MORTALIDAD!$AL:$AL)</f>
        <v>0</v>
      </c>
      <c r="BB239" s="19">
        <f t="shared" si="140"/>
        <v>-119</v>
      </c>
      <c r="BC239" s="3">
        <f>SUMIF(MORTALIDAD!$AH:$AH,RESUMEN!AY239,MORTALIDAD!$AM:$AM)</f>
        <v>0</v>
      </c>
      <c r="BD239" s="3">
        <f>SUMIF(TRASLADOS!$AL:$AL,RESUMEN!AY239,TRASLADOS!$AO:$AO)</f>
        <v>0</v>
      </c>
      <c r="BE239" s="3">
        <f>SUMIF(TRASLADOS!$AL:$AL,RESUMEN!AY239,TRASLADOS!$AP:$AP)</f>
        <v>0</v>
      </c>
      <c r="BF239" s="3">
        <f>SUMIF(VENTAS!$AH:$AH,RESUMEN!AY239,VENTAS!$AL:$AL)</f>
        <v>0</v>
      </c>
      <c r="BG239" s="3">
        <f>SUMIF(VENTAS!$AH:$AH,RESUMEN!AY239,VENTAS!$AM:$AM)</f>
        <v>0</v>
      </c>
      <c r="BH239" s="97">
        <f t="shared" si="141"/>
        <v>2081</v>
      </c>
      <c r="BI239" s="96"/>
      <c r="BJ239" s="99">
        <f t="shared" si="128"/>
        <v>36</v>
      </c>
      <c r="BK239" s="11">
        <f t="shared" si="149"/>
        <v>43516</v>
      </c>
      <c r="BL239" s="3">
        <f t="shared" si="149"/>
        <v>249</v>
      </c>
      <c r="BM239" s="3">
        <f>SUMIF(MORTALIDAD!$AP:$AP,RESUMEN!BK239,MORTALIDAD!$AT:$AT)</f>
        <v>0</v>
      </c>
      <c r="BN239" s="19">
        <f t="shared" si="143"/>
        <v>-73</v>
      </c>
      <c r="BO239" s="3">
        <f>SUMIF(MORTALIDAD!$AP$6:$AP$200,RESUMEN!BK239,MORTALIDAD!$AU$6:$AU$200)</f>
        <v>0</v>
      </c>
      <c r="BP239" s="3">
        <f>SUMIF(TRASLADOS!$AU:$AU,RESUMEN!BK239,TRASLADOS!$AX:$AX)</f>
        <v>0</v>
      </c>
      <c r="BQ239" s="3">
        <f>SUMIF(TRASLADOS!$AU:$AU,RESUMEN!BK239,TRASLADOS!$AY:$AY)</f>
        <v>0</v>
      </c>
      <c r="BR239" s="3">
        <f>SUMIF(VENTAS!$AP:$AP,RESUMEN!BK239,VENTAS!$AT:$AT)</f>
        <v>0</v>
      </c>
      <c r="BS239" s="3">
        <f>SUMIF(VENTAS!$AP:$AP,RESUMEN!BK239,VENTAS!$AU:$AU)</f>
        <v>0</v>
      </c>
      <c r="BT239" s="36">
        <f t="shared" si="144"/>
        <v>2241</v>
      </c>
    </row>
    <row r="240" spans="2:72" x14ac:dyDescent="0.2">
      <c r="B240" s="3">
        <f t="shared" si="123"/>
        <v>36</v>
      </c>
      <c r="C240" s="11">
        <f t="shared" si="115"/>
        <v>43487</v>
      </c>
      <c r="D240" s="3">
        <f t="shared" si="116"/>
        <v>249</v>
      </c>
      <c r="E240" s="3">
        <f>SUMIF(MORTALIDAD!$B$6:$B$200,RESUMEN!C240,MORTALIDAD!$F$6:$F$200)</f>
        <v>0</v>
      </c>
      <c r="F240" s="17">
        <f t="shared" si="117"/>
        <v>-740</v>
      </c>
      <c r="G240" s="3">
        <f>SUMIF(MORTALIDAD!$B$6:$B$200,RESUMEN!C240,MORTALIDAD!$G$6:$G$200)</f>
        <v>0</v>
      </c>
      <c r="H240" s="3">
        <f>SUMIF(TRASLADOS!$B$6:$B$200,C240,TRASLADOS!$E$6:$E$200)</f>
        <v>0</v>
      </c>
      <c r="I240" s="3">
        <f>SUMIF(TRASLADOS!$B$6:$B$200,C240,TRASLADOS!$F$6:$F$200)</f>
        <v>0</v>
      </c>
      <c r="J240" s="3">
        <f>SUMIF(VENTAS!$B$6:$B$200,RESUMEN!C240,VENTAS!$F$6:$F$200)</f>
        <v>0</v>
      </c>
      <c r="K240" s="3">
        <f>SUMIF(VENTAS!$B$6:$B$200,RESUMEN!C240,VENTAS!$G$6:$G$200)</f>
        <v>0</v>
      </c>
      <c r="L240" s="97">
        <f t="shared" si="129"/>
        <v>1460</v>
      </c>
      <c r="M240" s="96"/>
      <c r="N240" s="99">
        <f t="shared" si="124"/>
        <v>36</v>
      </c>
      <c r="O240" s="11">
        <f t="shared" si="145"/>
        <v>43490</v>
      </c>
      <c r="P240" s="3">
        <f t="shared" si="145"/>
        <v>248</v>
      </c>
      <c r="Q240" s="3">
        <f>SUMIF(MORTALIDAD!$J:$J,RESUMEN!O240,MORTALIDAD!$N:$N)</f>
        <v>0</v>
      </c>
      <c r="R240" s="19">
        <f t="shared" si="131"/>
        <v>-680</v>
      </c>
      <c r="S240" s="3">
        <f>SUMIF(MORTALIDAD!$J:$J,RESUMEN!O240,MORTALIDAD!$O:$O)</f>
        <v>0</v>
      </c>
      <c r="T240" s="3">
        <f>SUMIF(TRASLADOS!$K:$K,RESUMEN!O240,TRASLADOS!$N:$N)</f>
        <v>0</v>
      </c>
      <c r="U240" s="3">
        <f>SUMIF(TRASLADOS!$K:$K,RESUMEN!O240,TRASLADOS!$O:$O)</f>
        <v>0</v>
      </c>
      <c r="V240" s="3">
        <f>SUMIF(VENTAS!$J:$J,RESUMEN!O240,VENTAS!$N:$N)</f>
        <v>0</v>
      </c>
      <c r="W240" s="3">
        <f>SUMIF(VENTAS!$J:$J,RESUMEN!O240,VENTAS!$O:$O)</f>
        <v>0</v>
      </c>
      <c r="X240" s="97">
        <f t="shared" si="132"/>
        <v>1520</v>
      </c>
      <c r="Y240" s="96"/>
      <c r="Z240" s="99">
        <f t="shared" si="125"/>
        <v>36</v>
      </c>
      <c r="AA240" s="11">
        <f t="shared" si="146"/>
        <v>43494</v>
      </c>
      <c r="AB240" s="3">
        <f t="shared" si="146"/>
        <v>247</v>
      </c>
      <c r="AC240" s="3">
        <f>SUMIF(MORTALIDAD!$R:$R,RESUMEN!AA240,MORTALIDAD!$V:$V)</f>
        <v>0</v>
      </c>
      <c r="AD240" s="19">
        <f t="shared" si="134"/>
        <v>-476</v>
      </c>
      <c r="AE240" s="3">
        <f>SUMIF(MORTALIDAD!$R:$R,RESUMEN!AA240,MORTALIDAD!$W:$W)</f>
        <v>0</v>
      </c>
      <c r="AF240" s="3">
        <f>SUMIF(TRASLADOS!$T:$T,RESUMEN!AA240,TRASLADOS!$W:$W)</f>
        <v>0</v>
      </c>
      <c r="AG240" s="3">
        <f>SUMIF(TRASLADOS!$T:$T,RESUMEN!AA240,TRASLADOS!$X:$X)</f>
        <v>0</v>
      </c>
      <c r="AH240" s="3">
        <f>SUMIF(VENTAS!$R:$R,RESUMEN!AA240,VENTAS!$V:$V)</f>
        <v>0</v>
      </c>
      <c r="AI240" s="3">
        <f>SUMIF(VENTAS!$R:$R,RESUMEN!AA240,VENTAS!$W:$W)</f>
        <v>0</v>
      </c>
      <c r="AJ240" s="97">
        <f t="shared" si="135"/>
        <v>1724</v>
      </c>
      <c r="AK240" s="96"/>
      <c r="AL240" s="99">
        <f t="shared" si="126"/>
        <v>36</v>
      </c>
      <c r="AM240" s="11">
        <f t="shared" si="147"/>
        <v>43501</v>
      </c>
      <c r="AN240" s="3">
        <f t="shared" si="147"/>
        <v>247</v>
      </c>
      <c r="AO240" s="3">
        <f>SUMIF(MORTALIDAD!$Z:$Z,RESUMEN!AM240,MORTALIDAD!$AD:$AD)</f>
        <v>0</v>
      </c>
      <c r="AP240" s="19">
        <f t="shared" si="137"/>
        <v>-124</v>
      </c>
      <c r="AQ240" s="3">
        <f>SUMIF(MORTALIDAD!$Z:$Z,RESUMEN!AM240,MORTALIDAD!$AE:$AE)</f>
        <v>0</v>
      </c>
      <c r="AR240" s="3">
        <f>SUMIF(TRASLADOS!$AC:$AC,RESUMEN!AM240,TRASLADOS!$AF:$AF)</f>
        <v>0</v>
      </c>
      <c r="AS240" s="3">
        <f>SUMIF(TRASLADOS!$AC:$AC,RESUMEN!AM240,TRASLADOS!$AG:$AG)</f>
        <v>0</v>
      </c>
      <c r="AT240" s="3">
        <f>SUMIF(VENTAS!$Z:$Z,RESUMEN!AM240,VENTAS!$AD:$AD)</f>
        <v>0</v>
      </c>
      <c r="AU240" s="3">
        <f>SUMIF(VENTAS!$Z:$Z,RESUMEN!AM240,VENTAS!$AE:$AE)</f>
        <v>0</v>
      </c>
      <c r="AV240" s="97">
        <f t="shared" si="138"/>
        <v>2076</v>
      </c>
      <c r="AW240" s="96"/>
      <c r="AX240" s="99">
        <f t="shared" si="127"/>
        <v>36</v>
      </c>
      <c r="AY240" s="11">
        <f t="shared" si="148"/>
        <v>43508</v>
      </c>
      <c r="AZ240" s="3">
        <f t="shared" si="148"/>
        <v>247</v>
      </c>
      <c r="BA240" s="3">
        <f>SUMIF(MORTALIDAD!$AH:$AH,RESUMEN!AY240,MORTALIDAD!$AL:$AL)</f>
        <v>0</v>
      </c>
      <c r="BB240" s="19">
        <f t="shared" si="140"/>
        <v>-119</v>
      </c>
      <c r="BC240" s="3">
        <f>SUMIF(MORTALIDAD!$AH:$AH,RESUMEN!AY240,MORTALIDAD!$AM:$AM)</f>
        <v>0</v>
      </c>
      <c r="BD240" s="3">
        <f>SUMIF(TRASLADOS!$AL:$AL,RESUMEN!AY240,TRASLADOS!$AO:$AO)</f>
        <v>0</v>
      </c>
      <c r="BE240" s="3">
        <f>SUMIF(TRASLADOS!$AL:$AL,RESUMEN!AY240,TRASLADOS!$AP:$AP)</f>
        <v>0</v>
      </c>
      <c r="BF240" s="3">
        <f>SUMIF(VENTAS!$AH:$AH,RESUMEN!AY240,VENTAS!$AL:$AL)</f>
        <v>0</v>
      </c>
      <c r="BG240" s="3">
        <f>SUMIF(VENTAS!$AH:$AH,RESUMEN!AY240,VENTAS!$AM:$AM)</f>
        <v>0</v>
      </c>
      <c r="BH240" s="97">
        <f t="shared" si="141"/>
        <v>2081</v>
      </c>
      <c r="BI240" s="96"/>
      <c r="BJ240" s="99">
        <f t="shared" si="128"/>
        <v>36</v>
      </c>
      <c r="BK240" s="11">
        <f t="shared" si="149"/>
        <v>43517</v>
      </c>
      <c r="BL240" s="3">
        <f t="shared" si="149"/>
        <v>250</v>
      </c>
      <c r="BM240" s="3">
        <f>SUMIF(MORTALIDAD!$AP:$AP,RESUMEN!BK240,MORTALIDAD!$AT:$AT)</f>
        <v>0</v>
      </c>
      <c r="BN240" s="19">
        <f t="shared" si="143"/>
        <v>-73</v>
      </c>
      <c r="BO240" s="3">
        <f>SUMIF(MORTALIDAD!$AP$6:$AP$200,RESUMEN!BK240,MORTALIDAD!$AU$6:$AU$200)</f>
        <v>0</v>
      </c>
      <c r="BP240" s="3">
        <f>SUMIF(TRASLADOS!$AU:$AU,RESUMEN!BK240,TRASLADOS!$AX:$AX)</f>
        <v>0</v>
      </c>
      <c r="BQ240" s="3">
        <f>SUMIF(TRASLADOS!$AU:$AU,RESUMEN!BK240,TRASLADOS!$AY:$AY)</f>
        <v>0</v>
      </c>
      <c r="BR240" s="3">
        <f>SUMIF(VENTAS!$AP:$AP,RESUMEN!BK240,VENTAS!$AT:$AT)</f>
        <v>0</v>
      </c>
      <c r="BS240" s="3">
        <f>SUMIF(VENTAS!$AP:$AP,RESUMEN!BK240,VENTAS!$AU:$AU)</f>
        <v>0</v>
      </c>
      <c r="BT240" s="36">
        <f t="shared" si="144"/>
        <v>2241</v>
      </c>
    </row>
    <row r="241" spans="2:72" x14ac:dyDescent="0.2">
      <c r="B241" s="3">
        <f t="shared" si="123"/>
        <v>36</v>
      </c>
      <c r="C241" s="11">
        <f t="shared" si="115"/>
        <v>43488</v>
      </c>
      <c r="D241" s="3">
        <f t="shared" si="116"/>
        <v>250</v>
      </c>
      <c r="E241" s="3">
        <f>SUMIF(MORTALIDAD!$B$6:$B$200,RESUMEN!C241,MORTALIDAD!$F$6:$F$200)</f>
        <v>0</v>
      </c>
      <c r="F241" s="17">
        <f t="shared" si="117"/>
        <v>-740</v>
      </c>
      <c r="G241" s="3">
        <f>SUMIF(MORTALIDAD!$B$6:$B$200,RESUMEN!C241,MORTALIDAD!$G$6:$G$200)</f>
        <v>0</v>
      </c>
      <c r="H241" s="3">
        <f>SUMIF(TRASLADOS!$B$6:$B$200,C241,TRASLADOS!$E$6:$E$200)</f>
        <v>0</v>
      </c>
      <c r="I241" s="3">
        <f>SUMIF(TRASLADOS!$B$6:$B$200,C241,TRASLADOS!$F$6:$F$200)</f>
        <v>0</v>
      </c>
      <c r="J241" s="3">
        <f>SUMIF(VENTAS!$B$6:$B$200,RESUMEN!C241,VENTAS!$F$6:$F$200)</f>
        <v>0</v>
      </c>
      <c r="K241" s="3">
        <f>SUMIF(VENTAS!$B$6:$B$200,RESUMEN!C241,VENTAS!$G$6:$G$200)</f>
        <v>0</v>
      </c>
      <c r="L241" s="97">
        <f t="shared" si="129"/>
        <v>1460</v>
      </c>
      <c r="M241" s="96"/>
      <c r="N241" s="99">
        <f t="shared" si="124"/>
        <v>36</v>
      </c>
      <c r="O241" s="11">
        <f t="shared" ref="O241:P248" si="150">O240+1</f>
        <v>43491</v>
      </c>
      <c r="P241" s="3">
        <f t="shared" si="150"/>
        <v>249</v>
      </c>
      <c r="Q241" s="3">
        <f>SUMIF(MORTALIDAD!$J:$J,RESUMEN!O241,MORTALIDAD!$N:$N)</f>
        <v>0</v>
      </c>
      <c r="R241" s="19">
        <f t="shared" si="131"/>
        <v>-680</v>
      </c>
      <c r="S241" s="3">
        <f>SUMIF(MORTALIDAD!$J:$J,RESUMEN!O241,MORTALIDAD!$O:$O)</f>
        <v>0</v>
      </c>
      <c r="T241" s="3">
        <f>SUMIF(TRASLADOS!$K:$K,RESUMEN!O241,TRASLADOS!$N:$N)</f>
        <v>0</v>
      </c>
      <c r="U241" s="3">
        <f>SUMIF(TRASLADOS!$K:$K,RESUMEN!O241,TRASLADOS!$O:$O)</f>
        <v>0</v>
      </c>
      <c r="V241" s="3">
        <f>SUMIF(VENTAS!$J:$J,RESUMEN!O241,VENTAS!$N:$N)</f>
        <v>0</v>
      </c>
      <c r="W241" s="3">
        <f>SUMIF(VENTAS!$J:$J,RESUMEN!O241,VENTAS!$O:$O)</f>
        <v>0</v>
      </c>
      <c r="X241" s="97">
        <f t="shared" si="132"/>
        <v>1520</v>
      </c>
      <c r="Y241" s="96"/>
      <c r="Z241" s="99">
        <f t="shared" si="125"/>
        <v>36</v>
      </c>
      <c r="AA241" s="11">
        <f t="shared" ref="AA241:AB248" si="151">AA240+1</f>
        <v>43495</v>
      </c>
      <c r="AB241" s="3">
        <f t="shared" si="151"/>
        <v>248</v>
      </c>
      <c r="AC241" s="3">
        <f>SUMIF(MORTALIDAD!$R:$R,RESUMEN!AA241,MORTALIDAD!$V:$V)</f>
        <v>0</v>
      </c>
      <c r="AD241" s="19">
        <f t="shared" si="134"/>
        <v>-476</v>
      </c>
      <c r="AE241" s="3">
        <f>SUMIF(MORTALIDAD!$R:$R,RESUMEN!AA241,MORTALIDAD!$W:$W)</f>
        <v>0</v>
      </c>
      <c r="AF241" s="3">
        <f>SUMIF(TRASLADOS!$T:$T,RESUMEN!AA241,TRASLADOS!$W:$W)</f>
        <v>0</v>
      </c>
      <c r="AG241" s="3">
        <f>SUMIF(TRASLADOS!$T:$T,RESUMEN!AA241,TRASLADOS!$X:$X)</f>
        <v>0</v>
      </c>
      <c r="AH241" s="3">
        <f>SUMIF(VENTAS!$R:$R,RESUMEN!AA241,VENTAS!$V:$V)</f>
        <v>0</v>
      </c>
      <c r="AI241" s="3">
        <f>SUMIF(VENTAS!$R:$R,RESUMEN!AA241,VENTAS!$W:$W)</f>
        <v>0</v>
      </c>
      <c r="AJ241" s="97">
        <f t="shared" si="135"/>
        <v>1724</v>
      </c>
      <c r="AK241" s="96"/>
      <c r="AL241" s="99">
        <f t="shared" si="126"/>
        <v>36</v>
      </c>
      <c r="AM241" s="11">
        <f t="shared" ref="AM241:AN248" si="152">AM240+1</f>
        <v>43502</v>
      </c>
      <c r="AN241" s="3">
        <f t="shared" si="152"/>
        <v>248</v>
      </c>
      <c r="AO241" s="3">
        <f>SUMIF(MORTALIDAD!$Z:$Z,RESUMEN!AM241,MORTALIDAD!$AD:$AD)</f>
        <v>0</v>
      </c>
      <c r="AP241" s="19">
        <f t="shared" si="137"/>
        <v>-124</v>
      </c>
      <c r="AQ241" s="3">
        <f>SUMIF(MORTALIDAD!$Z:$Z,RESUMEN!AM241,MORTALIDAD!$AE:$AE)</f>
        <v>0</v>
      </c>
      <c r="AR241" s="3">
        <f>SUMIF(TRASLADOS!$AC:$AC,RESUMEN!AM241,TRASLADOS!$AF:$AF)</f>
        <v>0</v>
      </c>
      <c r="AS241" s="3">
        <f>SUMIF(TRASLADOS!$AC:$AC,RESUMEN!AM241,TRASLADOS!$AG:$AG)</f>
        <v>0</v>
      </c>
      <c r="AT241" s="3">
        <f>SUMIF(VENTAS!$Z:$Z,RESUMEN!AM241,VENTAS!$AD:$AD)</f>
        <v>0</v>
      </c>
      <c r="AU241" s="3">
        <f>SUMIF(VENTAS!$Z:$Z,RESUMEN!AM241,VENTAS!$AE:$AE)</f>
        <v>0</v>
      </c>
      <c r="AV241" s="97">
        <f t="shared" si="138"/>
        <v>2076</v>
      </c>
      <c r="AW241" s="96"/>
      <c r="AX241" s="99">
        <f t="shared" si="127"/>
        <v>36</v>
      </c>
      <c r="AY241" s="11">
        <f t="shared" ref="AY241:AZ248" si="153">AY240+1</f>
        <v>43509</v>
      </c>
      <c r="AZ241" s="3">
        <f t="shared" si="153"/>
        <v>248</v>
      </c>
      <c r="BA241" s="3">
        <f>SUMIF(MORTALIDAD!$AH:$AH,RESUMEN!AY241,MORTALIDAD!$AL:$AL)</f>
        <v>0</v>
      </c>
      <c r="BB241" s="19">
        <f t="shared" si="140"/>
        <v>-119</v>
      </c>
      <c r="BC241" s="3">
        <f>SUMIF(MORTALIDAD!$AH:$AH,RESUMEN!AY241,MORTALIDAD!$AM:$AM)</f>
        <v>0</v>
      </c>
      <c r="BD241" s="3">
        <f>SUMIF(TRASLADOS!$AL:$AL,RESUMEN!AY241,TRASLADOS!$AO:$AO)</f>
        <v>0</v>
      </c>
      <c r="BE241" s="3">
        <f>SUMIF(TRASLADOS!$AL:$AL,RESUMEN!AY241,TRASLADOS!$AP:$AP)</f>
        <v>0</v>
      </c>
      <c r="BF241" s="3">
        <f>SUMIF(VENTAS!$AH:$AH,RESUMEN!AY241,VENTAS!$AL:$AL)</f>
        <v>0</v>
      </c>
      <c r="BG241" s="3">
        <f>SUMIF(VENTAS!$AH:$AH,RESUMEN!AY241,VENTAS!$AM:$AM)</f>
        <v>0</v>
      </c>
      <c r="BH241" s="97">
        <f t="shared" si="141"/>
        <v>2081</v>
      </c>
      <c r="BI241" s="96"/>
      <c r="BJ241" s="99">
        <f t="shared" si="128"/>
        <v>36</v>
      </c>
      <c r="BK241" s="11">
        <f t="shared" ref="BK241:BL248" si="154">BK240+1</f>
        <v>43518</v>
      </c>
      <c r="BL241" s="3">
        <f t="shared" si="154"/>
        <v>251</v>
      </c>
      <c r="BM241" s="3">
        <f>SUMIF(MORTALIDAD!$AP:$AP,RESUMEN!BK241,MORTALIDAD!$AT:$AT)</f>
        <v>0</v>
      </c>
      <c r="BN241" s="19">
        <f t="shared" si="143"/>
        <v>-73</v>
      </c>
      <c r="BO241" s="3">
        <f>SUMIF(MORTALIDAD!$AP$6:$AP$200,RESUMEN!BK241,MORTALIDAD!$AU$6:$AU$200)</f>
        <v>0</v>
      </c>
      <c r="BP241" s="3">
        <f>SUMIF(TRASLADOS!$AU:$AU,RESUMEN!BK241,TRASLADOS!$AX:$AX)</f>
        <v>0</v>
      </c>
      <c r="BQ241" s="3">
        <f>SUMIF(TRASLADOS!$AU:$AU,RESUMEN!BK241,TRASLADOS!$AY:$AY)</f>
        <v>0</v>
      </c>
      <c r="BR241" s="3">
        <f>SUMIF(VENTAS!$AP:$AP,RESUMEN!BK241,VENTAS!$AT:$AT)</f>
        <v>0</v>
      </c>
      <c r="BS241" s="3">
        <f>SUMIF(VENTAS!$AP:$AP,RESUMEN!BK241,VENTAS!$AU:$AU)</f>
        <v>0</v>
      </c>
      <c r="BT241" s="36">
        <f t="shared" si="144"/>
        <v>2241</v>
      </c>
    </row>
    <row r="242" spans="2:72" x14ac:dyDescent="0.2">
      <c r="B242" s="3">
        <f t="shared" si="123"/>
        <v>36</v>
      </c>
      <c r="C242" s="11">
        <f t="shared" si="115"/>
        <v>43489</v>
      </c>
      <c r="D242" s="3">
        <f t="shared" si="116"/>
        <v>251</v>
      </c>
      <c r="E242" s="3">
        <f>SUMIF(MORTALIDAD!$B$6:$B$200,RESUMEN!C242,MORTALIDAD!$F$6:$F$200)</f>
        <v>0</v>
      </c>
      <c r="F242" s="17">
        <f t="shared" si="117"/>
        <v>-740</v>
      </c>
      <c r="G242" s="3">
        <f>SUMIF(MORTALIDAD!$B$6:$B$200,RESUMEN!C242,MORTALIDAD!$G$6:$G$200)</f>
        <v>0</v>
      </c>
      <c r="H242" s="3">
        <f>SUMIF(TRASLADOS!$B$6:$B$200,C242,TRASLADOS!$E$6:$E$200)</f>
        <v>0</v>
      </c>
      <c r="I242" s="3">
        <f>SUMIF(TRASLADOS!$B$6:$B$200,C242,TRASLADOS!$F$6:$F$200)</f>
        <v>0</v>
      </c>
      <c r="J242" s="3">
        <f>SUMIF(VENTAS!$B$6:$B$200,RESUMEN!C242,VENTAS!$F$6:$F$200)</f>
        <v>0</v>
      </c>
      <c r="K242" s="3">
        <f>SUMIF(VENTAS!$B$6:$B$200,RESUMEN!C242,VENTAS!$G$6:$G$200)</f>
        <v>0</v>
      </c>
      <c r="L242" s="97">
        <f t="shared" si="129"/>
        <v>1460</v>
      </c>
      <c r="M242" s="96"/>
      <c r="N242" s="99">
        <f t="shared" si="124"/>
        <v>36</v>
      </c>
      <c r="O242" s="11">
        <f t="shared" si="150"/>
        <v>43492</v>
      </c>
      <c r="P242" s="3">
        <f t="shared" si="150"/>
        <v>250</v>
      </c>
      <c r="Q242" s="3">
        <f>SUMIF(MORTALIDAD!$J:$J,RESUMEN!O242,MORTALIDAD!$N:$N)</f>
        <v>0</v>
      </c>
      <c r="R242" s="19">
        <f t="shared" si="131"/>
        <v>-680</v>
      </c>
      <c r="S242" s="3">
        <f>SUMIF(MORTALIDAD!$J:$J,RESUMEN!O242,MORTALIDAD!$O:$O)</f>
        <v>0</v>
      </c>
      <c r="T242" s="3">
        <f>SUMIF(TRASLADOS!$K:$K,RESUMEN!O242,TRASLADOS!$N:$N)</f>
        <v>0</v>
      </c>
      <c r="U242" s="3">
        <f>SUMIF(TRASLADOS!$K:$K,RESUMEN!O242,TRASLADOS!$O:$O)</f>
        <v>0</v>
      </c>
      <c r="V242" s="3">
        <f>SUMIF(VENTAS!$J:$J,RESUMEN!O242,VENTAS!$N:$N)</f>
        <v>0</v>
      </c>
      <c r="W242" s="3">
        <f>SUMIF(VENTAS!$J:$J,RESUMEN!O242,VENTAS!$O:$O)</f>
        <v>0</v>
      </c>
      <c r="X242" s="97">
        <f t="shared" si="132"/>
        <v>1520</v>
      </c>
      <c r="Y242" s="96"/>
      <c r="Z242" s="99">
        <f t="shared" si="125"/>
        <v>36</v>
      </c>
      <c r="AA242" s="11">
        <f t="shared" si="151"/>
        <v>43496</v>
      </c>
      <c r="AB242" s="3">
        <f t="shared" si="151"/>
        <v>249</v>
      </c>
      <c r="AC242" s="3">
        <f>SUMIF(MORTALIDAD!$R:$R,RESUMEN!AA242,MORTALIDAD!$V:$V)</f>
        <v>0</v>
      </c>
      <c r="AD242" s="19">
        <f t="shared" si="134"/>
        <v>-476</v>
      </c>
      <c r="AE242" s="3">
        <f>SUMIF(MORTALIDAD!$R:$R,RESUMEN!AA242,MORTALIDAD!$W:$W)</f>
        <v>0</v>
      </c>
      <c r="AF242" s="3">
        <f>SUMIF(TRASLADOS!$T:$T,RESUMEN!AA242,TRASLADOS!$W:$W)</f>
        <v>0</v>
      </c>
      <c r="AG242" s="3">
        <f>SUMIF(TRASLADOS!$T:$T,RESUMEN!AA242,TRASLADOS!$X:$X)</f>
        <v>0</v>
      </c>
      <c r="AH242" s="3">
        <f>SUMIF(VENTAS!$R:$R,RESUMEN!AA242,VENTAS!$V:$V)</f>
        <v>0</v>
      </c>
      <c r="AI242" s="3">
        <f>SUMIF(VENTAS!$R:$R,RESUMEN!AA242,VENTAS!$W:$W)</f>
        <v>0</v>
      </c>
      <c r="AJ242" s="97">
        <f t="shared" si="135"/>
        <v>1724</v>
      </c>
      <c r="AK242" s="96"/>
      <c r="AL242" s="99">
        <f t="shared" si="126"/>
        <v>36</v>
      </c>
      <c r="AM242" s="11">
        <f t="shared" si="152"/>
        <v>43503</v>
      </c>
      <c r="AN242" s="3">
        <f t="shared" si="152"/>
        <v>249</v>
      </c>
      <c r="AO242" s="3">
        <f>SUMIF(MORTALIDAD!$Z:$Z,RESUMEN!AM242,MORTALIDAD!$AD:$AD)</f>
        <v>0</v>
      </c>
      <c r="AP242" s="19">
        <f t="shared" si="137"/>
        <v>-124</v>
      </c>
      <c r="AQ242" s="3">
        <f>SUMIF(MORTALIDAD!$Z:$Z,RESUMEN!AM242,MORTALIDAD!$AE:$AE)</f>
        <v>0</v>
      </c>
      <c r="AR242" s="3">
        <f>SUMIF(TRASLADOS!$AC:$AC,RESUMEN!AM242,TRASLADOS!$AF:$AF)</f>
        <v>0</v>
      </c>
      <c r="AS242" s="3">
        <f>SUMIF(TRASLADOS!$AC:$AC,RESUMEN!AM242,TRASLADOS!$AG:$AG)</f>
        <v>0</v>
      </c>
      <c r="AT242" s="3">
        <f>SUMIF(VENTAS!$Z:$Z,RESUMEN!AM242,VENTAS!$AD:$AD)</f>
        <v>0</v>
      </c>
      <c r="AU242" s="3">
        <f>SUMIF(VENTAS!$Z:$Z,RESUMEN!AM242,VENTAS!$AE:$AE)</f>
        <v>0</v>
      </c>
      <c r="AV242" s="97">
        <f t="shared" si="138"/>
        <v>2076</v>
      </c>
      <c r="AW242" s="96"/>
      <c r="AX242" s="99">
        <f t="shared" si="127"/>
        <v>36</v>
      </c>
      <c r="AY242" s="11">
        <f t="shared" si="153"/>
        <v>43510</v>
      </c>
      <c r="AZ242" s="3">
        <f t="shared" si="153"/>
        <v>249</v>
      </c>
      <c r="BA242" s="3">
        <f>SUMIF(MORTALIDAD!$AH:$AH,RESUMEN!AY242,MORTALIDAD!$AL:$AL)</f>
        <v>0</v>
      </c>
      <c r="BB242" s="19">
        <f t="shared" si="140"/>
        <v>-119</v>
      </c>
      <c r="BC242" s="3">
        <f>SUMIF(MORTALIDAD!$AH:$AH,RESUMEN!AY242,MORTALIDAD!$AM:$AM)</f>
        <v>0</v>
      </c>
      <c r="BD242" s="3">
        <f>SUMIF(TRASLADOS!$AL:$AL,RESUMEN!AY242,TRASLADOS!$AO:$AO)</f>
        <v>0</v>
      </c>
      <c r="BE242" s="3">
        <f>SUMIF(TRASLADOS!$AL:$AL,RESUMEN!AY242,TRASLADOS!$AP:$AP)</f>
        <v>0</v>
      </c>
      <c r="BF242" s="3">
        <f>SUMIF(VENTAS!$AH:$AH,RESUMEN!AY242,VENTAS!$AL:$AL)</f>
        <v>0</v>
      </c>
      <c r="BG242" s="3">
        <f>SUMIF(VENTAS!$AH:$AH,RESUMEN!AY242,VENTAS!$AM:$AM)</f>
        <v>0</v>
      </c>
      <c r="BH242" s="97">
        <f t="shared" si="141"/>
        <v>2081</v>
      </c>
      <c r="BI242" s="96"/>
      <c r="BJ242" s="99">
        <f t="shared" si="128"/>
        <v>36</v>
      </c>
      <c r="BK242" s="11">
        <f t="shared" si="154"/>
        <v>43519</v>
      </c>
      <c r="BL242" s="3">
        <f t="shared" si="154"/>
        <v>252</v>
      </c>
      <c r="BM242" s="3">
        <f>SUMIF(MORTALIDAD!$AP:$AP,RESUMEN!BK242,MORTALIDAD!$AT:$AT)</f>
        <v>0</v>
      </c>
      <c r="BN242" s="19">
        <f t="shared" si="143"/>
        <v>-73</v>
      </c>
      <c r="BO242" s="3">
        <f>SUMIF(MORTALIDAD!$AP$6:$AP$200,RESUMEN!BK242,MORTALIDAD!$AU$6:$AU$200)</f>
        <v>0</v>
      </c>
      <c r="BP242" s="3">
        <f>SUMIF(TRASLADOS!$AU:$AU,RESUMEN!BK242,TRASLADOS!$AX:$AX)</f>
        <v>0</v>
      </c>
      <c r="BQ242" s="3">
        <f>SUMIF(TRASLADOS!$AU:$AU,RESUMEN!BK242,TRASLADOS!$AY:$AY)</f>
        <v>0</v>
      </c>
      <c r="BR242" s="3">
        <f>SUMIF(VENTAS!$AP:$AP,RESUMEN!BK242,VENTAS!$AT:$AT)</f>
        <v>0</v>
      </c>
      <c r="BS242" s="3">
        <f>SUMIF(VENTAS!$AP:$AP,RESUMEN!BK242,VENTAS!$AU:$AU)</f>
        <v>0</v>
      </c>
      <c r="BT242" s="36">
        <f t="shared" si="144"/>
        <v>2241</v>
      </c>
    </row>
    <row r="243" spans="2:72" x14ac:dyDescent="0.2">
      <c r="B243" s="3">
        <f t="shared" si="123"/>
        <v>36</v>
      </c>
      <c r="C243" s="11">
        <f t="shared" si="115"/>
        <v>43490</v>
      </c>
      <c r="D243" s="3">
        <f t="shared" si="116"/>
        <v>252</v>
      </c>
      <c r="E243" s="3">
        <f>SUMIF(MORTALIDAD!$B$6:$B$200,RESUMEN!C243,MORTALIDAD!$F$6:$F$200)</f>
        <v>0</v>
      </c>
      <c r="F243" s="17">
        <f t="shared" si="117"/>
        <v>-740</v>
      </c>
      <c r="G243" s="3">
        <f>SUMIF(MORTALIDAD!$B$6:$B$200,RESUMEN!C243,MORTALIDAD!$G$6:$G$200)</f>
        <v>0</v>
      </c>
      <c r="H243" s="3">
        <f>SUMIF(TRASLADOS!$B$6:$B$200,C243,TRASLADOS!$E$6:$E$200)</f>
        <v>0</v>
      </c>
      <c r="I243" s="3">
        <f>SUMIF(TRASLADOS!$B$6:$B$200,C243,TRASLADOS!$F$6:$F$200)</f>
        <v>0</v>
      </c>
      <c r="J243" s="3">
        <f>SUMIF(VENTAS!$B$6:$B$200,RESUMEN!C243,VENTAS!$F$6:$F$200)</f>
        <v>0</v>
      </c>
      <c r="K243" s="3">
        <f>SUMIF(VENTAS!$B$6:$B$200,RESUMEN!C243,VENTAS!$G$6:$G$200)</f>
        <v>0</v>
      </c>
      <c r="L243" s="97">
        <f t="shared" si="129"/>
        <v>1460</v>
      </c>
      <c r="M243" s="96"/>
      <c r="N243" s="99">
        <f t="shared" si="124"/>
        <v>36</v>
      </c>
      <c r="O243" s="11">
        <f t="shared" si="150"/>
        <v>43493</v>
      </c>
      <c r="P243" s="3">
        <f t="shared" si="150"/>
        <v>251</v>
      </c>
      <c r="Q243" s="3">
        <f>SUMIF(MORTALIDAD!$J:$J,RESUMEN!O243,MORTALIDAD!$N:$N)</f>
        <v>0</v>
      </c>
      <c r="R243" s="19">
        <f t="shared" si="131"/>
        <v>-680</v>
      </c>
      <c r="S243" s="3">
        <f>SUMIF(MORTALIDAD!$J:$J,RESUMEN!O243,MORTALIDAD!$O:$O)</f>
        <v>0</v>
      </c>
      <c r="T243" s="3">
        <f>SUMIF(TRASLADOS!$K:$K,RESUMEN!O243,TRASLADOS!$N:$N)</f>
        <v>0</v>
      </c>
      <c r="U243" s="3">
        <f>SUMIF(TRASLADOS!$K:$K,RESUMEN!O243,TRASLADOS!$O:$O)</f>
        <v>0</v>
      </c>
      <c r="V243" s="3">
        <f>SUMIF(VENTAS!$J:$J,RESUMEN!O243,VENTAS!$N:$N)</f>
        <v>0</v>
      </c>
      <c r="W243" s="3">
        <f>SUMIF(VENTAS!$J:$J,RESUMEN!O243,VENTAS!$O:$O)</f>
        <v>0</v>
      </c>
      <c r="X243" s="97">
        <f t="shared" si="132"/>
        <v>1520</v>
      </c>
      <c r="Y243" s="96"/>
      <c r="Z243" s="99">
        <f t="shared" si="125"/>
        <v>36</v>
      </c>
      <c r="AA243" s="11">
        <f t="shared" si="151"/>
        <v>43497</v>
      </c>
      <c r="AB243" s="3">
        <f t="shared" si="151"/>
        <v>250</v>
      </c>
      <c r="AC243" s="3">
        <f>SUMIF(MORTALIDAD!$R:$R,RESUMEN!AA243,MORTALIDAD!$V:$V)</f>
        <v>0</v>
      </c>
      <c r="AD243" s="19">
        <f t="shared" si="134"/>
        <v>-476</v>
      </c>
      <c r="AE243" s="3">
        <f>SUMIF(MORTALIDAD!$R:$R,RESUMEN!AA243,MORTALIDAD!$W:$W)</f>
        <v>0</v>
      </c>
      <c r="AF243" s="3">
        <f>SUMIF(TRASLADOS!$T:$T,RESUMEN!AA243,TRASLADOS!$W:$W)</f>
        <v>0</v>
      </c>
      <c r="AG243" s="3">
        <f>SUMIF(TRASLADOS!$T:$T,RESUMEN!AA243,TRASLADOS!$X:$X)</f>
        <v>0</v>
      </c>
      <c r="AH243" s="3">
        <f>SUMIF(VENTAS!$R:$R,RESUMEN!AA243,VENTAS!$V:$V)</f>
        <v>0</v>
      </c>
      <c r="AI243" s="3">
        <f>SUMIF(VENTAS!$R:$R,RESUMEN!AA243,VENTAS!$W:$W)</f>
        <v>0</v>
      </c>
      <c r="AJ243" s="97">
        <f t="shared" si="135"/>
        <v>1724</v>
      </c>
      <c r="AK243" s="96"/>
      <c r="AL243" s="99">
        <f t="shared" si="126"/>
        <v>36</v>
      </c>
      <c r="AM243" s="11">
        <f t="shared" si="152"/>
        <v>43504</v>
      </c>
      <c r="AN243" s="3">
        <f t="shared" si="152"/>
        <v>250</v>
      </c>
      <c r="AO243" s="3">
        <f>SUMIF(MORTALIDAD!$Z:$Z,RESUMEN!AM243,MORTALIDAD!$AD:$AD)</f>
        <v>0</v>
      </c>
      <c r="AP243" s="19">
        <f t="shared" si="137"/>
        <v>-124</v>
      </c>
      <c r="AQ243" s="3">
        <f>SUMIF(MORTALIDAD!$Z:$Z,RESUMEN!AM243,MORTALIDAD!$AE:$AE)</f>
        <v>0</v>
      </c>
      <c r="AR243" s="3">
        <f>SUMIF(TRASLADOS!$AC:$AC,RESUMEN!AM243,TRASLADOS!$AF:$AF)</f>
        <v>0</v>
      </c>
      <c r="AS243" s="3">
        <f>SUMIF(TRASLADOS!$AC:$AC,RESUMEN!AM243,TRASLADOS!$AG:$AG)</f>
        <v>0</v>
      </c>
      <c r="AT243" s="3">
        <f>SUMIF(VENTAS!$Z:$Z,RESUMEN!AM243,VENTAS!$AD:$AD)</f>
        <v>0</v>
      </c>
      <c r="AU243" s="3">
        <f>SUMIF(VENTAS!$Z:$Z,RESUMEN!AM243,VENTAS!$AE:$AE)</f>
        <v>0</v>
      </c>
      <c r="AV243" s="97">
        <f t="shared" si="138"/>
        <v>2076</v>
      </c>
      <c r="AW243" s="96"/>
      <c r="AX243" s="99">
        <f t="shared" si="127"/>
        <v>36</v>
      </c>
      <c r="AY243" s="11">
        <f t="shared" si="153"/>
        <v>43511</v>
      </c>
      <c r="AZ243" s="3">
        <f t="shared" si="153"/>
        <v>250</v>
      </c>
      <c r="BA243" s="3">
        <f>SUMIF(MORTALIDAD!$AH:$AH,RESUMEN!AY243,MORTALIDAD!$AL:$AL)</f>
        <v>0</v>
      </c>
      <c r="BB243" s="19">
        <f t="shared" si="140"/>
        <v>-119</v>
      </c>
      <c r="BC243" s="3">
        <f>SUMIF(MORTALIDAD!$AH:$AH,RESUMEN!AY243,MORTALIDAD!$AM:$AM)</f>
        <v>0</v>
      </c>
      <c r="BD243" s="3">
        <f>SUMIF(TRASLADOS!$AL:$AL,RESUMEN!AY243,TRASLADOS!$AO:$AO)</f>
        <v>0</v>
      </c>
      <c r="BE243" s="3">
        <f>SUMIF(TRASLADOS!$AL:$AL,RESUMEN!AY243,TRASLADOS!$AP:$AP)</f>
        <v>0</v>
      </c>
      <c r="BF243" s="3">
        <f>SUMIF(VENTAS!$AH:$AH,RESUMEN!AY243,VENTAS!$AL:$AL)</f>
        <v>0</v>
      </c>
      <c r="BG243" s="3">
        <f>SUMIF(VENTAS!$AH:$AH,RESUMEN!AY243,VENTAS!$AM:$AM)</f>
        <v>0</v>
      </c>
      <c r="BH243" s="97">
        <f t="shared" si="141"/>
        <v>2081</v>
      </c>
      <c r="BI243" s="96"/>
      <c r="BJ243" s="99">
        <f t="shared" si="128"/>
        <v>37</v>
      </c>
      <c r="BK243" s="11">
        <f t="shared" si="154"/>
        <v>43520</v>
      </c>
      <c r="BL243" s="3">
        <f t="shared" si="154"/>
        <v>253</v>
      </c>
      <c r="BM243" s="3">
        <f>SUMIF(MORTALIDAD!$AP:$AP,RESUMEN!BK243,MORTALIDAD!$AT:$AT)</f>
        <v>0</v>
      </c>
      <c r="BN243" s="19">
        <f t="shared" si="143"/>
        <v>-73</v>
      </c>
      <c r="BO243" s="3">
        <f>SUMIF(MORTALIDAD!$AP$6:$AP$200,RESUMEN!BK243,MORTALIDAD!$AU$6:$AU$200)</f>
        <v>0</v>
      </c>
      <c r="BP243" s="3">
        <f>SUMIF(TRASLADOS!$AU:$AU,RESUMEN!BK243,TRASLADOS!$AX:$AX)</f>
        <v>0</v>
      </c>
      <c r="BQ243" s="3">
        <f>SUMIF(TRASLADOS!$AU:$AU,RESUMEN!BK243,TRASLADOS!$AY:$AY)</f>
        <v>0</v>
      </c>
      <c r="BR243" s="3">
        <f>SUMIF(VENTAS!$AP:$AP,RESUMEN!BK243,VENTAS!$AT:$AT)</f>
        <v>0</v>
      </c>
      <c r="BS243" s="3">
        <f>SUMIF(VENTAS!$AP:$AP,RESUMEN!BK243,VENTAS!$AU:$AU)</f>
        <v>0</v>
      </c>
      <c r="BT243" s="36">
        <f t="shared" si="144"/>
        <v>2241</v>
      </c>
    </row>
    <row r="244" spans="2:72" x14ac:dyDescent="0.2">
      <c r="B244" s="3">
        <f t="shared" si="123"/>
        <v>37</v>
      </c>
      <c r="C244" s="11">
        <f t="shared" ref="C244:C248" si="155">C243+1</f>
        <v>43491</v>
      </c>
      <c r="D244" s="3">
        <f t="shared" ref="D244:D248" si="156">D243+1</f>
        <v>253</v>
      </c>
      <c r="E244" s="3">
        <f>SUMIF(MORTALIDAD!$B$6:$B$200,RESUMEN!C244,MORTALIDAD!$F$6:$F$200)</f>
        <v>0</v>
      </c>
      <c r="F244" s="17">
        <f t="shared" ref="F244:F248" si="157">F243+E244</f>
        <v>-740</v>
      </c>
      <c r="G244" s="3">
        <f>SUMIF(MORTALIDAD!$B$6:$B$200,RESUMEN!C244,MORTALIDAD!$G$6:$G$200)</f>
        <v>0</v>
      </c>
      <c r="H244" s="3">
        <f>SUMIF(TRASLADOS!$B$6:$B$200,C244,TRASLADOS!$E$6:$E$200)</f>
        <v>0</v>
      </c>
      <c r="I244" s="3">
        <f>SUMIF(TRASLADOS!$B$6:$B$200,C244,TRASLADOS!$F$6:$F$200)</f>
        <v>0</v>
      </c>
      <c r="J244" s="3">
        <f>SUMIF(VENTAS!$B$6:$B$200,RESUMEN!C244,VENTAS!$F$6:$F$200)</f>
        <v>0</v>
      </c>
      <c r="K244" s="3">
        <f>SUMIF(VENTAS!$B$6:$B$200,RESUMEN!C244,VENTAS!$G$6:$G$200)</f>
        <v>0</v>
      </c>
      <c r="L244" s="97">
        <f t="shared" si="129"/>
        <v>1460</v>
      </c>
      <c r="M244" s="96"/>
      <c r="N244" s="99">
        <f t="shared" si="124"/>
        <v>36</v>
      </c>
      <c r="O244" s="11">
        <f t="shared" si="150"/>
        <v>43494</v>
      </c>
      <c r="P244" s="3">
        <f t="shared" si="150"/>
        <v>252</v>
      </c>
      <c r="Q244" s="3">
        <f>SUMIF(MORTALIDAD!$J:$J,RESUMEN!O244,MORTALIDAD!$N:$N)</f>
        <v>0</v>
      </c>
      <c r="R244" s="19">
        <f t="shared" si="131"/>
        <v>-680</v>
      </c>
      <c r="S244" s="3">
        <f>SUMIF(MORTALIDAD!$J:$J,RESUMEN!O244,MORTALIDAD!$O:$O)</f>
        <v>0</v>
      </c>
      <c r="T244" s="3">
        <f>SUMIF(TRASLADOS!$K:$K,RESUMEN!O244,TRASLADOS!$N:$N)</f>
        <v>0</v>
      </c>
      <c r="U244" s="3">
        <f>SUMIF(TRASLADOS!$K:$K,RESUMEN!O244,TRASLADOS!$O:$O)</f>
        <v>0</v>
      </c>
      <c r="V244" s="3">
        <f>SUMIF(VENTAS!$J:$J,RESUMEN!O244,VENTAS!$N:$N)</f>
        <v>0</v>
      </c>
      <c r="W244" s="3">
        <f>SUMIF(VENTAS!$J:$J,RESUMEN!O244,VENTAS!$O:$O)</f>
        <v>0</v>
      </c>
      <c r="X244" s="97">
        <f t="shared" si="132"/>
        <v>1520</v>
      </c>
      <c r="Y244" s="96"/>
      <c r="Z244" s="99">
        <f t="shared" si="125"/>
        <v>36</v>
      </c>
      <c r="AA244" s="11">
        <f t="shared" si="151"/>
        <v>43498</v>
      </c>
      <c r="AB244" s="3">
        <f t="shared" si="151"/>
        <v>251</v>
      </c>
      <c r="AC244" s="3">
        <f>SUMIF(MORTALIDAD!$R:$R,RESUMEN!AA244,MORTALIDAD!$V:$V)</f>
        <v>0</v>
      </c>
      <c r="AD244" s="19">
        <f t="shared" si="134"/>
        <v>-476</v>
      </c>
      <c r="AE244" s="3">
        <f>SUMIF(MORTALIDAD!$R:$R,RESUMEN!AA244,MORTALIDAD!$W:$W)</f>
        <v>0</v>
      </c>
      <c r="AF244" s="3">
        <f>SUMIF(TRASLADOS!$T:$T,RESUMEN!AA244,TRASLADOS!$W:$W)</f>
        <v>0</v>
      </c>
      <c r="AG244" s="3">
        <f>SUMIF(TRASLADOS!$T:$T,RESUMEN!AA244,TRASLADOS!$X:$X)</f>
        <v>0</v>
      </c>
      <c r="AH244" s="3">
        <f>SUMIF(VENTAS!$R:$R,RESUMEN!AA244,VENTAS!$V:$V)</f>
        <v>0</v>
      </c>
      <c r="AI244" s="3">
        <f>SUMIF(VENTAS!$R:$R,RESUMEN!AA244,VENTAS!$W:$W)</f>
        <v>0</v>
      </c>
      <c r="AJ244" s="97">
        <f t="shared" si="135"/>
        <v>1724</v>
      </c>
      <c r="AK244" s="96"/>
      <c r="AL244" s="99">
        <f t="shared" si="126"/>
        <v>36</v>
      </c>
      <c r="AM244" s="11">
        <f t="shared" si="152"/>
        <v>43505</v>
      </c>
      <c r="AN244" s="3">
        <f t="shared" si="152"/>
        <v>251</v>
      </c>
      <c r="AO244" s="3">
        <f>SUMIF(MORTALIDAD!$Z:$Z,RESUMEN!AM244,MORTALIDAD!$AD:$AD)</f>
        <v>0</v>
      </c>
      <c r="AP244" s="19">
        <f t="shared" si="137"/>
        <v>-124</v>
      </c>
      <c r="AQ244" s="3">
        <f>SUMIF(MORTALIDAD!$Z:$Z,RESUMEN!AM244,MORTALIDAD!$AE:$AE)</f>
        <v>0</v>
      </c>
      <c r="AR244" s="3">
        <f>SUMIF(TRASLADOS!$AC:$AC,RESUMEN!AM244,TRASLADOS!$AF:$AF)</f>
        <v>0</v>
      </c>
      <c r="AS244" s="3">
        <f>SUMIF(TRASLADOS!$AC:$AC,RESUMEN!AM244,TRASLADOS!$AG:$AG)</f>
        <v>0</v>
      </c>
      <c r="AT244" s="3">
        <f>SUMIF(VENTAS!$Z:$Z,RESUMEN!AM244,VENTAS!$AD:$AD)</f>
        <v>0</v>
      </c>
      <c r="AU244" s="3">
        <f>SUMIF(VENTAS!$Z:$Z,RESUMEN!AM244,VENTAS!$AE:$AE)</f>
        <v>0</v>
      </c>
      <c r="AV244" s="97">
        <f t="shared" si="138"/>
        <v>2076</v>
      </c>
      <c r="AW244" s="96"/>
      <c r="AX244" s="99">
        <f t="shared" si="127"/>
        <v>36</v>
      </c>
      <c r="AY244" s="11">
        <f t="shared" si="153"/>
        <v>43512</v>
      </c>
      <c r="AZ244" s="3">
        <f t="shared" si="153"/>
        <v>251</v>
      </c>
      <c r="BA244" s="3">
        <f>SUMIF(MORTALIDAD!$AH:$AH,RESUMEN!AY244,MORTALIDAD!$AL:$AL)</f>
        <v>0</v>
      </c>
      <c r="BB244" s="19">
        <f t="shared" si="140"/>
        <v>-119</v>
      </c>
      <c r="BC244" s="3">
        <f>SUMIF(MORTALIDAD!$AH:$AH,RESUMEN!AY244,MORTALIDAD!$AM:$AM)</f>
        <v>0</v>
      </c>
      <c r="BD244" s="3">
        <f>SUMIF(TRASLADOS!$AL:$AL,RESUMEN!AY244,TRASLADOS!$AO:$AO)</f>
        <v>0</v>
      </c>
      <c r="BE244" s="3">
        <f>SUMIF(TRASLADOS!$AL:$AL,RESUMEN!AY244,TRASLADOS!$AP:$AP)</f>
        <v>0</v>
      </c>
      <c r="BF244" s="3">
        <f>SUMIF(VENTAS!$AH:$AH,RESUMEN!AY244,VENTAS!$AL:$AL)</f>
        <v>0</v>
      </c>
      <c r="BG244" s="3">
        <f>SUMIF(VENTAS!$AH:$AH,RESUMEN!AY244,VENTAS!$AM:$AM)</f>
        <v>0</v>
      </c>
      <c r="BH244" s="97">
        <f t="shared" si="141"/>
        <v>2081</v>
      </c>
      <c r="BI244" s="96"/>
      <c r="BJ244" s="99">
        <f t="shared" si="128"/>
        <v>37</v>
      </c>
      <c r="BK244" s="11">
        <f t="shared" si="154"/>
        <v>43521</v>
      </c>
      <c r="BL244" s="3">
        <f t="shared" si="154"/>
        <v>254</v>
      </c>
      <c r="BM244" s="3">
        <f>SUMIF(MORTALIDAD!$AP:$AP,RESUMEN!BK244,MORTALIDAD!$AT:$AT)</f>
        <v>0</v>
      </c>
      <c r="BN244" s="19">
        <f t="shared" si="143"/>
        <v>-73</v>
      </c>
      <c r="BO244" s="3">
        <f>SUMIF(MORTALIDAD!$AP$6:$AP$200,RESUMEN!BK244,MORTALIDAD!$AU$6:$AU$200)</f>
        <v>0</v>
      </c>
      <c r="BP244" s="3">
        <f>SUMIF(TRASLADOS!$AU:$AU,RESUMEN!BK244,TRASLADOS!$AX:$AX)</f>
        <v>0</v>
      </c>
      <c r="BQ244" s="3">
        <f>SUMIF(TRASLADOS!$AU:$AU,RESUMEN!BK244,TRASLADOS!$AY:$AY)</f>
        <v>0</v>
      </c>
      <c r="BR244" s="3">
        <f>SUMIF(VENTAS!$AP:$AP,RESUMEN!BK244,VENTAS!$AT:$AT)</f>
        <v>0</v>
      </c>
      <c r="BS244" s="3">
        <f>SUMIF(VENTAS!$AP:$AP,RESUMEN!BK244,VENTAS!$AU:$AU)</f>
        <v>0</v>
      </c>
      <c r="BT244" s="36">
        <f t="shared" si="144"/>
        <v>2241</v>
      </c>
    </row>
    <row r="245" spans="2:72" x14ac:dyDescent="0.2">
      <c r="B245" s="3">
        <f t="shared" si="123"/>
        <v>37</v>
      </c>
      <c r="C245" s="11">
        <f t="shared" si="155"/>
        <v>43492</v>
      </c>
      <c r="D245" s="3">
        <f t="shared" si="156"/>
        <v>254</v>
      </c>
      <c r="E245" s="3">
        <f>SUMIF(MORTALIDAD!$B$6:$B$200,RESUMEN!C245,MORTALIDAD!$F$6:$F$200)</f>
        <v>0</v>
      </c>
      <c r="F245" s="17">
        <f t="shared" si="157"/>
        <v>-740</v>
      </c>
      <c r="G245" s="3">
        <f>SUMIF(MORTALIDAD!$B$6:$B$200,RESUMEN!C245,MORTALIDAD!$G$6:$G$200)</f>
        <v>0</v>
      </c>
      <c r="H245" s="3">
        <f>SUMIF(TRASLADOS!$B$6:$B$200,C245,TRASLADOS!$E$6:$E$200)</f>
        <v>0</v>
      </c>
      <c r="I245" s="3">
        <f>SUMIF(TRASLADOS!$B$6:$B$200,C245,TRASLADOS!$F$6:$F$200)</f>
        <v>0</v>
      </c>
      <c r="J245" s="3">
        <f>SUMIF(VENTAS!$B$6:$B$200,RESUMEN!C245,VENTAS!$F$6:$F$200)</f>
        <v>0</v>
      </c>
      <c r="K245" s="3">
        <f>SUMIF(VENTAS!$B$6:$B$200,RESUMEN!C245,VENTAS!$G$6:$G$200)</f>
        <v>0</v>
      </c>
      <c r="L245" s="97">
        <f t="shared" si="129"/>
        <v>1460</v>
      </c>
      <c r="M245" s="96"/>
      <c r="N245" s="99">
        <f t="shared" si="124"/>
        <v>37</v>
      </c>
      <c r="O245" s="11">
        <f t="shared" si="150"/>
        <v>43495</v>
      </c>
      <c r="P245" s="3">
        <f t="shared" si="150"/>
        <v>253</v>
      </c>
      <c r="Q245" s="3">
        <f>SUMIF(MORTALIDAD!$J:$J,RESUMEN!O245,MORTALIDAD!$N:$N)</f>
        <v>0</v>
      </c>
      <c r="R245" s="19">
        <f t="shared" si="131"/>
        <v>-680</v>
      </c>
      <c r="S245" s="3">
        <f>SUMIF(MORTALIDAD!$J:$J,RESUMEN!O245,MORTALIDAD!$O:$O)</f>
        <v>0</v>
      </c>
      <c r="T245" s="3">
        <f>SUMIF(TRASLADOS!$K:$K,RESUMEN!O245,TRASLADOS!$N:$N)</f>
        <v>0</v>
      </c>
      <c r="U245" s="3">
        <f>SUMIF(TRASLADOS!$K:$K,RESUMEN!O245,TRASLADOS!$O:$O)</f>
        <v>0</v>
      </c>
      <c r="V245" s="3">
        <f>SUMIF(VENTAS!$J:$J,RESUMEN!O245,VENTAS!$N:$N)</f>
        <v>0</v>
      </c>
      <c r="W245" s="3">
        <f>SUMIF(VENTAS!$J:$J,RESUMEN!O245,VENTAS!$O:$O)</f>
        <v>0</v>
      </c>
      <c r="X245" s="97">
        <f t="shared" si="132"/>
        <v>1520</v>
      </c>
      <c r="Y245" s="96"/>
      <c r="Z245" s="99">
        <f t="shared" si="125"/>
        <v>36</v>
      </c>
      <c r="AA245" s="11">
        <f t="shared" si="151"/>
        <v>43499</v>
      </c>
      <c r="AB245" s="3">
        <f t="shared" si="151"/>
        <v>252</v>
      </c>
      <c r="AC245" s="3">
        <f>SUMIF(MORTALIDAD!$R:$R,RESUMEN!AA245,MORTALIDAD!$V:$V)</f>
        <v>0</v>
      </c>
      <c r="AD245" s="19">
        <f t="shared" si="134"/>
        <v>-476</v>
      </c>
      <c r="AE245" s="3">
        <f>SUMIF(MORTALIDAD!$R:$R,RESUMEN!AA245,MORTALIDAD!$W:$W)</f>
        <v>0</v>
      </c>
      <c r="AF245" s="3">
        <f>SUMIF(TRASLADOS!$T:$T,RESUMEN!AA245,TRASLADOS!$W:$W)</f>
        <v>0</v>
      </c>
      <c r="AG245" s="3">
        <f>SUMIF(TRASLADOS!$T:$T,RESUMEN!AA245,TRASLADOS!$X:$X)</f>
        <v>0</v>
      </c>
      <c r="AH245" s="3">
        <f>SUMIF(VENTAS!$R:$R,RESUMEN!AA245,VENTAS!$V:$V)</f>
        <v>0</v>
      </c>
      <c r="AI245" s="3">
        <f>SUMIF(VENTAS!$R:$R,RESUMEN!AA245,VENTAS!$W:$W)</f>
        <v>0</v>
      </c>
      <c r="AJ245" s="97">
        <f t="shared" si="135"/>
        <v>1724</v>
      </c>
      <c r="AK245" s="96"/>
      <c r="AL245" s="99">
        <f t="shared" si="126"/>
        <v>36</v>
      </c>
      <c r="AM245" s="11">
        <f t="shared" si="152"/>
        <v>43506</v>
      </c>
      <c r="AN245" s="3">
        <f t="shared" si="152"/>
        <v>252</v>
      </c>
      <c r="AO245" s="3">
        <f>SUMIF(MORTALIDAD!$Z:$Z,RESUMEN!AM245,MORTALIDAD!$AD:$AD)</f>
        <v>0</v>
      </c>
      <c r="AP245" s="19">
        <f t="shared" si="137"/>
        <v>-124</v>
      </c>
      <c r="AQ245" s="3">
        <f>SUMIF(MORTALIDAD!$Z:$Z,RESUMEN!AM245,MORTALIDAD!$AE:$AE)</f>
        <v>0</v>
      </c>
      <c r="AR245" s="3">
        <f>SUMIF(TRASLADOS!$AC:$AC,RESUMEN!AM245,TRASLADOS!$AF:$AF)</f>
        <v>0</v>
      </c>
      <c r="AS245" s="3">
        <f>SUMIF(TRASLADOS!$AC:$AC,RESUMEN!AM245,TRASLADOS!$AG:$AG)</f>
        <v>0</v>
      </c>
      <c r="AT245" s="3">
        <f>SUMIF(VENTAS!$Z:$Z,RESUMEN!AM245,VENTAS!$AD:$AD)</f>
        <v>0</v>
      </c>
      <c r="AU245" s="3">
        <f>SUMIF(VENTAS!$Z:$Z,RESUMEN!AM245,VENTAS!$AE:$AE)</f>
        <v>0</v>
      </c>
      <c r="AV245" s="97">
        <f t="shared" si="138"/>
        <v>2076</v>
      </c>
      <c r="AW245" s="96"/>
      <c r="AX245" s="99">
        <f t="shared" si="127"/>
        <v>36</v>
      </c>
      <c r="AY245" s="11">
        <f t="shared" si="153"/>
        <v>43513</v>
      </c>
      <c r="AZ245" s="3">
        <f t="shared" si="153"/>
        <v>252</v>
      </c>
      <c r="BA245" s="3">
        <f>SUMIF(MORTALIDAD!$AH:$AH,RESUMEN!AY245,MORTALIDAD!$AL:$AL)</f>
        <v>0</v>
      </c>
      <c r="BB245" s="19">
        <f t="shared" si="140"/>
        <v>-119</v>
      </c>
      <c r="BC245" s="3">
        <f>SUMIF(MORTALIDAD!$AH:$AH,RESUMEN!AY245,MORTALIDAD!$AM:$AM)</f>
        <v>0</v>
      </c>
      <c r="BD245" s="3">
        <f>SUMIF(TRASLADOS!$AL:$AL,RESUMEN!AY245,TRASLADOS!$AO:$AO)</f>
        <v>0</v>
      </c>
      <c r="BE245" s="3">
        <f>SUMIF(TRASLADOS!$AL:$AL,RESUMEN!AY245,TRASLADOS!$AP:$AP)</f>
        <v>0</v>
      </c>
      <c r="BF245" s="3">
        <f>SUMIF(VENTAS!$AH:$AH,RESUMEN!AY245,VENTAS!$AL:$AL)</f>
        <v>0</v>
      </c>
      <c r="BG245" s="3">
        <f>SUMIF(VENTAS!$AH:$AH,RESUMEN!AY245,VENTAS!$AM:$AM)</f>
        <v>0</v>
      </c>
      <c r="BH245" s="97">
        <f t="shared" si="141"/>
        <v>2081</v>
      </c>
      <c r="BI245" s="96"/>
      <c r="BJ245" s="99">
        <f t="shared" si="128"/>
        <v>37</v>
      </c>
      <c r="BK245" s="11">
        <f t="shared" si="154"/>
        <v>43522</v>
      </c>
      <c r="BL245" s="3">
        <f t="shared" si="154"/>
        <v>255</v>
      </c>
      <c r="BM245" s="3">
        <f>SUMIF(MORTALIDAD!$AP:$AP,RESUMEN!BK245,MORTALIDAD!$AT:$AT)</f>
        <v>0</v>
      </c>
      <c r="BN245" s="19">
        <f t="shared" si="143"/>
        <v>-73</v>
      </c>
      <c r="BO245" s="3">
        <f>SUMIF(MORTALIDAD!$AP$6:$AP$200,RESUMEN!BK245,MORTALIDAD!$AU$6:$AU$200)</f>
        <v>0</v>
      </c>
      <c r="BP245" s="3">
        <f>SUMIF(TRASLADOS!$AU:$AU,RESUMEN!BK245,TRASLADOS!$AX:$AX)</f>
        <v>0</v>
      </c>
      <c r="BQ245" s="3">
        <f>SUMIF(TRASLADOS!$AU:$AU,RESUMEN!BK245,TRASLADOS!$AY:$AY)</f>
        <v>0</v>
      </c>
      <c r="BR245" s="3">
        <f>SUMIF(VENTAS!$AP:$AP,RESUMEN!BK245,VENTAS!$AT:$AT)</f>
        <v>0</v>
      </c>
      <c r="BS245" s="3">
        <f>SUMIF(VENTAS!$AP:$AP,RESUMEN!BK245,VENTAS!$AU:$AU)</f>
        <v>0</v>
      </c>
      <c r="BT245" s="36">
        <f t="shared" si="144"/>
        <v>2241</v>
      </c>
    </row>
    <row r="246" spans="2:72" x14ac:dyDescent="0.2">
      <c r="B246" s="3">
        <f t="shared" si="123"/>
        <v>37</v>
      </c>
      <c r="C246" s="11">
        <f t="shared" si="155"/>
        <v>43493</v>
      </c>
      <c r="D246" s="3">
        <f t="shared" si="156"/>
        <v>255</v>
      </c>
      <c r="E246" s="3">
        <f>SUMIF(MORTALIDAD!$B$6:$B$200,RESUMEN!C246,MORTALIDAD!$F$6:$F$200)</f>
        <v>0</v>
      </c>
      <c r="F246" s="17">
        <f t="shared" si="157"/>
        <v>-740</v>
      </c>
      <c r="G246" s="3">
        <f>SUMIF(MORTALIDAD!$B$6:$B$200,RESUMEN!C246,MORTALIDAD!$G$6:$G$200)</f>
        <v>0</v>
      </c>
      <c r="H246" s="3">
        <f>SUMIF(TRASLADOS!$B$6:$B$200,C246,TRASLADOS!$E$6:$E$200)</f>
        <v>0</v>
      </c>
      <c r="I246" s="3">
        <f>SUMIF(TRASLADOS!$B$6:$B$200,C246,TRASLADOS!$F$6:$F$200)</f>
        <v>0</v>
      </c>
      <c r="J246" s="3">
        <f>SUMIF(VENTAS!$B$6:$B$200,RESUMEN!C246,VENTAS!$F$6:$F$200)</f>
        <v>0</v>
      </c>
      <c r="K246" s="3">
        <f>SUMIF(VENTAS!$B$6:$B$200,RESUMEN!C246,VENTAS!$G$6:$G$200)</f>
        <v>0</v>
      </c>
      <c r="L246" s="97">
        <f t="shared" si="129"/>
        <v>1460</v>
      </c>
      <c r="M246" s="96"/>
      <c r="N246" s="99">
        <f t="shared" si="124"/>
        <v>37</v>
      </c>
      <c r="O246" s="11">
        <f t="shared" si="150"/>
        <v>43496</v>
      </c>
      <c r="P246" s="3">
        <f t="shared" si="150"/>
        <v>254</v>
      </c>
      <c r="Q246" s="3">
        <f>SUMIF(MORTALIDAD!$J:$J,RESUMEN!O246,MORTALIDAD!$N:$N)</f>
        <v>0</v>
      </c>
      <c r="R246" s="19">
        <f t="shared" si="131"/>
        <v>-680</v>
      </c>
      <c r="S246" s="3">
        <f>SUMIF(MORTALIDAD!$J:$J,RESUMEN!O246,MORTALIDAD!$O:$O)</f>
        <v>0</v>
      </c>
      <c r="T246" s="3">
        <f>SUMIF(TRASLADOS!$K:$K,RESUMEN!O246,TRASLADOS!$N:$N)</f>
        <v>0</v>
      </c>
      <c r="U246" s="3">
        <f>SUMIF(TRASLADOS!$K:$K,RESUMEN!O246,TRASLADOS!$O:$O)</f>
        <v>0</v>
      </c>
      <c r="V246" s="3">
        <f>SUMIF(VENTAS!$J:$J,RESUMEN!O246,VENTAS!$N:$N)</f>
        <v>0</v>
      </c>
      <c r="W246" s="3">
        <f>SUMIF(VENTAS!$J:$J,RESUMEN!O246,VENTAS!$O:$O)</f>
        <v>0</v>
      </c>
      <c r="X246" s="97">
        <f t="shared" si="132"/>
        <v>1520</v>
      </c>
      <c r="Y246" s="96"/>
      <c r="Z246" s="99">
        <f t="shared" si="125"/>
        <v>37</v>
      </c>
      <c r="AA246" s="11">
        <f t="shared" si="151"/>
        <v>43500</v>
      </c>
      <c r="AB246" s="3">
        <f t="shared" si="151"/>
        <v>253</v>
      </c>
      <c r="AC246" s="3">
        <f>SUMIF(MORTALIDAD!$R:$R,RESUMEN!AA246,MORTALIDAD!$V:$V)</f>
        <v>0</v>
      </c>
      <c r="AD246" s="19">
        <f t="shared" si="134"/>
        <v>-476</v>
      </c>
      <c r="AE246" s="3">
        <f>SUMIF(MORTALIDAD!$R:$R,RESUMEN!AA246,MORTALIDAD!$W:$W)</f>
        <v>0</v>
      </c>
      <c r="AF246" s="3">
        <f>SUMIF(TRASLADOS!$T:$T,RESUMEN!AA246,TRASLADOS!$W:$W)</f>
        <v>0</v>
      </c>
      <c r="AG246" s="3">
        <f>SUMIF(TRASLADOS!$T:$T,RESUMEN!AA246,TRASLADOS!$X:$X)</f>
        <v>0</v>
      </c>
      <c r="AH246" s="3">
        <f>SUMIF(VENTAS!$R:$R,RESUMEN!AA246,VENTAS!$V:$V)</f>
        <v>0</v>
      </c>
      <c r="AI246" s="3">
        <f>SUMIF(VENTAS!$R:$R,RESUMEN!AA246,VENTAS!$W:$W)</f>
        <v>0</v>
      </c>
      <c r="AJ246" s="97">
        <f t="shared" si="135"/>
        <v>1724</v>
      </c>
      <c r="AK246" s="96"/>
      <c r="AL246" s="99">
        <f t="shared" si="126"/>
        <v>37</v>
      </c>
      <c r="AM246" s="11">
        <f t="shared" si="152"/>
        <v>43507</v>
      </c>
      <c r="AN246" s="3">
        <f t="shared" si="152"/>
        <v>253</v>
      </c>
      <c r="AO246" s="3">
        <f>SUMIF(MORTALIDAD!$Z:$Z,RESUMEN!AM246,MORTALIDAD!$AD:$AD)</f>
        <v>0</v>
      </c>
      <c r="AP246" s="19">
        <f t="shared" si="137"/>
        <v>-124</v>
      </c>
      <c r="AQ246" s="3">
        <f>SUMIF(MORTALIDAD!$Z:$Z,RESUMEN!AM246,MORTALIDAD!$AE:$AE)</f>
        <v>0</v>
      </c>
      <c r="AR246" s="3">
        <f>SUMIF(TRASLADOS!$AC:$AC,RESUMEN!AM246,TRASLADOS!$AF:$AF)</f>
        <v>0</v>
      </c>
      <c r="AS246" s="3">
        <f>SUMIF(TRASLADOS!$AC:$AC,RESUMEN!AM246,TRASLADOS!$AG:$AG)</f>
        <v>0</v>
      </c>
      <c r="AT246" s="3">
        <f>SUMIF(VENTAS!$Z:$Z,RESUMEN!AM246,VENTAS!$AD:$AD)</f>
        <v>0</v>
      </c>
      <c r="AU246" s="3">
        <f>SUMIF(VENTAS!$Z:$Z,RESUMEN!AM246,VENTAS!$AE:$AE)</f>
        <v>0</v>
      </c>
      <c r="AV246" s="97">
        <f t="shared" si="138"/>
        <v>2076</v>
      </c>
      <c r="AW246" s="96"/>
      <c r="AX246" s="99">
        <f t="shared" si="127"/>
        <v>37</v>
      </c>
      <c r="AY246" s="11">
        <f t="shared" si="153"/>
        <v>43514</v>
      </c>
      <c r="AZ246" s="3">
        <f t="shared" si="153"/>
        <v>253</v>
      </c>
      <c r="BA246" s="3">
        <f>SUMIF(MORTALIDAD!$AH:$AH,RESUMEN!AY246,MORTALIDAD!$AL:$AL)</f>
        <v>0</v>
      </c>
      <c r="BB246" s="19">
        <f t="shared" si="140"/>
        <v>-119</v>
      </c>
      <c r="BC246" s="3">
        <f>SUMIF(MORTALIDAD!$AH:$AH,RESUMEN!AY246,MORTALIDAD!$AM:$AM)</f>
        <v>0</v>
      </c>
      <c r="BD246" s="3">
        <f>SUMIF(TRASLADOS!$AL:$AL,RESUMEN!AY246,TRASLADOS!$AO:$AO)</f>
        <v>0</v>
      </c>
      <c r="BE246" s="3">
        <f>SUMIF(TRASLADOS!$AL:$AL,RESUMEN!AY246,TRASLADOS!$AP:$AP)</f>
        <v>0</v>
      </c>
      <c r="BF246" s="3">
        <f>SUMIF(VENTAS!$AH:$AH,RESUMEN!AY246,VENTAS!$AL:$AL)</f>
        <v>0</v>
      </c>
      <c r="BG246" s="3">
        <f>SUMIF(VENTAS!$AH:$AH,RESUMEN!AY246,VENTAS!$AM:$AM)</f>
        <v>0</v>
      </c>
      <c r="BH246" s="97">
        <f t="shared" si="141"/>
        <v>2081</v>
      </c>
      <c r="BI246" s="96"/>
      <c r="BJ246" s="99">
        <f t="shared" si="128"/>
        <v>37</v>
      </c>
      <c r="BK246" s="11">
        <f t="shared" si="154"/>
        <v>43523</v>
      </c>
      <c r="BL246" s="3">
        <f t="shared" si="154"/>
        <v>256</v>
      </c>
      <c r="BM246" s="3">
        <f>SUMIF(MORTALIDAD!$AP:$AP,RESUMEN!BK246,MORTALIDAD!$AT:$AT)</f>
        <v>0</v>
      </c>
      <c r="BN246" s="19">
        <f t="shared" si="143"/>
        <v>-73</v>
      </c>
      <c r="BO246" s="3">
        <f>SUMIF(MORTALIDAD!$AP$6:$AP$200,RESUMEN!BK246,MORTALIDAD!$AU$6:$AU$200)</f>
        <v>0</v>
      </c>
      <c r="BP246" s="3">
        <f>SUMIF(TRASLADOS!$AU:$AU,RESUMEN!BK246,TRASLADOS!$AX:$AX)</f>
        <v>0</v>
      </c>
      <c r="BQ246" s="3">
        <f>SUMIF(TRASLADOS!$AU:$AU,RESUMEN!BK246,TRASLADOS!$AY:$AY)</f>
        <v>0</v>
      </c>
      <c r="BR246" s="3">
        <f>SUMIF(VENTAS!$AP:$AP,RESUMEN!BK246,VENTAS!$AT:$AT)</f>
        <v>0</v>
      </c>
      <c r="BS246" s="3">
        <f>SUMIF(VENTAS!$AP:$AP,RESUMEN!BK246,VENTAS!$AU:$AU)</f>
        <v>0</v>
      </c>
      <c r="BT246" s="36">
        <f t="shared" si="144"/>
        <v>2241</v>
      </c>
    </row>
    <row r="247" spans="2:72" x14ac:dyDescent="0.2">
      <c r="B247" s="3">
        <f t="shared" si="123"/>
        <v>37</v>
      </c>
      <c r="C247" s="11">
        <f t="shared" si="155"/>
        <v>43494</v>
      </c>
      <c r="D247" s="3">
        <f t="shared" si="156"/>
        <v>256</v>
      </c>
      <c r="E247" s="3">
        <f>SUMIF(MORTALIDAD!$B$6:$B$200,RESUMEN!C247,MORTALIDAD!$F$6:$F$200)</f>
        <v>0</v>
      </c>
      <c r="F247" s="17">
        <f t="shared" si="157"/>
        <v>-740</v>
      </c>
      <c r="G247" s="3">
        <f>SUMIF(MORTALIDAD!$B$6:$B$200,RESUMEN!C247,MORTALIDAD!$G$6:$G$200)</f>
        <v>0</v>
      </c>
      <c r="H247" s="3">
        <f>SUMIF(TRASLADOS!$B$6:$B$200,C247,TRASLADOS!$E$6:$E$200)</f>
        <v>0</v>
      </c>
      <c r="I247" s="3">
        <f>SUMIF(TRASLADOS!$B$6:$B$200,C247,TRASLADOS!$F$6:$F$200)</f>
        <v>0</v>
      </c>
      <c r="J247" s="3">
        <f>SUMIF(VENTAS!$B$6:$B$200,RESUMEN!C247,VENTAS!$F$6:$F$200)</f>
        <v>0</v>
      </c>
      <c r="K247" s="3">
        <f>SUMIF(VENTAS!$B$6:$B$200,RESUMEN!C247,VENTAS!$G$6:$G$200)</f>
        <v>0</v>
      </c>
      <c r="L247" s="97">
        <f t="shared" si="129"/>
        <v>1460</v>
      </c>
      <c r="M247" s="96"/>
      <c r="N247" s="99">
        <f t="shared" si="124"/>
        <v>37</v>
      </c>
      <c r="O247" s="11">
        <f t="shared" si="150"/>
        <v>43497</v>
      </c>
      <c r="P247" s="3">
        <f t="shared" si="150"/>
        <v>255</v>
      </c>
      <c r="Q247" s="3">
        <f>SUMIF(MORTALIDAD!$J:$J,RESUMEN!O247,MORTALIDAD!$N:$N)</f>
        <v>0</v>
      </c>
      <c r="R247" s="19">
        <f t="shared" si="131"/>
        <v>-680</v>
      </c>
      <c r="S247" s="3">
        <f>SUMIF(MORTALIDAD!$J:$J,RESUMEN!O247,MORTALIDAD!$O:$O)</f>
        <v>0</v>
      </c>
      <c r="T247" s="3">
        <f>SUMIF(TRASLADOS!$K:$K,RESUMEN!O247,TRASLADOS!$N:$N)</f>
        <v>0</v>
      </c>
      <c r="U247" s="3">
        <f>SUMIF(TRASLADOS!$K:$K,RESUMEN!O247,TRASLADOS!$O:$O)</f>
        <v>0</v>
      </c>
      <c r="V247" s="3">
        <f>SUMIF(VENTAS!$J:$J,RESUMEN!O247,VENTAS!$N:$N)</f>
        <v>0</v>
      </c>
      <c r="W247" s="3">
        <f>SUMIF(VENTAS!$J:$J,RESUMEN!O247,VENTAS!$O:$O)</f>
        <v>0</v>
      </c>
      <c r="X247" s="97">
        <f t="shared" si="132"/>
        <v>1520</v>
      </c>
      <c r="Y247" s="96"/>
      <c r="Z247" s="99">
        <f t="shared" si="125"/>
        <v>37</v>
      </c>
      <c r="AA247" s="11">
        <f t="shared" si="151"/>
        <v>43501</v>
      </c>
      <c r="AB247" s="3">
        <f t="shared" si="151"/>
        <v>254</v>
      </c>
      <c r="AC247" s="3">
        <f>SUMIF(MORTALIDAD!$R:$R,RESUMEN!AA247,MORTALIDAD!$V:$V)</f>
        <v>0</v>
      </c>
      <c r="AD247" s="19">
        <f t="shared" si="134"/>
        <v>-476</v>
      </c>
      <c r="AE247" s="3">
        <f>SUMIF(MORTALIDAD!$R:$R,RESUMEN!AA247,MORTALIDAD!$W:$W)</f>
        <v>0</v>
      </c>
      <c r="AF247" s="3">
        <f>SUMIF(TRASLADOS!$T:$T,RESUMEN!AA247,TRASLADOS!$W:$W)</f>
        <v>0</v>
      </c>
      <c r="AG247" s="3">
        <f>SUMIF(TRASLADOS!$T:$T,RESUMEN!AA247,TRASLADOS!$X:$X)</f>
        <v>0</v>
      </c>
      <c r="AH247" s="3">
        <f>SUMIF(VENTAS!$R:$R,RESUMEN!AA247,VENTAS!$V:$V)</f>
        <v>0</v>
      </c>
      <c r="AI247" s="3">
        <f>SUMIF(VENTAS!$R:$R,RESUMEN!AA247,VENTAS!$W:$W)</f>
        <v>0</v>
      </c>
      <c r="AJ247" s="97">
        <f t="shared" si="135"/>
        <v>1724</v>
      </c>
      <c r="AK247" s="96"/>
      <c r="AL247" s="99">
        <f t="shared" si="126"/>
        <v>37</v>
      </c>
      <c r="AM247" s="11">
        <f t="shared" si="152"/>
        <v>43508</v>
      </c>
      <c r="AN247" s="3">
        <f t="shared" si="152"/>
        <v>254</v>
      </c>
      <c r="AO247" s="3">
        <f>SUMIF(MORTALIDAD!$Z:$Z,RESUMEN!AM247,MORTALIDAD!$AD:$AD)</f>
        <v>0</v>
      </c>
      <c r="AP247" s="19">
        <f t="shared" si="137"/>
        <v>-124</v>
      </c>
      <c r="AQ247" s="3">
        <f>SUMIF(MORTALIDAD!$Z:$Z,RESUMEN!AM247,MORTALIDAD!$AE:$AE)</f>
        <v>0</v>
      </c>
      <c r="AR247" s="3">
        <f>SUMIF(TRASLADOS!$AC:$AC,RESUMEN!AM247,TRASLADOS!$AF:$AF)</f>
        <v>0</v>
      </c>
      <c r="AS247" s="3">
        <f>SUMIF(TRASLADOS!$AC:$AC,RESUMEN!AM247,TRASLADOS!$AG:$AG)</f>
        <v>0</v>
      </c>
      <c r="AT247" s="3">
        <f>SUMIF(VENTAS!$Z:$Z,RESUMEN!AM247,VENTAS!$AD:$AD)</f>
        <v>0</v>
      </c>
      <c r="AU247" s="3">
        <f>SUMIF(VENTAS!$Z:$Z,RESUMEN!AM247,VENTAS!$AE:$AE)</f>
        <v>0</v>
      </c>
      <c r="AV247" s="97">
        <f t="shared" si="138"/>
        <v>2076</v>
      </c>
      <c r="AW247" s="96"/>
      <c r="AX247" s="99">
        <f t="shared" si="127"/>
        <v>37</v>
      </c>
      <c r="AY247" s="11">
        <f t="shared" si="153"/>
        <v>43515</v>
      </c>
      <c r="AZ247" s="3">
        <f t="shared" si="153"/>
        <v>254</v>
      </c>
      <c r="BA247" s="3">
        <f>SUMIF(MORTALIDAD!$AH:$AH,RESUMEN!AY247,MORTALIDAD!$AL:$AL)</f>
        <v>0</v>
      </c>
      <c r="BB247" s="19">
        <f t="shared" si="140"/>
        <v>-119</v>
      </c>
      <c r="BC247" s="3">
        <f>SUMIF(MORTALIDAD!$AH:$AH,RESUMEN!AY247,MORTALIDAD!$AM:$AM)</f>
        <v>0</v>
      </c>
      <c r="BD247" s="3">
        <f>SUMIF(TRASLADOS!$AL:$AL,RESUMEN!AY247,TRASLADOS!$AO:$AO)</f>
        <v>0</v>
      </c>
      <c r="BE247" s="3">
        <f>SUMIF(TRASLADOS!$AL:$AL,RESUMEN!AY247,TRASLADOS!$AP:$AP)</f>
        <v>0</v>
      </c>
      <c r="BF247" s="3">
        <f>SUMIF(VENTAS!$AH:$AH,RESUMEN!AY247,VENTAS!$AL:$AL)</f>
        <v>0</v>
      </c>
      <c r="BG247" s="3">
        <f>SUMIF(VENTAS!$AH:$AH,RESUMEN!AY247,VENTAS!$AM:$AM)</f>
        <v>0</v>
      </c>
      <c r="BH247" s="97">
        <f t="shared" si="141"/>
        <v>2081</v>
      </c>
      <c r="BI247" s="96"/>
      <c r="BJ247" s="99">
        <f t="shared" si="128"/>
        <v>37</v>
      </c>
      <c r="BK247" s="11">
        <f t="shared" si="154"/>
        <v>43524</v>
      </c>
      <c r="BL247" s="3">
        <f t="shared" si="154"/>
        <v>257</v>
      </c>
      <c r="BM247" s="3">
        <f>SUMIF(MORTALIDAD!$AP:$AP,RESUMEN!BK247,MORTALIDAD!$AT:$AT)</f>
        <v>0</v>
      </c>
      <c r="BN247" s="19">
        <f t="shared" si="143"/>
        <v>-73</v>
      </c>
      <c r="BO247" s="3">
        <f>SUMIF(MORTALIDAD!$AP$6:$AP$200,RESUMEN!BK247,MORTALIDAD!$AU$6:$AU$200)</f>
        <v>0</v>
      </c>
      <c r="BP247" s="3">
        <f>SUMIF(TRASLADOS!$AU:$AU,RESUMEN!BK247,TRASLADOS!$AX:$AX)</f>
        <v>0</v>
      </c>
      <c r="BQ247" s="3">
        <f>SUMIF(TRASLADOS!$AU:$AU,RESUMEN!BK247,TRASLADOS!$AY:$AY)</f>
        <v>0</v>
      </c>
      <c r="BR247" s="3">
        <f>SUMIF(VENTAS!$AP:$AP,RESUMEN!BK247,VENTAS!$AT:$AT)</f>
        <v>0</v>
      </c>
      <c r="BS247" s="3">
        <f>SUMIF(VENTAS!$AP:$AP,RESUMEN!BK247,VENTAS!$AU:$AU)</f>
        <v>0</v>
      </c>
      <c r="BT247" s="36">
        <f t="shared" si="144"/>
        <v>2241</v>
      </c>
    </row>
    <row r="248" spans="2:72" x14ac:dyDescent="0.2">
      <c r="B248" s="3">
        <f t="shared" si="123"/>
        <v>37</v>
      </c>
      <c r="C248" s="11">
        <f t="shared" si="155"/>
        <v>43495</v>
      </c>
      <c r="D248" s="3">
        <f t="shared" si="156"/>
        <v>257</v>
      </c>
      <c r="E248" s="3">
        <f>SUMIF(MORTALIDAD!$B$6:$B$200,RESUMEN!C248,MORTALIDAD!$F$6:$F$200)</f>
        <v>0</v>
      </c>
      <c r="F248" s="17">
        <f t="shared" si="157"/>
        <v>-740</v>
      </c>
      <c r="G248" s="3">
        <f>SUMIF(MORTALIDAD!$B$6:$B$200,RESUMEN!C248,MORTALIDAD!$G$6:$G$200)</f>
        <v>0</v>
      </c>
      <c r="H248" s="3">
        <f>SUMIF(TRASLADOS!$B$6:$B$200,C248,TRASLADOS!$E$6:$E$200)</f>
        <v>0</v>
      </c>
      <c r="I248" s="3">
        <f>SUMIF(TRASLADOS!$B$6:$B$200,C248,TRASLADOS!$F$6:$F$200)</f>
        <v>0</v>
      </c>
      <c r="J248" s="3">
        <f>SUMIF(VENTAS!$B$6:$B$200,RESUMEN!C248,VENTAS!$F$6:$F$200)</f>
        <v>0</v>
      </c>
      <c r="K248" s="3">
        <f>SUMIF(VENTAS!$B$6:$B$200,RESUMEN!C248,VENTAS!$G$6:$G$200)</f>
        <v>0</v>
      </c>
      <c r="L248" s="97">
        <f t="shared" si="129"/>
        <v>1460</v>
      </c>
      <c r="M248" s="96"/>
      <c r="N248" s="99">
        <f t="shared" si="124"/>
        <v>37</v>
      </c>
      <c r="O248" s="11">
        <f t="shared" si="150"/>
        <v>43498</v>
      </c>
      <c r="P248" s="3">
        <f t="shared" si="150"/>
        <v>256</v>
      </c>
      <c r="Q248" s="3">
        <f>SUMIF(MORTALIDAD!$J:$J,RESUMEN!O248,MORTALIDAD!$N:$N)</f>
        <v>0</v>
      </c>
      <c r="R248" s="19">
        <f t="shared" si="131"/>
        <v>-680</v>
      </c>
      <c r="S248" s="3">
        <f>SUMIF(MORTALIDAD!$J:$J,RESUMEN!O248,MORTALIDAD!$O:$O)</f>
        <v>0</v>
      </c>
      <c r="T248" s="3">
        <f>SUMIF(TRASLADOS!$K:$K,RESUMEN!O248,TRASLADOS!$N:$N)</f>
        <v>0</v>
      </c>
      <c r="U248" s="3">
        <f>SUMIF(TRASLADOS!$K:$K,RESUMEN!O248,TRASLADOS!$O:$O)</f>
        <v>0</v>
      </c>
      <c r="V248" s="3">
        <f>SUMIF(VENTAS!$J:$J,RESUMEN!O248,VENTAS!$N:$N)</f>
        <v>0</v>
      </c>
      <c r="W248" s="3">
        <f>SUMIF(VENTAS!$J:$J,RESUMEN!O248,VENTAS!$O:$O)</f>
        <v>0</v>
      </c>
      <c r="X248" s="97">
        <f t="shared" si="132"/>
        <v>1520</v>
      </c>
      <c r="Y248" s="96"/>
      <c r="Z248" s="99">
        <f t="shared" si="125"/>
        <v>37</v>
      </c>
      <c r="AA248" s="11">
        <f t="shared" si="151"/>
        <v>43502</v>
      </c>
      <c r="AB248" s="3">
        <f t="shared" si="151"/>
        <v>255</v>
      </c>
      <c r="AC248" s="3">
        <f>SUMIF(MORTALIDAD!$R:$R,RESUMEN!AA248,MORTALIDAD!$V:$V)</f>
        <v>0</v>
      </c>
      <c r="AD248" s="19">
        <f t="shared" si="134"/>
        <v>-476</v>
      </c>
      <c r="AE248" s="3">
        <f>SUMIF(MORTALIDAD!$R:$R,RESUMEN!AA248,MORTALIDAD!$W:$W)</f>
        <v>0</v>
      </c>
      <c r="AF248" s="3">
        <f>SUMIF(TRASLADOS!$T:$T,RESUMEN!AA248,TRASLADOS!$W:$W)</f>
        <v>0</v>
      </c>
      <c r="AG248" s="3">
        <f>SUMIF(TRASLADOS!$T:$T,RESUMEN!AA248,TRASLADOS!$X:$X)</f>
        <v>0</v>
      </c>
      <c r="AH248" s="3">
        <f>SUMIF(VENTAS!$R:$R,RESUMEN!AA248,VENTAS!$V:$V)</f>
        <v>0</v>
      </c>
      <c r="AI248" s="3">
        <f>SUMIF(VENTAS!$R:$R,RESUMEN!AA248,VENTAS!$W:$W)</f>
        <v>0</v>
      </c>
      <c r="AJ248" s="97">
        <f t="shared" si="135"/>
        <v>1724</v>
      </c>
      <c r="AK248" s="96"/>
      <c r="AL248" s="99">
        <f t="shared" si="126"/>
        <v>37</v>
      </c>
      <c r="AM248" s="11">
        <f t="shared" si="152"/>
        <v>43509</v>
      </c>
      <c r="AN248" s="3">
        <f t="shared" si="152"/>
        <v>255</v>
      </c>
      <c r="AO248" s="3">
        <f>SUMIF(MORTALIDAD!$Z:$Z,RESUMEN!AM248,MORTALIDAD!$AD:$AD)</f>
        <v>0</v>
      </c>
      <c r="AP248" s="19">
        <f t="shared" si="137"/>
        <v>-124</v>
      </c>
      <c r="AQ248" s="3">
        <f>SUMIF(MORTALIDAD!$Z:$Z,RESUMEN!AM248,MORTALIDAD!$AE:$AE)</f>
        <v>0</v>
      </c>
      <c r="AR248" s="3">
        <f>SUMIF(TRASLADOS!$AC:$AC,RESUMEN!AM248,TRASLADOS!$AF:$AF)</f>
        <v>0</v>
      </c>
      <c r="AS248" s="3">
        <f>SUMIF(TRASLADOS!$AC:$AC,RESUMEN!AM248,TRASLADOS!$AG:$AG)</f>
        <v>0</v>
      </c>
      <c r="AT248" s="3">
        <f>SUMIF(VENTAS!$Z:$Z,RESUMEN!AM248,VENTAS!$AD:$AD)</f>
        <v>0</v>
      </c>
      <c r="AU248" s="3">
        <f>SUMIF(VENTAS!$Z:$Z,RESUMEN!AM248,VENTAS!$AE:$AE)</f>
        <v>0</v>
      </c>
      <c r="AV248" s="97">
        <f t="shared" si="138"/>
        <v>2076</v>
      </c>
      <c r="AW248" s="96"/>
      <c r="AX248" s="99">
        <f t="shared" si="127"/>
        <v>37</v>
      </c>
      <c r="AY248" s="11">
        <f t="shared" si="153"/>
        <v>43516</v>
      </c>
      <c r="AZ248" s="3">
        <f t="shared" si="153"/>
        <v>255</v>
      </c>
      <c r="BA248" s="3">
        <f>SUMIF(MORTALIDAD!$AH:$AH,RESUMEN!AY248,MORTALIDAD!$AL:$AL)</f>
        <v>0</v>
      </c>
      <c r="BB248" s="19">
        <f t="shared" si="140"/>
        <v>-119</v>
      </c>
      <c r="BC248" s="3">
        <f>SUMIF(MORTALIDAD!$AH:$AH,RESUMEN!AY248,MORTALIDAD!$AM:$AM)</f>
        <v>0</v>
      </c>
      <c r="BD248" s="3">
        <f>SUMIF(TRASLADOS!$AL:$AL,RESUMEN!AY248,TRASLADOS!$AO:$AO)</f>
        <v>0</v>
      </c>
      <c r="BE248" s="3">
        <f>SUMIF(TRASLADOS!$AL:$AL,RESUMEN!AY248,TRASLADOS!$AP:$AP)</f>
        <v>0</v>
      </c>
      <c r="BF248" s="3">
        <f>SUMIF(VENTAS!$AH:$AH,RESUMEN!AY248,VENTAS!$AL:$AL)</f>
        <v>0</v>
      </c>
      <c r="BG248" s="3">
        <f>SUMIF(VENTAS!$AH:$AH,RESUMEN!AY248,VENTAS!$AM:$AM)</f>
        <v>0</v>
      </c>
      <c r="BH248" s="97">
        <f t="shared" si="141"/>
        <v>2081</v>
      </c>
      <c r="BI248" s="96"/>
      <c r="BJ248" s="99">
        <f t="shared" si="128"/>
        <v>37</v>
      </c>
      <c r="BK248" s="11">
        <f t="shared" si="154"/>
        <v>43525</v>
      </c>
      <c r="BL248" s="3">
        <f t="shared" si="154"/>
        <v>258</v>
      </c>
      <c r="BM248" s="3">
        <f>SUMIF(MORTALIDAD!$AP:$AP,RESUMEN!BK248,MORTALIDAD!$AT:$AT)</f>
        <v>0</v>
      </c>
      <c r="BN248" s="19">
        <f t="shared" si="143"/>
        <v>-73</v>
      </c>
      <c r="BO248" s="3">
        <f>SUMIF(MORTALIDAD!$AP$6:$AP$200,RESUMEN!BK248,MORTALIDAD!$AU$6:$AU$200)</f>
        <v>0</v>
      </c>
      <c r="BP248" s="3">
        <f>SUMIF(TRASLADOS!$AU:$AU,RESUMEN!BK248,TRASLADOS!$AX:$AX)</f>
        <v>0</v>
      </c>
      <c r="BQ248" s="3">
        <f>SUMIF(TRASLADOS!$AU:$AU,RESUMEN!BK248,TRASLADOS!$AY:$AY)</f>
        <v>0</v>
      </c>
      <c r="BR248" s="3">
        <f>SUMIF(VENTAS!$AP:$AP,RESUMEN!BK248,VENTAS!$AT:$AT)</f>
        <v>0</v>
      </c>
      <c r="BS248" s="3">
        <f>SUMIF(VENTAS!$AP:$AP,RESUMEN!BK248,VENTAS!$AU:$AU)</f>
        <v>0</v>
      </c>
      <c r="BT248" s="36">
        <f t="shared" si="144"/>
        <v>2241</v>
      </c>
    </row>
    <row r="249" spans="2:72" x14ac:dyDescent="0.2">
      <c r="C249" s="4"/>
      <c r="E249" s="12">
        <f>SUM(E15:E248)</f>
        <v>-740</v>
      </c>
      <c r="F249" s="12">
        <f>AVERAGE(F15:F248)</f>
        <v>-646.15384615384619</v>
      </c>
      <c r="G249" s="13">
        <f>SUM(G15:G248)/E249</f>
        <v>-6.6135135135135137</v>
      </c>
      <c r="H249" s="3">
        <f>SUMIF(TRASLADOS!$B$6:$B$200,C249,TRASLADOS!$E$6:$E$200)</f>
        <v>0</v>
      </c>
      <c r="I249" s="3">
        <f>SUMIF(TRASLADOS!$B$6:$B$200,C249,TRASLADOS!$F$6:$F$200)</f>
        <v>0</v>
      </c>
      <c r="J249" s="3">
        <f>SUMIF(VENTAS!$B$6:$B$200,RESUMEN!C249,VENTAS!$F$6:$F$200)</f>
        <v>0</v>
      </c>
      <c r="K249" s="3">
        <f>SUMIF(VENTAS!$B$6:$B$200,RESUMEN!C249,VENTAS!$G$6:$G$200)</f>
        <v>0</v>
      </c>
      <c r="L249" s="97">
        <f>L248</f>
        <v>1460</v>
      </c>
      <c r="M249" s="96"/>
      <c r="O249" s="4"/>
      <c r="Q249" s="3">
        <f>SUMIF(MORTALIDAD!$J:$J,RESUMEN!O249,MORTALIDAD!$N:$N)</f>
        <v>0</v>
      </c>
      <c r="R249" s="12">
        <f>AVERAGE(R15:R248)</f>
        <v>-587.08974358974353</v>
      </c>
      <c r="S249" s="3">
        <f>SUMIF(MORTALIDAD!$J:$J,RESUMEN!O249,MORTALIDAD!$O:$O)</f>
        <v>0</v>
      </c>
      <c r="T249" s="3">
        <f>SUMIF(TRASLADOS!$K:$K,RESUMEN!O249,TRASLADOS!$N:$N)</f>
        <v>0</v>
      </c>
      <c r="U249" s="3">
        <f>SUMIF(TRASLADOS!$K:$K,RESUMEN!O249,TRASLADOS!$O:$O)</f>
        <v>0</v>
      </c>
      <c r="V249" s="3">
        <f>SUMIF(VENTAS!$J:$J,RESUMEN!O249,VENTAS!$N:$N)</f>
        <v>0</v>
      </c>
      <c r="W249" s="3">
        <f>SUMIF(VENTAS!$J:$J,RESUMEN!O249,VENTAS!$O:$O)</f>
        <v>0</v>
      </c>
      <c r="X249" s="97">
        <f t="shared" si="132"/>
        <v>1520</v>
      </c>
      <c r="Y249" s="96"/>
      <c r="AA249" s="4"/>
      <c r="AC249" s="3">
        <f>SUMIF(MORTALIDAD!$R:$R,RESUMEN!AA249,MORTALIDAD!$V:$V)</f>
        <v>0</v>
      </c>
      <c r="AD249" s="12">
        <f>AVERAGE(AD15:AD248)</f>
        <v>-413.67521367521368</v>
      </c>
      <c r="AE249" s="3">
        <f>SUMIF(MORTALIDAD!$R:$R,RESUMEN!AA249,MORTALIDAD!$W:$W)</f>
        <v>0</v>
      </c>
      <c r="AF249" s="3">
        <f>SUMIF(TRASLADOS!$T:$T,RESUMEN!AA249,TRASLADOS!$W:$W)</f>
        <v>0</v>
      </c>
      <c r="AG249" s="3">
        <f>SUMIF(TRASLADOS!$T:$T,RESUMEN!AA249,TRASLADOS!$X:$X)</f>
        <v>0</v>
      </c>
      <c r="AH249" s="3">
        <f>SUMIF(VENTAS!$R:$R,RESUMEN!AA249,VENTAS!$V:$V)</f>
        <v>0</v>
      </c>
      <c r="AI249" s="3">
        <f>SUMIF(VENTAS!$R:$R,RESUMEN!AA249,VENTAS!$W:$W)</f>
        <v>0</v>
      </c>
      <c r="AJ249" s="97">
        <f t="shared" si="135"/>
        <v>1724</v>
      </c>
      <c r="AK249" s="96"/>
      <c r="AM249" s="4"/>
      <c r="AO249" s="3">
        <f>SUMIF(MORTALIDAD!$Z:$Z,RESUMEN!AM249,MORTALIDAD!$AD:$AD)</f>
        <v>0</v>
      </c>
      <c r="AP249" s="12">
        <f>AVERAGE(AP15:AP248)</f>
        <v>-109.82478632478633</v>
      </c>
      <c r="AQ249" s="3">
        <f>SUMIF(MORTALIDAD!$Z:$Z,RESUMEN!AM249,MORTALIDAD!$AE:$AE)</f>
        <v>0</v>
      </c>
      <c r="AR249" s="3">
        <f>SUMIF(TRASLADOS!$AC:$AC,RESUMEN!AM249,TRASLADOS!$AF:$AF)</f>
        <v>0</v>
      </c>
      <c r="AS249" s="3">
        <f>SUMIF(TRASLADOS!$AC:$AC,RESUMEN!AM249,TRASLADOS!$AG:$AG)</f>
        <v>0</v>
      </c>
      <c r="AT249" s="3">
        <f>SUMIF(VENTAS!$Z:$Z,RESUMEN!AM249,VENTAS!$AD:$AD)</f>
        <v>0</v>
      </c>
      <c r="AU249" s="3">
        <f>SUMIF(VENTAS!$Z:$Z,RESUMEN!AM249,VENTAS!$AE:$AE)</f>
        <v>0</v>
      </c>
      <c r="AV249" s="97">
        <f>AV248</f>
        <v>2076</v>
      </c>
      <c r="AW249" s="96"/>
      <c r="AY249" s="4"/>
      <c r="BA249" s="3">
        <f>SUMIF(MORTALIDAD!$AH:$AH,RESUMEN!AY249,MORTALIDAD!$AL:$AL)</f>
        <v>0</v>
      </c>
      <c r="BB249" s="12">
        <f>AVERAGE(BB15:BB248)</f>
        <v>-108.56410256410257</v>
      </c>
      <c r="BC249" s="3">
        <f>SUMIF(MORTALIDAD!$AH:$AH,RESUMEN!AY249,MORTALIDAD!$AM:$AM)</f>
        <v>0</v>
      </c>
      <c r="BD249" s="3">
        <f>SUMIF(TRASLADOS!$AL:$AL,RESUMEN!AY249,TRASLADOS!$AO:$AO)</f>
        <v>0</v>
      </c>
      <c r="BE249" s="3">
        <f>SUMIF(TRASLADOS!$AL:$AL,RESUMEN!AY249,TRASLADOS!$AP:$AP)</f>
        <v>0</v>
      </c>
      <c r="BF249" s="3">
        <f>SUMIF(VENTAS!$AH:$AH,RESUMEN!AY249,VENTAS!$AL:$AL)</f>
        <v>0</v>
      </c>
      <c r="BG249" s="3">
        <f>SUMIF(VENTAS!$AH:$AH,RESUMEN!AY249,VENTAS!$AM:$AM)</f>
        <v>0</v>
      </c>
      <c r="BH249" s="97">
        <f t="shared" si="141"/>
        <v>2081</v>
      </c>
      <c r="BI249" s="96"/>
      <c r="BK249" s="4"/>
      <c r="BM249" s="3">
        <f>SUMIF(MORTALIDAD!$AP:$AP,RESUMEN!BK249,MORTALIDAD!$AT:$AT)</f>
        <v>0</v>
      </c>
      <c r="BN249" s="12">
        <f>AVERAGE(BN15:BN248)</f>
        <v>-68.636752136752136</v>
      </c>
      <c r="BO249" s="3">
        <f>SUMIF(MORTALIDAD!$AP$6:$AP$200,RESUMEN!BK249,MORTALIDAD!$AU$6:$AU$200)</f>
        <v>0</v>
      </c>
      <c r="BP249" s="3">
        <f>SUMIF(TRASLADOS!$AU:$AU,RESUMEN!BK249,TRASLADOS!$AX:$AX)</f>
        <v>0</v>
      </c>
      <c r="BQ249" s="3">
        <f>SUMIF(TRASLADOS!$AU:$AU,RESUMEN!BK249,TRASLADOS!$AY:$AY)</f>
        <v>0</v>
      </c>
      <c r="BR249" s="3">
        <f>SUMIF(VENTAS!$AP:$AP,RESUMEN!BK249,VENTAS!$AT:$AT)</f>
        <v>0</v>
      </c>
      <c r="BS249" s="3">
        <f>SUMIF(VENTAS!$AP:$AP,RESUMEN!BK249,VENTAS!$AU:$AU)</f>
        <v>0</v>
      </c>
      <c r="BT249" s="36">
        <f t="shared" si="144"/>
        <v>2241</v>
      </c>
    </row>
    <row r="250" spans="2:72" x14ac:dyDescent="0.2">
      <c r="C250" s="4"/>
      <c r="H250" s="3">
        <f>SUMIF(TRASLADOS!$B$6:$B$200,C250,TRASLADOS!$E$6:$E$200)</f>
        <v>0</v>
      </c>
      <c r="I250" s="3">
        <f>SUMIF(TRASLADOS!$B$6:$B$200,C250,TRASLADOS!$F$6:$F$200)</f>
        <v>0</v>
      </c>
      <c r="J250" s="2">
        <f>J249/D9</f>
        <v>0</v>
      </c>
      <c r="K250" s="2"/>
      <c r="L250" s="16"/>
      <c r="M250" s="96"/>
      <c r="O250" s="4"/>
      <c r="T250" s="3">
        <f>SUMIF(TRASLADOS!$K$6:$K$200,RESUMEN!O250,TRASLADOS!$N$6:$N$200)</f>
        <v>0</v>
      </c>
      <c r="U250" s="3">
        <f>SUMIF(TRASLADOS!$K$6:$K$200,RESUMEN!O250,TRASLADOS!$O$6:$O$200)</f>
        <v>0</v>
      </c>
      <c r="V250" s="3">
        <f>SUMIF(VENTAS!$J$6:$J$200,RESUMEN!O250,VENTAS!$N$6:$N$200)</f>
        <v>0</v>
      </c>
      <c r="W250" s="2"/>
      <c r="X250" s="18"/>
      <c r="Y250" s="96"/>
      <c r="AA250" s="4"/>
      <c r="AF250" s="3">
        <f>SUMIF(TRASLADOS!T241:T435,RESUMEN!AA250,TRASLADOS!W241:W435)</f>
        <v>0</v>
      </c>
      <c r="AG250" s="3">
        <f>SUMIF(TRASLADOS!T241:T435,RESUMEN!AA250,TRASLADOS!W241:W435)</f>
        <v>0</v>
      </c>
      <c r="AH250" s="3">
        <f>SUMIF(VENTAS!$R$6:$R$200,RESUMEN!AA250,VENTAS!$V$6:$V$200)</f>
        <v>0</v>
      </c>
      <c r="AI250" s="2"/>
      <c r="AJ250" s="18"/>
      <c r="AK250" s="96"/>
      <c r="AM250" s="4"/>
      <c r="AR250" s="3">
        <f>SUMIF(TRASLADOS!$AC$6:$AC$200,RESUMEN!AM250,TRASLADOS!$AF$6:$AF$200)</f>
        <v>0</v>
      </c>
      <c r="AS250" s="3">
        <f>SUMIF(TRASLADOS!$AC$6:$AC$200,RESUMEN!AM250,TRASLADOS!$AG$6:$AG$200)</f>
        <v>0</v>
      </c>
      <c r="AT250" s="2">
        <f>AT249/AN9</f>
        <v>0</v>
      </c>
      <c r="AU250" s="2"/>
      <c r="AV250" s="18"/>
      <c r="AW250" s="96"/>
      <c r="AY250" s="4"/>
      <c r="BD250" s="3">
        <f>SUMIF(TRASLADOS!$AL$6:$AL$200,RESUMEN!AY250,TRASLADOS!$AO$6:$AO$200)</f>
        <v>0</v>
      </c>
      <c r="BE250" s="3">
        <f>SUMIF(TRASLADOS!$AL$6:$AL$200,RESUMEN!AY250,TRASLADOS!$AP$6:$AP$200)</f>
        <v>0</v>
      </c>
      <c r="BF250" s="2">
        <f>BF249/AZ9</f>
        <v>0</v>
      </c>
      <c r="BG250" s="2"/>
      <c r="BH250" s="18"/>
      <c r="BI250" s="96"/>
      <c r="BK250" s="4"/>
      <c r="BP250" s="3">
        <f>SUMIF(TRASLADOS!AU241:AU435,RESUMEN!BK250,TRASLADOS!AX241:AX435)</f>
        <v>0</v>
      </c>
      <c r="BQ250" s="3">
        <f>SUMIF(TRASLADOS!AU241:AU435,RESUMEN!BK250,TRASLADOS!AY241:AY435)</f>
        <v>0</v>
      </c>
      <c r="BR250" s="3">
        <f>SUMIF(VENTAS!$AP$6:$AP$200,RESUMEN!BK250,VENTAS!$AT$6:$AT$200)</f>
        <v>0</v>
      </c>
      <c r="BS250" s="2"/>
      <c r="BT250" s="18"/>
    </row>
    <row r="251" spans="2:72" x14ac:dyDescent="0.2">
      <c r="C251" s="4"/>
      <c r="O251" s="4"/>
      <c r="AA251" s="4"/>
      <c r="AM251" s="4"/>
      <c r="AY251" s="4"/>
      <c r="BK251" s="4"/>
    </row>
    <row r="252" spans="2:72" hidden="1" x14ac:dyDescent="0.2">
      <c r="C252" s="4"/>
      <c r="O252" s="4"/>
      <c r="AA252" s="4"/>
      <c r="AM252" s="4"/>
      <c r="AY252" s="4"/>
      <c r="BK252" s="4"/>
    </row>
    <row r="253" spans="2:72" hidden="1" x14ac:dyDescent="0.2">
      <c r="C253" s="4"/>
      <c r="O253" s="4"/>
      <c r="AA253" s="4"/>
      <c r="AM253" s="4"/>
      <c r="AY253" s="4"/>
      <c r="BK253" s="4"/>
    </row>
    <row r="254" spans="2:72" hidden="1" x14ac:dyDescent="0.2">
      <c r="C254" s="4"/>
      <c r="O254" s="4"/>
      <c r="AA254" s="4"/>
      <c r="AM254" s="4"/>
      <c r="AY254" s="4"/>
      <c r="BK254" s="4"/>
    </row>
    <row r="255" spans="2:72" hidden="1" x14ac:dyDescent="0.2">
      <c r="C255" s="4"/>
      <c r="O255" s="4"/>
      <c r="AA255" s="4"/>
      <c r="AM255" s="4"/>
      <c r="AY255" s="4"/>
      <c r="BK255" s="4"/>
    </row>
    <row r="256" spans="2:72" hidden="1" x14ac:dyDescent="0.2">
      <c r="C256" s="4"/>
      <c r="O256" s="4"/>
      <c r="AA256" s="4"/>
      <c r="AM256" s="4"/>
      <c r="AY256" s="4"/>
      <c r="BK256" s="4"/>
    </row>
    <row r="257" spans="3:63" hidden="1" x14ac:dyDescent="0.2">
      <c r="C257" s="4"/>
      <c r="O257" s="4"/>
      <c r="AA257" s="4"/>
      <c r="AM257" s="4"/>
      <c r="AY257" s="4"/>
      <c r="BK257" s="4"/>
    </row>
    <row r="258" spans="3:63" hidden="1" x14ac:dyDescent="0.2">
      <c r="C258" s="4"/>
      <c r="O258" s="4"/>
      <c r="AA258" s="4"/>
      <c r="AM258" s="4"/>
      <c r="AY258" s="4"/>
      <c r="BK258" s="4"/>
    </row>
    <row r="259" spans="3:63" hidden="1" x14ac:dyDescent="0.2">
      <c r="C259" s="4"/>
      <c r="O259" s="4"/>
      <c r="AA259" s="4"/>
      <c r="AM259" s="4"/>
      <c r="AY259" s="4"/>
      <c r="BK259" s="4"/>
    </row>
    <row r="260" spans="3:63" hidden="1" x14ac:dyDescent="0.2">
      <c r="C260" s="4"/>
      <c r="O260" s="4"/>
      <c r="AA260" s="4"/>
      <c r="AM260" s="4"/>
      <c r="AY260" s="4"/>
      <c r="BK260" s="4"/>
    </row>
    <row r="261" spans="3:63" hidden="1" x14ac:dyDescent="0.2">
      <c r="C261" s="4"/>
      <c r="O261" s="4"/>
      <c r="AA261" s="4"/>
      <c r="AM261" s="4"/>
      <c r="AY261" s="4"/>
      <c r="BK261" s="4"/>
    </row>
    <row r="262" spans="3:63" hidden="1" x14ac:dyDescent="0.2">
      <c r="C262" s="4"/>
      <c r="O262" s="4"/>
      <c r="AA262" s="4"/>
      <c r="AM262" s="4"/>
      <c r="AY262" s="4"/>
      <c r="BK262" s="4"/>
    </row>
    <row r="263" spans="3:63" hidden="1" x14ac:dyDescent="0.2">
      <c r="C263" s="4"/>
      <c r="O263" s="4"/>
      <c r="AA263" s="4"/>
      <c r="AM263" s="4"/>
      <c r="AY263" s="4"/>
      <c r="BK263" s="4"/>
    </row>
    <row r="264" spans="3:63" hidden="1" x14ac:dyDescent="0.2">
      <c r="C264" s="4"/>
      <c r="O264" s="4"/>
      <c r="AA264" s="4"/>
      <c r="AM264" s="4"/>
      <c r="AY264" s="4"/>
      <c r="BK264" s="4"/>
    </row>
    <row r="265" spans="3:63" hidden="1" x14ac:dyDescent="0.2">
      <c r="C265" s="4"/>
      <c r="O265" s="4"/>
      <c r="AA265" s="4"/>
      <c r="AM265" s="4"/>
      <c r="AY265" s="4"/>
      <c r="BK265" s="4"/>
    </row>
    <row r="266" spans="3:63" hidden="1" x14ac:dyDescent="0.2">
      <c r="C266" s="4"/>
      <c r="O266" s="4"/>
      <c r="AA266" s="4"/>
      <c r="AM266" s="4"/>
      <c r="AY266" s="4"/>
      <c r="BK266" s="4"/>
    </row>
    <row r="267" spans="3:63" hidden="1" x14ac:dyDescent="0.2">
      <c r="C267" s="4"/>
      <c r="O267" s="4"/>
      <c r="AA267" s="4"/>
      <c r="AM267" s="4"/>
      <c r="AY267" s="4"/>
      <c r="BK267" s="4"/>
    </row>
    <row r="268" spans="3:63" hidden="1" x14ac:dyDescent="0.2">
      <c r="C268" s="4"/>
      <c r="O268" s="4"/>
      <c r="AA268" s="4"/>
      <c r="AM268" s="4"/>
      <c r="AY268" s="4"/>
      <c r="BK268" s="4"/>
    </row>
    <row r="269" spans="3:63" hidden="1" x14ac:dyDescent="0.2">
      <c r="C269" s="4"/>
      <c r="O269" s="4"/>
      <c r="AA269" s="4"/>
      <c r="AM269" s="4"/>
      <c r="AY269" s="4"/>
      <c r="BK269" s="4"/>
    </row>
    <row r="270" spans="3:63" hidden="1" x14ac:dyDescent="0.2">
      <c r="C270" s="4"/>
      <c r="O270" s="4"/>
      <c r="AA270" s="4"/>
      <c r="AM270" s="4"/>
      <c r="AY270" s="4"/>
      <c r="BK270" s="4"/>
    </row>
    <row r="271" spans="3:63" hidden="1" x14ac:dyDescent="0.2">
      <c r="C271" s="4"/>
      <c r="O271" s="4"/>
      <c r="AA271" s="4"/>
      <c r="AM271" s="4"/>
      <c r="AY271" s="4"/>
      <c r="BK271" s="4"/>
    </row>
    <row r="272" spans="3:63" hidden="1" x14ac:dyDescent="0.2">
      <c r="C272" s="4"/>
      <c r="O272" s="4"/>
      <c r="AA272" s="4"/>
      <c r="AM272" s="4"/>
      <c r="AY272" s="4"/>
      <c r="BK272" s="4"/>
    </row>
    <row r="273" spans="3:63" hidden="1" x14ac:dyDescent="0.2">
      <c r="C273" s="4"/>
      <c r="O273" s="4"/>
      <c r="AA273" s="4"/>
      <c r="AM273" s="4"/>
      <c r="AY273" s="4"/>
      <c r="BK273" s="4"/>
    </row>
    <row r="274" spans="3:63" hidden="1" x14ac:dyDescent="0.2">
      <c r="C274" s="4"/>
      <c r="O274" s="4"/>
      <c r="AA274" s="4"/>
      <c r="AM274" s="4"/>
      <c r="AY274" s="4"/>
      <c r="BK274" s="4"/>
    </row>
    <row r="275" spans="3:63" hidden="1" x14ac:dyDescent="0.2">
      <c r="C275" s="4"/>
      <c r="O275" s="4"/>
      <c r="AA275" s="4"/>
      <c r="AM275" s="4"/>
      <c r="AY275" s="4"/>
      <c r="BK275" s="4"/>
    </row>
    <row r="276" spans="3:63" hidden="1" x14ac:dyDescent="0.2">
      <c r="C276" s="4"/>
      <c r="O276" s="4"/>
      <c r="AA276" s="4"/>
      <c r="AM276" s="4"/>
      <c r="AY276" s="4"/>
      <c r="BK276" s="4"/>
    </row>
    <row r="277" spans="3:63" hidden="1" x14ac:dyDescent="0.2">
      <c r="C277" s="4"/>
      <c r="O277" s="4"/>
      <c r="AA277" s="4"/>
      <c r="AM277" s="4"/>
      <c r="AY277" s="4"/>
      <c r="BK277" s="4"/>
    </row>
    <row r="278" spans="3:63" hidden="1" x14ac:dyDescent="0.2">
      <c r="C278" s="4"/>
      <c r="O278" s="4"/>
      <c r="AA278" s="4"/>
      <c r="AM278" s="4"/>
      <c r="AY278" s="4"/>
      <c r="BK278" s="4"/>
    </row>
    <row r="279" spans="3:63" hidden="1" x14ac:dyDescent="0.2">
      <c r="C279" s="4"/>
      <c r="O279" s="4"/>
      <c r="AA279" s="4"/>
      <c r="AM279" s="4"/>
      <c r="AY279" s="4"/>
      <c r="BK279" s="4"/>
    </row>
    <row r="280" spans="3:63" hidden="1" x14ac:dyDescent="0.2">
      <c r="C280" s="4"/>
      <c r="O280" s="4"/>
      <c r="AA280" s="4"/>
      <c r="AM280" s="4"/>
      <c r="AY280" s="4"/>
      <c r="BK280" s="4"/>
    </row>
    <row r="281" spans="3:63" hidden="1" x14ac:dyDescent="0.2">
      <c r="C281" s="4"/>
      <c r="O281" s="4"/>
      <c r="AA281" s="4"/>
      <c r="AM281" s="4"/>
      <c r="AY281" s="4"/>
      <c r="BK281" s="4"/>
    </row>
    <row r="282" spans="3:63" hidden="1" x14ac:dyDescent="0.2">
      <c r="C282" s="4"/>
      <c r="O282" s="4"/>
      <c r="AA282" s="4"/>
      <c r="AM282" s="4"/>
      <c r="AY282" s="4"/>
      <c r="BK282" s="4"/>
    </row>
    <row r="283" spans="3:63" ht="12.75" hidden="1" customHeight="1" x14ac:dyDescent="0.2">
      <c r="C283" s="4"/>
      <c r="O283" s="4"/>
      <c r="AA283" s="4"/>
      <c r="AM283" s="4"/>
      <c r="AY283" s="4"/>
      <c r="BK283" s="4"/>
    </row>
    <row r="284" spans="3:63" ht="12.75" hidden="1" customHeight="1" x14ac:dyDescent="0.2">
      <c r="C284" s="4"/>
      <c r="O284" s="4"/>
      <c r="AA284" s="4"/>
      <c r="AM284" s="4"/>
      <c r="AY284" s="4"/>
      <c r="BK284" s="4"/>
    </row>
    <row r="285" spans="3:63" ht="12.75" hidden="1" customHeight="1" x14ac:dyDescent="0.2">
      <c r="C285" s="4"/>
      <c r="O285" s="4"/>
      <c r="AA285" s="4"/>
      <c r="AM285" s="4"/>
      <c r="AY285" s="4"/>
      <c r="BK285" s="4"/>
    </row>
    <row r="286" spans="3:63" ht="12.75" hidden="1" customHeight="1" x14ac:dyDescent="0.2">
      <c r="C286" s="4"/>
      <c r="O286" s="4"/>
      <c r="AA286" s="4"/>
      <c r="AM286" s="4"/>
      <c r="AY286" s="4"/>
      <c r="BK286" s="4"/>
    </row>
    <row r="287" spans="3:63" ht="12.75" hidden="1" customHeight="1" x14ac:dyDescent="0.2">
      <c r="C287" s="4"/>
      <c r="O287" s="4"/>
      <c r="AA287" s="4"/>
      <c r="AM287" s="4"/>
      <c r="AY287" s="4"/>
      <c r="BK287" s="4"/>
    </row>
    <row r="288" spans="3:63" ht="12.75" hidden="1" customHeight="1" x14ac:dyDescent="0.2">
      <c r="C288" s="4"/>
      <c r="O288" s="4"/>
      <c r="AA288" s="4"/>
      <c r="AM288" s="4"/>
      <c r="AY288" s="4"/>
      <c r="BK288" s="4"/>
    </row>
    <row r="289" spans="3:63" ht="12.75" hidden="1" customHeight="1" x14ac:dyDescent="0.2">
      <c r="C289" s="4"/>
      <c r="O289" s="4"/>
      <c r="AA289" s="4"/>
      <c r="AM289" s="4"/>
      <c r="AY289" s="4"/>
      <c r="BK289" s="4"/>
    </row>
    <row r="290" spans="3:63" ht="12.75" hidden="1" customHeight="1" x14ac:dyDescent="0.2">
      <c r="C290" s="4"/>
      <c r="O290" s="4"/>
      <c r="AA290" s="4"/>
      <c r="AM290" s="4"/>
      <c r="AY290" s="4"/>
      <c r="BK290" s="4"/>
    </row>
    <row r="291" spans="3:63" ht="12.75" hidden="1" customHeight="1" x14ac:dyDescent="0.2">
      <c r="C291" s="4"/>
      <c r="O291" s="4"/>
      <c r="AA291" s="4"/>
      <c r="AM291" s="4"/>
      <c r="AY291" s="4"/>
      <c r="BK291" s="4"/>
    </row>
    <row r="292" spans="3:63" ht="12.75" hidden="1" customHeight="1" x14ac:dyDescent="0.2">
      <c r="C292" s="4"/>
      <c r="O292" s="4"/>
      <c r="AA292" s="4"/>
      <c r="AM292" s="4"/>
      <c r="AY292" s="4"/>
      <c r="BK292" s="4"/>
    </row>
    <row r="293" spans="3:63" ht="12.75" hidden="1" customHeight="1" x14ac:dyDescent="0.2">
      <c r="C293" s="4"/>
      <c r="O293" s="4"/>
      <c r="AA293" s="4"/>
      <c r="AM293" s="4"/>
      <c r="AY293" s="4"/>
      <c r="BK293" s="4"/>
    </row>
    <row r="294" spans="3:63" ht="12.75" hidden="1" customHeight="1" x14ac:dyDescent="0.2">
      <c r="C294" s="4"/>
      <c r="O294" s="4"/>
      <c r="AA294" s="4"/>
      <c r="AM294" s="4"/>
      <c r="AY294" s="4"/>
      <c r="BK294" s="4"/>
    </row>
    <row r="295" spans="3:63" ht="12.75" hidden="1" customHeight="1" x14ac:dyDescent="0.2">
      <c r="C295" s="4"/>
      <c r="O295" s="4"/>
      <c r="AA295" s="4"/>
      <c r="AM295" s="4"/>
      <c r="AY295" s="4"/>
      <c r="BK295" s="4"/>
    </row>
    <row r="296" spans="3:63" ht="12.75" hidden="1" customHeight="1" x14ac:dyDescent="0.2">
      <c r="C296" s="4"/>
      <c r="O296" s="4"/>
      <c r="AA296" s="4"/>
      <c r="AM296" s="4"/>
      <c r="AY296" s="4"/>
      <c r="BK296" s="4"/>
    </row>
    <row r="297" spans="3:63" ht="12.75" hidden="1" customHeight="1" x14ac:dyDescent="0.2">
      <c r="C297" s="4"/>
      <c r="O297" s="4"/>
      <c r="AA297" s="4"/>
      <c r="AM297" s="4"/>
      <c r="AY297" s="4"/>
      <c r="BK297" s="4"/>
    </row>
    <row r="298" spans="3:63" ht="12.75" hidden="1" customHeight="1" x14ac:dyDescent="0.2">
      <c r="C298" s="4"/>
      <c r="O298" s="4"/>
      <c r="AA298" s="4"/>
      <c r="AM298" s="4"/>
      <c r="AY298" s="4"/>
      <c r="BK298" s="4"/>
    </row>
    <row r="299" spans="3:63" ht="12.75" hidden="1" customHeight="1" x14ac:dyDescent="0.2">
      <c r="C299" s="4"/>
      <c r="O299" s="4"/>
      <c r="AA299" s="4"/>
      <c r="AM299" s="4"/>
      <c r="AY299" s="4"/>
      <c r="BK299" s="4"/>
    </row>
    <row r="300" spans="3:63" ht="12.75" hidden="1" customHeight="1" x14ac:dyDescent="0.2">
      <c r="C300" s="4"/>
      <c r="O300" s="4"/>
      <c r="AA300" s="4"/>
      <c r="AM300" s="4"/>
      <c r="AY300" s="4"/>
      <c r="BK300" s="4"/>
    </row>
    <row r="301" spans="3:63" ht="12.75" hidden="1" customHeight="1" x14ac:dyDescent="0.2">
      <c r="C301" s="4"/>
      <c r="O301" s="4"/>
      <c r="AA301" s="4"/>
      <c r="AM301" s="4"/>
      <c r="AY301" s="4"/>
      <c r="BK301" s="4"/>
    </row>
    <row r="302" spans="3:63" ht="12.75" hidden="1" customHeight="1" x14ac:dyDescent="0.2">
      <c r="C302" s="4"/>
      <c r="O302" s="4"/>
      <c r="AA302" s="4"/>
      <c r="AM302" s="4"/>
      <c r="AY302" s="4"/>
      <c r="BK302" s="4"/>
    </row>
    <row r="303" spans="3:63" ht="12.75" hidden="1" customHeight="1" x14ac:dyDescent="0.2">
      <c r="C303" s="4"/>
      <c r="O303" s="4"/>
      <c r="AA303" s="4"/>
      <c r="AM303" s="4"/>
      <c r="AY303" s="4"/>
      <c r="BK303" s="4"/>
    </row>
    <row r="304" spans="3:63" ht="12.75" hidden="1" customHeight="1" x14ac:dyDescent="0.2">
      <c r="C304" s="4"/>
      <c r="O304" s="4"/>
      <c r="AA304" s="4"/>
      <c r="AM304" s="4"/>
      <c r="AY304" s="4"/>
      <c r="BK304" s="4"/>
    </row>
    <row r="305" spans="3:63" ht="12.75" hidden="1" customHeight="1" x14ac:dyDescent="0.2">
      <c r="C305" s="4"/>
      <c r="O305" s="4"/>
      <c r="AA305" s="4"/>
      <c r="AM305" s="4"/>
      <c r="AY305" s="4"/>
      <c r="BK305" s="4"/>
    </row>
    <row r="306" spans="3:63" ht="12.75" hidden="1" customHeight="1" x14ac:dyDescent="0.2">
      <c r="C306" s="4"/>
      <c r="O306" s="4"/>
      <c r="AA306" s="4"/>
      <c r="AM306" s="4"/>
      <c r="AY306" s="4"/>
      <c r="BK306" s="4"/>
    </row>
    <row r="307" spans="3:63" ht="12.75" hidden="1" customHeight="1" x14ac:dyDescent="0.2">
      <c r="C307" s="4"/>
      <c r="O307" s="4"/>
      <c r="AA307" s="4"/>
      <c r="AM307" s="4"/>
      <c r="AY307" s="4"/>
      <c r="BK307" s="4"/>
    </row>
    <row r="308" spans="3:63" ht="12.75" hidden="1" customHeight="1" x14ac:dyDescent="0.2">
      <c r="C308" s="4"/>
      <c r="O308" s="4"/>
      <c r="AA308" s="4"/>
      <c r="AM308" s="4"/>
      <c r="AY308" s="4"/>
      <c r="BK308" s="4"/>
    </row>
    <row r="309" spans="3:63" ht="12.75" hidden="1" customHeight="1" x14ac:dyDescent="0.2">
      <c r="C309" s="4"/>
      <c r="O309" s="4"/>
      <c r="AA309" s="4"/>
      <c r="AM309" s="4"/>
      <c r="AY309" s="4"/>
      <c r="BK309" s="4"/>
    </row>
    <row r="310" spans="3:63" ht="12.75" hidden="1" customHeight="1" x14ac:dyDescent="0.2">
      <c r="C310" s="4"/>
      <c r="O310" s="4"/>
      <c r="AA310" s="4"/>
      <c r="AM310" s="4"/>
      <c r="AY310" s="4"/>
      <c r="BK310" s="4"/>
    </row>
    <row r="311" spans="3:63" ht="12.75" hidden="1" customHeight="1" x14ac:dyDescent="0.2">
      <c r="C311" s="4"/>
      <c r="O311" s="4"/>
      <c r="AA311" s="4"/>
      <c r="AM311" s="4"/>
      <c r="AY311" s="4"/>
      <c r="BK311" s="4"/>
    </row>
    <row r="312" spans="3:63" ht="12.75" hidden="1" customHeight="1" x14ac:dyDescent="0.2">
      <c r="C312" s="4"/>
      <c r="O312" s="4"/>
      <c r="AA312" s="4"/>
      <c r="AM312" s="4"/>
      <c r="AY312" s="4"/>
      <c r="BK312" s="4"/>
    </row>
    <row r="313" spans="3:63" ht="12.75" hidden="1" customHeight="1" x14ac:dyDescent="0.2">
      <c r="C313" s="4"/>
      <c r="O313" s="4"/>
      <c r="AA313" s="4"/>
      <c r="AM313" s="4"/>
      <c r="AY313" s="4"/>
      <c r="BK313" s="4"/>
    </row>
    <row r="314" spans="3:63" ht="12.75" hidden="1" customHeight="1" x14ac:dyDescent="0.2">
      <c r="C314" s="4"/>
      <c r="O314" s="4"/>
      <c r="AA314" s="4"/>
      <c r="AM314" s="4"/>
      <c r="AY314" s="4"/>
      <c r="BK314" s="4"/>
    </row>
    <row r="315" spans="3:63" ht="12.75" hidden="1" customHeight="1" x14ac:dyDescent="0.2">
      <c r="C315" s="4"/>
      <c r="O315" s="4"/>
      <c r="AA315" s="4"/>
      <c r="AM315" s="4"/>
      <c r="AY315" s="4"/>
      <c r="BK315" s="4"/>
    </row>
    <row r="316" spans="3:63" ht="12.75" hidden="1" customHeight="1" x14ac:dyDescent="0.2">
      <c r="C316" s="4"/>
      <c r="O316" s="4"/>
      <c r="AA316" s="4"/>
      <c r="AM316" s="4"/>
      <c r="AY316" s="4"/>
      <c r="BK316" s="4"/>
    </row>
    <row r="317" spans="3:63" ht="12.75" hidden="1" customHeight="1" x14ac:dyDescent="0.2">
      <c r="C317" s="4"/>
      <c r="O317" s="4"/>
      <c r="AA317" s="4"/>
      <c r="AM317" s="4"/>
      <c r="AY317" s="4"/>
      <c r="BK317" s="4"/>
    </row>
    <row r="318" spans="3:63" ht="12.75" hidden="1" customHeight="1" x14ac:dyDescent="0.2">
      <c r="C318" s="4"/>
      <c r="O318" s="4"/>
      <c r="AA318" s="4"/>
      <c r="AM318" s="4"/>
      <c r="AY318" s="4"/>
      <c r="BK318" s="4"/>
    </row>
    <row r="319" spans="3:63" ht="12.75" hidden="1" customHeight="1" x14ac:dyDescent="0.2">
      <c r="C319" s="4"/>
      <c r="O319" s="4"/>
      <c r="AA319" s="4"/>
      <c r="AM319" s="4"/>
      <c r="AY319" s="4"/>
      <c r="BK319" s="4"/>
    </row>
    <row r="320" spans="3:63" ht="12.75" hidden="1" customHeight="1" x14ac:dyDescent="0.2">
      <c r="C320" s="4"/>
      <c r="O320" s="4"/>
      <c r="AA320" s="4"/>
      <c r="AM320" s="4"/>
      <c r="AY320" s="4"/>
      <c r="BK320" s="4"/>
    </row>
    <row r="321" spans="3:63" ht="12.75" hidden="1" customHeight="1" x14ac:dyDescent="0.2">
      <c r="C321" s="4"/>
      <c r="O321" s="4"/>
      <c r="AA321" s="4"/>
      <c r="AM321" s="4"/>
      <c r="AY321" s="4"/>
      <c r="BK321" s="4"/>
    </row>
    <row r="322" spans="3:63" ht="12.75" hidden="1" customHeight="1" x14ac:dyDescent="0.2">
      <c r="C322" s="4"/>
      <c r="O322" s="4"/>
      <c r="AA322" s="4"/>
      <c r="AM322" s="4"/>
      <c r="AY322" s="4"/>
      <c r="BK322" s="4"/>
    </row>
    <row r="323" spans="3:63" ht="12.75" hidden="1" customHeight="1" x14ac:dyDescent="0.2">
      <c r="C323" s="4"/>
      <c r="O323" s="4"/>
      <c r="AA323" s="4"/>
      <c r="AM323" s="4"/>
      <c r="AY323" s="4"/>
      <c r="BK323" s="4"/>
    </row>
    <row r="324" spans="3:63" ht="12.75" hidden="1" customHeight="1" x14ac:dyDescent="0.2">
      <c r="C324" s="4"/>
      <c r="O324" s="4"/>
      <c r="AA324" s="4"/>
      <c r="AM324" s="4"/>
      <c r="AY324" s="4"/>
      <c r="BK324" s="4"/>
    </row>
    <row r="325" spans="3:63" ht="12.75" hidden="1" customHeight="1" x14ac:dyDescent="0.2">
      <c r="C325" s="4"/>
      <c r="O325" s="4"/>
      <c r="AA325" s="4"/>
      <c r="AM325" s="4"/>
      <c r="AY325" s="4"/>
      <c r="BK325" s="4"/>
    </row>
    <row r="326" spans="3:63" ht="12.75" hidden="1" customHeight="1" x14ac:dyDescent="0.2">
      <c r="C326" s="4"/>
      <c r="O326" s="4"/>
      <c r="AA326" s="4"/>
      <c r="AM326" s="4"/>
      <c r="AY326" s="4"/>
      <c r="BK326" s="4"/>
    </row>
    <row r="327" spans="3:63" ht="12.75" hidden="1" customHeight="1" x14ac:dyDescent="0.2">
      <c r="C327" s="4"/>
      <c r="O327" s="4"/>
      <c r="AA327" s="4"/>
      <c r="AM327" s="4"/>
      <c r="AY327" s="4"/>
      <c r="BK327" s="4"/>
    </row>
    <row r="328" spans="3:63" ht="12.75" hidden="1" customHeight="1" x14ac:dyDescent="0.2">
      <c r="C328" s="4"/>
      <c r="O328" s="4"/>
      <c r="AA328" s="4"/>
      <c r="AM328" s="4"/>
      <c r="AY328" s="4"/>
      <c r="BK328" s="4"/>
    </row>
    <row r="329" spans="3:63" ht="12.75" hidden="1" customHeight="1" x14ac:dyDescent="0.2">
      <c r="C329" s="4"/>
      <c r="O329" s="4"/>
      <c r="AA329" s="4"/>
      <c r="AM329" s="4"/>
      <c r="AY329" s="4"/>
      <c r="BK329" s="4"/>
    </row>
    <row r="330" spans="3:63" ht="12.75" hidden="1" customHeight="1" x14ac:dyDescent="0.2">
      <c r="C330" s="4"/>
      <c r="O330" s="4"/>
      <c r="AA330" s="4"/>
      <c r="AM330" s="4"/>
      <c r="AY330" s="4"/>
      <c r="BK330" s="4"/>
    </row>
    <row r="331" spans="3:63" ht="12.75" hidden="1" customHeight="1" x14ac:dyDescent="0.2">
      <c r="C331" s="4"/>
      <c r="O331" s="4"/>
      <c r="AA331" s="4"/>
      <c r="AM331" s="4"/>
      <c r="AY331" s="4"/>
      <c r="BK331" s="4"/>
    </row>
    <row r="332" spans="3:63" ht="12.75" hidden="1" customHeight="1" x14ac:dyDescent="0.2">
      <c r="C332" s="4"/>
      <c r="O332" s="4"/>
      <c r="AA332" s="4"/>
      <c r="AM332" s="4"/>
      <c r="AY332" s="4"/>
      <c r="BK332" s="4"/>
    </row>
    <row r="333" spans="3:63" ht="12.75" hidden="1" customHeight="1" x14ac:dyDescent="0.2">
      <c r="C333" s="4"/>
      <c r="O333" s="4"/>
      <c r="AA333" s="4"/>
      <c r="AM333" s="4"/>
      <c r="AY333" s="4"/>
      <c r="BK333" s="4"/>
    </row>
    <row r="334" spans="3:63" ht="12.75" hidden="1" customHeight="1" x14ac:dyDescent="0.2">
      <c r="C334" s="4"/>
      <c r="O334" s="4"/>
      <c r="AA334" s="4"/>
      <c r="AM334" s="4"/>
      <c r="AY334" s="4"/>
      <c r="BK334" s="4"/>
    </row>
    <row r="335" spans="3:63" ht="12.75" hidden="1" customHeight="1" x14ac:dyDescent="0.2">
      <c r="C335" s="4"/>
      <c r="O335" s="4"/>
      <c r="AA335" s="4"/>
      <c r="AM335" s="4"/>
      <c r="AY335" s="4"/>
      <c r="BK335" s="4"/>
    </row>
    <row r="336" spans="3:63" ht="12.75" hidden="1" customHeight="1" x14ac:dyDescent="0.2">
      <c r="C336" s="4"/>
      <c r="O336" s="4"/>
      <c r="AA336" s="4"/>
      <c r="AM336" s="4"/>
      <c r="AY336" s="4"/>
      <c r="BK336" s="4"/>
    </row>
    <row r="337" spans="3:63" ht="12.75" hidden="1" customHeight="1" x14ac:dyDescent="0.2">
      <c r="C337" s="4"/>
      <c r="O337" s="4"/>
      <c r="AA337" s="4"/>
      <c r="AM337" s="4"/>
      <c r="AY337" s="4"/>
      <c r="BK337" s="4"/>
    </row>
    <row r="338" spans="3:63" ht="12.75" hidden="1" customHeight="1" x14ac:dyDescent="0.2">
      <c r="C338" s="4"/>
      <c r="O338" s="4"/>
      <c r="AA338" s="4"/>
      <c r="AM338" s="4"/>
      <c r="AY338" s="4"/>
      <c r="BK338" s="4"/>
    </row>
    <row r="339" spans="3:63" ht="12.75" hidden="1" customHeight="1" x14ac:dyDescent="0.2">
      <c r="C339" s="4"/>
      <c r="O339" s="4"/>
      <c r="AA339" s="4"/>
      <c r="AM339" s="4"/>
      <c r="AY339" s="4"/>
      <c r="BK339" s="4"/>
    </row>
    <row r="340" spans="3:63" ht="12.75" hidden="1" customHeight="1" x14ac:dyDescent="0.2">
      <c r="C340" s="4"/>
      <c r="O340" s="4"/>
      <c r="AA340" s="4"/>
      <c r="AM340" s="4"/>
      <c r="AY340" s="4"/>
      <c r="BK340" s="4"/>
    </row>
    <row r="341" spans="3:63" ht="12.75" hidden="1" customHeight="1" x14ac:dyDescent="0.2">
      <c r="C341" s="4"/>
      <c r="O341" s="4"/>
      <c r="AA341" s="4"/>
      <c r="AM341" s="4"/>
      <c r="AY341" s="4"/>
      <c r="BK341" s="4"/>
    </row>
    <row r="342" spans="3:63" ht="12.75" hidden="1" customHeight="1" x14ac:dyDescent="0.2">
      <c r="C342" s="4"/>
      <c r="O342" s="4"/>
      <c r="AA342" s="4"/>
      <c r="AM342" s="4"/>
      <c r="AY342" s="4"/>
      <c r="BK342" s="4"/>
    </row>
    <row r="343" spans="3:63" ht="12.75" hidden="1" customHeight="1" x14ac:dyDescent="0.2">
      <c r="C343" s="4"/>
      <c r="O343" s="4"/>
      <c r="AA343" s="4"/>
      <c r="AM343" s="4"/>
      <c r="AY343" s="4"/>
      <c r="BK343" s="4"/>
    </row>
    <row r="344" spans="3:63" ht="12.75" hidden="1" customHeight="1" x14ac:dyDescent="0.2">
      <c r="C344" s="4"/>
      <c r="O344" s="4"/>
      <c r="AA344" s="4"/>
      <c r="AM344" s="4"/>
      <c r="AY344" s="4"/>
      <c r="BK344" s="4"/>
    </row>
    <row r="345" spans="3:63" ht="12.75" hidden="1" customHeight="1" x14ac:dyDescent="0.2">
      <c r="C345" s="4"/>
      <c r="O345" s="4"/>
      <c r="AA345" s="4"/>
      <c r="AM345" s="4"/>
      <c r="AY345" s="4"/>
      <c r="BK345" s="4"/>
    </row>
    <row r="346" spans="3:63" ht="12.75" hidden="1" customHeight="1" x14ac:dyDescent="0.2">
      <c r="C346" s="4"/>
      <c r="O346" s="4"/>
      <c r="AA346" s="4"/>
      <c r="AM346" s="4"/>
      <c r="AY346" s="4"/>
      <c r="BK346" s="4"/>
    </row>
    <row r="347" spans="3:63" ht="12.75" hidden="1" customHeight="1" x14ac:dyDescent="0.2">
      <c r="C347" s="4"/>
      <c r="O347" s="4"/>
      <c r="AA347" s="4"/>
      <c r="AM347" s="4"/>
      <c r="AY347" s="4"/>
      <c r="BK347" s="4"/>
    </row>
    <row r="348" spans="3:63" ht="12.75" hidden="1" customHeight="1" x14ac:dyDescent="0.2">
      <c r="C348" s="4"/>
      <c r="O348" s="4"/>
      <c r="AA348" s="4"/>
      <c r="AM348" s="4"/>
      <c r="AY348" s="4"/>
      <c r="BK348" s="4"/>
    </row>
    <row r="349" spans="3:63" ht="12.75" hidden="1" customHeight="1" x14ac:dyDescent="0.2">
      <c r="C349" s="4"/>
      <c r="O349" s="4"/>
      <c r="AA349" s="4"/>
      <c r="AM349" s="4"/>
      <c r="AY349" s="4"/>
      <c r="BK349" s="4"/>
    </row>
    <row r="350" spans="3:63" ht="12.75" hidden="1" customHeight="1" x14ac:dyDescent="0.2">
      <c r="C350" s="4"/>
      <c r="O350" s="4"/>
      <c r="AA350" s="4"/>
      <c r="AM350" s="4"/>
      <c r="AY350" s="4"/>
      <c r="BK350" s="4"/>
    </row>
    <row r="351" spans="3:63" ht="12.75" hidden="1" customHeight="1" x14ac:dyDescent="0.2">
      <c r="C351" s="4"/>
      <c r="O351" s="4"/>
      <c r="AA351" s="4"/>
      <c r="AM351" s="4"/>
      <c r="AY351" s="4"/>
      <c r="BK351" s="4"/>
    </row>
    <row r="352" spans="3:63" ht="12.75" hidden="1" customHeight="1" x14ac:dyDescent="0.2">
      <c r="C352" s="4"/>
      <c r="O352" s="4"/>
      <c r="AA352" s="4"/>
      <c r="AM352" s="4"/>
      <c r="AY352" s="4"/>
      <c r="BK352" s="4"/>
    </row>
    <row r="353" spans="3:63" ht="12.75" hidden="1" customHeight="1" x14ac:dyDescent="0.2">
      <c r="C353" s="4"/>
      <c r="O353" s="4"/>
      <c r="AA353" s="4"/>
      <c r="AM353" s="4"/>
      <c r="AY353" s="4"/>
      <c r="BK353" s="4"/>
    </row>
    <row r="354" spans="3:63" ht="12.75" hidden="1" customHeight="1" x14ac:dyDescent="0.2">
      <c r="C354" s="4"/>
      <c r="O354" s="4"/>
      <c r="AA354" s="4"/>
      <c r="AM354" s="4"/>
      <c r="AY354" s="4"/>
      <c r="BK354" s="4"/>
    </row>
    <row r="355" spans="3:63" ht="12.75" hidden="1" customHeight="1" x14ac:dyDescent="0.2">
      <c r="C355" s="4"/>
      <c r="O355" s="4"/>
      <c r="AA355" s="4"/>
      <c r="AM355" s="4"/>
      <c r="AY355" s="4"/>
      <c r="BK355" s="4"/>
    </row>
    <row r="356" spans="3:63" ht="12.75" hidden="1" customHeight="1" x14ac:dyDescent="0.2">
      <c r="C356" s="4"/>
      <c r="O356" s="4"/>
      <c r="AA356" s="4"/>
      <c r="AM356" s="4"/>
      <c r="AY356" s="4"/>
      <c r="BK356" s="4"/>
    </row>
    <row r="357" spans="3:63" ht="12.75" hidden="1" customHeight="1" x14ac:dyDescent="0.2">
      <c r="C357" s="4"/>
      <c r="O357" s="4"/>
      <c r="AA357" s="4"/>
      <c r="AM357" s="4"/>
      <c r="AY357" s="4"/>
      <c r="BK357" s="4"/>
    </row>
    <row r="358" spans="3:63" ht="12.75" hidden="1" customHeight="1" x14ac:dyDescent="0.2">
      <c r="C358" s="4"/>
      <c r="O358" s="4"/>
      <c r="AA358" s="4"/>
      <c r="AM358" s="4"/>
      <c r="AY358" s="4"/>
      <c r="BK358" s="4"/>
    </row>
    <row r="359" spans="3:63" ht="12.75" hidden="1" customHeight="1" x14ac:dyDescent="0.2">
      <c r="C359" s="4"/>
      <c r="O359" s="4"/>
      <c r="AA359" s="4"/>
      <c r="AM359" s="4"/>
      <c r="AY359" s="4"/>
      <c r="BK359" s="4"/>
    </row>
    <row r="360" spans="3:63" ht="12.75" hidden="1" customHeight="1" x14ac:dyDescent="0.2">
      <c r="C360" s="4"/>
      <c r="O360" s="4"/>
      <c r="AA360" s="4"/>
      <c r="AM360" s="4"/>
      <c r="AY360" s="4"/>
      <c r="BK360" s="4"/>
    </row>
    <row r="361" spans="3:63" ht="12.75" hidden="1" customHeight="1" x14ac:dyDescent="0.2">
      <c r="C361" s="4"/>
      <c r="O361" s="4"/>
      <c r="AA361" s="4"/>
      <c r="AM361" s="4"/>
      <c r="AY361" s="4"/>
      <c r="BK361" s="4"/>
    </row>
    <row r="362" spans="3:63" ht="12.75" hidden="1" customHeight="1" x14ac:dyDescent="0.2">
      <c r="C362" s="4"/>
      <c r="O362" s="4"/>
      <c r="AA362" s="4"/>
      <c r="AM362" s="4"/>
      <c r="AY362" s="4"/>
      <c r="BK362" s="4"/>
    </row>
    <row r="363" spans="3:63" ht="12.75" hidden="1" customHeight="1" x14ac:dyDescent="0.2">
      <c r="C363" s="4"/>
      <c r="O363" s="4"/>
      <c r="AA363" s="4"/>
      <c r="AM363" s="4"/>
      <c r="AY363" s="4"/>
      <c r="BK363" s="4"/>
    </row>
    <row r="364" spans="3:63" ht="12.75" hidden="1" customHeight="1" x14ac:dyDescent="0.2">
      <c r="C364" s="4"/>
      <c r="O364" s="4"/>
      <c r="AA364" s="4"/>
      <c r="AM364" s="4"/>
      <c r="AY364" s="4"/>
      <c r="BK364" s="4"/>
    </row>
    <row r="365" spans="3:63" ht="12.75" hidden="1" customHeight="1" x14ac:dyDescent="0.2">
      <c r="C365" s="4"/>
      <c r="O365" s="4"/>
      <c r="AA365" s="4"/>
      <c r="AM365" s="4"/>
      <c r="AY365" s="4"/>
      <c r="BK365" s="4"/>
    </row>
    <row r="366" spans="3:63" ht="12.75" hidden="1" customHeight="1" x14ac:dyDescent="0.2">
      <c r="C366" s="4"/>
      <c r="O366" s="4"/>
      <c r="AA366" s="4"/>
      <c r="AM366" s="4"/>
      <c r="AY366" s="4"/>
      <c r="BK366" s="4"/>
    </row>
    <row r="367" spans="3:63" ht="12.75" hidden="1" customHeight="1" x14ac:dyDescent="0.2">
      <c r="C367" s="4"/>
      <c r="O367" s="4"/>
      <c r="AA367" s="4"/>
      <c r="AM367" s="4"/>
      <c r="AY367" s="4"/>
      <c r="BK367" s="4"/>
    </row>
    <row r="368" spans="3:63" ht="12.75" hidden="1" customHeight="1" x14ac:dyDescent="0.2">
      <c r="C368" s="4"/>
      <c r="O368" s="4"/>
      <c r="AA368" s="4"/>
      <c r="AM368" s="4"/>
      <c r="AY368" s="4"/>
      <c r="BK368" s="4"/>
    </row>
    <row r="369" spans="3:63" ht="12.75" hidden="1" customHeight="1" x14ac:dyDescent="0.2">
      <c r="C369" s="4"/>
      <c r="O369" s="4"/>
      <c r="AA369" s="4"/>
      <c r="AM369" s="4"/>
      <c r="AY369" s="4"/>
      <c r="BK369" s="4"/>
    </row>
    <row r="370" spans="3:63" ht="12.75" hidden="1" customHeight="1" x14ac:dyDescent="0.2">
      <c r="C370" s="4"/>
      <c r="O370" s="4"/>
      <c r="AA370" s="4"/>
      <c r="AM370" s="4"/>
      <c r="AY370" s="4"/>
      <c r="BK370" s="4"/>
    </row>
    <row r="371" spans="3:63" ht="12.75" hidden="1" customHeight="1" x14ac:dyDescent="0.2">
      <c r="C371" s="4"/>
      <c r="O371" s="4"/>
      <c r="AA371" s="4"/>
      <c r="AM371" s="4"/>
      <c r="AY371" s="4"/>
      <c r="BK371" s="4"/>
    </row>
    <row r="372" spans="3:63" ht="12.75" hidden="1" customHeight="1" x14ac:dyDescent="0.2">
      <c r="C372" s="4"/>
      <c r="O372" s="4"/>
      <c r="AA372" s="4"/>
      <c r="AM372" s="4"/>
      <c r="AY372" s="4"/>
      <c r="BK372" s="4"/>
    </row>
    <row r="373" spans="3:63" ht="12.75" hidden="1" customHeight="1" x14ac:dyDescent="0.2">
      <c r="C373" s="4"/>
      <c r="O373" s="4"/>
      <c r="AA373" s="4"/>
      <c r="AM373" s="4"/>
      <c r="AY373" s="4"/>
      <c r="BK373" s="4"/>
    </row>
    <row r="374" spans="3:63" ht="12.75" hidden="1" customHeight="1" x14ac:dyDescent="0.2">
      <c r="C374" s="4"/>
      <c r="O374" s="4"/>
      <c r="AA374" s="4"/>
      <c r="AM374" s="4"/>
      <c r="AY374" s="4"/>
      <c r="BK374" s="4"/>
    </row>
    <row r="375" spans="3:63" ht="12.75" hidden="1" customHeight="1" x14ac:dyDescent="0.2">
      <c r="C375" s="4"/>
      <c r="O375" s="4"/>
      <c r="AA375" s="4"/>
      <c r="AM375" s="4"/>
      <c r="AY375" s="4"/>
      <c r="BK375" s="4"/>
    </row>
    <row r="376" spans="3:63" ht="12.75" hidden="1" customHeight="1" x14ac:dyDescent="0.2">
      <c r="C376" s="4"/>
      <c r="O376" s="4"/>
      <c r="AA376" s="4"/>
      <c r="AM376" s="4"/>
      <c r="AY376" s="4"/>
      <c r="BK376" s="4"/>
    </row>
    <row r="377" spans="3:63" ht="12.75" hidden="1" customHeight="1" x14ac:dyDescent="0.2">
      <c r="C377" s="4"/>
      <c r="O377" s="4"/>
      <c r="AA377" s="4"/>
      <c r="AM377" s="4"/>
      <c r="AY377" s="4"/>
      <c r="BK377" s="4"/>
    </row>
    <row r="378" spans="3:63" ht="12.75" hidden="1" customHeight="1" x14ac:dyDescent="0.2">
      <c r="C378" s="4"/>
      <c r="O378" s="4"/>
      <c r="AA378" s="4"/>
      <c r="AM378" s="4"/>
      <c r="AY378" s="4"/>
      <c r="BK378" s="4"/>
    </row>
    <row r="379" spans="3:63" ht="12.75" hidden="1" customHeight="1" x14ac:dyDescent="0.2">
      <c r="C379" s="4"/>
      <c r="O379" s="4"/>
      <c r="AA379" s="4"/>
      <c r="AM379" s="4"/>
      <c r="AY379" s="4"/>
      <c r="BK379" s="4"/>
    </row>
    <row r="380" spans="3:63" ht="12.75" hidden="1" customHeight="1" x14ac:dyDescent="0.2">
      <c r="C380" s="4"/>
      <c r="O380" s="4"/>
      <c r="AA380" s="4"/>
      <c r="AM380" s="4"/>
      <c r="AY380" s="4"/>
      <c r="BK380" s="4"/>
    </row>
    <row r="381" spans="3:63" ht="12.75" hidden="1" customHeight="1" x14ac:dyDescent="0.2">
      <c r="C381" s="4"/>
      <c r="O381" s="4"/>
      <c r="AA381" s="4"/>
      <c r="AM381" s="4"/>
      <c r="AY381" s="4"/>
      <c r="BK381" s="4"/>
    </row>
    <row r="382" spans="3:63" ht="12.75" hidden="1" customHeight="1" x14ac:dyDescent="0.2">
      <c r="C382" s="4"/>
      <c r="O382" s="4"/>
      <c r="AA382" s="4"/>
      <c r="AM382" s="4"/>
      <c r="AY382" s="4"/>
      <c r="BK382" s="4"/>
    </row>
    <row r="383" spans="3:63" ht="12.75" hidden="1" customHeight="1" x14ac:dyDescent="0.2">
      <c r="C383" s="4"/>
      <c r="O383" s="4"/>
      <c r="AA383" s="4"/>
      <c r="AM383" s="4"/>
      <c r="AY383" s="4"/>
      <c r="BK383" s="4"/>
    </row>
    <row r="384" spans="3:63" ht="12.75" hidden="1" customHeight="1" x14ac:dyDescent="0.2">
      <c r="C384" s="4"/>
      <c r="O384" s="4"/>
      <c r="AA384" s="4"/>
      <c r="AM384" s="4"/>
      <c r="AY384" s="4"/>
      <c r="BK384" s="4"/>
    </row>
    <row r="385" spans="3:63" ht="12.75" hidden="1" customHeight="1" x14ac:dyDescent="0.2">
      <c r="C385" s="4"/>
      <c r="O385" s="4"/>
      <c r="AA385" s="4"/>
      <c r="AM385" s="4"/>
      <c r="AY385" s="4"/>
      <c r="BK385" s="4"/>
    </row>
    <row r="386" spans="3:63" ht="12.75" hidden="1" customHeight="1" x14ac:dyDescent="0.2">
      <c r="C386" s="4"/>
      <c r="O386" s="4"/>
      <c r="AA386" s="4"/>
      <c r="AM386" s="4"/>
      <c r="AY386" s="4"/>
      <c r="BK386" s="4"/>
    </row>
    <row r="387" spans="3:63" ht="12.75" hidden="1" customHeight="1" x14ac:dyDescent="0.2">
      <c r="C387" s="4"/>
      <c r="O387" s="4"/>
      <c r="AA387" s="4"/>
      <c r="AM387" s="4"/>
      <c r="AY387" s="4"/>
      <c r="BK387" s="4"/>
    </row>
    <row r="388" spans="3:63" ht="12.75" hidden="1" customHeight="1" x14ac:dyDescent="0.2">
      <c r="C388" s="4"/>
      <c r="O388" s="4"/>
      <c r="AA388" s="4"/>
      <c r="AM388" s="4"/>
      <c r="AY388" s="4"/>
      <c r="BK388" s="4"/>
    </row>
    <row r="389" spans="3:63" ht="12.75" hidden="1" customHeight="1" x14ac:dyDescent="0.2">
      <c r="C389" s="4"/>
      <c r="O389" s="4"/>
      <c r="AA389" s="4"/>
      <c r="AM389" s="4"/>
      <c r="AY389" s="4"/>
      <c r="BK389" s="4"/>
    </row>
    <row r="390" spans="3:63" ht="12.75" hidden="1" customHeight="1" x14ac:dyDescent="0.2">
      <c r="C390" s="4"/>
      <c r="O390" s="4"/>
      <c r="AA390" s="4"/>
      <c r="AM390" s="4"/>
      <c r="AY390" s="4"/>
      <c r="BK390" s="4"/>
    </row>
    <row r="391" spans="3:63" ht="12.75" hidden="1" customHeight="1" x14ac:dyDescent="0.2">
      <c r="C391" s="4"/>
      <c r="O391" s="4"/>
      <c r="AA391" s="4"/>
      <c r="AM391" s="4"/>
      <c r="AY391" s="4"/>
      <c r="BK391" s="4"/>
    </row>
    <row r="392" spans="3:63" ht="12.75" hidden="1" customHeight="1" x14ac:dyDescent="0.2">
      <c r="C392" s="4"/>
      <c r="O392" s="4"/>
      <c r="AA392" s="4"/>
      <c r="AM392" s="4"/>
      <c r="AY392" s="4"/>
      <c r="BK392" s="4"/>
    </row>
    <row r="393" spans="3:63" ht="12.75" hidden="1" customHeight="1" x14ac:dyDescent="0.2">
      <c r="C393" s="4"/>
      <c r="O393" s="4"/>
      <c r="AA393" s="4"/>
      <c r="AM393" s="4"/>
      <c r="AY393" s="4"/>
      <c r="BK393" s="4"/>
    </row>
    <row r="394" spans="3:63" ht="12.75" hidden="1" customHeight="1" x14ac:dyDescent="0.2">
      <c r="C394" s="4"/>
      <c r="O394" s="4"/>
      <c r="AA394" s="4"/>
      <c r="AM394" s="4"/>
      <c r="AY394" s="4"/>
      <c r="BK394" s="4"/>
    </row>
    <row r="395" spans="3:63" ht="12.75" hidden="1" customHeight="1" x14ac:dyDescent="0.2">
      <c r="C395" s="4"/>
      <c r="O395" s="4"/>
      <c r="AA395" s="4"/>
      <c r="AM395" s="4"/>
      <c r="AY395" s="4"/>
      <c r="BK395" s="4"/>
    </row>
    <row r="396" spans="3:63" ht="12.75" hidden="1" customHeight="1" x14ac:dyDescent="0.2">
      <c r="C396" s="4"/>
      <c r="O396" s="4"/>
      <c r="AA396" s="4"/>
      <c r="AM396" s="4"/>
      <c r="AY396" s="4"/>
      <c r="BK396" s="4"/>
    </row>
    <row r="397" spans="3:63" ht="12.75" hidden="1" customHeight="1" x14ac:dyDescent="0.2">
      <c r="C397" s="4"/>
      <c r="O397" s="4"/>
      <c r="AA397" s="4"/>
      <c r="AM397" s="4"/>
      <c r="AY397" s="4"/>
      <c r="BK397" s="4"/>
    </row>
    <row r="398" spans="3:63" ht="12.75" hidden="1" customHeight="1" x14ac:dyDescent="0.2">
      <c r="C398" s="4"/>
      <c r="O398" s="4"/>
      <c r="AA398" s="4"/>
      <c r="AM398" s="4"/>
      <c r="AY398" s="4"/>
      <c r="BK398" s="4"/>
    </row>
    <row r="399" spans="3:63" ht="12.75" hidden="1" customHeight="1" x14ac:dyDescent="0.2">
      <c r="C399" s="4"/>
      <c r="O399" s="4"/>
      <c r="AA399" s="4"/>
      <c r="AM399" s="4"/>
      <c r="AY399" s="4"/>
      <c r="BK399" s="4"/>
    </row>
    <row r="400" spans="3:63" ht="12.75" hidden="1" customHeight="1" x14ac:dyDescent="0.2">
      <c r="C400" s="4"/>
      <c r="O400" s="4"/>
      <c r="AA400" s="4"/>
      <c r="AM400" s="4"/>
      <c r="AY400" s="4"/>
      <c r="BK400" s="4"/>
    </row>
    <row r="401" spans="3:63" ht="12.75" hidden="1" customHeight="1" x14ac:dyDescent="0.2">
      <c r="C401" s="4"/>
      <c r="O401" s="4"/>
      <c r="AA401" s="4"/>
      <c r="AM401" s="4"/>
      <c r="AY401" s="4"/>
      <c r="BK401" s="4"/>
    </row>
    <row r="402" spans="3:63" ht="12.75" hidden="1" customHeight="1" x14ac:dyDescent="0.2">
      <c r="C402" s="4"/>
      <c r="O402" s="4"/>
      <c r="AA402" s="4"/>
      <c r="AM402" s="4"/>
      <c r="AY402" s="4"/>
      <c r="BK402" s="4"/>
    </row>
    <row r="403" spans="3:63" ht="12.75" hidden="1" customHeight="1" x14ac:dyDescent="0.2">
      <c r="C403" s="4"/>
      <c r="O403" s="4"/>
      <c r="AA403" s="4"/>
      <c r="AM403" s="4"/>
      <c r="AY403" s="4"/>
      <c r="BK403" s="4"/>
    </row>
    <row r="404" spans="3:63" ht="12.75" hidden="1" customHeight="1" x14ac:dyDescent="0.2">
      <c r="C404" s="4"/>
      <c r="O404" s="4"/>
      <c r="AA404" s="4"/>
      <c r="AM404" s="4"/>
      <c r="AY404" s="4"/>
      <c r="BK404" s="4"/>
    </row>
    <row r="405" spans="3:63" ht="12.75" hidden="1" customHeight="1" x14ac:dyDescent="0.2">
      <c r="C405" s="4"/>
      <c r="O405" s="4"/>
      <c r="AA405" s="4"/>
      <c r="AM405" s="4"/>
      <c r="AY405" s="4"/>
      <c r="BK405" s="4"/>
    </row>
    <row r="406" spans="3:63" ht="12.75" hidden="1" customHeight="1" x14ac:dyDescent="0.2">
      <c r="C406" s="4"/>
      <c r="O406" s="4"/>
      <c r="AA406" s="4"/>
      <c r="AM406" s="4"/>
      <c r="AY406" s="4"/>
      <c r="BK406" s="4"/>
    </row>
    <row r="407" spans="3:63" ht="12.75" hidden="1" customHeight="1" x14ac:dyDescent="0.2">
      <c r="C407" s="4"/>
      <c r="O407" s="4"/>
      <c r="AA407" s="4"/>
      <c r="AM407" s="4"/>
      <c r="AY407" s="4"/>
      <c r="BK407" s="4"/>
    </row>
    <row r="408" spans="3:63" ht="12.75" hidden="1" customHeight="1" x14ac:dyDescent="0.2">
      <c r="C408" s="4"/>
      <c r="O408" s="4"/>
      <c r="AA408" s="4"/>
      <c r="AM408" s="4"/>
      <c r="AY408" s="4"/>
      <c r="BK408" s="4"/>
    </row>
    <row r="409" spans="3:63" ht="12.75" hidden="1" customHeight="1" x14ac:dyDescent="0.2">
      <c r="C409" s="4"/>
      <c r="O409" s="4"/>
      <c r="AA409" s="4"/>
      <c r="AM409" s="4"/>
      <c r="AY409" s="4"/>
      <c r="BK409" s="4"/>
    </row>
    <row r="410" spans="3:63" ht="12.75" hidden="1" customHeight="1" x14ac:dyDescent="0.2">
      <c r="C410" s="4"/>
      <c r="O410" s="4"/>
      <c r="AA410" s="4"/>
      <c r="AM410" s="4"/>
      <c r="AY410" s="4"/>
      <c r="BK410" s="4"/>
    </row>
    <row r="411" spans="3:63" ht="12.75" hidden="1" customHeight="1" x14ac:dyDescent="0.2">
      <c r="C411" s="4"/>
      <c r="O411" s="4"/>
      <c r="AA411" s="4"/>
      <c r="AM411" s="4"/>
      <c r="AY411" s="4"/>
      <c r="BK411" s="4"/>
    </row>
    <row r="412" spans="3:63" ht="12.75" hidden="1" customHeight="1" x14ac:dyDescent="0.2">
      <c r="C412" s="4"/>
      <c r="O412" s="4"/>
      <c r="AA412" s="4"/>
      <c r="AM412" s="4"/>
      <c r="AY412" s="4"/>
      <c r="BK412" s="4"/>
    </row>
    <row r="413" spans="3:63" ht="12.75" hidden="1" customHeight="1" x14ac:dyDescent="0.2">
      <c r="C413" s="4"/>
      <c r="O413" s="4"/>
      <c r="AA413" s="4"/>
      <c r="AM413" s="4"/>
      <c r="AY413" s="4"/>
      <c r="BK413" s="4"/>
    </row>
    <row r="414" spans="3:63" ht="12.75" hidden="1" customHeight="1" x14ac:dyDescent="0.2">
      <c r="C414" s="4"/>
      <c r="O414" s="4"/>
      <c r="AA414" s="4"/>
      <c r="AM414" s="4"/>
      <c r="AY414" s="4"/>
      <c r="BK414" s="4"/>
    </row>
    <row r="415" spans="3:63" ht="12.75" hidden="1" customHeight="1" x14ac:dyDescent="0.2">
      <c r="C415" s="4"/>
      <c r="O415" s="4"/>
      <c r="AA415" s="4"/>
      <c r="AM415" s="4"/>
      <c r="AY415" s="4"/>
      <c r="BK415" s="4"/>
    </row>
    <row r="416" spans="3:63" ht="12.75" hidden="1" customHeight="1" x14ac:dyDescent="0.2">
      <c r="C416" s="4"/>
      <c r="O416" s="4"/>
      <c r="AA416" s="4"/>
      <c r="AM416" s="4"/>
      <c r="AY416" s="4"/>
      <c r="BK416" s="4"/>
    </row>
    <row r="417" spans="3:63" ht="12.75" hidden="1" customHeight="1" x14ac:dyDescent="0.2">
      <c r="C417" s="4"/>
      <c r="O417" s="4"/>
      <c r="AA417" s="4"/>
      <c r="AM417" s="4"/>
      <c r="AY417" s="4"/>
      <c r="BK417" s="4"/>
    </row>
    <row r="418" spans="3:63" ht="12.75" hidden="1" customHeight="1" x14ac:dyDescent="0.2">
      <c r="C418" s="4"/>
      <c r="O418" s="4"/>
      <c r="AA418" s="4"/>
      <c r="AM418" s="4"/>
      <c r="AY418" s="4"/>
      <c r="BK418" s="4"/>
    </row>
    <row r="419" spans="3:63" ht="12.75" hidden="1" customHeight="1" x14ac:dyDescent="0.2">
      <c r="C419" s="4"/>
      <c r="O419" s="4"/>
      <c r="AA419" s="4"/>
      <c r="AM419" s="4"/>
      <c r="AY419" s="4"/>
      <c r="BK419" s="4"/>
    </row>
    <row r="420" spans="3:63" ht="12.75" hidden="1" customHeight="1" x14ac:dyDescent="0.2">
      <c r="C420" s="4"/>
      <c r="O420" s="4"/>
      <c r="AA420" s="4"/>
      <c r="AM420" s="4"/>
      <c r="AY420" s="4"/>
      <c r="BK420" s="4"/>
    </row>
    <row r="421" spans="3:63" ht="12.75" hidden="1" customHeight="1" x14ac:dyDescent="0.2">
      <c r="C421" s="4"/>
      <c r="O421" s="4"/>
      <c r="AA421" s="4"/>
      <c r="AM421" s="4"/>
      <c r="AY421" s="4"/>
      <c r="BK421" s="4"/>
    </row>
    <row r="422" spans="3:63" ht="12.75" hidden="1" customHeight="1" x14ac:dyDescent="0.2">
      <c r="C422" s="4"/>
      <c r="O422" s="4"/>
      <c r="AA422" s="4"/>
      <c r="AM422" s="4"/>
      <c r="AY422" s="4"/>
      <c r="BK422" s="4"/>
    </row>
    <row r="423" spans="3:63" ht="12.75" hidden="1" customHeight="1" x14ac:dyDescent="0.2">
      <c r="C423" s="4"/>
      <c r="O423" s="4"/>
      <c r="AA423" s="4"/>
      <c r="AM423" s="4"/>
      <c r="AY423" s="4"/>
      <c r="BK423" s="4"/>
    </row>
    <row r="424" spans="3:63" ht="12.75" hidden="1" customHeight="1" x14ac:dyDescent="0.2">
      <c r="C424" s="4"/>
      <c r="O424" s="4"/>
      <c r="AA424" s="4"/>
      <c r="AM424" s="4"/>
      <c r="AY424" s="4"/>
      <c r="BK424" s="4"/>
    </row>
    <row r="425" spans="3:63" ht="12.75" hidden="1" customHeight="1" x14ac:dyDescent="0.2">
      <c r="C425" s="4"/>
      <c r="O425" s="4"/>
      <c r="AA425" s="4"/>
      <c r="AM425" s="4"/>
      <c r="AY425" s="4"/>
      <c r="BK425" s="4"/>
    </row>
    <row r="426" spans="3:63" ht="12.75" hidden="1" customHeight="1" x14ac:dyDescent="0.2">
      <c r="C426" s="4"/>
      <c r="O426" s="4"/>
      <c r="AA426" s="4"/>
      <c r="AM426" s="4"/>
      <c r="AY426" s="4"/>
      <c r="BK426" s="4"/>
    </row>
    <row r="427" spans="3:63" ht="12.75" hidden="1" customHeight="1" x14ac:dyDescent="0.2">
      <c r="C427" s="4"/>
      <c r="O427" s="4"/>
      <c r="AA427" s="4"/>
      <c r="AM427" s="4"/>
      <c r="AY427" s="4"/>
      <c r="BK427" s="4"/>
    </row>
    <row r="428" spans="3:63" ht="12.75" hidden="1" customHeight="1" x14ac:dyDescent="0.2">
      <c r="C428" s="4"/>
      <c r="O428" s="4"/>
      <c r="AA428" s="4"/>
      <c r="AM428" s="4"/>
      <c r="AY428" s="4"/>
      <c r="BK428" s="4"/>
    </row>
    <row r="429" spans="3:63" ht="12.75" hidden="1" customHeight="1" x14ac:dyDescent="0.2">
      <c r="C429" s="4"/>
      <c r="O429" s="4"/>
      <c r="AA429" s="4"/>
      <c r="AM429" s="4"/>
      <c r="AY429" s="4"/>
      <c r="BK429" s="4"/>
    </row>
    <row r="430" spans="3:63" ht="12.75" hidden="1" customHeight="1" x14ac:dyDescent="0.2">
      <c r="C430" s="4"/>
      <c r="O430" s="4"/>
      <c r="AA430" s="4"/>
      <c r="AM430" s="4"/>
      <c r="AY430" s="4"/>
      <c r="BK430" s="4"/>
    </row>
    <row r="431" spans="3:63" ht="12.75" hidden="1" customHeight="1" x14ac:dyDescent="0.2">
      <c r="C431" s="4"/>
      <c r="O431" s="4"/>
      <c r="AA431" s="4"/>
      <c r="AM431" s="4"/>
      <c r="AY431" s="4"/>
      <c r="BK431" s="4"/>
    </row>
    <row r="432" spans="3:63" ht="12.75" hidden="1" customHeight="1" x14ac:dyDescent="0.2">
      <c r="C432" s="4"/>
      <c r="O432" s="4"/>
      <c r="AA432" s="4"/>
      <c r="AM432" s="4"/>
      <c r="AY432" s="4"/>
      <c r="BK432" s="4"/>
    </row>
    <row r="433" spans="3:63" ht="12.75" hidden="1" customHeight="1" x14ac:dyDescent="0.2">
      <c r="C433" s="4"/>
      <c r="O433" s="4"/>
      <c r="AA433" s="4"/>
      <c r="AM433" s="4"/>
      <c r="AY433" s="4"/>
      <c r="BK433" s="4"/>
    </row>
    <row r="434" spans="3:63" ht="12.75" hidden="1" customHeight="1" x14ac:dyDescent="0.2">
      <c r="C434" s="4"/>
      <c r="O434" s="4"/>
      <c r="AA434" s="4"/>
      <c r="AM434" s="4"/>
      <c r="AY434" s="4"/>
      <c r="BK434" s="4"/>
    </row>
    <row r="435" spans="3:63" ht="12.75" hidden="1" customHeight="1" x14ac:dyDescent="0.2">
      <c r="C435" s="4"/>
      <c r="O435" s="4"/>
      <c r="AA435" s="4"/>
      <c r="AM435" s="4"/>
      <c r="AY435" s="4"/>
      <c r="BK435" s="4"/>
    </row>
    <row r="436" spans="3:63" ht="12.75" hidden="1" customHeight="1" x14ac:dyDescent="0.2">
      <c r="C436" s="4"/>
      <c r="O436" s="4"/>
      <c r="AA436" s="4"/>
      <c r="AM436" s="4"/>
      <c r="AY436" s="4"/>
      <c r="BK436" s="4"/>
    </row>
    <row r="437" spans="3:63" ht="12.75" hidden="1" customHeight="1" x14ac:dyDescent="0.2">
      <c r="C437" s="4"/>
      <c r="O437" s="4"/>
      <c r="AA437" s="4"/>
      <c r="AM437" s="4"/>
      <c r="AY437" s="4"/>
      <c r="BK437" s="4"/>
    </row>
    <row r="438" spans="3:63" ht="12.75" hidden="1" customHeight="1" x14ac:dyDescent="0.2">
      <c r="C438" s="4"/>
      <c r="O438" s="4"/>
      <c r="AA438" s="4"/>
      <c r="AM438" s="4"/>
      <c r="AY438" s="4"/>
      <c r="BK438" s="4"/>
    </row>
    <row r="439" spans="3:63" ht="12.75" hidden="1" customHeight="1" x14ac:dyDescent="0.2">
      <c r="C439" s="4"/>
      <c r="O439" s="4"/>
      <c r="AA439" s="4"/>
      <c r="AM439" s="4"/>
      <c r="AY439" s="4"/>
      <c r="BK439" s="4"/>
    </row>
    <row r="440" spans="3:63" ht="12.75" hidden="1" customHeight="1" x14ac:dyDescent="0.2">
      <c r="C440" s="4"/>
      <c r="O440" s="4"/>
      <c r="AA440" s="4"/>
      <c r="AM440" s="4"/>
      <c r="AY440" s="4"/>
      <c r="BK440" s="4"/>
    </row>
    <row r="441" spans="3:63" ht="12.75" hidden="1" customHeight="1" x14ac:dyDescent="0.2">
      <c r="C441" s="4"/>
      <c r="O441" s="4"/>
      <c r="AA441" s="4"/>
      <c r="AM441" s="4"/>
      <c r="AY441" s="4"/>
      <c r="BK441" s="4"/>
    </row>
    <row r="442" spans="3:63" ht="12.75" hidden="1" customHeight="1" x14ac:dyDescent="0.2">
      <c r="C442" s="4"/>
      <c r="O442" s="4"/>
      <c r="AA442" s="4"/>
      <c r="AM442" s="4"/>
      <c r="AY442" s="4"/>
      <c r="BK442" s="4"/>
    </row>
    <row r="443" spans="3:63" ht="12.75" hidden="1" customHeight="1" x14ac:dyDescent="0.2">
      <c r="C443" s="4"/>
      <c r="O443" s="4"/>
      <c r="AA443" s="4"/>
      <c r="AM443" s="4"/>
      <c r="AY443" s="4"/>
      <c r="BK443" s="4"/>
    </row>
    <row r="444" spans="3:63" ht="12.75" hidden="1" customHeight="1" x14ac:dyDescent="0.2">
      <c r="C444" s="4"/>
      <c r="O444" s="4"/>
      <c r="AA444" s="4"/>
      <c r="AM444" s="4"/>
      <c r="AY444" s="4"/>
      <c r="BK444" s="4"/>
    </row>
    <row r="445" spans="3:63" ht="12.75" hidden="1" customHeight="1" x14ac:dyDescent="0.2">
      <c r="C445" s="4"/>
      <c r="O445" s="4"/>
      <c r="AA445" s="4"/>
      <c r="AM445" s="4"/>
      <c r="AY445" s="4"/>
      <c r="BK445" s="4"/>
    </row>
    <row r="446" spans="3:63" ht="12.75" hidden="1" customHeight="1" x14ac:dyDescent="0.2">
      <c r="C446" s="4"/>
      <c r="O446" s="4"/>
      <c r="AA446" s="4"/>
      <c r="AM446" s="4"/>
      <c r="AY446" s="4"/>
      <c r="BK446" s="4"/>
    </row>
    <row r="447" spans="3:63" ht="12.75" hidden="1" customHeight="1" x14ac:dyDescent="0.2">
      <c r="C447" s="4"/>
      <c r="O447" s="4"/>
      <c r="AA447" s="4"/>
      <c r="AM447" s="4"/>
      <c r="AY447" s="4"/>
      <c r="BK447" s="4"/>
    </row>
    <row r="448" spans="3:63" ht="12.75" hidden="1" customHeight="1" x14ac:dyDescent="0.2">
      <c r="C448" s="4"/>
      <c r="O448" s="4"/>
      <c r="AA448" s="4"/>
      <c r="AM448" s="4"/>
      <c r="AY448" s="4"/>
      <c r="BK448" s="4"/>
    </row>
    <row r="449" spans="3:63" ht="12.75" hidden="1" customHeight="1" x14ac:dyDescent="0.2">
      <c r="C449" s="4"/>
      <c r="O449" s="4"/>
      <c r="AA449" s="4"/>
      <c r="AM449" s="4"/>
      <c r="AY449" s="4"/>
      <c r="BK449" s="4"/>
    </row>
    <row r="450" spans="3:63" ht="12.75" hidden="1" customHeight="1" x14ac:dyDescent="0.2">
      <c r="C450" s="4"/>
      <c r="O450" s="4"/>
      <c r="AA450" s="4"/>
      <c r="AM450" s="4"/>
      <c r="AY450" s="4"/>
      <c r="BK450" s="4"/>
    </row>
    <row r="451" spans="3:63" ht="12.75" hidden="1" customHeight="1" x14ac:dyDescent="0.2">
      <c r="C451" s="4"/>
      <c r="O451" s="4"/>
      <c r="AA451" s="4"/>
      <c r="AM451" s="4"/>
      <c r="AY451" s="4"/>
      <c r="BK451" s="4"/>
    </row>
    <row r="452" spans="3:63" ht="12.75" hidden="1" customHeight="1" x14ac:dyDescent="0.2">
      <c r="C452" s="4"/>
      <c r="O452" s="4"/>
      <c r="AA452" s="4"/>
      <c r="AM452" s="4"/>
      <c r="AY452" s="4"/>
      <c r="BK452" s="4"/>
    </row>
    <row r="453" spans="3:63" ht="12.75" hidden="1" customHeight="1" x14ac:dyDescent="0.2">
      <c r="C453" s="4"/>
      <c r="O453" s="4"/>
      <c r="AA453" s="4"/>
      <c r="AM453" s="4"/>
      <c r="AY453" s="4"/>
      <c r="BK453" s="4"/>
    </row>
    <row r="454" spans="3:63" ht="12.75" hidden="1" customHeight="1" x14ac:dyDescent="0.2">
      <c r="C454" s="4"/>
      <c r="O454" s="4"/>
      <c r="AA454" s="4"/>
      <c r="AM454" s="4"/>
      <c r="AY454" s="4"/>
      <c r="BK454" s="4"/>
    </row>
    <row r="455" spans="3:63" ht="12.75" hidden="1" customHeight="1" x14ac:dyDescent="0.2">
      <c r="C455" s="4"/>
      <c r="O455" s="4"/>
      <c r="AA455" s="4"/>
      <c r="AM455" s="4"/>
      <c r="AY455" s="4"/>
      <c r="BK455" s="4"/>
    </row>
    <row r="456" spans="3:63" ht="12.75" hidden="1" customHeight="1" x14ac:dyDescent="0.2">
      <c r="C456" s="4"/>
      <c r="O456" s="4"/>
      <c r="AA456" s="4"/>
      <c r="AM456" s="4"/>
      <c r="AY456" s="4"/>
      <c r="BK456" s="4"/>
    </row>
    <row r="457" spans="3:63" ht="12.75" hidden="1" customHeight="1" x14ac:dyDescent="0.2">
      <c r="C457" s="4"/>
      <c r="O457" s="4"/>
      <c r="AA457" s="4"/>
      <c r="AM457" s="4"/>
      <c r="AY457" s="4"/>
      <c r="BK457" s="4"/>
    </row>
    <row r="458" spans="3:63" ht="12.75" hidden="1" customHeight="1" x14ac:dyDescent="0.2">
      <c r="C458" s="4"/>
      <c r="O458" s="4"/>
      <c r="AA458" s="4"/>
      <c r="AM458" s="4"/>
      <c r="AY458" s="4"/>
      <c r="BK458" s="4"/>
    </row>
    <row r="459" spans="3:63" ht="12.75" hidden="1" customHeight="1" x14ac:dyDescent="0.2">
      <c r="C459" s="4"/>
      <c r="O459" s="4"/>
      <c r="AA459" s="4"/>
      <c r="AM459" s="4"/>
      <c r="AY459" s="4"/>
      <c r="BK459" s="4"/>
    </row>
    <row r="460" spans="3:63" ht="12.75" hidden="1" customHeight="1" x14ac:dyDescent="0.2">
      <c r="C460" s="4"/>
      <c r="O460" s="4"/>
      <c r="AA460" s="4"/>
      <c r="AM460" s="4"/>
      <c r="AY460" s="4"/>
      <c r="BK460" s="4"/>
    </row>
    <row r="461" spans="3:63" ht="12.75" hidden="1" customHeight="1" x14ac:dyDescent="0.2">
      <c r="C461" s="4"/>
      <c r="O461" s="4"/>
      <c r="AA461" s="4"/>
      <c r="AM461" s="4"/>
      <c r="AY461" s="4"/>
      <c r="BK461" s="4"/>
    </row>
    <row r="462" spans="3:63" ht="12.75" hidden="1" customHeight="1" x14ac:dyDescent="0.2">
      <c r="C462" s="4"/>
      <c r="O462" s="4"/>
      <c r="AA462" s="4"/>
      <c r="AM462" s="4"/>
      <c r="AY462" s="4"/>
      <c r="BK462" s="4"/>
    </row>
    <row r="463" spans="3:63" ht="12.75" hidden="1" customHeight="1" x14ac:dyDescent="0.2">
      <c r="C463" s="4"/>
      <c r="O463" s="4"/>
      <c r="AA463" s="4"/>
      <c r="AM463" s="4"/>
      <c r="AY463" s="4"/>
      <c r="BK463" s="4"/>
    </row>
    <row r="464" spans="3:63" ht="12.75" hidden="1" customHeight="1" x14ac:dyDescent="0.2">
      <c r="C464" s="4"/>
      <c r="O464" s="4"/>
      <c r="AA464" s="4"/>
      <c r="AM464" s="4"/>
      <c r="AY464" s="4"/>
      <c r="BK464" s="4"/>
    </row>
    <row r="465" spans="3:63" ht="12.75" hidden="1" customHeight="1" x14ac:dyDescent="0.2">
      <c r="C465" s="4"/>
      <c r="O465" s="4"/>
      <c r="AA465" s="4"/>
      <c r="AM465" s="4"/>
      <c r="AY465" s="4"/>
      <c r="BK465" s="4"/>
    </row>
    <row r="466" spans="3:63" ht="12.75" hidden="1" customHeight="1" x14ac:dyDescent="0.2">
      <c r="C466" s="4"/>
      <c r="O466" s="4"/>
      <c r="AA466" s="4"/>
      <c r="AM466" s="4"/>
      <c r="AY466" s="4"/>
      <c r="BK466" s="4"/>
    </row>
    <row r="467" spans="3:63" ht="12.75" hidden="1" customHeight="1" x14ac:dyDescent="0.2">
      <c r="C467" s="4"/>
      <c r="O467" s="4"/>
      <c r="AA467" s="4"/>
      <c r="AM467" s="4"/>
      <c r="AY467" s="4"/>
      <c r="BK467" s="4"/>
    </row>
    <row r="468" spans="3:63" ht="12.75" hidden="1" customHeight="1" x14ac:dyDescent="0.2">
      <c r="C468" s="4"/>
      <c r="O468" s="4"/>
      <c r="AA468" s="4"/>
      <c r="AM468" s="4"/>
      <c r="AY468" s="4"/>
      <c r="BK468" s="4"/>
    </row>
    <row r="469" spans="3:63" ht="12.75" hidden="1" customHeight="1" x14ac:dyDescent="0.2">
      <c r="C469" s="4"/>
      <c r="O469" s="4"/>
      <c r="AA469" s="4"/>
      <c r="AM469" s="4"/>
      <c r="AY469" s="4"/>
      <c r="BK469" s="4"/>
    </row>
    <row r="470" spans="3:63" ht="12.75" hidden="1" customHeight="1" x14ac:dyDescent="0.2">
      <c r="C470" s="4"/>
      <c r="O470" s="4"/>
      <c r="AA470" s="4"/>
      <c r="AM470" s="4"/>
      <c r="AY470" s="4"/>
      <c r="BK470" s="4"/>
    </row>
    <row r="471" spans="3:63" ht="12.75" hidden="1" customHeight="1" x14ac:dyDescent="0.2">
      <c r="C471" s="4"/>
      <c r="O471" s="4"/>
      <c r="AA471" s="4"/>
      <c r="AM471" s="4"/>
      <c r="AY471" s="4"/>
      <c r="BK471" s="4"/>
    </row>
    <row r="472" spans="3:63" ht="12.75" hidden="1" customHeight="1" x14ac:dyDescent="0.2">
      <c r="C472" s="4"/>
      <c r="O472" s="4"/>
      <c r="AA472" s="4"/>
      <c r="AM472" s="4"/>
      <c r="AY472" s="4"/>
      <c r="BK472" s="4"/>
    </row>
    <row r="473" spans="3:63" ht="12.75" hidden="1" customHeight="1" x14ac:dyDescent="0.2">
      <c r="C473" s="4"/>
      <c r="O473" s="4"/>
      <c r="AA473" s="4"/>
      <c r="AM473" s="4"/>
      <c r="AY473" s="4"/>
      <c r="BK473" s="4"/>
    </row>
    <row r="474" spans="3:63" ht="12.75" hidden="1" customHeight="1" x14ac:dyDescent="0.2">
      <c r="C474" s="4"/>
      <c r="O474" s="4"/>
      <c r="AA474" s="4"/>
      <c r="AM474" s="4"/>
      <c r="AY474" s="4"/>
      <c r="BK474" s="4"/>
    </row>
    <row r="475" spans="3:63" ht="12.75" hidden="1" customHeight="1" x14ac:dyDescent="0.2">
      <c r="C475" s="4"/>
      <c r="O475" s="4"/>
      <c r="AA475" s="4"/>
      <c r="AM475" s="4"/>
      <c r="AY475" s="4"/>
      <c r="BK475" s="4"/>
    </row>
    <row r="476" spans="3:63" ht="12.75" hidden="1" customHeight="1" x14ac:dyDescent="0.2">
      <c r="C476" s="4"/>
      <c r="O476" s="4"/>
      <c r="AA476" s="4"/>
      <c r="AM476" s="4"/>
      <c r="AY476" s="4"/>
      <c r="BK476" s="4"/>
    </row>
    <row r="477" spans="3:63" ht="12.75" hidden="1" customHeight="1" x14ac:dyDescent="0.2">
      <c r="C477" s="4"/>
      <c r="O477" s="4"/>
      <c r="AA477" s="4"/>
      <c r="AM477" s="4"/>
      <c r="AY477" s="4"/>
      <c r="BK477" s="4"/>
    </row>
    <row r="478" spans="3:63" ht="12.75" hidden="1" customHeight="1" x14ac:dyDescent="0.2">
      <c r="C478" s="4"/>
      <c r="O478" s="4"/>
      <c r="AA478" s="4"/>
      <c r="AM478" s="4"/>
      <c r="AY478" s="4"/>
      <c r="BK478" s="4"/>
    </row>
    <row r="479" spans="3:63" ht="12.75" hidden="1" customHeight="1" x14ac:dyDescent="0.2">
      <c r="C479" s="4"/>
      <c r="O479" s="4"/>
      <c r="AA479" s="4"/>
      <c r="AM479" s="4"/>
      <c r="AY479" s="4"/>
      <c r="BK479" s="4"/>
    </row>
    <row r="480" spans="3:63" ht="12.75" hidden="1" customHeight="1" x14ac:dyDescent="0.2">
      <c r="C480" s="4"/>
      <c r="O480" s="4"/>
      <c r="AA480" s="4"/>
      <c r="AM480" s="4"/>
      <c r="AY480" s="4"/>
      <c r="BK480" s="4"/>
    </row>
    <row r="481" spans="3:63" ht="12.75" hidden="1" customHeight="1" x14ac:dyDescent="0.2">
      <c r="C481" s="4"/>
      <c r="O481" s="4"/>
      <c r="AA481" s="4"/>
      <c r="AM481" s="4"/>
      <c r="AY481" s="4"/>
      <c r="BK481" s="4"/>
    </row>
    <row r="482" spans="3:63" ht="12.75" hidden="1" customHeight="1" x14ac:dyDescent="0.2">
      <c r="C482" s="4"/>
      <c r="O482" s="4"/>
      <c r="AA482" s="4"/>
      <c r="AM482" s="4"/>
      <c r="AY482" s="4"/>
      <c r="BK482" s="4"/>
    </row>
    <row r="483" spans="3:63" ht="12.75" hidden="1" customHeight="1" x14ac:dyDescent="0.2">
      <c r="C483" s="4"/>
      <c r="O483" s="4"/>
      <c r="AA483" s="4"/>
      <c r="AM483" s="4"/>
      <c r="AY483" s="4"/>
      <c r="BK483" s="4"/>
    </row>
    <row r="484" spans="3:63" ht="12.75" hidden="1" customHeight="1" x14ac:dyDescent="0.2">
      <c r="C484" s="4"/>
      <c r="O484" s="4"/>
      <c r="AA484" s="4"/>
      <c r="AM484" s="4"/>
      <c r="AY484" s="4"/>
      <c r="BK484" s="4"/>
    </row>
    <row r="485" spans="3:63" ht="12.75" hidden="1" customHeight="1" x14ac:dyDescent="0.2">
      <c r="C485" s="4"/>
      <c r="O485" s="4"/>
      <c r="AA485" s="4"/>
      <c r="AM485" s="4"/>
      <c r="AY485" s="4"/>
      <c r="BK485" s="4"/>
    </row>
    <row r="486" spans="3:63" ht="12.75" hidden="1" customHeight="1" x14ac:dyDescent="0.2">
      <c r="C486" s="4"/>
      <c r="O486" s="4"/>
      <c r="AA486" s="4"/>
      <c r="AM486" s="4"/>
      <c r="AY486" s="4"/>
      <c r="BK486" s="4"/>
    </row>
    <row r="487" spans="3:63" ht="12.75" hidden="1" customHeight="1" x14ac:dyDescent="0.2">
      <c r="C487" s="4"/>
      <c r="O487" s="4"/>
      <c r="AA487" s="4"/>
      <c r="AM487" s="4"/>
      <c r="AY487" s="4"/>
      <c r="BK487" s="4"/>
    </row>
    <row r="488" spans="3:63" ht="12.75" hidden="1" customHeight="1" x14ac:dyDescent="0.2">
      <c r="C488" s="4"/>
      <c r="O488" s="4"/>
      <c r="AA488" s="4"/>
      <c r="AM488" s="4"/>
      <c r="AY488" s="4"/>
      <c r="BK488" s="4"/>
    </row>
    <row r="489" spans="3:63" ht="12.75" hidden="1" customHeight="1" x14ac:dyDescent="0.2">
      <c r="C489" s="4"/>
      <c r="O489" s="4"/>
      <c r="AA489" s="4"/>
      <c r="AM489" s="4"/>
      <c r="AY489" s="4"/>
      <c r="BK489" s="4"/>
    </row>
    <row r="490" spans="3:63" ht="12.75" hidden="1" customHeight="1" x14ac:dyDescent="0.2">
      <c r="C490" s="4"/>
      <c r="O490" s="4"/>
      <c r="AA490" s="4"/>
      <c r="AM490" s="4"/>
      <c r="AY490" s="4"/>
      <c r="BK490" s="4"/>
    </row>
    <row r="491" spans="3:63" ht="12.75" hidden="1" customHeight="1" x14ac:dyDescent="0.2">
      <c r="C491" s="4"/>
      <c r="O491" s="4"/>
      <c r="AA491" s="4"/>
      <c r="AM491" s="4"/>
      <c r="AY491" s="4"/>
      <c r="BK491" s="4"/>
    </row>
    <row r="492" spans="3:63" ht="12.75" hidden="1" customHeight="1" x14ac:dyDescent="0.2">
      <c r="C492" s="4"/>
      <c r="O492" s="4"/>
      <c r="AA492" s="4"/>
      <c r="AM492" s="4"/>
      <c r="AY492" s="4"/>
      <c r="BK492" s="4"/>
    </row>
    <row r="493" spans="3:63" ht="12.75" hidden="1" customHeight="1" x14ac:dyDescent="0.2">
      <c r="C493" s="4"/>
      <c r="O493" s="4"/>
      <c r="AA493" s="4"/>
      <c r="AM493" s="4"/>
      <c r="AY493" s="4"/>
      <c r="BK493" s="4"/>
    </row>
    <row r="494" spans="3:63" ht="12.75" hidden="1" customHeight="1" x14ac:dyDescent="0.2">
      <c r="C494" s="4"/>
      <c r="O494" s="4"/>
      <c r="AA494" s="4"/>
      <c r="AM494" s="4"/>
      <c r="AY494" s="4"/>
      <c r="BK494" s="4"/>
    </row>
    <row r="495" spans="3:63" ht="12.75" hidden="1" customHeight="1" x14ac:dyDescent="0.2">
      <c r="C495" s="4"/>
      <c r="O495" s="4"/>
      <c r="AA495" s="4"/>
      <c r="AM495" s="4"/>
      <c r="AY495" s="4"/>
      <c r="BK495" s="4"/>
    </row>
    <row r="496" spans="3:63" ht="12.75" hidden="1" customHeight="1" x14ac:dyDescent="0.2">
      <c r="C496" s="4"/>
      <c r="O496" s="4"/>
      <c r="AA496" s="4"/>
      <c r="AM496" s="4"/>
      <c r="AY496" s="4"/>
      <c r="BK496" s="4"/>
    </row>
    <row r="497" spans="3:63" ht="12.75" hidden="1" customHeight="1" x14ac:dyDescent="0.2">
      <c r="C497" s="4"/>
      <c r="O497" s="4"/>
      <c r="AA497" s="4"/>
      <c r="AM497" s="4"/>
      <c r="AY497" s="4"/>
      <c r="BK497" s="4"/>
    </row>
    <row r="498" spans="3:63" ht="12.75" hidden="1" customHeight="1" x14ac:dyDescent="0.2">
      <c r="C498" s="4"/>
      <c r="O498" s="4"/>
      <c r="AA498" s="4"/>
      <c r="AM498" s="4"/>
      <c r="AY498" s="4"/>
      <c r="BK498" s="4"/>
    </row>
    <row r="499" spans="3:63" ht="12.75" hidden="1" customHeight="1" x14ac:dyDescent="0.2">
      <c r="C499" s="4"/>
      <c r="O499" s="4"/>
      <c r="AA499" s="4"/>
      <c r="AM499" s="4"/>
      <c r="AY499" s="4"/>
      <c r="BK499" s="4"/>
    </row>
    <row r="500" spans="3:63" ht="12.75" hidden="1" customHeight="1" x14ac:dyDescent="0.2">
      <c r="C500" s="4"/>
      <c r="O500" s="4"/>
      <c r="AA500" s="4"/>
      <c r="AM500" s="4"/>
      <c r="AY500" s="4"/>
      <c r="BK500" s="4"/>
    </row>
    <row r="501" spans="3:63" ht="12.75" hidden="1" customHeight="1" x14ac:dyDescent="0.2">
      <c r="C501" s="4"/>
      <c r="O501" s="4"/>
      <c r="AA501" s="4"/>
      <c r="AM501" s="4"/>
      <c r="AY501" s="4"/>
      <c r="BK501" s="4"/>
    </row>
    <row r="502" spans="3:63" ht="12.75" hidden="1" customHeight="1" x14ac:dyDescent="0.2">
      <c r="C502" s="4"/>
      <c r="O502" s="4"/>
      <c r="AA502" s="4"/>
      <c r="AM502" s="4"/>
      <c r="AY502" s="4"/>
      <c r="BK502" s="4"/>
    </row>
    <row r="503" spans="3:63" ht="12.75" hidden="1" customHeight="1" x14ac:dyDescent="0.2">
      <c r="C503" s="4"/>
      <c r="O503" s="4"/>
      <c r="AA503" s="4"/>
      <c r="AM503" s="4"/>
      <c r="AY503" s="4"/>
      <c r="BK503" s="4"/>
    </row>
    <row r="504" spans="3:63" ht="12.75" hidden="1" customHeight="1" x14ac:dyDescent="0.2">
      <c r="C504" s="4"/>
      <c r="O504" s="4"/>
      <c r="AA504" s="4"/>
      <c r="AM504" s="4"/>
      <c r="AY504" s="4"/>
      <c r="BK504" s="4"/>
    </row>
    <row r="505" spans="3:63" ht="12.75" hidden="1" customHeight="1" x14ac:dyDescent="0.2">
      <c r="C505" s="4"/>
      <c r="O505" s="4"/>
      <c r="AA505" s="4"/>
      <c r="AM505" s="4"/>
      <c r="AY505" s="4"/>
      <c r="BK505" s="4"/>
    </row>
    <row r="506" spans="3:63" ht="12.75" hidden="1" customHeight="1" x14ac:dyDescent="0.2">
      <c r="C506" s="4"/>
      <c r="O506" s="4"/>
      <c r="AA506" s="4"/>
      <c r="AM506" s="4"/>
      <c r="AY506" s="4"/>
      <c r="BK506" s="4"/>
    </row>
    <row r="507" spans="3:63" ht="12.75" hidden="1" customHeight="1" x14ac:dyDescent="0.2">
      <c r="C507" s="4"/>
      <c r="O507" s="4"/>
      <c r="AA507" s="4"/>
      <c r="AM507" s="4"/>
      <c r="AY507" s="4"/>
      <c r="BK507" s="4"/>
    </row>
    <row r="508" spans="3:63" ht="12.75" hidden="1" customHeight="1" x14ac:dyDescent="0.2">
      <c r="C508" s="4"/>
      <c r="O508" s="4"/>
      <c r="AA508" s="4"/>
      <c r="AM508" s="4"/>
      <c r="AY508" s="4"/>
      <c r="BK508" s="4"/>
    </row>
    <row r="509" spans="3:63" ht="12.75" hidden="1" customHeight="1" x14ac:dyDescent="0.2">
      <c r="C509" s="4"/>
      <c r="O509" s="4"/>
      <c r="AA509" s="4"/>
      <c r="AM509" s="4"/>
      <c r="AY509" s="4"/>
      <c r="BK509" s="4"/>
    </row>
    <row r="510" spans="3:63" ht="12.75" hidden="1" customHeight="1" x14ac:dyDescent="0.2">
      <c r="C510" s="4"/>
      <c r="O510" s="4"/>
      <c r="AA510" s="4"/>
      <c r="AM510" s="4"/>
      <c r="AY510" s="4"/>
      <c r="BK510" s="4"/>
    </row>
    <row r="511" spans="3:63" ht="12.75" hidden="1" customHeight="1" x14ac:dyDescent="0.2">
      <c r="C511" s="4"/>
      <c r="O511" s="4"/>
      <c r="AA511" s="4"/>
      <c r="AM511" s="4"/>
      <c r="AY511" s="4"/>
      <c r="BK511" s="4"/>
    </row>
    <row r="512" spans="3:63" ht="12.75" hidden="1" customHeight="1" x14ac:dyDescent="0.2">
      <c r="C512" s="4"/>
      <c r="O512" s="4"/>
      <c r="AA512" s="4"/>
      <c r="AM512" s="4"/>
      <c r="AY512" s="4"/>
      <c r="BK512" s="4"/>
    </row>
    <row r="513" spans="3:63" ht="12.75" hidden="1" customHeight="1" x14ac:dyDescent="0.2">
      <c r="C513" s="4"/>
      <c r="O513" s="4"/>
      <c r="AA513" s="4"/>
      <c r="AM513" s="4"/>
      <c r="AY513" s="4"/>
      <c r="BK513" s="4"/>
    </row>
    <row r="514" spans="3:63" ht="12.75" hidden="1" customHeight="1" x14ac:dyDescent="0.2">
      <c r="C514" s="4"/>
      <c r="O514" s="4"/>
      <c r="AA514" s="4"/>
      <c r="AM514" s="4"/>
      <c r="AY514" s="4"/>
      <c r="BK514" s="4"/>
    </row>
    <row r="515" spans="3:63" ht="12.75" hidden="1" customHeight="1" x14ac:dyDescent="0.2">
      <c r="C515" s="4"/>
      <c r="O515" s="4"/>
      <c r="AA515" s="4"/>
      <c r="AM515" s="4"/>
      <c r="AY515" s="4"/>
      <c r="BK515" s="4"/>
    </row>
    <row r="516" spans="3:63" ht="12.75" hidden="1" customHeight="1" x14ac:dyDescent="0.2">
      <c r="C516" s="4"/>
      <c r="O516" s="4"/>
      <c r="AA516" s="4"/>
      <c r="AM516" s="4"/>
      <c r="AY516" s="4"/>
      <c r="BK516" s="4"/>
    </row>
    <row r="517" spans="3:63" ht="12.75" hidden="1" customHeight="1" x14ac:dyDescent="0.2">
      <c r="C517" s="4"/>
      <c r="O517" s="4"/>
      <c r="AA517" s="4"/>
      <c r="AM517" s="4"/>
      <c r="AY517" s="4"/>
      <c r="BK517" s="4"/>
    </row>
    <row r="518" spans="3:63" ht="12.75" hidden="1" customHeight="1" x14ac:dyDescent="0.2">
      <c r="C518" s="4"/>
      <c r="O518" s="4"/>
      <c r="AA518" s="4"/>
      <c r="AM518" s="4"/>
      <c r="AY518" s="4"/>
      <c r="BK518" s="4"/>
    </row>
    <row r="519" spans="3:63" ht="12.75" hidden="1" customHeight="1" x14ac:dyDescent="0.2">
      <c r="C519" s="4"/>
      <c r="O519" s="4"/>
      <c r="AA519" s="4"/>
      <c r="AM519" s="4"/>
      <c r="AY519" s="4"/>
      <c r="BK519" s="4"/>
    </row>
    <row r="520" spans="3:63" ht="12.75" hidden="1" customHeight="1" x14ac:dyDescent="0.2">
      <c r="C520" s="4"/>
      <c r="O520" s="4"/>
      <c r="AA520" s="4"/>
      <c r="AM520" s="4"/>
      <c r="AY520" s="4"/>
      <c r="BK520" s="4"/>
    </row>
    <row r="521" spans="3:63" ht="12.75" hidden="1" customHeight="1" x14ac:dyDescent="0.2">
      <c r="C521" s="4"/>
      <c r="O521" s="4"/>
      <c r="AA521" s="4"/>
      <c r="AM521" s="4"/>
      <c r="AY521" s="4"/>
      <c r="BK521" s="4"/>
    </row>
    <row r="522" spans="3:63" ht="12.75" hidden="1" customHeight="1" x14ac:dyDescent="0.2">
      <c r="C522" s="4"/>
      <c r="O522" s="4"/>
      <c r="AA522" s="4"/>
      <c r="AM522" s="4"/>
      <c r="AY522" s="4"/>
      <c r="BK522" s="4"/>
    </row>
    <row r="523" spans="3:63" ht="12.75" hidden="1" customHeight="1" x14ac:dyDescent="0.2">
      <c r="C523" s="4"/>
      <c r="O523" s="4"/>
      <c r="AA523" s="4"/>
      <c r="AM523" s="4"/>
      <c r="AY523" s="4"/>
      <c r="BK523" s="4"/>
    </row>
    <row r="524" spans="3:63" ht="12.75" hidden="1" customHeight="1" x14ac:dyDescent="0.2">
      <c r="C524" s="4"/>
      <c r="O524" s="4"/>
      <c r="AA524" s="4"/>
      <c r="AM524" s="4"/>
      <c r="AY524" s="4"/>
      <c r="BK524" s="4"/>
    </row>
    <row r="525" spans="3:63" ht="12.75" hidden="1" customHeight="1" x14ac:dyDescent="0.2">
      <c r="C525" s="4"/>
      <c r="O525" s="4"/>
      <c r="AA525" s="4"/>
      <c r="AM525" s="4"/>
      <c r="AY525" s="4"/>
      <c r="BK525" s="4"/>
    </row>
    <row r="526" spans="3:63" ht="12.75" hidden="1" customHeight="1" x14ac:dyDescent="0.2">
      <c r="C526" s="4"/>
      <c r="O526" s="4"/>
      <c r="AA526" s="4"/>
      <c r="AM526" s="4"/>
      <c r="AY526" s="4"/>
      <c r="BK526" s="4"/>
    </row>
    <row r="527" spans="3:63" ht="12.75" hidden="1" customHeight="1" x14ac:dyDescent="0.2">
      <c r="C527" s="4"/>
      <c r="O527" s="4"/>
      <c r="AA527" s="4"/>
      <c r="AM527" s="4"/>
      <c r="AY527" s="4"/>
      <c r="BK527" s="4"/>
    </row>
    <row r="528" spans="3:63" ht="12.75" hidden="1" customHeight="1" x14ac:dyDescent="0.2">
      <c r="C528" s="4"/>
      <c r="O528" s="4"/>
      <c r="AA528" s="4"/>
      <c r="AM528" s="4"/>
      <c r="AY528" s="4"/>
      <c r="BK528" s="4"/>
    </row>
    <row r="529" spans="3:63" ht="12.75" hidden="1" customHeight="1" x14ac:dyDescent="0.2">
      <c r="C529" s="4"/>
      <c r="O529" s="4"/>
      <c r="AA529" s="4"/>
      <c r="AM529" s="4"/>
      <c r="AY529" s="4"/>
      <c r="BK529" s="4"/>
    </row>
    <row r="530" spans="3:63" ht="12.75" hidden="1" customHeight="1" x14ac:dyDescent="0.2">
      <c r="C530" s="4"/>
      <c r="O530" s="4"/>
      <c r="AA530" s="4"/>
      <c r="AM530" s="4"/>
      <c r="AY530" s="4"/>
      <c r="BK530" s="4"/>
    </row>
    <row r="531" spans="3:63" ht="12.75" hidden="1" customHeight="1" x14ac:dyDescent="0.2">
      <c r="C531" s="4"/>
      <c r="O531" s="4"/>
      <c r="AA531" s="4"/>
      <c r="AM531" s="4"/>
      <c r="AY531" s="4"/>
      <c r="BK531" s="4"/>
    </row>
    <row r="532" spans="3:63" ht="12.75" hidden="1" customHeight="1" x14ac:dyDescent="0.2">
      <c r="C532" s="4"/>
      <c r="O532" s="4"/>
      <c r="AA532" s="4"/>
      <c r="AM532" s="4"/>
      <c r="AY532" s="4"/>
      <c r="BK532" s="4"/>
    </row>
    <row r="533" spans="3:63" ht="12.75" hidden="1" customHeight="1" x14ac:dyDescent="0.2">
      <c r="C533" s="4"/>
      <c r="O533" s="4"/>
      <c r="AA533" s="4"/>
      <c r="AM533" s="4"/>
      <c r="AY533" s="4"/>
      <c r="BK533" s="4"/>
    </row>
    <row r="534" spans="3:63" ht="12.75" hidden="1" customHeight="1" x14ac:dyDescent="0.2">
      <c r="C534" s="4"/>
      <c r="O534" s="4"/>
      <c r="AA534" s="4"/>
      <c r="AM534" s="4"/>
      <c r="AY534" s="4"/>
      <c r="BK534" s="4"/>
    </row>
    <row r="535" spans="3:63" ht="12.75" hidden="1" customHeight="1" x14ac:dyDescent="0.2">
      <c r="C535" s="4"/>
      <c r="O535" s="4"/>
      <c r="AA535" s="4"/>
      <c r="AM535" s="4"/>
      <c r="AY535" s="4"/>
      <c r="BK535" s="4"/>
    </row>
    <row r="536" spans="3:63" ht="12.75" hidden="1" customHeight="1" x14ac:dyDescent="0.2">
      <c r="C536" s="4"/>
      <c r="O536" s="4"/>
      <c r="AA536" s="4"/>
      <c r="AM536" s="4"/>
      <c r="AY536" s="4"/>
      <c r="BK536" s="4"/>
    </row>
    <row r="537" spans="3:63" ht="12.75" hidden="1" customHeight="1" x14ac:dyDescent="0.2">
      <c r="C537" s="4"/>
      <c r="O537" s="4"/>
      <c r="AA537" s="4"/>
      <c r="AM537" s="4"/>
      <c r="AY537" s="4"/>
      <c r="BK537" s="4"/>
    </row>
    <row r="538" spans="3:63" ht="12.75" hidden="1" customHeight="1" x14ac:dyDescent="0.2">
      <c r="C538" s="4"/>
      <c r="O538" s="4"/>
      <c r="AA538" s="4"/>
      <c r="AM538" s="4"/>
      <c r="AY538" s="4"/>
      <c r="BK538" s="4"/>
    </row>
    <row r="539" spans="3:63" ht="12.75" hidden="1" customHeight="1" x14ac:dyDescent="0.2">
      <c r="C539" s="4"/>
      <c r="O539" s="4"/>
      <c r="AA539" s="4"/>
      <c r="AM539" s="4"/>
      <c r="AY539" s="4"/>
      <c r="BK539" s="4"/>
    </row>
    <row r="540" spans="3:63" ht="12.75" hidden="1" customHeight="1" x14ac:dyDescent="0.2">
      <c r="C540" s="4"/>
      <c r="O540" s="4"/>
      <c r="AA540" s="4"/>
      <c r="AM540" s="4"/>
      <c r="AY540" s="4"/>
      <c r="BK540" s="4"/>
    </row>
    <row r="541" spans="3:63" ht="12.75" hidden="1" customHeight="1" x14ac:dyDescent="0.2">
      <c r="C541" s="4"/>
      <c r="O541" s="4"/>
      <c r="AA541" s="4"/>
      <c r="AM541" s="4"/>
      <c r="AY541" s="4"/>
      <c r="BK541" s="4"/>
    </row>
    <row r="542" spans="3:63" ht="12.75" hidden="1" customHeight="1" x14ac:dyDescent="0.2">
      <c r="C542" s="4"/>
      <c r="O542" s="4"/>
      <c r="AA542" s="4"/>
      <c r="AM542" s="4"/>
      <c r="AY542" s="4"/>
      <c r="BK542" s="4"/>
    </row>
    <row r="543" spans="3:63" ht="12.75" hidden="1" customHeight="1" x14ac:dyDescent="0.2">
      <c r="C543" s="4"/>
      <c r="O543" s="4"/>
      <c r="AA543" s="4"/>
      <c r="AM543" s="4"/>
      <c r="AY543" s="4"/>
      <c r="BK543" s="4"/>
    </row>
    <row r="544" spans="3:63" ht="12.75" hidden="1" customHeight="1" x14ac:dyDescent="0.2">
      <c r="C544" s="4"/>
      <c r="O544" s="4"/>
      <c r="AA544" s="4"/>
      <c r="AM544" s="4"/>
      <c r="AY544" s="4"/>
      <c r="BK544" s="4"/>
    </row>
    <row r="545" spans="3:63" ht="12.75" hidden="1" customHeight="1" x14ac:dyDescent="0.2">
      <c r="C545" s="4"/>
      <c r="O545" s="4"/>
      <c r="AA545" s="4"/>
      <c r="AM545" s="4"/>
      <c r="AY545" s="4"/>
      <c r="BK545" s="4"/>
    </row>
    <row r="546" spans="3:63" ht="12.75" hidden="1" customHeight="1" x14ac:dyDescent="0.2">
      <c r="C546" s="4"/>
      <c r="O546" s="4"/>
      <c r="AA546" s="4"/>
      <c r="AM546" s="4"/>
      <c r="AY546" s="4"/>
      <c r="BK546" s="4"/>
    </row>
    <row r="547" spans="3:63" ht="12.75" hidden="1" customHeight="1" x14ac:dyDescent="0.2">
      <c r="C547" s="4"/>
      <c r="O547" s="4"/>
      <c r="AA547" s="4"/>
      <c r="AM547" s="4"/>
      <c r="AY547" s="4"/>
      <c r="BK547" s="4"/>
    </row>
    <row r="548" spans="3:63" ht="12.75" hidden="1" customHeight="1" x14ac:dyDescent="0.2">
      <c r="C548" s="4"/>
      <c r="O548" s="4"/>
      <c r="AA548" s="4"/>
      <c r="AM548" s="4"/>
      <c r="AY548" s="4"/>
      <c r="BK548" s="4"/>
    </row>
    <row r="549" spans="3:63" ht="12.75" hidden="1" customHeight="1" x14ac:dyDescent="0.2">
      <c r="C549" s="4"/>
      <c r="O549" s="4"/>
      <c r="AA549" s="4"/>
      <c r="AM549" s="4"/>
      <c r="AY549" s="4"/>
      <c r="BK549" s="4"/>
    </row>
    <row r="550" spans="3:63" ht="12.75" hidden="1" customHeight="1" x14ac:dyDescent="0.2">
      <c r="C550" s="4"/>
      <c r="O550" s="4"/>
      <c r="AA550" s="4"/>
      <c r="AM550" s="4"/>
      <c r="AY550" s="4"/>
      <c r="BK550" s="4"/>
    </row>
    <row r="551" spans="3:63" ht="12.75" hidden="1" customHeight="1" x14ac:dyDescent="0.2">
      <c r="C551" s="4"/>
      <c r="O551" s="4"/>
      <c r="AA551" s="4"/>
      <c r="AM551" s="4"/>
      <c r="AY551" s="4"/>
      <c r="BK551" s="4"/>
    </row>
    <row r="552" spans="3:63" ht="12.75" hidden="1" customHeight="1" x14ac:dyDescent="0.2">
      <c r="C552" s="4"/>
      <c r="O552" s="4"/>
      <c r="AA552" s="4"/>
      <c r="AM552" s="4"/>
      <c r="AY552" s="4"/>
      <c r="BK552" s="4"/>
    </row>
    <row r="553" spans="3:63" ht="12.75" hidden="1" customHeight="1" x14ac:dyDescent="0.2">
      <c r="C553" s="4"/>
      <c r="O553" s="4"/>
      <c r="AA553" s="4"/>
      <c r="AM553" s="4"/>
      <c r="AY553" s="4"/>
      <c r="BK553" s="4"/>
    </row>
    <row r="554" spans="3:63" ht="12.75" hidden="1" customHeight="1" x14ac:dyDescent="0.2">
      <c r="C554" s="4"/>
      <c r="O554" s="4"/>
      <c r="AA554" s="4"/>
      <c r="AM554" s="4"/>
      <c r="AY554" s="4"/>
      <c r="BK554" s="4"/>
    </row>
    <row r="555" spans="3:63" ht="12.75" hidden="1" customHeight="1" x14ac:dyDescent="0.2">
      <c r="C555" s="4"/>
      <c r="O555" s="4"/>
      <c r="AA555" s="4"/>
      <c r="AM555" s="4"/>
      <c r="AY555" s="4"/>
      <c r="BK555" s="4"/>
    </row>
    <row r="556" spans="3:63" ht="12.75" hidden="1" customHeight="1" x14ac:dyDescent="0.2">
      <c r="C556" s="4"/>
      <c r="O556" s="4"/>
      <c r="AA556" s="4"/>
      <c r="AM556" s="4"/>
      <c r="AY556" s="4"/>
      <c r="BK556" s="4"/>
    </row>
    <row r="557" spans="3:63" ht="12.75" hidden="1" customHeight="1" x14ac:dyDescent="0.2">
      <c r="C557" s="4"/>
      <c r="O557" s="4"/>
      <c r="AA557" s="4"/>
      <c r="AM557" s="4"/>
      <c r="AY557" s="4"/>
      <c r="BK557" s="4"/>
    </row>
    <row r="558" spans="3:63" ht="12.75" hidden="1" customHeight="1" x14ac:dyDescent="0.2">
      <c r="C558" s="4"/>
      <c r="O558" s="4"/>
      <c r="AA558" s="4"/>
      <c r="AM558" s="4"/>
      <c r="AY558" s="4"/>
      <c r="BK558" s="4"/>
    </row>
    <row r="559" spans="3:63" ht="12.75" hidden="1" customHeight="1" x14ac:dyDescent="0.2">
      <c r="C559" s="4"/>
      <c r="O559" s="4"/>
      <c r="AA559" s="4"/>
      <c r="AM559" s="4"/>
      <c r="AY559" s="4"/>
      <c r="BK559" s="4"/>
    </row>
    <row r="560" spans="3:63" ht="12.75" hidden="1" customHeight="1" x14ac:dyDescent="0.2">
      <c r="C560" s="4"/>
      <c r="O560" s="4"/>
      <c r="AA560" s="4"/>
      <c r="AM560" s="4"/>
      <c r="AY560" s="4"/>
      <c r="BK560" s="4"/>
    </row>
    <row r="561" spans="3:63" ht="12.75" hidden="1" customHeight="1" x14ac:dyDescent="0.2">
      <c r="C561" s="4"/>
      <c r="O561" s="4"/>
      <c r="AA561" s="4"/>
      <c r="AM561" s="4"/>
      <c r="AY561" s="4"/>
      <c r="BK561" s="4"/>
    </row>
    <row r="562" spans="3:63" ht="12.75" hidden="1" customHeight="1" x14ac:dyDescent="0.2">
      <c r="C562" s="4"/>
      <c r="O562" s="4"/>
      <c r="AA562" s="4"/>
      <c r="AM562" s="4"/>
      <c r="AY562" s="4"/>
      <c r="BK562" s="4"/>
    </row>
    <row r="563" spans="3:63" ht="12.75" hidden="1" customHeight="1" x14ac:dyDescent="0.2">
      <c r="C563" s="4"/>
      <c r="O563" s="4"/>
      <c r="AA563" s="4"/>
      <c r="AM563" s="4"/>
      <c r="AY563" s="4"/>
      <c r="BK563" s="4"/>
    </row>
    <row r="564" spans="3:63" ht="12.75" hidden="1" customHeight="1" x14ac:dyDescent="0.2">
      <c r="C564" s="4"/>
      <c r="O564" s="4"/>
      <c r="AA564" s="4"/>
      <c r="AM564" s="4"/>
      <c r="AY564" s="4"/>
      <c r="BK564" s="4"/>
    </row>
    <row r="565" spans="3:63" ht="12.75" hidden="1" customHeight="1" x14ac:dyDescent="0.2">
      <c r="C565" s="4"/>
      <c r="O565" s="4"/>
      <c r="AA565" s="4"/>
      <c r="AM565" s="4"/>
      <c r="AY565" s="4"/>
      <c r="BK565" s="4"/>
    </row>
    <row r="566" spans="3:63" ht="12.75" hidden="1" customHeight="1" x14ac:dyDescent="0.2">
      <c r="C566" s="4"/>
      <c r="O566" s="4"/>
      <c r="AA566" s="4"/>
      <c r="AM566" s="4"/>
      <c r="AY566" s="4"/>
      <c r="BK566" s="4"/>
    </row>
    <row r="567" spans="3:63" ht="12.75" hidden="1" customHeight="1" x14ac:dyDescent="0.2">
      <c r="C567" s="4"/>
      <c r="O567" s="4"/>
      <c r="AA567" s="4"/>
      <c r="AM567" s="4"/>
      <c r="AY567" s="4"/>
      <c r="BK567" s="4"/>
    </row>
    <row r="568" spans="3:63" ht="12.75" hidden="1" customHeight="1" x14ac:dyDescent="0.2">
      <c r="C568" s="4"/>
      <c r="O568" s="4"/>
      <c r="AA568" s="4"/>
      <c r="AM568" s="4"/>
      <c r="AY568" s="4"/>
      <c r="BK568" s="4"/>
    </row>
    <row r="569" spans="3:63" ht="12.75" hidden="1" customHeight="1" x14ac:dyDescent="0.2">
      <c r="C569" s="4"/>
      <c r="O569" s="4"/>
      <c r="AA569" s="4"/>
      <c r="AM569" s="4"/>
      <c r="AY569" s="4"/>
      <c r="BK569" s="4"/>
    </row>
    <row r="570" spans="3:63" ht="12.75" hidden="1" customHeight="1" x14ac:dyDescent="0.2">
      <c r="C570" s="4"/>
      <c r="O570" s="4"/>
      <c r="AA570" s="4"/>
      <c r="AM570" s="4"/>
      <c r="AY570" s="4"/>
      <c r="BK570" s="4"/>
    </row>
    <row r="571" spans="3:63" ht="12.75" hidden="1" customHeight="1" x14ac:dyDescent="0.2">
      <c r="C571" s="4"/>
      <c r="O571" s="4"/>
      <c r="AA571" s="4"/>
      <c r="AM571" s="4"/>
      <c r="AY571" s="4"/>
      <c r="BK571" s="4"/>
    </row>
    <row r="572" spans="3:63" ht="12.75" hidden="1" customHeight="1" x14ac:dyDescent="0.2">
      <c r="C572" s="4"/>
      <c r="O572" s="4"/>
      <c r="AA572" s="4"/>
      <c r="AM572" s="4"/>
      <c r="AY572" s="4"/>
      <c r="BK572" s="4"/>
    </row>
    <row r="573" spans="3:63" ht="12.75" hidden="1" customHeight="1" x14ac:dyDescent="0.2">
      <c r="C573" s="4"/>
      <c r="O573" s="4"/>
      <c r="AA573" s="4"/>
      <c r="AM573" s="4"/>
      <c r="AY573" s="4"/>
      <c r="BK573" s="4"/>
    </row>
    <row r="574" spans="3:63" ht="12.75" hidden="1" customHeight="1" x14ac:dyDescent="0.2">
      <c r="C574" s="4"/>
      <c r="O574" s="4"/>
      <c r="AA574" s="4"/>
      <c r="AM574" s="4"/>
      <c r="AY574" s="4"/>
      <c r="BK574" s="4"/>
    </row>
    <row r="575" spans="3:63" ht="12.75" hidden="1" customHeight="1" x14ac:dyDescent="0.2">
      <c r="C575" s="4"/>
      <c r="O575" s="4"/>
      <c r="AA575" s="4"/>
      <c r="AM575" s="4"/>
      <c r="AY575" s="4"/>
      <c r="BK575" s="4"/>
    </row>
    <row r="576" spans="3:63" ht="12.75" hidden="1" customHeight="1" x14ac:dyDescent="0.2">
      <c r="C576" s="4"/>
      <c r="O576" s="4"/>
      <c r="AA576" s="4"/>
      <c r="AM576" s="4"/>
      <c r="AY576" s="4"/>
      <c r="BK576" s="4"/>
    </row>
    <row r="577" spans="3:63" ht="12.75" hidden="1" customHeight="1" x14ac:dyDescent="0.2">
      <c r="C577" s="4"/>
      <c r="O577" s="4"/>
      <c r="AA577" s="4"/>
      <c r="AM577" s="4"/>
      <c r="AY577" s="4"/>
      <c r="BK577" s="4"/>
    </row>
    <row r="578" spans="3:63" ht="12.75" hidden="1" customHeight="1" x14ac:dyDescent="0.2">
      <c r="C578" s="4"/>
      <c r="O578" s="4"/>
      <c r="AA578" s="4"/>
      <c r="AM578" s="4"/>
      <c r="AY578" s="4"/>
      <c r="BK578" s="4"/>
    </row>
    <row r="579" spans="3:63" ht="12.75" hidden="1" customHeight="1" x14ac:dyDescent="0.2">
      <c r="C579" s="4"/>
      <c r="O579" s="4"/>
      <c r="AA579" s="4"/>
      <c r="AM579" s="4"/>
      <c r="AY579" s="4"/>
      <c r="BK579" s="4"/>
    </row>
    <row r="580" spans="3:63" ht="12.75" hidden="1" customHeight="1" x14ac:dyDescent="0.2">
      <c r="C580" s="4"/>
      <c r="O580" s="4"/>
      <c r="AA580" s="4"/>
      <c r="AM580" s="4"/>
      <c r="AY580" s="4"/>
      <c r="BK580" s="4"/>
    </row>
    <row r="581" spans="3:63" ht="12.75" hidden="1" customHeight="1" x14ac:dyDescent="0.2">
      <c r="C581" s="4"/>
      <c r="O581" s="4"/>
      <c r="AA581" s="4"/>
      <c r="AM581" s="4"/>
      <c r="AY581" s="4"/>
      <c r="BK581" s="4"/>
    </row>
    <row r="582" spans="3:63" ht="12.75" hidden="1" customHeight="1" x14ac:dyDescent="0.2">
      <c r="C582" s="4"/>
      <c r="O582" s="4"/>
      <c r="AA582" s="4"/>
      <c r="AM582" s="4"/>
      <c r="AY582" s="4"/>
      <c r="BK582" s="4"/>
    </row>
    <row r="583" spans="3:63" ht="12.75" hidden="1" customHeight="1" x14ac:dyDescent="0.2">
      <c r="C583" s="4"/>
      <c r="O583" s="4"/>
      <c r="AA583" s="4"/>
      <c r="AM583" s="4"/>
      <c r="AY583" s="4"/>
      <c r="BK583" s="4"/>
    </row>
    <row r="584" spans="3:63" ht="12.75" hidden="1" customHeight="1" x14ac:dyDescent="0.2">
      <c r="C584" s="4"/>
      <c r="O584" s="4"/>
      <c r="AA584" s="4"/>
      <c r="AM584" s="4"/>
      <c r="AY584" s="4"/>
      <c r="BK584" s="4"/>
    </row>
    <row r="585" spans="3:63" ht="12.75" hidden="1" customHeight="1" x14ac:dyDescent="0.2">
      <c r="C585" s="4"/>
      <c r="O585" s="4"/>
      <c r="AA585" s="4"/>
      <c r="AM585" s="4"/>
      <c r="AY585" s="4"/>
      <c r="BK585" s="4"/>
    </row>
    <row r="586" spans="3:63" ht="12.75" hidden="1" customHeight="1" x14ac:dyDescent="0.2">
      <c r="C586" s="4"/>
      <c r="O586" s="4"/>
      <c r="AA586" s="4"/>
      <c r="AM586" s="4"/>
      <c r="AY586" s="4"/>
      <c r="BK586" s="4"/>
    </row>
    <row r="587" spans="3:63" ht="12.75" hidden="1" customHeight="1" x14ac:dyDescent="0.2">
      <c r="C587" s="4"/>
      <c r="O587" s="4"/>
      <c r="AA587" s="4"/>
      <c r="AM587" s="4"/>
      <c r="AY587" s="4"/>
      <c r="BK587" s="4"/>
    </row>
    <row r="588" spans="3:63" ht="12.75" hidden="1" customHeight="1" x14ac:dyDescent="0.2">
      <c r="C588" s="4"/>
      <c r="O588" s="4"/>
      <c r="AA588" s="4"/>
      <c r="AM588" s="4"/>
      <c r="AY588" s="4"/>
      <c r="BK588" s="4"/>
    </row>
    <row r="589" spans="3:63" ht="12.75" hidden="1" customHeight="1" x14ac:dyDescent="0.2">
      <c r="C589" s="4"/>
      <c r="O589" s="4"/>
      <c r="AA589" s="4"/>
      <c r="AM589" s="4"/>
      <c r="AY589" s="4"/>
      <c r="BK589" s="4"/>
    </row>
    <row r="590" spans="3:63" ht="12.75" hidden="1" customHeight="1" x14ac:dyDescent="0.2">
      <c r="C590" s="4"/>
      <c r="O590" s="4"/>
      <c r="AA590" s="4"/>
      <c r="AM590" s="4"/>
      <c r="AY590" s="4"/>
      <c r="BK590" s="4"/>
    </row>
    <row r="591" spans="3:63" ht="12.75" hidden="1" customHeight="1" x14ac:dyDescent="0.2">
      <c r="C591" s="4"/>
      <c r="O591" s="4"/>
      <c r="AA591" s="4"/>
      <c r="AM591" s="4"/>
      <c r="AY591" s="4"/>
      <c r="BK591" s="4"/>
    </row>
    <row r="592" spans="3:63" ht="12.75" hidden="1" customHeight="1" x14ac:dyDescent="0.2">
      <c r="C592" s="4"/>
      <c r="O592" s="4"/>
      <c r="AA592" s="4"/>
      <c r="AM592" s="4"/>
      <c r="AY592" s="4"/>
      <c r="BK592" s="4"/>
    </row>
    <row r="593" spans="3:63" ht="12.75" hidden="1" customHeight="1" x14ac:dyDescent="0.2">
      <c r="C593" s="4"/>
      <c r="O593" s="4"/>
      <c r="AA593" s="4"/>
      <c r="AM593" s="4"/>
      <c r="AY593" s="4"/>
      <c r="BK593" s="4"/>
    </row>
    <row r="594" spans="3:63" ht="12.75" hidden="1" customHeight="1" x14ac:dyDescent="0.2">
      <c r="C594" s="4"/>
      <c r="O594" s="4"/>
      <c r="AA594" s="4"/>
      <c r="AM594" s="4"/>
      <c r="AY594" s="4"/>
      <c r="BK594" s="4"/>
    </row>
    <row r="595" spans="3:63" ht="12.75" hidden="1" customHeight="1" x14ac:dyDescent="0.2">
      <c r="C595" s="4"/>
      <c r="O595" s="4"/>
      <c r="AA595" s="4"/>
      <c r="AM595" s="4"/>
      <c r="AY595" s="4"/>
      <c r="BK595" s="4"/>
    </row>
    <row r="596" spans="3:63" ht="12.75" hidden="1" customHeight="1" x14ac:dyDescent="0.2">
      <c r="C596" s="4"/>
      <c r="O596" s="4"/>
      <c r="AA596" s="4"/>
      <c r="AM596" s="4"/>
      <c r="AY596" s="4"/>
      <c r="BK596" s="4"/>
    </row>
    <row r="597" spans="3:63" ht="12.75" hidden="1" customHeight="1" x14ac:dyDescent="0.2">
      <c r="C597" s="4"/>
      <c r="O597" s="4"/>
      <c r="AA597" s="4"/>
      <c r="AM597" s="4"/>
      <c r="AY597" s="4"/>
      <c r="BK597" s="4"/>
    </row>
    <row r="598" spans="3:63" ht="12.75" hidden="1" customHeight="1" x14ac:dyDescent="0.2">
      <c r="C598" s="4"/>
      <c r="O598" s="4"/>
      <c r="AA598" s="4"/>
      <c r="AM598" s="4"/>
      <c r="AY598" s="4"/>
      <c r="BK598" s="4"/>
    </row>
    <row r="599" spans="3:63" ht="12.75" hidden="1" customHeight="1" x14ac:dyDescent="0.2">
      <c r="C599" s="4"/>
      <c r="O599" s="4"/>
      <c r="AA599" s="4"/>
      <c r="AM599" s="4"/>
      <c r="AY599" s="4"/>
      <c r="BK599" s="4"/>
    </row>
    <row r="600" spans="3:63" ht="12.75" hidden="1" customHeight="1" x14ac:dyDescent="0.2">
      <c r="C600" s="4"/>
      <c r="O600" s="4"/>
      <c r="AA600" s="4"/>
      <c r="AM600" s="4"/>
      <c r="AY600" s="4"/>
      <c r="BK600" s="4"/>
    </row>
    <row r="601" spans="3:63" ht="12.75" hidden="1" customHeight="1" x14ac:dyDescent="0.2">
      <c r="C601" s="4"/>
      <c r="O601" s="4"/>
      <c r="AA601" s="4"/>
      <c r="AM601" s="4"/>
      <c r="AY601" s="4"/>
      <c r="BK601" s="4"/>
    </row>
    <row r="602" spans="3:63" ht="12.75" hidden="1" customHeight="1" x14ac:dyDescent="0.2">
      <c r="C602" s="4"/>
      <c r="O602" s="4"/>
      <c r="AA602" s="4"/>
      <c r="AM602" s="4"/>
      <c r="AY602" s="4"/>
      <c r="BK602" s="4"/>
    </row>
    <row r="603" spans="3:63" ht="12.75" hidden="1" customHeight="1" x14ac:dyDescent="0.2">
      <c r="C603" s="4"/>
      <c r="O603" s="4"/>
      <c r="AA603" s="4"/>
      <c r="AM603" s="4"/>
      <c r="AY603" s="4"/>
      <c r="BK603" s="4"/>
    </row>
    <row r="604" spans="3:63" ht="12.75" hidden="1" customHeight="1" x14ac:dyDescent="0.2">
      <c r="C604" s="4"/>
      <c r="O604" s="4"/>
      <c r="AA604" s="4"/>
      <c r="AM604" s="4"/>
      <c r="AY604" s="4"/>
      <c r="BK604" s="4"/>
    </row>
    <row r="605" spans="3:63" ht="12.75" hidden="1" customHeight="1" x14ac:dyDescent="0.2">
      <c r="C605" s="4"/>
      <c r="O605" s="4"/>
      <c r="AA605" s="4"/>
      <c r="AM605" s="4"/>
      <c r="AY605" s="4"/>
      <c r="BK605" s="4"/>
    </row>
    <row r="606" spans="3:63" ht="12.75" hidden="1" customHeight="1" x14ac:dyDescent="0.2">
      <c r="C606" s="4"/>
      <c r="O606" s="4"/>
      <c r="AA606" s="4"/>
      <c r="AM606" s="4"/>
      <c r="AY606" s="4"/>
      <c r="BK606" s="4"/>
    </row>
    <row r="607" spans="3:63" ht="12.75" hidden="1" customHeight="1" x14ac:dyDescent="0.2">
      <c r="C607" s="4"/>
      <c r="O607" s="4"/>
      <c r="AA607" s="4"/>
      <c r="AM607" s="4"/>
      <c r="AY607" s="4"/>
      <c r="BK607" s="4"/>
    </row>
    <row r="608" spans="3:63" ht="12.75" hidden="1" customHeight="1" x14ac:dyDescent="0.2">
      <c r="C608" s="4"/>
      <c r="O608" s="4"/>
      <c r="AA608" s="4"/>
      <c r="AM608" s="4"/>
      <c r="AY608" s="4"/>
      <c r="BK608" s="4"/>
    </row>
    <row r="609" spans="3:63" ht="12.75" hidden="1" customHeight="1" x14ac:dyDescent="0.2">
      <c r="C609" s="4"/>
      <c r="O609" s="4"/>
      <c r="AA609" s="4"/>
      <c r="AM609" s="4"/>
      <c r="AY609" s="4"/>
      <c r="BK609" s="4"/>
    </row>
    <row r="610" spans="3:63" ht="12.75" hidden="1" customHeight="1" x14ac:dyDescent="0.2">
      <c r="C610" s="4"/>
      <c r="O610" s="4"/>
      <c r="AA610" s="4"/>
      <c r="AM610" s="4"/>
      <c r="AY610" s="4"/>
      <c r="BK610" s="4"/>
    </row>
    <row r="611" spans="3:63" ht="12.75" hidden="1" customHeight="1" x14ac:dyDescent="0.2">
      <c r="C611" s="4"/>
      <c r="O611" s="4"/>
      <c r="AA611" s="4"/>
      <c r="AM611" s="4"/>
      <c r="AY611" s="4"/>
      <c r="BK611" s="4"/>
    </row>
    <row r="612" spans="3:63" ht="12.75" hidden="1" customHeight="1" x14ac:dyDescent="0.2">
      <c r="C612" s="4"/>
      <c r="O612" s="4"/>
      <c r="AA612" s="4"/>
      <c r="AM612" s="4"/>
      <c r="AY612" s="4"/>
      <c r="BK612" s="4"/>
    </row>
    <row r="613" spans="3:63" ht="12.75" hidden="1" customHeight="1" x14ac:dyDescent="0.2">
      <c r="C613" s="4"/>
      <c r="O613" s="4"/>
      <c r="AA613" s="4"/>
      <c r="AM613" s="4"/>
      <c r="AY613" s="4"/>
      <c r="BK613" s="4"/>
    </row>
    <row r="614" spans="3:63" ht="12.75" hidden="1" customHeight="1" x14ac:dyDescent="0.2">
      <c r="C614" s="4"/>
      <c r="O614" s="4"/>
      <c r="AA614" s="4"/>
      <c r="AM614" s="4"/>
      <c r="AY614" s="4"/>
      <c r="BK614" s="4"/>
    </row>
    <row r="615" spans="3:63" ht="12.75" hidden="1" customHeight="1" x14ac:dyDescent="0.2">
      <c r="C615" s="4"/>
      <c r="O615" s="4"/>
      <c r="AA615" s="4"/>
      <c r="AM615" s="4"/>
      <c r="AY615" s="4"/>
      <c r="BK615" s="4"/>
    </row>
    <row r="616" spans="3:63" ht="12.75" hidden="1" customHeight="1" x14ac:dyDescent="0.2">
      <c r="C616" s="4"/>
      <c r="O616" s="4"/>
      <c r="AA616" s="4"/>
      <c r="AM616" s="4"/>
      <c r="AY616" s="4"/>
      <c r="BK616" s="4"/>
    </row>
    <row r="617" spans="3:63" ht="12.75" hidden="1" customHeight="1" x14ac:dyDescent="0.2">
      <c r="C617" s="4"/>
      <c r="O617" s="4"/>
      <c r="AA617" s="4"/>
      <c r="AM617" s="4"/>
      <c r="AY617" s="4"/>
      <c r="BK617" s="4"/>
    </row>
    <row r="618" spans="3:63" ht="12.75" hidden="1" customHeight="1" x14ac:dyDescent="0.2">
      <c r="C618" s="4"/>
      <c r="O618" s="4"/>
      <c r="AA618" s="4"/>
      <c r="AM618" s="4"/>
      <c r="AY618" s="4"/>
      <c r="BK618" s="4"/>
    </row>
    <row r="619" spans="3:63" ht="12.75" hidden="1" customHeight="1" x14ac:dyDescent="0.2">
      <c r="C619" s="4"/>
      <c r="O619" s="4"/>
      <c r="AA619" s="4"/>
      <c r="AM619" s="4"/>
      <c r="AY619" s="4"/>
      <c r="BK619" s="4"/>
    </row>
    <row r="620" spans="3:63" ht="12.75" hidden="1" customHeight="1" x14ac:dyDescent="0.2">
      <c r="C620" s="4"/>
      <c r="O620" s="4"/>
      <c r="AA620" s="4"/>
      <c r="AM620" s="4"/>
      <c r="AY620" s="4"/>
      <c r="BK620" s="4"/>
    </row>
    <row r="621" spans="3:63" ht="12.75" hidden="1" customHeight="1" x14ac:dyDescent="0.2">
      <c r="C621" s="4"/>
      <c r="O621" s="4"/>
      <c r="AA621" s="4"/>
      <c r="AM621" s="4"/>
      <c r="AY621" s="4"/>
      <c r="BK621" s="4"/>
    </row>
    <row r="622" spans="3:63" ht="12.75" hidden="1" customHeight="1" x14ac:dyDescent="0.2">
      <c r="C622" s="4"/>
      <c r="O622" s="4"/>
      <c r="AA622" s="4"/>
      <c r="AM622" s="4"/>
      <c r="AY622" s="4"/>
      <c r="BK622" s="4"/>
    </row>
    <row r="623" spans="3:63" ht="12.75" hidden="1" customHeight="1" x14ac:dyDescent="0.2">
      <c r="C623" s="4"/>
      <c r="O623" s="4"/>
      <c r="AA623" s="4"/>
      <c r="AM623" s="4"/>
      <c r="AY623" s="4"/>
      <c r="BK623" s="4"/>
    </row>
    <row r="624" spans="3:63" ht="12.75" hidden="1" customHeight="1" x14ac:dyDescent="0.2">
      <c r="C624" s="4"/>
      <c r="O624" s="4"/>
      <c r="AA624" s="4"/>
      <c r="AM624" s="4"/>
      <c r="AY624" s="4"/>
      <c r="BK624" s="4"/>
    </row>
    <row r="625" spans="3:63" ht="12.75" hidden="1" customHeight="1" x14ac:dyDescent="0.2">
      <c r="C625" s="4"/>
      <c r="O625" s="4"/>
      <c r="AA625" s="4"/>
      <c r="AM625" s="4"/>
      <c r="AY625" s="4"/>
      <c r="BK625" s="4"/>
    </row>
    <row r="626" spans="3:63" ht="12.75" hidden="1" customHeight="1" x14ac:dyDescent="0.2">
      <c r="C626" s="4"/>
      <c r="O626" s="4"/>
      <c r="AA626" s="4"/>
      <c r="AM626" s="4"/>
      <c r="AY626" s="4"/>
      <c r="BK626" s="4"/>
    </row>
    <row r="627" spans="3:63" ht="12.75" hidden="1" customHeight="1" x14ac:dyDescent="0.2">
      <c r="C627" s="4"/>
      <c r="O627" s="4"/>
      <c r="AA627" s="4"/>
      <c r="AM627" s="4"/>
      <c r="AY627" s="4"/>
      <c r="BK627" s="4"/>
    </row>
    <row r="628" spans="3:63" ht="12.75" hidden="1" customHeight="1" x14ac:dyDescent="0.2">
      <c r="C628" s="4"/>
      <c r="O628" s="4"/>
      <c r="AA628" s="4"/>
      <c r="AM628" s="4"/>
      <c r="AY628" s="4"/>
      <c r="BK628" s="4"/>
    </row>
    <row r="629" spans="3:63" ht="12.75" hidden="1" customHeight="1" x14ac:dyDescent="0.2">
      <c r="C629" s="4"/>
      <c r="O629" s="4"/>
      <c r="AA629" s="4"/>
      <c r="AM629" s="4"/>
      <c r="AY629" s="4"/>
      <c r="BK629" s="4"/>
    </row>
    <row r="630" spans="3:63" ht="12.75" hidden="1" customHeight="1" x14ac:dyDescent="0.2">
      <c r="C630" s="4"/>
      <c r="O630" s="4"/>
      <c r="AA630" s="4"/>
      <c r="AM630" s="4"/>
      <c r="AY630" s="4"/>
      <c r="BK630" s="4"/>
    </row>
    <row r="631" spans="3:63" ht="12.75" hidden="1" customHeight="1" x14ac:dyDescent="0.2">
      <c r="C631" s="4"/>
      <c r="O631" s="4"/>
      <c r="AA631" s="4"/>
      <c r="AM631" s="4"/>
      <c r="AY631" s="4"/>
      <c r="BK631" s="4"/>
    </row>
    <row r="632" spans="3:63" ht="12.75" hidden="1" customHeight="1" x14ac:dyDescent="0.2">
      <c r="C632" s="4"/>
      <c r="O632" s="4"/>
      <c r="AA632" s="4"/>
      <c r="AM632" s="4"/>
      <c r="AY632" s="4"/>
      <c r="BK632" s="4"/>
    </row>
    <row r="633" spans="3:63" ht="12.75" hidden="1" customHeight="1" x14ac:dyDescent="0.2">
      <c r="C633" s="4"/>
      <c r="O633" s="4"/>
      <c r="AA633" s="4"/>
      <c r="AM633" s="4"/>
      <c r="AY633" s="4"/>
      <c r="BK633" s="4"/>
    </row>
    <row r="634" spans="3:63" ht="12.75" hidden="1" customHeight="1" x14ac:dyDescent="0.2">
      <c r="C634" s="4"/>
      <c r="O634" s="4"/>
      <c r="AA634" s="4"/>
      <c r="AM634" s="4"/>
      <c r="AY634" s="4"/>
      <c r="BK634" s="4"/>
    </row>
    <row r="635" spans="3:63" ht="12.75" hidden="1" customHeight="1" x14ac:dyDescent="0.2">
      <c r="C635" s="4"/>
      <c r="O635" s="4"/>
      <c r="AA635" s="4"/>
      <c r="AM635" s="4"/>
      <c r="AY635" s="4"/>
      <c r="BK635" s="4"/>
    </row>
    <row r="636" spans="3:63" ht="12.75" hidden="1" customHeight="1" x14ac:dyDescent="0.2">
      <c r="C636" s="4"/>
      <c r="O636" s="4"/>
      <c r="AA636" s="4"/>
      <c r="AM636" s="4"/>
      <c r="AY636" s="4"/>
      <c r="BK636" s="4"/>
    </row>
    <row r="637" spans="3:63" ht="12.75" hidden="1" customHeight="1" x14ac:dyDescent="0.2">
      <c r="C637" s="4"/>
      <c r="O637" s="4"/>
      <c r="AA637" s="4"/>
      <c r="AM637" s="4"/>
      <c r="AY637" s="4"/>
      <c r="BK637" s="4"/>
    </row>
    <row r="638" spans="3:63" ht="12.75" hidden="1" customHeight="1" x14ac:dyDescent="0.2">
      <c r="C638" s="4"/>
      <c r="O638" s="4"/>
      <c r="AA638" s="4"/>
      <c r="AM638" s="4"/>
      <c r="AY638" s="4"/>
      <c r="BK638" s="4"/>
    </row>
    <row r="639" spans="3:63" ht="12.75" hidden="1" customHeight="1" x14ac:dyDescent="0.2">
      <c r="C639" s="4"/>
      <c r="O639" s="4"/>
      <c r="AA639" s="4"/>
      <c r="AM639" s="4"/>
      <c r="AY639" s="4"/>
      <c r="BK639" s="4"/>
    </row>
    <row r="640" spans="3:63" ht="12.75" hidden="1" customHeight="1" x14ac:dyDescent="0.2">
      <c r="C640" s="4"/>
      <c r="O640" s="4"/>
      <c r="AA640" s="4"/>
      <c r="AM640" s="4"/>
      <c r="AY640" s="4"/>
      <c r="BK640" s="4"/>
    </row>
    <row r="641" spans="3:63" ht="12.75" hidden="1" customHeight="1" x14ac:dyDescent="0.2">
      <c r="C641" s="4"/>
      <c r="O641" s="4"/>
      <c r="AA641" s="4"/>
      <c r="AM641" s="4"/>
      <c r="AY641" s="4"/>
      <c r="BK641" s="4"/>
    </row>
    <row r="642" spans="3:63" ht="12.75" hidden="1" customHeight="1" x14ac:dyDescent="0.2">
      <c r="C642" s="4"/>
      <c r="O642" s="4"/>
      <c r="AA642" s="4"/>
      <c r="AM642" s="4"/>
      <c r="AY642" s="4"/>
      <c r="BK642" s="4"/>
    </row>
    <row r="643" spans="3:63" ht="12.75" hidden="1" customHeight="1" x14ac:dyDescent="0.2">
      <c r="C643" s="4"/>
      <c r="O643" s="4"/>
      <c r="AA643" s="4"/>
      <c r="AM643" s="4"/>
      <c r="AY643" s="4"/>
      <c r="BK643" s="4"/>
    </row>
    <row r="644" spans="3:63" ht="12.75" hidden="1" customHeight="1" x14ac:dyDescent="0.2">
      <c r="C644" s="4"/>
      <c r="O644" s="4"/>
      <c r="AA644" s="4"/>
      <c r="AM644" s="4"/>
      <c r="AY644" s="4"/>
      <c r="BK644" s="4"/>
    </row>
    <row r="645" spans="3:63" ht="12.75" hidden="1" customHeight="1" x14ac:dyDescent="0.2">
      <c r="C645" s="4"/>
      <c r="O645" s="4"/>
      <c r="AA645" s="4"/>
      <c r="AM645" s="4"/>
      <c r="AY645" s="4"/>
      <c r="BK645" s="4"/>
    </row>
    <row r="646" spans="3:63" ht="12.75" hidden="1" customHeight="1" x14ac:dyDescent="0.2">
      <c r="C646" s="4"/>
      <c r="O646" s="4"/>
      <c r="AA646" s="4"/>
      <c r="AM646" s="4"/>
      <c r="AY646" s="4"/>
      <c r="BK646" s="4"/>
    </row>
    <row r="647" spans="3:63" ht="12.75" hidden="1" customHeight="1" x14ac:dyDescent="0.2">
      <c r="C647" s="4"/>
      <c r="O647" s="4"/>
      <c r="AA647" s="4"/>
      <c r="AM647" s="4"/>
      <c r="AY647" s="4"/>
      <c r="BK647" s="4"/>
    </row>
    <row r="648" spans="3:63" ht="12.75" hidden="1" customHeight="1" x14ac:dyDescent="0.2">
      <c r="C648" s="4"/>
      <c r="O648" s="4"/>
      <c r="AA648" s="4"/>
      <c r="AM648" s="4"/>
      <c r="AY648" s="4"/>
      <c r="BK648" s="4"/>
    </row>
    <row r="649" spans="3:63" ht="12.75" hidden="1" customHeight="1" x14ac:dyDescent="0.2">
      <c r="C649" s="4"/>
      <c r="O649" s="4"/>
      <c r="AA649" s="4"/>
      <c r="AM649" s="4"/>
      <c r="AY649" s="4"/>
      <c r="BK649" s="4"/>
    </row>
    <row r="650" spans="3:63" ht="12.75" hidden="1" customHeight="1" x14ac:dyDescent="0.2">
      <c r="C650" s="4"/>
      <c r="O650" s="4"/>
      <c r="AA650" s="4"/>
      <c r="AM650" s="4"/>
      <c r="AY650" s="4"/>
      <c r="BK650" s="4"/>
    </row>
    <row r="651" spans="3:63" ht="12.75" hidden="1" customHeight="1" x14ac:dyDescent="0.2">
      <c r="C651" s="4"/>
      <c r="O651" s="4"/>
      <c r="AA651" s="4"/>
      <c r="AM651" s="4"/>
      <c r="AY651" s="4"/>
      <c r="BK651" s="4"/>
    </row>
    <row r="652" spans="3:63" ht="12.75" hidden="1" customHeight="1" x14ac:dyDescent="0.2">
      <c r="C652" s="4"/>
      <c r="O652" s="4"/>
      <c r="AA652" s="4"/>
      <c r="AM652" s="4"/>
      <c r="AY652" s="4"/>
      <c r="BK652" s="4"/>
    </row>
    <row r="653" spans="3:63" ht="12.75" hidden="1" customHeight="1" x14ac:dyDescent="0.2">
      <c r="C653" s="4"/>
      <c r="O653" s="4"/>
      <c r="AA653" s="4"/>
      <c r="AM653" s="4"/>
      <c r="AY653" s="4"/>
      <c r="BK653" s="4"/>
    </row>
    <row r="654" spans="3:63" ht="12.75" hidden="1" customHeight="1" x14ac:dyDescent="0.2">
      <c r="C654" s="4"/>
      <c r="O654" s="4"/>
      <c r="AA654" s="4"/>
      <c r="AM654" s="4"/>
      <c r="AY654" s="4"/>
      <c r="BK654" s="4"/>
    </row>
    <row r="655" spans="3:63" ht="12.75" hidden="1" customHeight="1" x14ac:dyDescent="0.2">
      <c r="C655" s="4"/>
      <c r="O655" s="4"/>
      <c r="AA655" s="4"/>
      <c r="AM655" s="4"/>
      <c r="AY655" s="4"/>
      <c r="BK655" s="4"/>
    </row>
    <row r="656" spans="3:63" ht="12.75" hidden="1" customHeight="1" x14ac:dyDescent="0.2">
      <c r="C656" s="4"/>
      <c r="O656" s="4"/>
      <c r="AA656" s="4"/>
      <c r="AM656" s="4"/>
      <c r="AY656" s="4"/>
      <c r="BK656" s="4"/>
    </row>
    <row r="657" spans="3:63" ht="12.75" hidden="1" customHeight="1" x14ac:dyDescent="0.2">
      <c r="C657" s="4"/>
      <c r="O657" s="4"/>
      <c r="AA657" s="4"/>
      <c r="AM657" s="4"/>
      <c r="AY657" s="4"/>
      <c r="BK657" s="4"/>
    </row>
    <row r="658" spans="3:63" ht="12.75" hidden="1" customHeight="1" x14ac:dyDescent="0.2">
      <c r="C658" s="4"/>
      <c r="O658" s="4"/>
      <c r="AA658" s="4"/>
      <c r="AM658" s="4"/>
      <c r="AY658" s="4"/>
      <c r="BK658" s="4"/>
    </row>
    <row r="659" spans="3:63" ht="12.75" hidden="1" customHeight="1" x14ac:dyDescent="0.2">
      <c r="C659" s="4"/>
      <c r="O659" s="4"/>
      <c r="AA659" s="4"/>
      <c r="AM659" s="4"/>
      <c r="AY659" s="4"/>
      <c r="BK659" s="4"/>
    </row>
    <row r="660" spans="3:63" ht="12.75" hidden="1" customHeight="1" x14ac:dyDescent="0.2">
      <c r="C660" s="4"/>
      <c r="O660" s="4"/>
      <c r="AA660" s="4"/>
      <c r="AM660" s="4"/>
      <c r="AY660" s="4"/>
      <c r="BK660" s="4"/>
    </row>
    <row r="661" spans="3:63" ht="12.75" hidden="1" customHeight="1" x14ac:dyDescent="0.2">
      <c r="C661" s="4"/>
      <c r="O661" s="4"/>
      <c r="AA661" s="4"/>
      <c r="AM661" s="4"/>
      <c r="AY661" s="4"/>
      <c r="BK661" s="4"/>
    </row>
    <row r="662" spans="3:63" ht="12.75" hidden="1" customHeight="1" x14ac:dyDescent="0.2">
      <c r="C662" s="4"/>
      <c r="O662" s="4"/>
      <c r="AA662" s="4"/>
      <c r="AM662" s="4"/>
      <c r="AY662" s="4"/>
      <c r="BK662" s="4"/>
    </row>
    <row r="663" spans="3:63" ht="12.75" hidden="1" customHeight="1" x14ac:dyDescent="0.2">
      <c r="C663" s="4"/>
      <c r="O663" s="4"/>
      <c r="AA663" s="4"/>
      <c r="AM663" s="4"/>
      <c r="AY663" s="4"/>
      <c r="BK663" s="4"/>
    </row>
    <row r="664" spans="3:63" ht="12.75" hidden="1" customHeight="1" x14ac:dyDescent="0.2">
      <c r="C664" s="4"/>
      <c r="O664" s="4"/>
      <c r="AA664" s="4"/>
      <c r="AM664" s="4"/>
      <c r="AY664" s="4"/>
      <c r="BK664" s="4"/>
    </row>
    <row r="665" spans="3:63" ht="12.75" hidden="1" customHeight="1" x14ac:dyDescent="0.2">
      <c r="C665" s="4"/>
      <c r="O665" s="4"/>
      <c r="AA665" s="4"/>
      <c r="AM665" s="4"/>
      <c r="AY665" s="4"/>
      <c r="BK665" s="4"/>
    </row>
    <row r="666" spans="3:63" ht="12.75" hidden="1" customHeight="1" x14ac:dyDescent="0.2">
      <c r="C666" s="4"/>
      <c r="O666" s="4"/>
      <c r="AA666" s="4"/>
      <c r="AM666" s="4"/>
      <c r="AY666" s="4"/>
      <c r="BK666" s="4"/>
    </row>
    <row r="667" spans="3:63" ht="12.75" hidden="1" customHeight="1" x14ac:dyDescent="0.2">
      <c r="C667" s="4"/>
      <c r="O667" s="4"/>
      <c r="AA667" s="4"/>
      <c r="AM667" s="4"/>
      <c r="AY667" s="4"/>
      <c r="BK667" s="4"/>
    </row>
    <row r="668" spans="3:63" ht="12.75" hidden="1" customHeight="1" x14ac:dyDescent="0.2">
      <c r="C668" s="4"/>
      <c r="O668" s="4"/>
      <c r="AA668" s="4"/>
      <c r="AM668" s="4"/>
      <c r="AY668" s="4"/>
      <c r="BK668" s="4"/>
    </row>
    <row r="669" spans="3:63" ht="12.75" hidden="1" customHeight="1" x14ac:dyDescent="0.2">
      <c r="C669" s="4"/>
      <c r="O669" s="4"/>
      <c r="AA669" s="4"/>
      <c r="AM669" s="4"/>
      <c r="AY669" s="4"/>
      <c r="BK669" s="4"/>
    </row>
    <row r="670" spans="3:63" ht="12.75" hidden="1" customHeight="1" x14ac:dyDescent="0.2">
      <c r="C670" s="4"/>
      <c r="O670" s="4"/>
      <c r="AA670" s="4"/>
      <c r="AM670" s="4"/>
      <c r="AY670" s="4"/>
      <c r="BK670" s="4"/>
    </row>
    <row r="671" spans="3:63" ht="12.75" hidden="1" customHeight="1" x14ac:dyDescent="0.2">
      <c r="C671" s="4"/>
      <c r="O671" s="4"/>
      <c r="AA671" s="4"/>
      <c r="AM671" s="4"/>
      <c r="AY671" s="4"/>
      <c r="BK671" s="4"/>
    </row>
    <row r="672" spans="3:63" ht="12.75" hidden="1" customHeight="1" x14ac:dyDescent="0.2">
      <c r="C672" s="4"/>
      <c r="O672" s="4"/>
      <c r="AA672" s="4"/>
      <c r="AM672" s="4"/>
      <c r="AY672" s="4"/>
      <c r="BK672" s="4"/>
    </row>
    <row r="673" spans="3:63" ht="12.75" hidden="1" customHeight="1" x14ac:dyDescent="0.2">
      <c r="C673" s="4"/>
      <c r="O673" s="4"/>
      <c r="AA673" s="4"/>
      <c r="AM673" s="4"/>
      <c r="AY673" s="4"/>
      <c r="BK673" s="4"/>
    </row>
    <row r="674" spans="3:63" ht="12.75" hidden="1" customHeight="1" x14ac:dyDescent="0.2">
      <c r="C674" s="4"/>
      <c r="O674" s="4"/>
      <c r="AA674" s="4"/>
      <c r="AM674" s="4"/>
      <c r="AY674" s="4"/>
      <c r="BK674" s="4"/>
    </row>
    <row r="675" spans="3:63" ht="12.75" hidden="1" customHeight="1" x14ac:dyDescent="0.2">
      <c r="C675" s="4"/>
      <c r="O675" s="4"/>
      <c r="AA675" s="4"/>
      <c r="AM675" s="4"/>
      <c r="AY675" s="4"/>
      <c r="BK675" s="4"/>
    </row>
    <row r="676" spans="3:63" ht="12.75" hidden="1" customHeight="1" x14ac:dyDescent="0.2">
      <c r="C676" s="4"/>
      <c r="O676" s="4"/>
      <c r="AA676" s="4"/>
      <c r="AM676" s="4"/>
      <c r="AY676" s="4"/>
      <c r="BK676" s="4"/>
    </row>
    <row r="677" spans="3:63" ht="12.75" hidden="1" customHeight="1" x14ac:dyDescent="0.2">
      <c r="C677" s="4"/>
      <c r="O677" s="4"/>
      <c r="AA677" s="4"/>
      <c r="AM677" s="4"/>
      <c r="AY677" s="4"/>
      <c r="BK677" s="4"/>
    </row>
    <row r="678" spans="3:63" ht="12.75" hidden="1" customHeight="1" x14ac:dyDescent="0.2">
      <c r="C678" s="4"/>
      <c r="O678" s="4"/>
      <c r="AA678" s="4"/>
      <c r="AM678" s="4"/>
      <c r="AY678" s="4"/>
      <c r="BK678" s="4"/>
    </row>
    <row r="679" spans="3:63" ht="12.75" hidden="1" customHeight="1" x14ac:dyDescent="0.2">
      <c r="C679" s="4"/>
      <c r="O679" s="4"/>
      <c r="AA679" s="4"/>
      <c r="AM679" s="4"/>
      <c r="AY679" s="4"/>
      <c r="BK679" s="4"/>
    </row>
    <row r="680" spans="3:63" ht="12.75" hidden="1" customHeight="1" x14ac:dyDescent="0.2">
      <c r="C680" s="4"/>
      <c r="O680" s="4"/>
      <c r="AA680" s="4"/>
      <c r="AM680" s="4"/>
      <c r="AY680" s="4"/>
      <c r="BK680" s="4"/>
    </row>
    <row r="681" spans="3:63" ht="12.75" hidden="1" customHeight="1" x14ac:dyDescent="0.2">
      <c r="C681" s="4"/>
      <c r="O681" s="4"/>
      <c r="AA681" s="4"/>
      <c r="AM681" s="4"/>
      <c r="AY681" s="4"/>
      <c r="BK681" s="4"/>
    </row>
    <row r="682" spans="3:63" ht="12.75" hidden="1" customHeight="1" x14ac:dyDescent="0.2">
      <c r="C682" s="4"/>
      <c r="O682" s="4"/>
      <c r="AA682" s="4"/>
      <c r="AM682" s="4"/>
      <c r="AY682" s="4"/>
      <c r="BK682" s="4"/>
    </row>
    <row r="683" spans="3:63" ht="12.75" hidden="1" customHeight="1" x14ac:dyDescent="0.2">
      <c r="C683" s="4"/>
      <c r="O683" s="4"/>
      <c r="AA683" s="4"/>
      <c r="AM683" s="4"/>
      <c r="AY683" s="4"/>
      <c r="BK683" s="4"/>
    </row>
    <row r="684" spans="3:63" ht="12.75" hidden="1" customHeight="1" x14ac:dyDescent="0.2">
      <c r="C684" s="4"/>
      <c r="O684" s="4"/>
      <c r="AA684" s="4"/>
      <c r="AM684" s="4"/>
      <c r="AY684" s="4"/>
      <c r="BK684" s="4"/>
    </row>
    <row r="685" spans="3:63" ht="12.75" hidden="1" customHeight="1" x14ac:dyDescent="0.2">
      <c r="C685" s="4"/>
      <c r="O685" s="4"/>
      <c r="AA685" s="4"/>
      <c r="AM685" s="4"/>
      <c r="AY685" s="4"/>
      <c r="BK685" s="4"/>
    </row>
    <row r="686" spans="3:63" ht="12.75" hidden="1" customHeight="1" x14ac:dyDescent="0.2">
      <c r="C686" s="4"/>
      <c r="O686" s="4"/>
      <c r="AA686" s="4"/>
      <c r="AM686" s="4"/>
      <c r="AY686" s="4"/>
      <c r="BK686" s="4"/>
    </row>
    <row r="687" spans="3:63" ht="12.75" hidden="1" customHeight="1" x14ac:dyDescent="0.2">
      <c r="C687" s="4"/>
      <c r="O687" s="4"/>
      <c r="AA687" s="4"/>
      <c r="AM687" s="4"/>
      <c r="AY687" s="4"/>
      <c r="BK687" s="4"/>
    </row>
    <row r="688" spans="3:63" ht="12.75" hidden="1" customHeight="1" x14ac:dyDescent="0.2">
      <c r="C688" s="4"/>
      <c r="O688" s="4"/>
      <c r="AA688" s="4"/>
      <c r="AM688" s="4"/>
      <c r="AY688" s="4"/>
      <c r="BK688" s="4"/>
    </row>
    <row r="689" spans="3:63" ht="12.75" hidden="1" customHeight="1" x14ac:dyDescent="0.2">
      <c r="C689" s="4"/>
      <c r="O689" s="4"/>
      <c r="AA689" s="4"/>
      <c r="AM689" s="4"/>
      <c r="AY689" s="4"/>
      <c r="BK689" s="4"/>
    </row>
    <row r="690" spans="3:63" ht="12.75" hidden="1" customHeight="1" x14ac:dyDescent="0.2">
      <c r="C690" s="4"/>
      <c r="O690" s="4"/>
      <c r="AA690" s="4"/>
      <c r="AM690" s="4"/>
      <c r="AY690" s="4"/>
      <c r="BK690" s="4"/>
    </row>
    <row r="691" spans="3:63" ht="12.75" hidden="1" customHeight="1" x14ac:dyDescent="0.2">
      <c r="C691" s="4"/>
      <c r="O691" s="4"/>
      <c r="AA691" s="4"/>
      <c r="AM691" s="4"/>
      <c r="AY691" s="4"/>
      <c r="BK691" s="4"/>
    </row>
    <row r="692" spans="3:63" ht="12.75" hidden="1" customHeight="1" x14ac:dyDescent="0.2">
      <c r="C692" s="4"/>
      <c r="O692" s="4"/>
      <c r="AA692" s="4"/>
      <c r="AM692" s="4"/>
      <c r="AY692" s="4"/>
      <c r="BK692" s="4"/>
    </row>
    <row r="693" spans="3:63" ht="12.75" hidden="1" customHeight="1" x14ac:dyDescent="0.2">
      <c r="C693" s="4"/>
      <c r="O693" s="4"/>
      <c r="AA693" s="4"/>
      <c r="AM693" s="4"/>
      <c r="AY693" s="4"/>
      <c r="BK693" s="4"/>
    </row>
    <row r="694" spans="3:63" ht="12.75" hidden="1" customHeight="1" x14ac:dyDescent="0.2">
      <c r="C694" s="4"/>
      <c r="O694" s="4"/>
      <c r="AA694" s="4"/>
      <c r="AM694" s="4"/>
      <c r="AY694" s="4"/>
      <c r="BK694" s="4"/>
    </row>
    <row r="695" spans="3:63" ht="12.75" hidden="1" customHeight="1" x14ac:dyDescent="0.2">
      <c r="C695" s="4"/>
      <c r="O695" s="4"/>
      <c r="AA695" s="4"/>
      <c r="AM695" s="4"/>
      <c r="AY695" s="4"/>
      <c r="BK695" s="4"/>
    </row>
    <row r="696" spans="3:63" ht="12.75" hidden="1" customHeight="1" x14ac:dyDescent="0.2">
      <c r="C696" s="4"/>
      <c r="O696" s="4"/>
      <c r="AA696" s="4"/>
      <c r="AM696" s="4"/>
      <c r="AY696" s="4"/>
      <c r="BK696" s="4"/>
    </row>
    <row r="697" spans="3:63" ht="12.75" hidden="1" customHeight="1" x14ac:dyDescent="0.2">
      <c r="C697" s="4"/>
      <c r="O697" s="4"/>
      <c r="AA697" s="4"/>
      <c r="AM697" s="4"/>
      <c r="AY697" s="4"/>
      <c r="BK697" s="4"/>
    </row>
    <row r="698" spans="3:63" ht="12.75" hidden="1" customHeight="1" x14ac:dyDescent="0.2">
      <c r="C698" s="4"/>
      <c r="O698" s="4"/>
      <c r="AA698" s="4"/>
      <c r="AM698" s="4"/>
      <c r="AY698" s="4"/>
      <c r="BK698" s="4"/>
    </row>
    <row r="699" spans="3:63" ht="12.75" hidden="1" customHeight="1" x14ac:dyDescent="0.2">
      <c r="C699" s="4"/>
      <c r="O699" s="4"/>
      <c r="AA699" s="4"/>
      <c r="AM699" s="4"/>
      <c r="AY699" s="4"/>
      <c r="BK699" s="4"/>
    </row>
    <row r="700" spans="3:63" ht="12.75" hidden="1" customHeight="1" x14ac:dyDescent="0.2">
      <c r="C700" s="4"/>
      <c r="O700" s="4"/>
      <c r="AA700" s="4"/>
      <c r="AM700" s="4"/>
      <c r="AY700" s="4"/>
      <c r="BK700" s="4"/>
    </row>
    <row r="701" spans="3:63" ht="12.75" hidden="1" customHeight="1" x14ac:dyDescent="0.2">
      <c r="C701" s="4"/>
      <c r="O701" s="4"/>
      <c r="AA701" s="4"/>
      <c r="AM701" s="4"/>
      <c r="AY701" s="4"/>
      <c r="BK701" s="4"/>
    </row>
    <row r="702" spans="3:63" ht="12.75" hidden="1" customHeight="1" x14ac:dyDescent="0.2">
      <c r="C702" s="4"/>
      <c r="O702" s="4"/>
      <c r="AA702" s="4"/>
      <c r="AM702" s="4"/>
      <c r="AY702" s="4"/>
      <c r="BK702" s="4"/>
    </row>
    <row r="703" spans="3:63" ht="12.75" hidden="1" customHeight="1" x14ac:dyDescent="0.2">
      <c r="C703" s="4"/>
      <c r="O703" s="4"/>
      <c r="AA703" s="4"/>
      <c r="AM703" s="4"/>
      <c r="AY703" s="4"/>
      <c r="BK703" s="4"/>
    </row>
    <row r="704" spans="3:63" ht="12.75" hidden="1" customHeight="1" x14ac:dyDescent="0.2">
      <c r="C704" s="4"/>
      <c r="O704" s="4"/>
      <c r="AA704" s="4"/>
      <c r="AM704" s="4"/>
      <c r="AY704" s="4"/>
      <c r="BK704" s="4"/>
    </row>
    <row r="705" spans="3:63" ht="12.75" hidden="1" customHeight="1" x14ac:dyDescent="0.2">
      <c r="C705" s="4"/>
      <c r="O705" s="4"/>
      <c r="AA705" s="4"/>
      <c r="AM705" s="4"/>
      <c r="AY705" s="4"/>
      <c r="BK705" s="4"/>
    </row>
    <row r="706" spans="3:63" ht="12.75" hidden="1" customHeight="1" x14ac:dyDescent="0.2">
      <c r="C706" s="4"/>
      <c r="O706" s="4"/>
      <c r="AA706" s="4"/>
      <c r="AM706" s="4"/>
      <c r="AY706" s="4"/>
      <c r="BK706" s="4"/>
    </row>
    <row r="707" spans="3:63" ht="12.75" hidden="1" customHeight="1" x14ac:dyDescent="0.2">
      <c r="C707" s="4"/>
      <c r="O707" s="4"/>
      <c r="AA707" s="4"/>
      <c r="AM707" s="4"/>
      <c r="AY707" s="4"/>
      <c r="BK707" s="4"/>
    </row>
    <row r="708" spans="3:63" ht="12.75" hidden="1" customHeight="1" x14ac:dyDescent="0.2">
      <c r="C708" s="4"/>
      <c r="O708" s="4"/>
      <c r="AA708" s="4"/>
      <c r="AM708" s="4"/>
      <c r="AY708" s="4"/>
      <c r="BK708" s="4"/>
    </row>
    <row r="709" spans="3:63" ht="12.75" hidden="1" customHeight="1" x14ac:dyDescent="0.2">
      <c r="C709" s="4"/>
      <c r="O709" s="4"/>
      <c r="AA709" s="4"/>
      <c r="AM709" s="4"/>
      <c r="AY709" s="4"/>
      <c r="BK709" s="4"/>
    </row>
    <row r="710" spans="3:63" ht="12.75" hidden="1" customHeight="1" x14ac:dyDescent="0.2">
      <c r="C710" s="4"/>
      <c r="O710" s="4"/>
      <c r="AA710" s="4"/>
      <c r="AM710" s="4"/>
      <c r="AY710" s="4"/>
      <c r="BK710" s="4"/>
    </row>
    <row r="711" spans="3:63" ht="12.75" hidden="1" customHeight="1" x14ac:dyDescent="0.2">
      <c r="C711" s="4"/>
      <c r="O711" s="4"/>
      <c r="AA711" s="4"/>
      <c r="AM711" s="4"/>
      <c r="AY711" s="4"/>
      <c r="BK711" s="4"/>
    </row>
    <row r="712" spans="3:63" ht="12.75" hidden="1" customHeight="1" x14ac:dyDescent="0.2">
      <c r="C712" s="4"/>
      <c r="O712" s="4"/>
      <c r="AA712" s="4"/>
      <c r="AM712" s="4"/>
      <c r="AY712" s="4"/>
      <c r="BK712" s="4"/>
    </row>
    <row r="713" spans="3:63" ht="12.75" hidden="1" customHeight="1" x14ac:dyDescent="0.2">
      <c r="C713" s="4"/>
      <c r="O713" s="4"/>
      <c r="AA713" s="4"/>
      <c r="AM713" s="4"/>
      <c r="AY713" s="4"/>
      <c r="BK713" s="4"/>
    </row>
    <row r="714" spans="3:63" ht="12.75" hidden="1" customHeight="1" x14ac:dyDescent="0.2">
      <c r="C714" s="4"/>
      <c r="O714" s="4"/>
      <c r="AA714" s="4"/>
      <c r="AM714" s="4"/>
      <c r="AY714" s="4"/>
      <c r="BK714" s="4"/>
    </row>
    <row r="715" spans="3:63" ht="12.75" hidden="1" customHeight="1" x14ac:dyDescent="0.2">
      <c r="C715" s="4"/>
      <c r="O715" s="4"/>
      <c r="AA715" s="4"/>
      <c r="AM715" s="4"/>
      <c r="AY715" s="4"/>
      <c r="BK715" s="4"/>
    </row>
    <row r="716" spans="3:63" ht="12.75" hidden="1" customHeight="1" x14ac:dyDescent="0.2">
      <c r="C716" s="4"/>
      <c r="O716" s="4"/>
      <c r="AA716" s="4"/>
      <c r="AM716" s="4"/>
      <c r="AY716" s="4"/>
      <c r="BK716" s="4"/>
    </row>
    <row r="717" spans="3:63" ht="12.75" hidden="1" customHeight="1" x14ac:dyDescent="0.2">
      <c r="C717" s="4"/>
      <c r="O717" s="4"/>
      <c r="AA717" s="4"/>
      <c r="AM717" s="4"/>
      <c r="AY717" s="4"/>
      <c r="BK717" s="4"/>
    </row>
    <row r="718" spans="3:63" ht="12.75" hidden="1" customHeight="1" x14ac:dyDescent="0.2">
      <c r="C718" s="4"/>
      <c r="O718" s="4"/>
      <c r="AA718" s="4"/>
      <c r="AM718" s="4"/>
      <c r="AY718" s="4"/>
      <c r="BK718" s="4"/>
    </row>
    <row r="719" spans="3:63" ht="12.75" hidden="1" customHeight="1" x14ac:dyDescent="0.2">
      <c r="C719" s="4"/>
      <c r="O719" s="4"/>
      <c r="AA719" s="4"/>
      <c r="AM719" s="4"/>
      <c r="AY719" s="4"/>
      <c r="BK719" s="4"/>
    </row>
    <row r="720" spans="3:63" ht="12.75" hidden="1" customHeight="1" x14ac:dyDescent="0.2">
      <c r="C720" s="4"/>
      <c r="O720" s="4"/>
      <c r="AA720" s="4"/>
      <c r="AM720" s="4"/>
      <c r="AY720" s="4"/>
      <c r="BK720" s="4"/>
    </row>
    <row r="721" spans="3:63" ht="12.75" hidden="1" customHeight="1" x14ac:dyDescent="0.2">
      <c r="C721" s="4"/>
      <c r="O721" s="4"/>
      <c r="AA721" s="4"/>
      <c r="AM721" s="4"/>
      <c r="AY721" s="4"/>
      <c r="BK721" s="4"/>
    </row>
    <row r="722" spans="3:63" ht="12.75" hidden="1" customHeight="1" x14ac:dyDescent="0.2">
      <c r="C722" s="4"/>
      <c r="O722" s="4"/>
      <c r="AA722" s="4"/>
      <c r="AM722" s="4"/>
      <c r="AY722" s="4"/>
      <c r="BK722" s="4"/>
    </row>
    <row r="723" spans="3:63" ht="12.75" hidden="1" customHeight="1" x14ac:dyDescent="0.2">
      <c r="C723" s="4"/>
      <c r="O723" s="4"/>
      <c r="AA723" s="4"/>
      <c r="AM723" s="4"/>
      <c r="AY723" s="4"/>
      <c r="BK723" s="4"/>
    </row>
    <row r="724" spans="3:63" ht="12.75" hidden="1" customHeight="1" x14ac:dyDescent="0.2">
      <c r="C724" s="4"/>
      <c r="O724" s="4"/>
      <c r="AA724" s="4"/>
      <c r="AM724" s="4"/>
      <c r="AY724" s="4"/>
      <c r="BK724" s="4"/>
    </row>
    <row r="725" spans="3:63" ht="12.75" hidden="1" customHeight="1" x14ac:dyDescent="0.2">
      <c r="C725" s="4"/>
      <c r="O725" s="4"/>
      <c r="AA725" s="4"/>
      <c r="AM725" s="4"/>
      <c r="AY725" s="4"/>
      <c r="BK725" s="4"/>
    </row>
    <row r="726" spans="3:63" ht="12.75" hidden="1" customHeight="1" x14ac:dyDescent="0.2">
      <c r="C726" s="4"/>
      <c r="O726" s="4"/>
      <c r="AA726" s="4"/>
      <c r="AM726" s="4"/>
      <c r="AY726" s="4"/>
      <c r="BK726" s="4"/>
    </row>
    <row r="727" spans="3:63" ht="12.75" hidden="1" customHeight="1" x14ac:dyDescent="0.2">
      <c r="C727" s="4"/>
      <c r="O727" s="4"/>
      <c r="AA727" s="4"/>
      <c r="AM727" s="4"/>
      <c r="AY727" s="4"/>
      <c r="BK727" s="4"/>
    </row>
    <row r="728" spans="3:63" ht="12.75" hidden="1" customHeight="1" x14ac:dyDescent="0.2">
      <c r="C728" s="4"/>
      <c r="O728" s="4"/>
      <c r="AA728" s="4"/>
      <c r="AM728" s="4"/>
      <c r="AY728" s="4"/>
      <c r="BK728" s="4"/>
    </row>
    <row r="729" spans="3:63" ht="12.75" hidden="1" customHeight="1" x14ac:dyDescent="0.2">
      <c r="C729" s="4"/>
      <c r="O729" s="4"/>
      <c r="AA729" s="4"/>
      <c r="AM729" s="4"/>
      <c r="AY729" s="4"/>
      <c r="BK729" s="4"/>
    </row>
    <row r="730" spans="3:63" ht="12.75" hidden="1" customHeight="1" x14ac:dyDescent="0.2">
      <c r="C730" s="4"/>
      <c r="O730" s="4"/>
      <c r="AA730" s="4"/>
      <c r="AM730" s="4"/>
      <c r="AY730" s="4"/>
      <c r="BK730" s="4"/>
    </row>
    <row r="731" spans="3:63" ht="12.75" hidden="1" customHeight="1" x14ac:dyDescent="0.2">
      <c r="C731" s="4"/>
      <c r="O731" s="4"/>
      <c r="AA731" s="4"/>
      <c r="AM731" s="4"/>
      <c r="AY731" s="4"/>
      <c r="BK731" s="4"/>
    </row>
    <row r="732" spans="3:63" ht="12.75" hidden="1" customHeight="1" x14ac:dyDescent="0.2">
      <c r="C732" s="4"/>
      <c r="O732" s="4"/>
      <c r="AA732" s="4"/>
      <c r="AM732" s="4"/>
      <c r="AY732" s="4"/>
      <c r="BK732" s="4"/>
    </row>
    <row r="733" spans="3:63" ht="12.75" hidden="1" customHeight="1" x14ac:dyDescent="0.2">
      <c r="C733" s="4"/>
      <c r="O733" s="4"/>
      <c r="AA733" s="4"/>
      <c r="AM733" s="4"/>
      <c r="AY733" s="4"/>
      <c r="BK733" s="4"/>
    </row>
    <row r="734" spans="3:63" ht="12.75" hidden="1" customHeight="1" x14ac:dyDescent="0.2">
      <c r="C734" s="4"/>
      <c r="O734" s="4"/>
      <c r="AA734" s="4"/>
      <c r="AM734" s="4"/>
      <c r="AY734" s="4"/>
      <c r="BK734" s="4"/>
    </row>
    <row r="735" spans="3:63" ht="12.75" hidden="1" customHeight="1" x14ac:dyDescent="0.2">
      <c r="C735" s="4"/>
      <c r="O735" s="4"/>
      <c r="AA735" s="4"/>
      <c r="AM735" s="4"/>
      <c r="AY735" s="4"/>
      <c r="BK735" s="4"/>
    </row>
    <row r="736" spans="3:63" ht="12.75" hidden="1" customHeight="1" x14ac:dyDescent="0.2">
      <c r="C736" s="4"/>
      <c r="O736" s="4"/>
      <c r="AA736" s="4"/>
      <c r="AM736" s="4"/>
      <c r="AY736" s="4"/>
      <c r="BK736" s="4"/>
    </row>
    <row r="737" spans="3:63" ht="12.75" hidden="1" customHeight="1" x14ac:dyDescent="0.2">
      <c r="C737" s="4"/>
      <c r="O737" s="4"/>
      <c r="AA737" s="4"/>
      <c r="AM737" s="4"/>
      <c r="AY737" s="4"/>
      <c r="BK737" s="4"/>
    </row>
    <row r="738" spans="3:63" ht="12.75" hidden="1" customHeight="1" x14ac:dyDescent="0.2">
      <c r="C738" s="4"/>
      <c r="O738" s="4"/>
      <c r="AA738" s="4"/>
      <c r="AM738" s="4"/>
      <c r="AY738" s="4"/>
      <c r="BK738" s="4"/>
    </row>
    <row r="739" spans="3:63" ht="12.75" hidden="1" customHeight="1" x14ac:dyDescent="0.2">
      <c r="C739" s="4"/>
      <c r="O739" s="4"/>
      <c r="AA739" s="4"/>
      <c r="AM739" s="4"/>
      <c r="AY739" s="4"/>
      <c r="BK739" s="4"/>
    </row>
    <row r="740" spans="3:63" ht="12.75" hidden="1" customHeight="1" x14ac:dyDescent="0.2">
      <c r="C740" s="4"/>
      <c r="O740" s="4"/>
      <c r="AA740" s="4"/>
      <c r="AM740" s="4"/>
      <c r="AY740" s="4"/>
      <c r="BK740" s="4"/>
    </row>
    <row r="741" spans="3:63" ht="12.75" hidden="1" customHeight="1" x14ac:dyDescent="0.2">
      <c r="C741" s="4"/>
      <c r="O741" s="4"/>
      <c r="AA741" s="4"/>
      <c r="AM741" s="4"/>
      <c r="AY741" s="4"/>
      <c r="BK741" s="4"/>
    </row>
    <row r="742" spans="3:63" ht="12.75" hidden="1" customHeight="1" x14ac:dyDescent="0.2">
      <c r="C742" s="4"/>
      <c r="O742" s="4"/>
      <c r="AA742" s="4"/>
      <c r="AM742" s="4"/>
      <c r="AY742" s="4"/>
      <c r="BK742" s="4"/>
    </row>
    <row r="743" spans="3:63" ht="12.75" hidden="1" customHeight="1" x14ac:dyDescent="0.2">
      <c r="C743" s="4"/>
      <c r="O743" s="4"/>
      <c r="AA743" s="4"/>
      <c r="AM743" s="4"/>
      <c r="AY743" s="4"/>
      <c r="BK743" s="4"/>
    </row>
    <row r="744" spans="3:63" ht="12.75" hidden="1" customHeight="1" x14ac:dyDescent="0.2">
      <c r="C744" s="4"/>
      <c r="O744" s="4"/>
      <c r="AA744" s="4"/>
      <c r="AM744" s="4"/>
      <c r="AY744" s="4"/>
      <c r="BK744" s="4"/>
    </row>
    <row r="745" spans="3:63" ht="12.75" hidden="1" customHeight="1" x14ac:dyDescent="0.2">
      <c r="C745" s="4"/>
      <c r="O745" s="4"/>
      <c r="AA745" s="4"/>
      <c r="AM745" s="4"/>
      <c r="AY745" s="4"/>
      <c r="BK745" s="4"/>
    </row>
    <row r="746" spans="3:63" ht="12.75" hidden="1" customHeight="1" x14ac:dyDescent="0.2">
      <c r="C746" s="4"/>
      <c r="O746" s="4"/>
      <c r="AA746" s="4"/>
      <c r="AM746" s="4"/>
      <c r="AY746" s="4"/>
      <c r="BK746" s="4"/>
    </row>
    <row r="747" spans="3:63" ht="12.75" hidden="1" customHeight="1" x14ac:dyDescent="0.2">
      <c r="C747" s="4"/>
      <c r="O747" s="4"/>
      <c r="AA747" s="4"/>
      <c r="AM747" s="4"/>
      <c r="AY747" s="4"/>
      <c r="BK747" s="4"/>
    </row>
    <row r="748" spans="3:63" ht="12.75" hidden="1" customHeight="1" x14ac:dyDescent="0.2">
      <c r="C748" s="4"/>
      <c r="O748" s="4"/>
      <c r="AA748" s="4"/>
      <c r="AM748" s="4"/>
      <c r="AY748" s="4"/>
      <c r="BK748" s="4"/>
    </row>
    <row r="749" spans="3:63" ht="12.75" hidden="1" customHeight="1" x14ac:dyDescent="0.2">
      <c r="C749" s="4"/>
      <c r="O749" s="4"/>
      <c r="AA749" s="4"/>
      <c r="AM749" s="4"/>
      <c r="AY749" s="4"/>
      <c r="BK749" s="4"/>
    </row>
    <row r="750" spans="3:63" ht="12.75" hidden="1" customHeight="1" x14ac:dyDescent="0.2">
      <c r="C750" s="4"/>
      <c r="O750" s="4"/>
      <c r="AA750" s="4"/>
      <c r="AM750" s="4"/>
      <c r="AY750" s="4"/>
      <c r="BK750" s="4"/>
    </row>
    <row r="751" spans="3:63" ht="12.75" hidden="1" customHeight="1" x14ac:dyDescent="0.2">
      <c r="C751" s="4"/>
      <c r="O751" s="4"/>
      <c r="AA751" s="4"/>
      <c r="AM751" s="4"/>
      <c r="AY751" s="4"/>
      <c r="BK751" s="4"/>
    </row>
    <row r="752" spans="3:63" ht="12.75" hidden="1" customHeight="1" x14ac:dyDescent="0.2">
      <c r="C752" s="4"/>
      <c r="O752" s="4"/>
      <c r="AA752" s="4"/>
      <c r="AM752" s="4"/>
      <c r="AY752" s="4"/>
      <c r="BK752" s="4"/>
    </row>
    <row r="753" spans="3:63" ht="12.75" hidden="1" customHeight="1" x14ac:dyDescent="0.2">
      <c r="C753" s="4"/>
      <c r="O753" s="4"/>
      <c r="AA753" s="4"/>
      <c r="AM753" s="4"/>
      <c r="AY753" s="4"/>
      <c r="BK753" s="4"/>
    </row>
    <row r="754" spans="3:63" ht="12.75" hidden="1" customHeight="1" x14ac:dyDescent="0.2">
      <c r="C754" s="4"/>
      <c r="O754" s="4"/>
      <c r="AA754" s="4"/>
      <c r="AM754" s="4"/>
      <c r="AY754" s="4"/>
      <c r="BK754" s="4"/>
    </row>
    <row r="755" spans="3:63" ht="12.75" hidden="1" customHeight="1" x14ac:dyDescent="0.2">
      <c r="C755" s="4"/>
      <c r="O755" s="4"/>
      <c r="AA755" s="4"/>
      <c r="AM755" s="4"/>
      <c r="AY755" s="4"/>
      <c r="BK755" s="4"/>
    </row>
    <row r="756" spans="3:63" ht="12.75" hidden="1" customHeight="1" x14ac:dyDescent="0.2">
      <c r="C756" s="4"/>
      <c r="O756" s="4"/>
      <c r="AA756" s="4"/>
      <c r="AM756" s="4"/>
      <c r="AY756" s="4"/>
      <c r="BK756" s="4"/>
    </row>
    <row r="757" spans="3:63" ht="12.75" hidden="1" customHeight="1" x14ac:dyDescent="0.2">
      <c r="C757" s="4"/>
      <c r="O757" s="4"/>
      <c r="AA757" s="4"/>
      <c r="AM757" s="4"/>
      <c r="AY757" s="4"/>
      <c r="BK757" s="4"/>
    </row>
    <row r="758" spans="3:63" ht="12.75" hidden="1" customHeight="1" x14ac:dyDescent="0.2">
      <c r="C758" s="4"/>
      <c r="O758" s="4"/>
      <c r="AA758" s="4"/>
      <c r="AM758" s="4"/>
      <c r="AY758" s="4"/>
      <c r="BK758" s="4"/>
    </row>
    <row r="759" spans="3:63" ht="12.75" hidden="1" customHeight="1" x14ac:dyDescent="0.2">
      <c r="C759" s="4"/>
      <c r="O759" s="4"/>
      <c r="AA759" s="4"/>
      <c r="AM759" s="4"/>
      <c r="AY759" s="4"/>
      <c r="BK759" s="4"/>
    </row>
    <row r="760" spans="3:63" ht="12.75" hidden="1" customHeight="1" x14ac:dyDescent="0.2">
      <c r="C760" s="4"/>
      <c r="O760" s="4"/>
      <c r="AA760" s="4"/>
      <c r="AM760" s="4"/>
      <c r="AY760" s="4"/>
      <c r="BK760" s="4"/>
    </row>
    <row r="761" spans="3:63" ht="12.75" hidden="1" customHeight="1" x14ac:dyDescent="0.2">
      <c r="C761" s="4"/>
      <c r="O761" s="4"/>
      <c r="AA761" s="4"/>
      <c r="AM761" s="4"/>
      <c r="AY761" s="4"/>
      <c r="BK761" s="4"/>
    </row>
    <row r="762" spans="3:63" ht="12.75" hidden="1" customHeight="1" x14ac:dyDescent="0.2">
      <c r="C762" s="4"/>
      <c r="O762" s="4"/>
      <c r="AA762" s="4"/>
      <c r="AM762" s="4"/>
      <c r="AY762" s="4"/>
      <c r="BK762" s="4"/>
    </row>
    <row r="763" spans="3:63" ht="12.75" hidden="1" customHeight="1" x14ac:dyDescent="0.2">
      <c r="C763" s="4"/>
      <c r="O763" s="4"/>
      <c r="AA763" s="4"/>
      <c r="AM763" s="4"/>
      <c r="AY763" s="4"/>
      <c r="BK763" s="4"/>
    </row>
    <row r="764" spans="3:63" ht="12.75" hidden="1" customHeight="1" x14ac:dyDescent="0.2">
      <c r="C764" s="4"/>
      <c r="O764" s="4"/>
      <c r="AA764" s="4"/>
      <c r="AM764" s="4"/>
      <c r="AY764" s="4"/>
      <c r="BK764" s="4"/>
    </row>
    <row r="765" spans="3:63" ht="12.75" hidden="1" customHeight="1" x14ac:dyDescent="0.2">
      <c r="C765" s="4"/>
      <c r="O765" s="4"/>
      <c r="AA765" s="4"/>
      <c r="AM765" s="4"/>
      <c r="AY765" s="4"/>
      <c r="BK765" s="4"/>
    </row>
    <row r="766" spans="3:63" ht="12.75" hidden="1" customHeight="1" x14ac:dyDescent="0.2">
      <c r="C766" s="4"/>
      <c r="O766" s="4"/>
      <c r="AA766" s="4"/>
      <c r="AM766" s="4"/>
      <c r="AY766" s="4"/>
      <c r="BK766" s="4"/>
    </row>
    <row r="767" spans="3:63" ht="12.75" hidden="1" customHeight="1" x14ac:dyDescent="0.2">
      <c r="C767" s="4"/>
      <c r="O767" s="4"/>
      <c r="AA767" s="4"/>
      <c r="AM767" s="4"/>
      <c r="AY767" s="4"/>
      <c r="BK767" s="4"/>
    </row>
    <row r="768" spans="3:63" ht="12.75" hidden="1" customHeight="1" x14ac:dyDescent="0.2">
      <c r="C768" s="4"/>
      <c r="O768" s="4"/>
      <c r="AA768" s="4"/>
      <c r="AM768" s="4"/>
      <c r="AY768" s="4"/>
      <c r="BK768" s="4"/>
    </row>
    <row r="769" spans="3:63" ht="12.75" hidden="1" customHeight="1" x14ac:dyDescent="0.2">
      <c r="C769" s="4"/>
      <c r="O769" s="4"/>
      <c r="AA769" s="4"/>
      <c r="AM769" s="4"/>
      <c r="AY769" s="4"/>
      <c r="BK769" s="4"/>
    </row>
    <row r="770" spans="3:63" ht="12.75" hidden="1" customHeight="1" x14ac:dyDescent="0.2">
      <c r="C770" s="4"/>
      <c r="O770" s="4"/>
      <c r="AA770" s="4"/>
      <c r="AM770" s="4"/>
      <c r="AY770" s="4"/>
      <c r="BK770" s="4"/>
    </row>
    <row r="771" spans="3:63" ht="12.75" hidden="1" customHeight="1" x14ac:dyDescent="0.2">
      <c r="C771" s="4"/>
      <c r="O771" s="4"/>
      <c r="AA771" s="4"/>
      <c r="AM771" s="4"/>
      <c r="AY771" s="4"/>
      <c r="BK771" s="4"/>
    </row>
    <row r="772" spans="3:63" ht="12.75" hidden="1" customHeight="1" x14ac:dyDescent="0.2">
      <c r="C772" s="4"/>
      <c r="O772" s="4"/>
      <c r="AA772" s="4"/>
      <c r="AM772" s="4"/>
      <c r="AY772" s="4"/>
      <c r="BK772" s="4"/>
    </row>
    <row r="773" spans="3:63" ht="12.75" hidden="1" customHeight="1" x14ac:dyDescent="0.2">
      <c r="C773" s="4"/>
      <c r="O773" s="4"/>
      <c r="AA773" s="4"/>
      <c r="AM773" s="4"/>
      <c r="AY773" s="4"/>
      <c r="BK773" s="4"/>
    </row>
    <row r="774" spans="3:63" ht="12.75" hidden="1" customHeight="1" x14ac:dyDescent="0.2">
      <c r="C774" s="4"/>
      <c r="O774" s="4"/>
      <c r="AA774" s="4"/>
      <c r="AM774" s="4"/>
      <c r="AY774" s="4"/>
      <c r="BK774" s="4"/>
    </row>
    <row r="775" spans="3:63" ht="12.75" hidden="1" customHeight="1" x14ac:dyDescent="0.2">
      <c r="C775" s="4"/>
      <c r="O775" s="4"/>
      <c r="AA775" s="4"/>
      <c r="AM775" s="4"/>
      <c r="AY775" s="4"/>
      <c r="BK775" s="4"/>
    </row>
    <row r="776" spans="3:63" ht="12.75" hidden="1" customHeight="1" x14ac:dyDescent="0.2">
      <c r="C776" s="4"/>
      <c r="O776" s="4"/>
      <c r="AA776" s="4"/>
      <c r="AM776" s="4"/>
      <c r="AY776" s="4"/>
      <c r="BK776" s="4"/>
    </row>
    <row r="777" spans="3:63" ht="12.75" hidden="1" customHeight="1" x14ac:dyDescent="0.2">
      <c r="C777" s="4"/>
      <c r="O777" s="4"/>
      <c r="AA777" s="4"/>
      <c r="AM777" s="4"/>
      <c r="AY777" s="4"/>
      <c r="BK777" s="4"/>
    </row>
    <row r="778" spans="3:63" ht="12.75" hidden="1" customHeight="1" x14ac:dyDescent="0.2">
      <c r="C778" s="4"/>
      <c r="O778" s="4"/>
      <c r="AA778" s="4"/>
      <c r="AM778" s="4"/>
      <c r="AY778" s="4"/>
      <c r="BK778" s="4"/>
    </row>
    <row r="779" spans="3:63" ht="12.75" hidden="1" customHeight="1" x14ac:dyDescent="0.2">
      <c r="C779" s="4"/>
      <c r="O779" s="4"/>
      <c r="AA779" s="4"/>
      <c r="AM779" s="4"/>
      <c r="AY779" s="4"/>
      <c r="BK779" s="4"/>
    </row>
    <row r="780" spans="3:63" ht="12.75" hidden="1" customHeight="1" x14ac:dyDescent="0.2">
      <c r="C780" s="4"/>
      <c r="O780" s="4"/>
      <c r="AA780" s="4"/>
      <c r="AM780" s="4"/>
      <c r="AY780" s="4"/>
      <c r="BK780" s="4"/>
    </row>
    <row r="781" spans="3:63" ht="12.75" hidden="1" customHeight="1" x14ac:dyDescent="0.2">
      <c r="C781" s="4"/>
      <c r="O781" s="4"/>
      <c r="AA781" s="4"/>
      <c r="AM781" s="4"/>
      <c r="AY781" s="4"/>
      <c r="BK781" s="4"/>
    </row>
    <row r="782" spans="3:63" ht="12.75" hidden="1" customHeight="1" x14ac:dyDescent="0.2">
      <c r="C782" s="4"/>
      <c r="O782" s="4"/>
      <c r="AA782" s="4"/>
      <c r="AM782" s="4"/>
      <c r="AY782" s="4"/>
      <c r="BK782" s="4"/>
    </row>
    <row r="783" spans="3:63" ht="12.75" hidden="1" customHeight="1" x14ac:dyDescent="0.2">
      <c r="C783" s="4"/>
      <c r="O783" s="4"/>
      <c r="AA783" s="4"/>
      <c r="AM783" s="4"/>
      <c r="AY783" s="4"/>
      <c r="BK783" s="4"/>
    </row>
    <row r="784" spans="3:63" ht="12.75" hidden="1" customHeight="1" x14ac:dyDescent="0.2">
      <c r="C784" s="4"/>
      <c r="O784" s="4"/>
      <c r="AA784" s="4"/>
      <c r="AM784" s="4"/>
      <c r="AY784" s="4"/>
      <c r="BK784" s="4"/>
    </row>
    <row r="785" spans="3:63" ht="12.75" hidden="1" customHeight="1" x14ac:dyDescent="0.2">
      <c r="C785" s="4"/>
      <c r="O785" s="4"/>
      <c r="AA785" s="4"/>
      <c r="AM785" s="4"/>
      <c r="AY785" s="4"/>
      <c r="BK785" s="4"/>
    </row>
    <row r="786" spans="3:63" ht="12.75" hidden="1" customHeight="1" x14ac:dyDescent="0.2">
      <c r="C786" s="4"/>
      <c r="O786" s="4"/>
      <c r="AA786" s="4"/>
      <c r="AM786" s="4"/>
      <c r="AY786" s="4"/>
      <c r="BK786" s="4"/>
    </row>
    <row r="787" spans="3:63" ht="12.75" hidden="1" customHeight="1" x14ac:dyDescent="0.2">
      <c r="C787" s="4"/>
      <c r="O787" s="4"/>
      <c r="AA787" s="4"/>
      <c r="AM787" s="4"/>
      <c r="AY787" s="4"/>
      <c r="BK787" s="4"/>
    </row>
    <row r="788" spans="3:63" ht="12.75" hidden="1" customHeight="1" x14ac:dyDescent="0.2">
      <c r="C788" s="4"/>
      <c r="O788" s="4"/>
      <c r="AA788" s="4"/>
      <c r="AM788" s="4"/>
      <c r="AY788" s="4"/>
      <c r="BK788" s="4"/>
    </row>
    <row r="789" spans="3:63" ht="12.75" hidden="1" customHeight="1" x14ac:dyDescent="0.2">
      <c r="C789" s="4"/>
      <c r="O789" s="4"/>
      <c r="AA789" s="4"/>
      <c r="AM789" s="4"/>
      <c r="AY789" s="4"/>
      <c r="BK789" s="4"/>
    </row>
    <row r="790" spans="3:63" ht="12.75" hidden="1" customHeight="1" x14ac:dyDescent="0.2">
      <c r="C790" s="4"/>
      <c r="O790" s="4"/>
      <c r="AA790" s="4"/>
      <c r="AM790" s="4"/>
      <c r="AY790" s="4"/>
      <c r="BK790" s="4"/>
    </row>
    <row r="791" spans="3:63" ht="12.75" hidden="1" customHeight="1" x14ac:dyDescent="0.2">
      <c r="C791" s="4"/>
      <c r="O791" s="4"/>
      <c r="AA791" s="4"/>
      <c r="AM791" s="4"/>
      <c r="AY791" s="4"/>
      <c r="BK791" s="4"/>
    </row>
    <row r="792" spans="3:63" ht="12.75" hidden="1" customHeight="1" x14ac:dyDescent="0.2">
      <c r="C792" s="4"/>
      <c r="O792" s="4"/>
      <c r="AA792" s="4"/>
      <c r="AM792" s="4"/>
      <c r="AY792" s="4"/>
      <c r="BK792" s="4"/>
    </row>
    <row r="793" spans="3:63" ht="12.75" hidden="1" customHeight="1" x14ac:dyDescent="0.2">
      <c r="C793" s="4"/>
      <c r="O793" s="4"/>
      <c r="AA793" s="4"/>
      <c r="AM793" s="4"/>
      <c r="AY793" s="4"/>
      <c r="BK793" s="4"/>
    </row>
    <row r="794" spans="3:63" ht="12.75" hidden="1" customHeight="1" x14ac:dyDescent="0.2">
      <c r="C794" s="4"/>
      <c r="O794" s="4"/>
      <c r="AA794" s="4"/>
      <c r="AM794" s="4"/>
      <c r="AY794" s="4"/>
      <c r="BK794" s="4"/>
    </row>
    <row r="795" spans="3:63" ht="12.75" hidden="1" customHeight="1" x14ac:dyDescent="0.2">
      <c r="C795" s="4"/>
      <c r="O795" s="4"/>
      <c r="AA795" s="4"/>
      <c r="AM795" s="4"/>
      <c r="AY795" s="4"/>
      <c r="BK795" s="4"/>
    </row>
    <row r="796" spans="3:63" ht="12.75" hidden="1" customHeight="1" x14ac:dyDescent="0.2">
      <c r="C796" s="4"/>
      <c r="O796" s="4"/>
      <c r="AA796" s="4"/>
      <c r="AM796" s="4"/>
      <c r="AY796" s="4"/>
      <c r="BK796" s="4"/>
    </row>
    <row r="797" spans="3:63" ht="12.75" hidden="1" customHeight="1" x14ac:dyDescent="0.2">
      <c r="C797" s="4"/>
      <c r="O797" s="4"/>
      <c r="AA797" s="4"/>
      <c r="AM797" s="4"/>
      <c r="AY797" s="4"/>
      <c r="BK797" s="4"/>
    </row>
    <row r="798" spans="3:63" ht="12.75" hidden="1" customHeight="1" x14ac:dyDescent="0.2">
      <c r="C798" s="4"/>
      <c r="O798" s="4"/>
      <c r="AA798" s="4"/>
      <c r="AM798" s="4"/>
      <c r="AY798" s="4"/>
      <c r="BK798" s="4"/>
    </row>
    <row r="799" spans="3:63" ht="12.75" hidden="1" customHeight="1" x14ac:dyDescent="0.2">
      <c r="C799" s="4"/>
      <c r="O799" s="4"/>
      <c r="AA799" s="4"/>
      <c r="AM799" s="4"/>
      <c r="AY799" s="4"/>
      <c r="BK799" s="4"/>
    </row>
    <row r="800" spans="3:63" ht="12.75" hidden="1" customHeight="1" x14ac:dyDescent="0.2">
      <c r="C800" s="4"/>
      <c r="O800" s="4"/>
      <c r="AA800" s="4"/>
      <c r="AM800" s="4"/>
      <c r="AY800" s="4"/>
      <c r="BK800" s="4"/>
    </row>
    <row r="801" spans="3:63" ht="12.75" hidden="1" customHeight="1" x14ac:dyDescent="0.2">
      <c r="C801" s="4"/>
      <c r="O801" s="4"/>
      <c r="AA801" s="4"/>
      <c r="AM801" s="4"/>
      <c r="AY801" s="4"/>
      <c r="BK801" s="4"/>
    </row>
    <row r="802" spans="3:63" ht="12.75" hidden="1" customHeight="1" x14ac:dyDescent="0.2">
      <c r="C802" s="4"/>
      <c r="O802" s="4"/>
      <c r="AA802" s="4"/>
      <c r="AM802" s="4"/>
      <c r="AY802" s="4"/>
      <c r="BK802" s="4"/>
    </row>
    <row r="803" spans="3:63" ht="12.75" hidden="1" customHeight="1" x14ac:dyDescent="0.2">
      <c r="C803" s="4"/>
      <c r="O803" s="4"/>
      <c r="AA803" s="4"/>
      <c r="AM803" s="4"/>
      <c r="AY803" s="4"/>
      <c r="BK803" s="4"/>
    </row>
    <row r="804" spans="3:63" ht="12.75" hidden="1" customHeight="1" x14ac:dyDescent="0.2">
      <c r="C804" s="4"/>
      <c r="O804" s="4"/>
      <c r="AA804" s="4"/>
      <c r="AM804" s="4"/>
      <c r="AY804" s="4"/>
      <c r="BK804" s="4"/>
    </row>
    <row r="805" spans="3:63" ht="12.75" hidden="1" customHeight="1" x14ac:dyDescent="0.2">
      <c r="C805" s="4"/>
      <c r="O805" s="4"/>
      <c r="AA805" s="4"/>
      <c r="AM805" s="4"/>
      <c r="AY805" s="4"/>
      <c r="BK805" s="4"/>
    </row>
    <row r="806" spans="3:63" ht="12.75" hidden="1" customHeight="1" x14ac:dyDescent="0.2">
      <c r="C806" s="4"/>
      <c r="O806" s="4"/>
      <c r="AA806" s="4"/>
      <c r="AM806" s="4"/>
      <c r="AY806" s="4"/>
      <c r="BK806" s="4"/>
    </row>
    <row r="807" spans="3:63" ht="12.75" hidden="1" customHeight="1" x14ac:dyDescent="0.2">
      <c r="C807" s="4"/>
      <c r="O807" s="4"/>
      <c r="AA807" s="4"/>
      <c r="AM807" s="4"/>
      <c r="AY807" s="4"/>
      <c r="BK807" s="4"/>
    </row>
    <row r="808" spans="3:63" ht="12.75" hidden="1" customHeight="1" x14ac:dyDescent="0.2">
      <c r="C808" s="4"/>
      <c r="O808" s="4"/>
      <c r="AA808" s="4"/>
      <c r="AM808" s="4"/>
      <c r="AY808" s="4"/>
      <c r="BK808" s="4"/>
    </row>
    <row r="809" spans="3:63" ht="12.75" hidden="1" customHeight="1" x14ac:dyDescent="0.2">
      <c r="C809" s="4"/>
      <c r="O809" s="4"/>
      <c r="AA809" s="4"/>
      <c r="AM809" s="4"/>
      <c r="AY809" s="4"/>
      <c r="BK809" s="4"/>
    </row>
    <row r="810" spans="3:63" ht="12.75" hidden="1" customHeight="1" x14ac:dyDescent="0.2">
      <c r="C810" s="4"/>
      <c r="O810" s="4"/>
      <c r="AA810" s="4"/>
      <c r="AM810" s="4"/>
      <c r="AY810" s="4"/>
      <c r="BK810" s="4"/>
    </row>
    <row r="811" spans="3:63" ht="12.75" hidden="1" customHeight="1" x14ac:dyDescent="0.2">
      <c r="C811" s="4"/>
      <c r="O811" s="4"/>
      <c r="AA811" s="4"/>
      <c r="AM811" s="4"/>
      <c r="AY811" s="4"/>
      <c r="BK811" s="4"/>
    </row>
    <row r="812" spans="3:63" ht="12.75" hidden="1" customHeight="1" x14ac:dyDescent="0.2">
      <c r="C812" s="4"/>
      <c r="O812" s="4"/>
      <c r="AA812" s="4"/>
      <c r="AM812" s="4"/>
      <c r="AY812" s="4"/>
      <c r="BK812" s="4"/>
    </row>
    <row r="813" spans="3:63" ht="12.75" hidden="1" customHeight="1" x14ac:dyDescent="0.2">
      <c r="C813" s="4"/>
      <c r="O813" s="4"/>
      <c r="AA813" s="4"/>
      <c r="AM813" s="4"/>
      <c r="AY813" s="4"/>
      <c r="BK813" s="4"/>
    </row>
    <row r="814" spans="3:63" ht="12.75" hidden="1" customHeight="1" x14ac:dyDescent="0.2">
      <c r="C814" s="4"/>
      <c r="O814" s="4"/>
      <c r="AA814" s="4"/>
      <c r="AM814" s="4"/>
      <c r="AY814" s="4"/>
      <c r="BK814" s="4"/>
    </row>
    <row r="815" spans="3:63" ht="12.75" hidden="1" customHeight="1" x14ac:dyDescent="0.2">
      <c r="C815" s="4"/>
      <c r="O815" s="4"/>
      <c r="AA815" s="4"/>
      <c r="AM815" s="4"/>
      <c r="AY815" s="4"/>
      <c r="BK815" s="4"/>
    </row>
    <row r="816" spans="3:63" ht="12.75" hidden="1" customHeight="1" x14ac:dyDescent="0.2">
      <c r="C816" s="4"/>
      <c r="O816" s="4"/>
      <c r="AA816" s="4"/>
      <c r="AM816" s="4"/>
      <c r="AY816" s="4"/>
      <c r="BK816" s="4"/>
    </row>
    <row r="817" spans="3:63" ht="12.75" hidden="1" customHeight="1" x14ac:dyDescent="0.2">
      <c r="C817" s="4"/>
      <c r="O817" s="4"/>
      <c r="AA817" s="4"/>
      <c r="AM817" s="4"/>
      <c r="AY817" s="4"/>
      <c r="BK817" s="4"/>
    </row>
    <row r="818" spans="3:63" ht="12.75" hidden="1" customHeight="1" x14ac:dyDescent="0.2">
      <c r="C818" s="4"/>
      <c r="O818" s="4"/>
      <c r="AA818" s="4"/>
      <c r="AM818" s="4"/>
      <c r="AY818" s="4"/>
      <c r="BK818" s="4"/>
    </row>
    <row r="819" spans="3:63" ht="12.75" hidden="1" customHeight="1" x14ac:dyDescent="0.2">
      <c r="C819" s="4"/>
      <c r="O819" s="4"/>
      <c r="AA819" s="4"/>
      <c r="AM819" s="4"/>
      <c r="AY819" s="4"/>
      <c r="BK819" s="4"/>
    </row>
    <row r="820" spans="3:63" ht="12.75" hidden="1" customHeight="1" x14ac:dyDescent="0.2">
      <c r="C820" s="4"/>
      <c r="O820" s="4"/>
      <c r="AA820" s="4"/>
      <c r="AM820" s="4"/>
      <c r="AY820" s="4"/>
      <c r="BK820" s="4"/>
    </row>
    <row r="821" spans="3:63" ht="12.75" hidden="1" customHeight="1" x14ac:dyDescent="0.2">
      <c r="C821" s="4"/>
      <c r="O821" s="4"/>
      <c r="AA821" s="4"/>
      <c r="AM821" s="4"/>
      <c r="AY821" s="4"/>
      <c r="BK821" s="4"/>
    </row>
    <row r="822" spans="3:63" ht="12.75" hidden="1" customHeight="1" x14ac:dyDescent="0.2">
      <c r="C822" s="4"/>
      <c r="O822" s="4"/>
      <c r="AA822" s="4"/>
      <c r="AM822" s="4"/>
      <c r="AY822" s="4"/>
      <c r="BK822" s="4"/>
    </row>
    <row r="823" spans="3:63" ht="12.75" hidden="1" customHeight="1" x14ac:dyDescent="0.2">
      <c r="C823" s="4"/>
      <c r="O823" s="4"/>
      <c r="AA823" s="4"/>
      <c r="AM823" s="4"/>
      <c r="AY823" s="4"/>
      <c r="BK823" s="4"/>
    </row>
    <row r="824" spans="3:63" ht="12.75" hidden="1" customHeight="1" x14ac:dyDescent="0.2">
      <c r="C824" s="4"/>
      <c r="O824" s="4"/>
      <c r="AA824" s="4"/>
      <c r="AM824" s="4"/>
      <c r="AY824" s="4"/>
      <c r="BK824" s="4"/>
    </row>
    <row r="825" spans="3:63" ht="12.75" hidden="1" customHeight="1" x14ac:dyDescent="0.2">
      <c r="C825" s="4"/>
      <c r="O825" s="4"/>
      <c r="AA825" s="4"/>
      <c r="AM825" s="4"/>
      <c r="AY825" s="4"/>
      <c r="BK825" s="4"/>
    </row>
    <row r="826" spans="3:63" ht="12.75" hidden="1" customHeight="1" x14ac:dyDescent="0.2">
      <c r="C826" s="4"/>
      <c r="O826" s="4"/>
      <c r="AA826" s="4"/>
      <c r="AM826" s="4"/>
      <c r="AY826" s="4"/>
      <c r="BK826" s="4"/>
    </row>
    <row r="827" spans="3:63" ht="12.75" hidden="1" customHeight="1" x14ac:dyDescent="0.2">
      <c r="C827" s="4"/>
      <c r="O827" s="4"/>
      <c r="AA827" s="4"/>
      <c r="AM827" s="4"/>
      <c r="AY827" s="4"/>
      <c r="BK827" s="4"/>
    </row>
    <row r="828" spans="3:63" ht="12.75" hidden="1" customHeight="1" x14ac:dyDescent="0.2">
      <c r="C828" s="4"/>
      <c r="O828" s="4"/>
      <c r="AA828" s="4"/>
      <c r="AM828" s="4"/>
      <c r="AY828" s="4"/>
      <c r="BK828" s="4"/>
    </row>
    <row r="829" spans="3:63" ht="12.75" hidden="1" customHeight="1" x14ac:dyDescent="0.2">
      <c r="C829" s="4"/>
      <c r="O829" s="4"/>
      <c r="AA829" s="4"/>
      <c r="AM829" s="4"/>
      <c r="AY829" s="4"/>
      <c r="BK829" s="4"/>
    </row>
    <row r="830" spans="3:63" ht="12.75" hidden="1" customHeight="1" x14ac:dyDescent="0.2">
      <c r="C830" s="4"/>
      <c r="O830" s="4"/>
      <c r="AA830" s="4"/>
      <c r="AM830" s="4"/>
      <c r="AY830" s="4"/>
      <c r="BK830" s="4"/>
    </row>
    <row r="831" spans="3:63" ht="12.75" hidden="1" customHeight="1" x14ac:dyDescent="0.2">
      <c r="C831" s="4"/>
      <c r="O831" s="4"/>
      <c r="AA831" s="4"/>
      <c r="AM831" s="4"/>
      <c r="AY831" s="4"/>
      <c r="BK831" s="4"/>
    </row>
    <row r="832" spans="3:63" ht="12.75" hidden="1" customHeight="1" x14ac:dyDescent="0.2">
      <c r="C832" s="4"/>
      <c r="O832" s="4"/>
      <c r="AA832" s="4"/>
      <c r="AM832" s="4"/>
      <c r="AY832" s="4"/>
      <c r="BK832" s="4"/>
    </row>
    <row r="833" spans="3:63" ht="12.75" hidden="1" customHeight="1" x14ac:dyDescent="0.2">
      <c r="C833" s="4"/>
      <c r="O833" s="4"/>
      <c r="AA833" s="4"/>
      <c r="AM833" s="4"/>
      <c r="AY833" s="4"/>
      <c r="BK833" s="4"/>
    </row>
    <row r="834" spans="3:63" ht="12.75" hidden="1" customHeight="1" x14ac:dyDescent="0.2">
      <c r="C834" s="4"/>
      <c r="O834" s="4"/>
      <c r="AA834" s="4"/>
      <c r="AM834" s="4"/>
      <c r="AY834" s="4"/>
      <c r="BK834" s="4"/>
    </row>
    <row r="835" spans="3:63" ht="12.75" hidden="1" customHeight="1" x14ac:dyDescent="0.2">
      <c r="C835" s="4"/>
      <c r="O835" s="4"/>
      <c r="AA835" s="4"/>
      <c r="AM835" s="4"/>
      <c r="AY835" s="4"/>
      <c r="BK835" s="4"/>
    </row>
    <row r="836" spans="3:63" ht="12.75" hidden="1" customHeight="1" x14ac:dyDescent="0.2">
      <c r="C836" s="4"/>
      <c r="O836" s="4"/>
      <c r="AA836" s="4"/>
      <c r="AM836" s="4"/>
      <c r="AY836" s="4"/>
      <c r="BK836" s="4"/>
    </row>
    <row r="837" spans="3:63" ht="12.75" hidden="1" customHeight="1" x14ac:dyDescent="0.2">
      <c r="C837" s="4"/>
      <c r="O837" s="4"/>
      <c r="AA837" s="4"/>
      <c r="AM837" s="4"/>
      <c r="AY837" s="4"/>
      <c r="BK837" s="4"/>
    </row>
    <row r="838" spans="3:63" ht="12.75" hidden="1" customHeight="1" x14ac:dyDescent="0.2">
      <c r="C838" s="4"/>
      <c r="O838" s="4"/>
      <c r="AA838" s="4"/>
      <c r="AM838" s="4"/>
      <c r="AY838" s="4"/>
      <c r="BK838" s="4"/>
    </row>
    <row r="839" spans="3:63" ht="12.75" hidden="1" customHeight="1" x14ac:dyDescent="0.2">
      <c r="C839" s="4"/>
      <c r="O839" s="4"/>
      <c r="AA839" s="4"/>
      <c r="AM839" s="4"/>
      <c r="AY839" s="4"/>
      <c r="BK839" s="4"/>
    </row>
    <row r="840" spans="3:63" ht="12.75" hidden="1" customHeight="1" x14ac:dyDescent="0.2">
      <c r="C840" s="4"/>
      <c r="O840" s="4"/>
      <c r="AA840" s="4"/>
      <c r="AM840" s="4"/>
      <c r="AY840" s="4"/>
      <c r="BK840" s="4"/>
    </row>
    <row r="841" spans="3:63" ht="12.75" hidden="1" customHeight="1" x14ac:dyDescent="0.2">
      <c r="C841" s="4"/>
      <c r="O841" s="4"/>
      <c r="AA841" s="4"/>
      <c r="AM841" s="4"/>
      <c r="AY841" s="4"/>
      <c r="BK841" s="4"/>
    </row>
    <row r="842" spans="3:63" ht="12.75" hidden="1" customHeight="1" x14ac:dyDescent="0.2">
      <c r="C842" s="4"/>
      <c r="O842" s="4"/>
      <c r="AA842" s="4"/>
      <c r="AM842" s="4"/>
      <c r="AY842" s="4"/>
      <c r="BK842" s="4"/>
    </row>
    <row r="843" spans="3:63" ht="12.75" hidden="1" customHeight="1" x14ac:dyDescent="0.2">
      <c r="C843" s="4"/>
      <c r="O843" s="4"/>
      <c r="AA843" s="4"/>
      <c r="AM843" s="4"/>
      <c r="AY843" s="4"/>
      <c r="BK843" s="4"/>
    </row>
    <row r="844" spans="3:63" ht="12.75" hidden="1" customHeight="1" x14ac:dyDescent="0.2">
      <c r="C844" s="4"/>
      <c r="O844" s="4"/>
      <c r="AA844" s="4"/>
      <c r="AM844" s="4"/>
      <c r="AY844" s="4"/>
      <c r="BK844" s="4"/>
    </row>
    <row r="845" spans="3:63" ht="12.75" hidden="1" customHeight="1" x14ac:dyDescent="0.2">
      <c r="C845" s="4"/>
      <c r="O845" s="4"/>
      <c r="AA845" s="4"/>
      <c r="AM845" s="4"/>
      <c r="AY845" s="4"/>
      <c r="BK845" s="4"/>
    </row>
    <row r="846" spans="3:63" ht="12.75" hidden="1" customHeight="1" x14ac:dyDescent="0.2">
      <c r="C846" s="4"/>
      <c r="O846" s="4"/>
      <c r="AA846" s="4"/>
      <c r="AM846" s="4"/>
      <c r="AY846" s="4"/>
      <c r="BK846" s="4"/>
    </row>
    <row r="847" spans="3:63" ht="12.75" hidden="1" customHeight="1" x14ac:dyDescent="0.2">
      <c r="C847" s="4"/>
      <c r="O847" s="4"/>
      <c r="AA847" s="4"/>
      <c r="AM847" s="4"/>
      <c r="AY847" s="4"/>
      <c r="BK847" s="4"/>
    </row>
    <row r="848" spans="3:63" ht="12.75" hidden="1" customHeight="1" x14ac:dyDescent="0.2">
      <c r="C848" s="4"/>
      <c r="O848" s="4"/>
      <c r="AA848" s="4"/>
      <c r="AM848" s="4"/>
      <c r="AY848" s="4"/>
      <c r="BK848" s="4"/>
    </row>
    <row r="849" spans="3:63" ht="12.75" hidden="1" customHeight="1" x14ac:dyDescent="0.2">
      <c r="C849" s="4"/>
      <c r="O849" s="4"/>
      <c r="AA849" s="4"/>
      <c r="AM849" s="4"/>
      <c r="AY849" s="4"/>
      <c r="BK849" s="4"/>
    </row>
    <row r="850" spans="3:63" ht="12.75" hidden="1" customHeight="1" x14ac:dyDescent="0.2">
      <c r="C850" s="4"/>
      <c r="O850" s="4"/>
      <c r="AA850" s="4"/>
      <c r="AM850" s="4"/>
      <c r="AY850" s="4"/>
      <c r="BK850" s="4"/>
    </row>
    <row r="851" spans="3:63" ht="12.75" hidden="1" customHeight="1" x14ac:dyDescent="0.2">
      <c r="C851" s="4"/>
      <c r="O851" s="4"/>
      <c r="AA851" s="4"/>
      <c r="AM851" s="4"/>
      <c r="AY851" s="4"/>
      <c r="BK851" s="4"/>
    </row>
    <row r="852" spans="3:63" ht="12.75" hidden="1" customHeight="1" x14ac:dyDescent="0.2">
      <c r="C852" s="4"/>
      <c r="O852" s="4"/>
      <c r="AA852" s="4"/>
      <c r="AM852" s="4"/>
      <c r="AY852" s="4"/>
      <c r="BK852" s="4"/>
    </row>
    <row r="853" spans="3:63" ht="12.75" hidden="1" customHeight="1" x14ac:dyDescent="0.2">
      <c r="C853" s="4"/>
      <c r="O853" s="4"/>
      <c r="AA853" s="4"/>
      <c r="AM853" s="4"/>
      <c r="AY853" s="4"/>
      <c r="BK853" s="4"/>
    </row>
    <row r="854" spans="3:63" ht="12.75" hidden="1" customHeight="1" x14ac:dyDescent="0.2">
      <c r="C854" s="4"/>
      <c r="O854" s="4"/>
      <c r="AA854" s="4"/>
      <c r="AM854" s="4"/>
      <c r="AY854" s="4"/>
      <c r="BK854" s="4"/>
    </row>
    <row r="855" spans="3:63" ht="12.75" hidden="1" customHeight="1" x14ac:dyDescent="0.2">
      <c r="C855" s="4"/>
      <c r="O855" s="4"/>
      <c r="AA855" s="4"/>
      <c r="AM855" s="4"/>
      <c r="AY855" s="4"/>
      <c r="BK855" s="4"/>
    </row>
    <row r="856" spans="3:63" ht="12.75" hidden="1" customHeight="1" x14ac:dyDescent="0.2">
      <c r="C856" s="4"/>
      <c r="O856" s="4"/>
      <c r="AA856" s="4"/>
      <c r="AM856" s="4"/>
      <c r="AY856" s="4"/>
      <c r="BK856" s="4"/>
    </row>
    <row r="857" spans="3:63" ht="12.75" hidden="1" customHeight="1" x14ac:dyDescent="0.2">
      <c r="C857" s="4"/>
      <c r="O857" s="4"/>
      <c r="AA857" s="4"/>
      <c r="AM857" s="4"/>
      <c r="AY857" s="4"/>
      <c r="BK857" s="4"/>
    </row>
    <row r="858" spans="3:63" ht="12.75" hidden="1" customHeight="1" x14ac:dyDescent="0.2">
      <c r="C858" s="4"/>
      <c r="O858" s="4"/>
      <c r="AA858" s="4"/>
      <c r="AM858" s="4"/>
      <c r="AY858" s="4"/>
      <c r="BK858" s="4"/>
    </row>
    <row r="859" spans="3:63" ht="12.75" hidden="1" customHeight="1" x14ac:dyDescent="0.2">
      <c r="C859" s="4"/>
      <c r="O859" s="4"/>
      <c r="AA859" s="4"/>
      <c r="AM859" s="4"/>
      <c r="AY859" s="4"/>
      <c r="BK859" s="4"/>
    </row>
    <row r="860" spans="3:63" ht="12.75" hidden="1" customHeight="1" x14ac:dyDescent="0.2">
      <c r="C860" s="4"/>
      <c r="O860" s="4"/>
      <c r="AA860" s="4"/>
      <c r="AM860" s="4"/>
      <c r="AY860" s="4"/>
      <c r="BK860" s="4"/>
    </row>
    <row r="861" spans="3:63" ht="12.75" hidden="1" customHeight="1" x14ac:dyDescent="0.2">
      <c r="C861" s="4"/>
      <c r="O861" s="4"/>
      <c r="AA861" s="4"/>
      <c r="AM861" s="4"/>
      <c r="AY861" s="4"/>
      <c r="BK861" s="4"/>
    </row>
    <row r="862" spans="3:63" ht="12.75" hidden="1" customHeight="1" x14ac:dyDescent="0.2">
      <c r="C862" s="4"/>
      <c r="O862" s="4"/>
      <c r="AA862" s="4"/>
      <c r="AM862" s="4"/>
      <c r="AY862" s="4"/>
      <c r="BK862" s="4"/>
    </row>
    <row r="863" spans="3:63" ht="12.75" hidden="1" customHeight="1" x14ac:dyDescent="0.2">
      <c r="C863" s="4"/>
      <c r="O863" s="4"/>
      <c r="AA863" s="4"/>
      <c r="AM863" s="4"/>
      <c r="AY863" s="4"/>
      <c r="BK863" s="4"/>
    </row>
    <row r="864" spans="3:63" ht="12.75" hidden="1" customHeight="1" x14ac:dyDescent="0.2">
      <c r="C864" s="4"/>
      <c r="O864" s="4"/>
      <c r="AA864" s="4"/>
      <c r="AM864" s="4"/>
      <c r="AY864" s="4"/>
      <c r="BK864" s="4"/>
    </row>
    <row r="865" spans="3:63" ht="12.75" hidden="1" customHeight="1" x14ac:dyDescent="0.2">
      <c r="C865" s="4"/>
      <c r="O865" s="4"/>
      <c r="AA865" s="4"/>
      <c r="AM865" s="4"/>
      <c r="AY865" s="4"/>
      <c r="BK865" s="4"/>
    </row>
    <row r="866" spans="3:63" ht="12.75" hidden="1" customHeight="1" x14ac:dyDescent="0.2">
      <c r="C866" s="4"/>
      <c r="O866" s="4"/>
      <c r="AA866" s="4"/>
      <c r="AM866" s="4"/>
      <c r="AY866" s="4"/>
      <c r="BK866" s="4"/>
    </row>
    <row r="867" spans="3:63" ht="12.75" hidden="1" customHeight="1" x14ac:dyDescent="0.2">
      <c r="C867" s="4"/>
      <c r="O867" s="4"/>
      <c r="AA867" s="4"/>
      <c r="AM867" s="4"/>
      <c r="AY867" s="4"/>
      <c r="BK867" s="4"/>
    </row>
    <row r="868" spans="3:63" ht="12.75" hidden="1" customHeight="1" x14ac:dyDescent="0.2">
      <c r="C868" s="4"/>
      <c r="O868" s="4"/>
      <c r="AA868" s="4"/>
      <c r="AM868" s="4"/>
      <c r="AY868" s="4"/>
      <c r="BK868" s="4"/>
    </row>
    <row r="869" spans="3:63" ht="12.75" hidden="1" customHeight="1" x14ac:dyDescent="0.2">
      <c r="C869" s="4"/>
      <c r="O869" s="4"/>
      <c r="AA869" s="4"/>
      <c r="AM869" s="4"/>
      <c r="AY869" s="4"/>
      <c r="BK869" s="4"/>
    </row>
    <row r="870" spans="3:63" ht="12.75" hidden="1" customHeight="1" x14ac:dyDescent="0.2">
      <c r="C870" s="4"/>
      <c r="O870" s="4"/>
      <c r="AA870" s="4"/>
      <c r="AM870" s="4"/>
      <c r="AY870" s="4"/>
      <c r="BK870" s="4"/>
    </row>
    <row r="871" spans="3:63" ht="12.75" hidden="1" customHeight="1" x14ac:dyDescent="0.2">
      <c r="C871" s="4"/>
      <c r="O871" s="4"/>
      <c r="AA871" s="4"/>
      <c r="AM871" s="4"/>
      <c r="AY871" s="4"/>
      <c r="BK871" s="4"/>
    </row>
    <row r="872" spans="3:63" ht="12.75" hidden="1" customHeight="1" x14ac:dyDescent="0.2">
      <c r="C872" s="4"/>
      <c r="O872" s="4"/>
      <c r="AA872" s="4"/>
      <c r="AM872" s="4"/>
      <c r="AY872" s="4"/>
      <c r="BK872" s="4"/>
    </row>
    <row r="873" spans="3:63" ht="12.75" hidden="1" customHeight="1" x14ac:dyDescent="0.2">
      <c r="C873" s="4"/>
      <c r="O873" s="4"/>
      <c r="AA873" s="4"/>
      <c r="AM873" s="4"/>
      <c r="AY873" s="4"/>
      <c r="BK873" s="4"/>
    </row>
    <row r="874" spans="3:63" ht="12.75" hidden="1" customHeight="1" x14ac:dyDescent="0.2">
      <c r="C874" s="4"/>
      <c r="O874" s="4"/>
      <c r="AA874" s="4"/>
      <c r="AM874" s="4"/>
      <c r="AY874" s="4"/>
      <c r="BK874" s="4"/>
    </row>
    <row r="875" spans="3:63" ht="12.75" hidden="1" customHeight="1" x14ac:dyDescent="0.2">
      <c r="C875" s="4"/>
      <c r="O875" s="4"/>
      <c r="AA875" s="4"/>
      <c r="AM875" s="4"/>
      <c r="AY875" s="4"/>
      <c r="BK875" s="4"/>
    </row>
    <row r="876" spans="3:63" ht="12.75" hidden="1" customHeight="1" x14ac:dyDescent="0.2">
      <c r="C876" s="4"/>
      <c r="O876" s="4"/>
      <c r="AA876" s="4"/>
      <c r="AM876" s="4"/>
      <c r="AY876" s="4"/>
      <c r="BK876" s="4"/>
    </row>
    <row r="877" spans="3:63" ht="12.75" hidden="1" customHeight="1" x14ac:dyDescent="0.2">
      <c r="C877" s="4"/>
      <c r="O877" s="4"/>
      <c r="AA877" s="4"/>
      <c r="AM877" s="4"/>
      <c r="AY877" s="4"/>
      <c r="BK877" s="4"/>
    </row>
    <row r="878" spans="3:63" ht="12.75" hidden="1" customHeight="1" x14ac:dyDescent="0.2">
      <c r="C878" s="4"/>
      <c r="O878" s="4"/>
      <c r="AA878" s="4"/>
      <c r="AM878" s="4"/>
      <c r="AY878" s="4"/>
      <c r="BK878" s="4"/>
    </row>
    <row r="879" spans="3:63" ht="12.75" hidden="1" customHeight="1" x14ac:dyDescent="0.2">
      <c r="C879" s="4"/>
      <c r="O879" s="4"/>
      <c r="AA879" s="4"/>
      <c r="AM879" s="4"/>
      <c r="AY879" s="4"/>
      <c r="BK879" s="4"/>
    </row>
    <row r="880" spans="3:63" ht="12.75" hidden="1" customHeight="1" x14ac:dyDescent="0.2">
      <c r="C880" s="4"/>
      <c r="O880" s="4"/>
      <c r="AA880" s="4"/>
      <c r="AM880" s="4"/>
      <c r="AY880" s="4"/>
      <c r="BK880" s="4"/>
    </row>
    <row r="881" spans="3:63" ht="12.75" hidden="1" customHeight="1" x14ac:dyDescent="0.2">
      <c r="C881" s="4"/>
      <c r="O881" s="4"/>
      <c r="AA881" s="4"/>
      <c r="AM881" s="4"/>
      <c r="AY881" s="4"/>
      <c r="BK881" s="4"/>
    </row>
    <row r="882" spans="3:63" ht="12.75" hidden="1" customHeight="1" x14ac:dyDescent="0.2">
      <c r="C882" s="4"/>
      <c r="O882" s="4"/>
      <c r="AA882" s="4"/>
      <c r="AM882" s="4"/>
      <c r="AY882" s="4"/>
      <c r="BK882" s="4"/>
    </row>
    <row r="883" spans="3:63" ht="12.75" hidden="1" customHeight="1" x14ac:dyDescent="0.2">
      <c r="C883" s="4"/>
      <c r="O883" s="4"/>
      <c r="AA883" s="4"/>
      <c r="AM883" s="4"/>
      <c r="AY883" s="4"/>
      <c r="BK883" s="4"/>
    </row>
    <row r="884" spans="3:63" ht="12.75" hidden="1" customHeight="1" x14ac:dyDescent="0.2">
      <c r="C884" s="4"/>
      <c r="O884" s="4"/>
      <c r="AA884" s="4"/>
      <c r="AM884" s="4"/>
      <c r="AY884" s="4"/>
      <c r="BK884" s="4"/>
    </row>
    <row r="885" spans="3:63" ht="12.75" hidden="1" customHeight="1" x14ac:dyDescent="0.2">
      <c r="C885" s="4"/>
      <c r="O885" s="4"/>
      <c r="AA885" s="4"/>
      <c r="AM885" s="4"/>
      <c r="AY885" s="4"/>
      <c r="BK885" s="4"/>
    </row>
    <row r="886" spans="3:63" ht="12.75" hidden="1" customHeight="1" x14ac:dyDescent="0.2">
      <c r="C886" s="4"/>
      <c r="O886" s="4"/>
      <c r="AA886" s="4"/>
      <c r="AM886" s="4"/>
      <c r="AY886" s="4"/>
      <c r="BK886" s="4"/>
    </row>
    <row r="887" spans="3:63" ht="12.75" hidden="1" customHeight="1" x14ac:dyDescent="0.2">
      <c r="C887" s="4"/>
      <c r="O887" s="4"/>
      <c r="AA887" s="4"/>
      <c r="AM887" s="4"/>
      <c r="AY887" s="4"/>
      <c r="BK887" s="4"/>
    </row>
    <row r="888" spans="3:63" ht="12.75" hidden="1" customHeight="1" x14ac:dyDescent="0.2">
      <c r="C888" s="4"/>
      <c r="O888" s="4"/>
      <c r="AA888" s="4"/>
      <c r="AM888" s="4"/>
      <c r="AY888" s="4"/>
      <c r="BK888" s="4"/>
    </row>
    <row r="889" spans="3:63" ht="12.75" hidden="1" customHeight="1" x14ac:dyDescent="0.2">
      <c r="C889" s="4"/>
      <c r="O889" s="4"/>
      <c r="AA889" s="4"/>
      <c r="AM889" s="4"/>
      <c r="AY889" s="4"/>
      <c r="BK889" s="4"/>
    </row>
    <row r="890" spans="3:63" ht="12.75" hidden="1" customHeight="1" x14ac:dyDescent="0.2">
      <c r="C890" s="4"/>
      <c r="O890" s="4"/>
      <c r="AA890" s="4"/>
      <c r="AM890" s="4"/>
      <c r="AY890" s="4"/>
      <c r="BK890" s="4"/>
    </row>
    <row r="891" spans="3:63" ht="12.75" hidden="1" customHeight="1" x14ac:dyDescent="0.2">
      <c r="C891" s="4"/>
      <c r="O891" s="4"/>
      <c r="AA891" s="4"/>
      <c r="AM891" s="4"/>
      <c r="AY891" s="4"/>
      <c r="BK891" s="4"/>
    </row>
    <row r="892" spans="3:63" ht="12.75" hidden="1" customHeight="1" x14ac:dyDescent="0.2">
      <c r="C892" s="4"/>
      <c r="O892" s="4"/>
      <c r="AA892" s="4"/>
      <c r="AM892" s="4"/>
      <c r="AY892" s="4"/>
      <c r="BK892" s="4"/>
    </row>
    <row r="893" spans="3:63" ht="12.75" hidden="1" customHeight="1" x14ac:dyDescent="0.2">
      <c r="C893" s="4"/>
      <c r="O893" s="4"/>
      <c r="AA893" s="4"/>
      <c r="AM893" s="4"/>
      <c r="AY893" s="4"/>
      <c r="BK893" s="4"/>
    </row>
    <row r="894" spans="3:63" ht="12.75" hidden="1" customHeight="1" x14ac:dyDescent="0.2">
      <c r="C894" s="4"/>
      <c r="O894" s="4"/>
      <c r="AA894" s="4"/>
      <c r="AM894" s="4"/>
      <c r="AY894" s="4"/>
      <c r="BK894" s="4"/>
    </row>
    <row r="895" spans="3:63" ht="12.75" hidden="1" customHeight="1" x14ac:dyDescent="0.2">
      <c r="C895" s="4"/>
      <c r="O895" s="4"/>
      <c r="AA895" s="4"/>
      <c r="AM895" s="4"/>
      <c r="AY895" s="4"/>
      <c r="BK895" s="4"/>
    </row>
    <row r="896" spans="3:63" ht="12.75" hidden="1" customHeight="1" x14ac:dyDescent="0.2">
      <c r="C896" s="4"/>
      <c r="O896" s="4"/>
      <c r="AA896" s="4"/>
      <c r="AM896" s="4"/>
      <c r="AY896" s="4"/>
      <c r="BK896" s="4"/>
    </row>
    <row r="897" spans="3:63" ht="12.75" hidden="1" customHeight="1" x14ac:dyDescent="0.2">
      <c r="C897" s="4"/>
      <c r="O897" s="4"/>
      <c r="AA897" s="4"/>
      <c r="AM897" s="4"/>
      <c r="AY897" s="4"/>
      <c r="BK897" s="4"/>
    </row>
    <row r="898" spans="3:63" ht="12.75" hidden="1" customHeight="1" x14ac:dyDescent="0.2">
      <c r="C898" s="4"/>
      <c r="O898" s="4"/>
      <c r="AA898" s="4"/>
      <c r="AM898" s="4"/>
      <c r="AY898" s="4"/>
      <c r="BK898" s="4"/>
    </row>
    <row r="899" spans="3:63" ht="12.75" hidden="1" customHeight="1" x14ac:dyDescent="0.2">
      <c r="C899" s="4"/>
      <c r="O899" s="4"/>
      <c r="AA899" s="4"/>
      <c r="AM899" s="4"/>
      <c r="AY899" s="4"/>
      <c r="BK899" s="4"/>
    </row>
    <row r="900" spans="3:63" ht="12.75" hidden="1" customHeight="1" x14ac:dyDescent="0.2">
      <c r="C900" s="4"/>
      <c r="O900" s="4"/>
      <c r="AA900" s="4"/>
      <c r="AM900" s="4"/>
      <c r="AY900" s="4"/>
      <c r="BK900" s="4"/>
    </row>
    <row r="901" spans="3:63" ht="12.75" hidden="1" customHeight="1" x14ac:dyDescent="0.2">
      <c r="C901" s="4"/>
      <c r="O901" s="4"/>
      <c r="AA901" s="4"/>
      <c r="AM901" s="4"/>
      <c r="AY901" s="4"/>
      <c r="BK901" s="4"/>
    </row>
    <row r="902" spans="3:63" ht="12.75" hidden="1" customHeight="1" x14ac:dyDescent="0.2">
      <c r="C902" s="4"/>
      <c r="O902" s="4"/>
      <c r="AA902" s="4"/>
      <c r="AM902" s="4"/>
      <c r="AY902" s="4"/>
      <c r="BK902" s="4"/>
    </row>
    <row r="903" spans="3:63" ht="12.75" hidden="1" customHeight="1" x14ac:dyDescent="0.2">
      <c r="C903" s="4"/>
      <c r="O903" s="4"/>
      <c r="AA903" s="4"/>
      <c r="AM903" s="4"/>
      <c r="AY903" s="4"/>
      <c r="BK903" s="4"/>
    </row>
    <row r="904" spans="3:63" ht="12.75" hidden="1" customHeight="1" x14ac:dyDescent="0.2">
      <c r="C904" s="4"/>
      <c r="O904" s="4"/>
      <c r="AA904" s="4"/>
      <c r="AM904" s="4"/>
      <c r="AY904" s="4"/>
      <c r="BK904" s="4"/>
    </row>
    <row r="905" spans="3:63" ht="12.75" hidden="1" customHeight="1" x14ac:dyDescent="0.2">
      <c r="C905" s="4"/>
      <c r="O905" s="4"/>
      <c r="AA905" s="4"/>
      <c r="AM905" s="4"/>
      <c r="AY905" s="4"/>
      <c r="BK905" s="4"/>
    </row>
    <row r="906" spans="3:63" ht="12.75" hidden="1" customHeight="1" x14ac:dyDescent="0.2">
      <c r="C906" s="4"/>
      <c r="O906" s="4"/>
      <c r="AA906" s="4"/>
      <c r="AM906" s="4"/>
      <c r="AY906" s="4"/>
      <c r="BK906" s="4"/>
    </row>
    <row r="907" spans="3:63" ht="12.75" hidden="1" customHeight="1" x14ac:dyDescent="0.2">
      <c r="C907" s="4"/>
      <c r="O907" s="4"/>
      <c r="AA907" s="4"/>
      <c r="AM907" s="4"/>
      <c r="AY907" s="4"/>
      <c r="BK907" s="4"/>
    </row>
    <row r="908" spans="3:63" ht="12.75" hidden="1" customHeight="1" x14ac:dyDescent="0.2">
      <c r="C908" s="4"/>
      <c r="O908" s="4"/>
      <c r="AA908" s="4"/>
      <c r="AM908" s="4"/>
      <c r="AY908" s="4"/>
      <c r="BK908" s="4"/>
    </row>
    <row r="909" spans="3:63" ht="12.75" hidden="1" customHeight="1" x14ac:dyDescent="0.2">
      <c r="C909" s="4"/>
      <c r="O909" s="4"/>
      <c r="AA909" s="4"/>
      <c r="AM909" s="4"/>
      <c r="AY909" s="4"/>
      <c r="BK909" s="4"/>
    </row>
    <row r="910" spans="3:63" ht="12.75" hidden="1" customHeight="1" x14ac:dyDescent="0.2">
      <c r="C910" s="4"/>
      <c r="O910" s="4"/>
      <c r="AA910" s="4"/>
      <c r="AM910" s="4"/>
      <c r="AY910" s="4"/>
      <c r="BK910" s="4"/>
    </row>
    <row r="911" spans="3:63" ht="12.75" hidden="1" customHeight="1" x14ac:dyDescent="0.2">
      <c r="C911" s="4"/>
      <c r="O911" s="4"/>
      <c r="AA911" s="4"/>
      <c r="AM911" s="4"/>
      <c r="AY911" s="4"/>
      <c r="BK911" s="4"/>
    </row>
    <row r="912" spans="3:63" ht="12.75" hidden="1" customHeight="1" x14ac:dyDescent="0.2">
      <c r="C912" s="4"/>
      <c r="O912" s="4"/>
      <c r="AA912" s="4"/>
      <c r="AM912" s="4"/>
      <c r="AY912" s="4"/>
      <c r="BK912" s="4"/>
    </row>
    <row r="913" spans="3:63" ht="12.75" hidden="1" customHeight="1" x14ac:dyDescent="0.2">
      <c r="C913" s="4"/>
      <c r="O913" s="4"/>
      <c r="AA913" s="4"/>
      <c r="AM913" s="4"/>
      <c r="AY913" s="4"/>
      <c r="BK913" s="4"/>
    </row>
    <row r="914" spans="3:63" ht="12.75" hidden="1" customHeight="1" x14ac:dyDescent="0.2">
      <c r="C914" s="4"/>
      <c r="O914" s="4"/>
      <c r="AA914" s="4"/>
      <c r="AM914" s="4"/>
      <c r="AY914" s="4"/>
      <c r="BK914" s="4"/>
    </row>
    <row r="915" spans="3:63" ht="12.75" hidden="1" customHeight="1" x14ac:dyDescent="0.2">
      <c r="C915" s="4"/>
      <c r="O915" s="4"/>
      <c r="AA915" s="4"/>
      <c r="AM915" s="4"/>
      <c r="AY915" s="4"/>
      <c r="BK915" s="4"/>
    </row>
    <row r="916" spans="3:63" ht="12.75" hidden="1" customHeight="1" x14ac:dyDescent="0.2">
      <c r="C916" s="4"/>
      <c r="O916" s="4"/>
      <c r="AA916" s="4"/>
      <c r="AM916" s="4"/>
      <c r="AY916" s="4"/>
      <c r="BK916" s="4"/>
    </row>
    <row r="917" spans="3:63" ht="12.75" hidden="1" customHeight="1" x14ac:dyDescent="0.2">
      <c r="C917" s="4"/>
      <c r="O917" s="4"/>
      <c r="AA917" s="4"/>
      <c r="AM917" s="4"/>
      <c r="AY917" s="4"/>
      <c r="BK917" s="4"/>
    </row>
    <row r="918" spans="3:63" ht="12.75" hidden="1" customHeight="1" x14ac:dyDescent="0.2">
      <c r="C918" s="4"/>
      <c r="O918" s="4"/>
      <c r="AA918" s="4"/>
      <c r="AM918" s="4"/>
      <c r="AY918" s="4"/>
      <c r="BK918" s="4"/>
    </row>
    <row r="919" spans="3:63" ht="12.75" hidden="1" customHeight="1" x14ac:dyDescent="0.2">
      <c r="C919" s="4"/>
      <c r="O919" s="4"/>
      <c r="AA919" s="4"/>
      <c r="AM919" s="4"/>
      <c r="AY919" s="4"/>
      <c r="BK919" s="4"/>
    </row>
    <row r="920" spans="3:63" ht="12.75" hidden="1" customHeight="1" x14ac:dyDescent="0.2">
      <c r="C920" s="4"/>
      <c r="O920" s="4"/>
      <c r="AA920" s="4"/>
      <c r="AM920" s="4"/>
      <c r="AY920" s="4"/>
      <c r="BK920" s="4"/>
    </row>
    <row r="921" spans="3:63" ht="12.75" hidden="1" customHeight="1" x14ac:dyDescent="0.2">
      <c r="C921" s="4"/>
      <c r="O921" s="4"/>
      <c r="AA921" s="4"/>
      <c r="AM921" s="4"/>
      <c r="AY921" s="4"/>
      <c r="BK921" s="4"/>
    </row>
    <row r="922" spans="3:63" ht="12.75" hidden="1" customHeight="1" x14ac:dyDescent="0.2">
      <c r="C922" s="4"/>
      <c r="O922" s="4"/>
      <c r="AA922" s="4"/>
      <c r="AM922" s="4"/>
      <c r="AY922" s="4"/>
      <c r="BK922" s="4"/>
    </row>
    <row r="923" spans="3:63" ht="12.75" hidden="1" customHeight="1" x14ac:dyDescent="0.2">
      <c r="C923" s="4"/>
      <c r="O923" s="4"/>
      <c r="AA923" s="4"/>
      <c r="AM923" s="4"/>
      <c r="AY923" s="4"/>
      <c r="BK923" s="4"/>
    </row>
    <row r="924" spans="3:63" ht="12.75" hidden="1" customHeight="1" x14ac:dyDescent="0.2">
      <c r="C924" s="4"/>
      <c r="O924" s="4"/>
      <c r="AA924" s="4"/>
      <c r="AM924" s="4"/>
      <c r="AY924" s="4"/>
      <c r="BK924" s="4"/>
    </row>
    <row r="925" spans="3:63" ht="12.75" hidden="1" customHeight="1" x14ac:dyDescent="0.2">
      <c r="C925" s="4"/>
      <c r="O925" s="4"/>
      <c r="AA925" s="4"/>
      <c r="AM925" s="4"/>
      <c r="AY925" s="4"/>
      <c r="BK925" s="4"/>
    </row>
    <row r="926" spans="3:63" ht="12.75" hidden="1" customHeight="1" x14ac:dyDescent="0.2">
      <c r="C926" s="4"/>
      <c r="O926" s="4"/>
      <c r="AA926" s="4"/>
      <c r="AM926" s="4"/>
      <c r="AY926" s="4"/>
      <c r="BK926" s="4"/>
    </row>
    <row r="927" spans="3:63" ht="12.75" hidden="1" customHeight="1" x14ac:dyDescent="0.2">
      <c r="C927" s="4"/>
      <c r="O927" s="4"/>
      <c r="AA927" s="4"/>
      <c r="AM927" s="4"/>
      <c r="AY927" s="4"/>
      <c r="BK927" s="4"/>
    </row>
    <row r="928" spans="3:63" ht="12.75" hidden="1" customHeight="1" x14ac:dyDescent="0.2">
      <c r="C928" s="4"/>
      <c r="O928" s="4"/>
      <c r="AA928" s="4"/>
      <c r="AM928" s="4"/>
      <c r="AY928" s="4"/>
      <c r="BK928" s="4"/>
    </row>
    <row r="929" spans="3:63" ht="12.75" hidden="1" customHeight="1" x14ac:dyDescent="0.2">
      <c r="C929" s="4"/>
      <c r="O929" s="4"/>
      <c r="AA929" s="4"/>
      <c r="AM929" s="4"/>
      <c r="AY929" s="4"/>
      <c r="BK929" s="4"/>
    </row>
    <row r="930" spans="3:63" ht="12.75" hidden="1" customHeight="1" x14ac:dyDescent="0.2">
      <c r="C930" s="4"/>
      <c r="O930" s="4"/>
      <c r="AA930" s="4"/>
      <c r="AM930" s="4"/>
      <c r="AY930" s="4"/>
      <c r="BK930" s="4"/>
    </row>
    <row r="931" spans="3:63" ht="12.75" hidden="1" customHeight="1" x14ac:dyDescent="0.2">
      <c r="C931" s="4"/>
      <c r="O931" s="4"/>
      <c r="AA931" s="4"/>
      <c r="AM931" s="4"/>
      <c r="AY931" s="4"/>
      <c r="BK931" s="4"/>
    </row>
    <row r="932" spans="3:63" ht="12.75" hidden="1" customHeight="1" x14ac:dyDescent="0.2">
      <c r="C932" s="4"/>
      <c r="O932" s="4"/>
      <c r="AA932" s="4"/>
      <c r="AM932" s="4"/>
      <c r="AY932" s="4"/>
      <c r="BK932" s="4"/>
    </row>
    <row r="933" spans="3:63" ht="12.75" hidden="1" customHeight="1" x14ac:dyDescent="0.2">
      <c r="C933" s="4"/>
      <c r="O933" s="4"/>
      <c r="AA933" s="4"/>
      <c r="AM933" s="4"/>
      <c r="AY933" s="4"/>
      <c r="BK933" s="4"/>
    </row>
    <row r="934" spans="3:63" ht="12.75" hidden="1" customHeight="1" x14ac:dyDescent="0.2">
      <c r="C934" s="4"/>
      <c r="O934" s="4"/>
      <c r="AA934" s="4"/>
      <c r="AM934" s="4"/>
      <c r="AY934" s="4"/>
      <c r="BK934" s="4"/>
    </row>
    <row r="935" spans="3:63" ht="12.75" hidden="1" customHeight="1" x14ac:dyDescent="0.2">
      <c r="C935" s="4"/>
      <c r="O935" s="4"/>
      <c r="AA935" s="4"/>
      <c r="AM935" s="4"/>
      <c r="AY935" s="4"/>
      <c r="BK935" s="4"/>
    </row>
    <row r="936" spans="3:63" ht="12.75" hidden="1" customHeight="1" x14ac:dyDescent="0.2">
      <c r="C936" s="4"/>
      <c r="O936" s="4"/>
      <c r="AA936" s="4"/>
      <c r="AM936" s="4"/>
      <c r="AY936" s="4"/>
      <c r="BK936" s="4"/>
    </row>
    <row r="937" spans="3:63" ht="12.75" hidden="1" customHeight="1" x14ac:dyDescent="0.2">
      <c r="C937" s="4"/>
      <c r="O937" s="4"/>
      <c r="AA937" s="4"/>
      <c r="AM937" s="4"/>
      <c r="AY937" s="4"/>
      <c r="BK937" s="4"/>
    </row>
    <row r="938" spans="3:63" ht="12.75" hidden="1" customHeight="1" x14ac:dyDescent="0.2">
      <c r="C938" s="4"/>
      <c r="O938" s="4"/>
      <c r="AA938" s="4"/>
      <c r="AM938" s="4"/>
      <c r="AY938" s="4"/>
      <c r="BK938" s="4"/>
    </row>
    <row r="939" spans="3:63" ht="12.75" hidden="1" customHeight="1" x14ac:dyDescent="0.2">
      <c r="C939" s="4"/>
      <c r="O939" s="4"/>
      <c r="AA939" s="4"/>
      <c r="AM939" s="4"/>
      <c r="AY939" s="4"/>
      <c r="BK939" s="4"/>
    </row>
    <row r="940" spans="3:63" ht="12.75" hidden="1" customHeight="1" x14ac:dyDescent="0.2">
      <c r="C940" s="4"/>
      <c r="O940" s="4"/>
      <c r="AA940" s="4"/>
      <c r="AM940" s="4"/>
      <c r="AY940" s="4"/>
      <c r="BK940" s="4"/>
    </row>
    <row r="941" spans="3:63" ht="12.75" hidden="1" customHeight="1" x14ac:dyDescent="0.2">
      <c r="C941" s="4"/>
      <c r="O941" s="4"/>
      <c r="AA941" s="4"/>
      <c r="AM941" s="4"/>
      <c r="AY941" s="4"/>
      <c r="BK941" s="4"/>
    </row>
    <row r="942" spans="3:63" ht="12.75" hidden="1" customHeight="1" x14ac:dyDescent="0.2">
      <c r="C942" s="4"/>
      <c r="O942" s="4"/>
      <c r="AA942" s="4"/>
      <c r="AM942" s="4"/>
      <c r="AY942" s="4"/>
      <c r="BK942" s="4"/>
    </row>
    <row r="943" spans="3:63" ht="12.75" hidden="1" customHeight="1" x14ac:dyDescent="0.2">
      <c r="C943" s="4"/>
      <c r="O943" s="4"/>
      <c r="AA943" s="4"/>
      <c r="AM943" s="4"/>
      <c r="AY943" s="4"/>
      <c r="BK943" s="4"/>
    </row>
    <row r="944" spans="3:63" ht="12.75" hidden="1" customHeight="1" x14ac:dyDescent="0.2">
      <c r="C944" s="4"/>
      <c r="O944" s="4"/>
      <c r="AA944" s="4"/>
      <c r="AM944" s="4"/>
      <c r="AY944" s="4"/>
      <c r="BK944" s="4"/>
    </row>
    <row r="945" spans="3:63" ht="12.75" hidden="1" customHeight="1" x14ac:dyDescent="0.2">
      <c r="C945" s="4"/>
      <c r="O945" s="4"/>
      <c r="AA945" s="4"/>
      <c r="AM945" s="4"/>
      <c r="AY945" s="4"/>
      <c r="BK945" s="4"/>
    </row>
    <row r="946" spans="3:63" ht="12.75" hidden="1" customHeight="1" x14ac:dyDescent="0.2">
      <c r="C946" s="4"/>
      <c r="O946" s="4"/>
      <c r="AA946" s="4"/>
      <c r="AM946" s="4"/>
      <c r="AY946" s="4"/>
      <c r="BK946" s="4"/>
    </row>
    <row r="947" spans="3:63" ht="12.75" hidden="1" customHeight="1" x14ac:dyDescent="0.2">
      <c r="C947" s="4"/>
      <c r="O947" s="4"/>
      <c r="AA947" s="4"/>
      <c r="AM947" s="4"/>
      <c r="AY947" s="4"/>
      <c r="BK947" s="4"/>
    </row>
    <row r="948" spans="3:63" ht="12.75" hidden="1" customHeight="1" x14ac:dyDescent="0.2">
      <c r="C948" s="4"/>
      <c r="O948" s="4"/>
      <c r="AA948" s="4"/>
      <c r="AM948" s="4"/>
      <c r="AY948" s="4"/>
      <c r="BK948" s="4"/>
    </row>
    <row r="949" spans="3:63" ht="12.75" hidden="1" customHeight="1" x14ac:dyDescent="0.2">
      <c r="C949" s="4"/>
      <c r="O949" s="4"/>
      <c r="AA949" s="4"/>
      <c r="AM949" s="4"/>
      <c r="AY949" s="4"/>
      <c r="BK949" s="4"/>
    </row>
    <row r="950" spans="3:63" ht="12.75" hidden="1" customHeight="1" x14ac:dyDescent="0.2">
      <c r="C950" s="4"/>
      <c r="O950" s="4"/>
      <c r="AA950" s="4"/>
      <c r="AM950" s="4"/>
      <c r="AY950" s="4"/>
      <c r="BK950" s="4"/>
    </row>
    <row r="951" spans="3:63" ht="12.75" hidden="1" customHeight="1" x14ac:dyDescent="0.2">
      <c r="C951" s="4"/>
      <c r="O951" s="4"/>
      <c r="AA951" s="4"/>
      <c r="AM951" s="4"/>
      <c r="AY951" s="4"/>
      <c r="BK951" s="4"/>
    </row>
    <row r="952" spans="3:63" ht="12.75" hidden="1" customHeight="1" x14ac:dyDescent="0.2">
      <c r="C952" s="4"/>
      <c r="O952" s="4"/>
      <c r="AA952" s="4"/>
      <c r="AM952" s="4"/>
      <c r="AY952" s="4"/>
      <c r="BK952" s="4"/>
    </row>
    <row r="953" spans="3:63" ht="12.75" hidden="1" customHeight="1" x14ac:dyDescent="0.2">
      <c r="C953" s="4"/>
      <c r="O953" s="4"/>
      <c r="AA953" s="4"/>
      <c r="AM953" s="4"/>
      <c r="AY953" s="4"/>
      <c r="BK953" s="4"/>
    </row>
    <row r="954" spans="3:63" ht="12.75" hidden="1" customHeight="1" x14ac:dyDescent="0.2">
      <c r="C954" s="4"/>
      <c r="O954" s="4"/>
      <c r="AA954" s="4"/>
      <c r="AM954" s="4"/>
      <c r="AY954" s="4"/>
      <c r="BK954" s="4"/>
    </row>
    <row r="955" spans="3:63" ht="12.75" hidden="1" customHeight="1" x14ac:dyDescent="0.2">
      <c r="C955" s="4"/>
      <c r="O955" s="4"/>
      <c r="AA955" s="4"/>
      <c r="AM955" s="4"/>
      <c r="AY955" s="4"/>
      <c r="BK955" s="4"/>
    </row>
    <row r="956" spans="3:63" ht="12.75" hidden="1" customHeight="1" x14ac:dyDescent="0.2">
      <c r="C956" s="4"/>
      <c r="O956" s="4"/>
      <c r="AA956" s="4"/>
      <c r="AM956" s="4"/>
      <c r="AY956" s="4"/>
      <c r="BK956" s="4"/>
    </row>
    <row r="957" spans="3:63" ht="12.75" hidden="1" customHeight="1" x14ac:dyDescent="0.2">
      <c r="C957" s="4"/>
      <c r="O957" s="4"/>
      <c r="AA957" s="4"/>
      <c r="AM957" s="4"/>
      <c r="AY957" s="4"/>
      <c r="BK957" s="4"/>
    </row>
    <row r="958" spans="3:63" ht="12.75" hidden="1" customHeight="1" x14ac:dyDescent="0.2">
      <c r="C958" s="4"/>
      <c r="O958" s="4"/>
      <c r="AA958" s="4"/>
      <c r="AM958" s="4"/>
      <c r="AY958" s="4"/>
      <c r="BK958" s="4"/>
    </row>
    <row r="959" spans="3:63" ht="12.75" hidden="1" customHeight="1" x14ac:dyDescent="0.2">
      <c r="C959" s="4"/>
      <c r="O959" s="4"/>
      <c r="AA959" s="4"/>
      <c r="AM959" s="4"/>
      <c r="AY959" s="4"/>
      <c r="BK959" s="4"/>
    </row>
    <row r="960" spans="3:63" ht="12.75" hidden="1" customHeight="1" x14ac:dyDescent="0.2">
      <c r="C960" s="4"/>
      <c r="O960" s="4"/>
      <c r="AA960" s="4"/>
      <c r="AM960" s="4"/>
      <c r="AY960" s="4"/>
      <c r="BK960" s="4"/>
    </row>
    <row r="961" spans="3:63" ht="12.75" hidden="1" customHeight="1" x14ac:dyDescent="0.2">
      <c r="C961" s="4"/>
      <c r="O961" s="4"/>
      <c r="AA961" s="4"/>
      <c r="AM961" s="4"/>
      <c r="AY961" s="4"/>
      <c r="BK961" s="4"/>
    </row>
    <row r="962" spans="3:63" ht="12.75" hidden="1" customHeight="1" x14ac:dyDescent="0.2">
      <c r="C962" s="4"/>
      <c r="O962" s="4"/>
      <c r="AA962" s="4"/>
      <c r="AM962" s="4"/>
      <c r="AY962" s="4"/>
      <c r="BK962" s="4"/>
    </row>
    <row r="963" spans="3:63" ht="12.75" hidden="1" customHeight="1" x14ac:dyDescent="0.2">
      <c r="C963" s="4"/>
      <c r="O963" s="4"/>
      <c r="AA963" s="4"/>
      <c r="AM963" s="4"/>
      <c r="AY963" s="4"/>
      <c r="BK963" s="4"/>
    </row>
    <row r="964" spans="3:63" ht="12.75" hidden="1" customHeight="1" x14ac:dyDescent="0.2">
      <c r="C964" s="4"/>
      <c r="O964" s="4"/>
      <c r="AA964" s="4"/>
      <c r="AM964" s="4"/>
      <c r="AY964" s="4"/>
      <c r="BK964" s="4"/>
    </row>
    <row r="965" spans="3:63" ht="12.75" hidden="1" customHeight="1" x14ac:dyDescent="0.2">
      <c r="C965" s="4"/>
      <c r="O965" s="4"/>
      <c r="AA965" s="4"/>
      <c r="AM965" s="4"/>
      <c r="AY965" s="4"/>
      <c r="BK965" s="4"/>
    </row>
    <row r="966" spans="3:63" ht="12.75" hidden="1" customHeight="1" x14ac:dyDescent="0.2">
      <c r="C966" s="4"/>
      <c r="O966" s="4"/>
      <c r="AA966" s="4"/>
      <c r="AM966" s="4"/>
      <c r="AY966" s="4"/>
      <c r="BK966" s="4"/>
    </row>
    <row r="967" spans="3:63" ht="12.75" hidden="1" customHeight="1" x14ac:dyDescent="0.2">
      <c r="C967" s="4"/>
      <c r="O967" s="4"/>
      <c r="AA967" s="4"/>
      <c r="AM967" s="4"/>
      <c r="AY967" s="4"/>
      <c r="BK967" s="4"/>
    </row>
    <row r="968" spans="3:63" ht="12.75" hidden="1" customHeight="1" x14ac:dyDescent="0.2">
      <c r="C968" s="4"/>
      <c r="O968" s="4"/>
      <c r="AA968" s="4"/>
      <c r="AM968" s="4"/>
      <c r="AY968" s="4"/>
      <c r="BK968" s="4"/>
    </row>
    <row r="969" spans="3:63" ht="12.75" hidden="1" customHeight="1" x14ac:dyDescent="0.2">
      <c r="C969" s="4"/>
      <c r="O969" s="4"/>
      <c r="AA969" s="4"/>
      <c r="AM969" s="4"/>
      <c r="AY969" s="4"/>
      <c r="BK969" s="4"/>
    </row>
    <row r="970" spans="3:63" ht="12.75" hidden="1" customHeight="1" x14ac:dyDescent="0.2">
      <c r="C970" s="4"/>
      <c r="O970" s="4"/>
      <c r="AA970" s="4"/>
      <c r="AM970" s="4"/>
      <c r="AY970" s="4"/>
      <c r="BK970" s="4"/>
    </row>
    <row r="971" spans="3:63" ht="12.75" hidden="1" customHeight="1" x14ac:dyDescent="0.2">
      <c r="C971" s="4"/>
      <c r="O971" s="4"/>
      <c r="AA971" s="4"/>
      <c r="AM971" s="4"/>
      <c r="AY971" s="4"/>
      <c r="BK971" s="4"/>
    </row>
    <row r="972" spans="3:63" ht="12.75" hidden="1" customHeight="1" x14ac:dyDescent="0.2">
      <c r="C972" s="4"/>
      <c r="O972" s="4"/>
      <c r="AA972" s="4"/>
      <c r="AM972" s="4"/>
      <c r="AY972" s="4"/>
      <c r="BK972" s="4"/>
    </row>
    <row r="973" spans="3:63" ht="12.75" hidden="1" customHeight="1" x14ac:dyDescent="0.2">
      <c r="C973" s="4"/>
      <c r="O973" s="4"/>
      <c r="AA973" s="4"/>
      <c r="AM973" s="4"/>
      <c r="AY973" s="4"/>
      <c r="BK973" s="4"/>
    </row>
    <row r="974" spans="3:63" ht="12.75" hidden="1" customHeight="1" x14ac:dyDescent="0.2">
      <c r="C974" s="4"/>
      <c r="O974" s="4"/>
      <c r="AA974" s="4"/>
      <c r="AM974" s="4"/>
      <c r="AY974" s="4"/>
      <c r="BK974" s="4"/>
    </row>
    <row r="975" spans="3:63" ht="12.75" hidden="1" customHeight="1" x14ac:dyDescent="0.2">
      <c r="C975" s="4"/>
      <c r="O975" s="4"/>
      <c r="AA975" s="4"/>
      <c r="AM975" s="4"/>
      <c r="AY975" s="4"/>
      <c r="BK975" s="4"/>
    </row>
    <row r="976" spans="3:63" ht="12.75" hidden="1" customHeight="1" x14ac:dyDescent="0.2">
      <c r="C976" s="4"/>
      <c r="O976" s="4"/>
      <c r="AA976" s="4"/>
      <c r="AM976" s="4"/>
      <c r="AY976" s="4"/>
      <c r="BK976" s="4"/>
    </row>
    <row r="977" spans="3:63" ht="12.75" hidden="1" customHeight="1" x14ac:dyDescent="0.2">
      <c r="C977" s="4"/>
      <c r="O977" s="4"/>
      <c r="AA977" s="4"/>
      <c r="AM977" s="4"/>
      <c r="AY977" s="4"/>
      <c r="BK977" s="4"/>
    </row>
    <row r="978" spans="3:63" ht="12.75" hidden="1" customHeight="1" x14ac:dyDescent="0.2">
      <c r="C978" s="4"/>
      <c r="O978" s="4"/>
      <c r="AA978" s="4"/>
      <c r="AM978" s="4"/>
      <c r="AY978" s="4"/>
      <c r="BK978" s="4"/>
    </row>
    <row r="979" spans="3:63" ht="12.75" hidden="1" customHeight="1" x14ac:dyDescent="0.2">
      <c r="C979" s="4"/>
      <c r="O979" s="4"/>
      <c r="AA979" s="4"/>
      <c r="AM979" s="4"/>
      <c r="AY979" s="4"/>
      <c r="BK979" s="4"/>
    </row>
    <row r="980" spans="3:63" ht="12.75" hidden="1" customHeight="1" x14ac:dyDescent="0.2">
      <c r="C980" s="4"/>
      <c r="O980" s="4"/>
      <c r="AA980" s="4"/>
      <c r="AM980" s="4"/>
      <c r="AY980" s="4"/>
      <c r="BK980" s="4"/>
    </row>
    <row r="981" spans="3:63" ht="12.75" hidden="1" customHeight="1" x14ac:dyDescent="0.2">
      <c r="C981" s="4"/>
      <c r="O981" s="4"/>
      <c r="AA981" s="4"/>
      <c r="AM981" s="4"/>
      <c r="AY981" s="4"/>
      <c r="BK981" s="4"/>
    </row>
    <row r="982" spans="3:63" ht="12.75" hidden="1" customHeight="1" x14ac:dyDescent="0.2">
      <c r="C982" s="4"/>
      <c r="O982" s="4"/>
      <c r="AA982" s="4"/>
      <c r="AM982" s="4"/>
      <c r="AY982" s="4"/>
      <c r="BK982" s="4"/>
    </row>
    <row r="983" spans="3:63" ht="12.75" hidden="1" customHeight="1" x14ac:dyDescent="0.2">
      <c r="C983" s="4"/>
      <c r="O983" s="4"/>
      <c r="AA983" s="4"/>
      <c r="AM983" s="4"/>
      <c r="AY983" s="4"/>
      <c r="BK983" s="4"/>
    </row>
    <row r="984" spans="3:63" ht="12.75" hidden="1" customHeight="1" x14ac:dyDescent="0.2">
      <c r="C984" s="4"/>
      <c r="O984" s="4"/>
      <c r="AA984" s="4"/>
      <c r="AM984" s="4"/>
      <c r="AY984" s="4"/>
      <c r="BK984" s="4"/>
    </row>
    <row r="985" spans="3:63" ht="12.75" hidden="1" customHeight="1" x14ac:dyDescent="0.2">
      <c r="C985" s="4"/>
      <c r="O985" s="4"/>
      <c r="AA985" s="4"/>
      <c r="AM985" s="4"/>
      <c r="AY985" s="4"/>
      <c r="BK985" s="4"/>
    </row>
    <row r="986" spans="3:63" ht="12.75" hidden="1" customHeight="1" x14ac:dyDescent="0.2">
      <c r="C986" s="4"/>
      <c r="O986" s="4"/>
      <c r="AA986" s="4"/>
      <c r="AM986" s="4"/>
      <c r="AY986" s="4"/>
      <c r="BK986" s="4"/>
    </row>
    <row r="987" spans="3:63" ht="12.75" hidden="1" customHeight="1" x14ac:dyDescent="0.2">
      <c r="C987" s="4"/>
      <c r="O987" s="4"/>
      <c r="AA987" s="4"/>
      <c r="AM987" s="4"/>
      <c r="AY987" s="4"/>
      <c r="BK987" s="4"/>
    </row>
    <row r="988" spans="3:63" ht="12.75" hidden="1" customHeight="1" x14ac:dyDescent="0.2">
      <c r="C988" s="4"/>
      <c r="O988" s="4"/>
      <c r="AA988" s="4"/>
      <c r="AM988" s="4"/>
      <c r="AY988" s="4"/>
      <c r="BK988" s="4"/>
    </row>
    <row r="989" spans="3:63" ht="12.75" hidden="1" customHeight="1" x14ac:dyDescent="0.2">
      <c r="C989" s="4"/>
      <c r="O989" s="4"/>
      <c r="AA989" s="4"/>
      <c r="AM989" s="4"/>
      <c r="AY989" s="4"/>
      <c r="BK989" s="4"/>
    </row>
    <row r="990" spans="3:63" ht="12.75" hidden="1" customHeight="1" x14ac:dyDescent="0.2">
      <c r="C990" s="4"/>
      <c r="O990" s="4"/>
      <c r="AA990" s="4"/>
      <c r="AM990" s="4"/>
      <c r="AY990" s="4"/>
      <c r="BK990" s="4"/>
    </row>
    <row r="991" spans="3:63" ht="12.75" hidden="1" customHeight="1" x14ac:dyDescent="0.2">
      <c r="C991" s="4"/>
      <c r="O991" s="4"/>
      <c r="AA991" s="4"/>
      <c r="AM991" s="4"/>
      <c r="AY991" s="4"/>
      <c r="BK991" s="4"/>
    </row>
    <row r="992" spans="3:63" ht="12.75" hidden="1" customHeight="1" x14ac:dyDescent="0.2">
      <c r="C992" s="4"/>
      <c r="O992" s="4"/>
      <c r="AA992" s="4"/>
      <c r="AM992" s="4"/>
      <c r="AY992" s="4"/>
      <c r="BK992" s="4"/>
    </row>
    <row r="993" spans="3:63" ht="12.75" hidden="1" customHeight="1" x14ac:dyDescent="0.2">
      <c r="C993" s="4"/>
      <c r="O993" s="4"/>
      <c r="AA993" s="4"/>
      <c r="AM993" s="4"/>
      <c r="AY993" s="4"/>
      <c r="BK993" s="4"/>
    </row>
    <row r="994" spans="3:63" ht="12.75" hidden="1" customHeight="1" x14ac:dyDescent="0.2">
      <c r="C994" s="4"/>
      <c r="O994" s="4"/>
      <c r="AA994" s="4"/>
      <c r="AM994" s="4"/>
      <c r="AY994" s="4"/>
      <c r="BK994" s="4"/>
    </row>
    <row r="995" spans="3:63" ht="12.75" hidden="1" customHeight="1" x14ac:dyDescent="0.2">
      <c r="C995" s="4"/>
      <c r="O995" s="4"/>
      <c r="AA995" s="4"/>
      <c r="AM995" s="4"/>
      <c r="AY995" s="4"/>
      <c r="BK995" s="4"/>
    </row>
    <row r="996" spans="3:63" ht="12.75" hidden="1" customHeight="1" x14ac:dyDescent="0.2">
      <c r="C996" s="4"/>
      <c r="O996" s="4"/>
      <c r="AA996" s="4"/>
      <c r="AM996" s="4"/>
      <c r="AY996" s="4"/>
      <c r="BK996" s="4"/>
    </row>
    <row r="997" spans="3:63" ht="12.75" hidden="1" customHeight="1" x14ac:dyDescent="0.2">
      <c r="C997" s="4"/>
      <c r="O997" s="4"/>
      <c r="AA997" s="4"/>
      <c r="AM997" s="4"/>
      <c r="AY997" s="4"/>
      <c r="BK997" s="4"/>
    </row>
    <row r="998" spans="3:63" ht="12.75" hidden="1" customHeight="1" x14ac:dyDescent="0.2">
      <c r="C998" s="4"/>
      <c r="O998" s="4"/>
      <c r="AA998" s="4"/>
      <c r="AM998" s="4"/>
      <c r="AY998" s="4"/>
      <c r="BK998" s="4"/>
    </row>
    <row r="999" spans="3:63" ht="12.75" hidden="1" customHeight="1" x14ac:dyDescent="0.2">
      <c r="C999" s="4"/>
      <c r="O999" s="4"/>
      <c r="AA999" s="4"/>
      <c r="AM999" s="4"/>
      <c r="AY999" s="4"/>
      <c r="BK999" s="4"/>
    </row>
    <row r="1000" spans="3:63" ht="12.75" hidden="1" customHeight="1" x14ac:dyDescent="0.2">
      <c r="C1000" s="4"/>
      <c r="O1000" s="4"/>
      <c r="AA1000" s="4"/>
      <c r="AM1000" s="4"/>
      <c r="AY1000" s="4"/>
      <c r="BK1000" s="4"/>
    </row>
    <row r="1001" spans="3:63" ht="12.75" hidden="1" customHeight="1" x14ac:dyDescent="0.2">
      <c r="C1001" s="4"/>
      <c r="O1001" s="4"/>
      <c r="AA1001" s="4"/>
      <c r="AM1001" s="4"/>
      <c r="AY1001" s="4"/>
      <c r="BK1001" s="4"/>
    </row>
  </sheetData>
  <protectedRanges>
    <protectedRange sqref="K5 W5 AI5 AU5 BG5 BS5" name="Rango23"/>
    <protectedRange sqref="BQ5 BE5 AS5 AG5 U5 I5" name="Rango21"/>
    <protectedRange sqref="BL7" name="Rango1_19"/>
    <protectedRange sqref="BO8:BO10" name="Rango1_18"/>
    <protectedRange sqref="BN4:BO6" name="Rango1_17"/>
    <protectedRange sqref="BC8:BD10" name="Rango1_16"/>
    <protectedRange sqref="AZ7" name="Rango1_15"/>
    <protectedRange sqref="BB4:BC6" name="Rango1_14"/>
    <protectedRange sqref="AQ8:AR10" name="Rango1_13"/>
    <protectedRange sqref="AN7" name="Rango1_12"/>
    <protectedRange sqref="AP4:AQ6" name="Rango1_11"/>
    <protectedRange sqref="AE8:AF10" name="Rango1_10"/>
    <protectedRange sqref="AB7" name="Rango1_9"/>
    <protectedRange sqref="AD4:AE6" name="Rango1_8"/>
    <protectedRange sqref="S8:U10" name="Rango1_7"/>
    <protectedRange sqref="P7" name="Rango1_6"/>
    <protectedRange sqref="R4:S6" name="Rango1_5"/>
    <protectedRange sqref="G10" name="Rango1_4"/>
    <protectedRange sqref="G8:G9" name="Rango1_3"/>
    <protectedRange sqref="D7" name="Rango1_2"/>
    <protectedRange sqref="F2:G6" name="Rango1_1"/>
    <protectedRange sqref="I6 V8:W10 AG8:AI10 AS8:AU10 BE8:BG10 BP8:BS10 H8:K10 I2:I3 AG3 U2:U4" name="Rango1"/>
    <protectedRange sqref="I2:I5 AS2:AS5 BE2:BE5 BQ2:BQ5 AG2:AG5 U2:U5" name="Rango22"/>
  </protectedRanges>
  <customSheetViews>
    <customSheetView guid="{D0A72333-44E4-44B0-93CA-B728F04236CB}" showPageBreaks="1" showGridLines="0" hiddenRows="1" hiddenColumns="1" view="pageLayout" showRuler="0" topLeftCell="AP1">
      <selection activeCell="BN15" sqref="BN15"/>
      <pageMargins left="0.39370078740157483" right="0.39370078740157483" top="0.39370078740157483" bottom="0.39370078740157483" header="0" footer="0"/>
      <pageSetup orientation="portrait" horizontalDpi="4294967293" verticalDpi="4294967293" r:id="rId1"/>
      <headerFooter>
        <oddHeader>&amp;CREGISTRO DE EVENTOS</oddHeader>
      </headerFooter>
    </customSheetView>
    <customSheetView guid="{E3163CA8-A8FB-4416-898F-A92046F72E9D}" showPageBreaks="1" showGridLines="0" hiddenRows="1" hiddenColumns="1" view="pageLayout" showRuler="0" topLeftCell="AW1">
      <selection activeCell="BN15" sqref="BN15"/>
      <pageMargins left="0.39370078740157483" right="0.39370078740157483" top="0.39370078740157483" bottom="0.39370078740157483" header="0" footer="0"/>
      <pageSetup orientation="portrait" horizontalDpi="4294967293" verticalDpi="4294967293" r:id="rId2"/>
      <headerFooter>
        <oddHeader>&amp;CREGISTRO DE EVENTOS</oddHeader>
      </headerFooter>
    </customSheetView>
  </customSheetViews>
  <mergeCells count="67">
    <mergeCell ref="R3:S3"/>
    <mergeCell ref="AD3:AE3"/>
    <mergeCell ref="AP3:AQ3"/>
    <mergeCell ref="BB3:BC3"/>
    <mergeCell ref="BN3:BO3"/>
    <mergeCell ref="BB2:BC2"/>
    <mergeCell ref="BB4:BC4"/>
    <mergeCell ref="BB5:BC5"/>
    <mergeCell ref="BB6:BC6"/>
    <mergeCell ref="BD13:BE13"/>
    <mergeCell ref="AO14:AP14"/>
    <mergeCell ref="AR13:AS13"/>
    <mergeCell ref="AT13:AU13"/>
    <mergeCell ref="BA8:BB8"/>
    <mergeCell ref="BA9:BB9"/>
    <mergeCell ref="BA10:BB10"/>
    <mergeCell ref="Q9:R9"/>
    <mergeCell ref="Q10:R10"/>
    <mergeCell ref="Q14:R14"/>
    <mergeCell ref="AD2:AE2"/>
    <mergeCell ref="AD4:AE4"/>
    <mergeCell ref="AD5:AE5"/>
    <mergeCell ref="AD6:AE6"/>
    <mergeCell ref="AC8:AD8"/>
    <mergeCell ref="AC9:AD9"/>
    <mergeCell ref="AC10:AD10"/>
    <mergeCell ref="R2:S2"/>
    <mergeCell ref="R4:S4"/>
    <mergeCell ref="R5:S5"/>
    <mergeCell ref="R6:S6"/>
    <mergeCell ref="Q8:R8"/>
    <mergeCell ref="AC14:AD14"/>
    <mergeCell ref="F2:G2"/>
    <mergeCell ref="F4:G4"/>
    <mergeCell ref="F5:G5"/>
    <mergeCell ref="F6:G6"/>
    <mergeCell ref="E10:F10"/>
    <mergeCell ref="F3:G3"/>
    <mergeCell ref="J13:K13"/>
    <mergeCell ref="H13:I13"/>
    <mergeCell ref="E8:F8"/>
    <mergeCell ref="E9:F9"/>
    <mergeCell ref="E14:F14"/>
    <mergeCell ref="AH13:AI13"/>
    <mergeCell ref="AO9:AP9"/>
    <mergeCell ref="AO10:AP10"/>
    <mergeCell ref="AP2:AQ2"/>
    <mergeCell ref="AP4:AQ4"/>
    <mergeCell ref="AP5:AQ5"/>
    <mergeCell ref="AP6:AQ6"/>
    <mergeCell ref="AO8:AP8"/>
    <mergeCell ref="B1:C1"/>
    <mergeCell ref="BP13:BQ13"/>
    <mergeCell ref="BR13:BS13"/>
    <mergeCell ref="BM14:BN14"/>
    <mergeCell ref="BF13:BG13"/>
    <mergeCell ref="BA14:BB14"/>
    <mergeCell ref="BN2:BO2"/>
    <mergeCell ref="BN4:BO4"/>
    <mergeCell ref="BN5:BO5"/>
    <mergeCell ref="BN6:BO6"/>
    <mergeCell ref="BM8:BN8"/>
    <mergeCell ref="BM9:BN9"/>
    <mergeCell ref="BM10:BN10"/>
    <mergeCell ref="T13:U13"/>
    <mergeCell ref="V13:W13"/>
    <mergeCell ref="AF13:AG13"/>
  </mergeCells>
  <conditionalFormatting sqref="B16:G248 B14:M14 H16:I250 B15:I15 L15:M249">
    <cfRule type="cellIs" dxfId="506" priority="12" operator="greaterThan">
      <formula>$I$2</formula>
    </cfRule>
  </conditionalFormatting>
  <conditionalFormatting sqref="U250:V250 N14:Y249">
    <cfRule type="cellIs" dxfId="505" priority="6" operator="greaterThan">
      <formula>$U$2</formula>
    </cfRule>
  </conditionalFormatting>
  <conditionalFormatting sqref="Z14:AK251">
    <cfRule type="cellIs" dxfId="504" priority="5" operator="greaterThan">
      <formula>$AG$2</formula>
    </cfRule>
  </conditionalFormatting>
  <conditionalFormatting sqref="AL14:AW251">
    <cfRule type="cellIs" dxfId="503" priority="4" operator="greaterThan">
      <formula>$AS$2</formula>
    </cfRule>
  </conditionalFormatting>
  <conditionalFormatting sqref="AX14:BI15 AX16:AZ248 BD250:BE250 BB16:BB248 BA16:BA249 BC16:BI249">
    <cfRule type="cellIs" dxfId="502" priority="3" operator="greaterThan">
      <formula>$BE$2</formula>
    </cfRule>
  </conditionalFormatting>
  <conditionalFormatting sqref="BJ14:BT249">
    <cfRule type="cellIs" dxfId="501" priority="2" operator="greaterThan">
      <formula>$BQ$2</formula>
    </cfRule>
  </conditionalFormatting>
  <conditionalFormatting sqref="J15:K249">
    <cfRule type="cellIs" dxfId="500" priority="1" operator="greaterThan">
      <formula>$I$2</formula>
    </cfRule>
  </conditionalFormatting>
  <dataValidations count="30">
    <dataValidation type="whole" allowBlank="1" showInputMessage="1" showErrorMessage="1" sqref="BC9:BI9 G9:M9 S9:Y9 AE9:AK9 AQ9:AW9 BO9:BT9">
      <formula1>0</formula1>
      <formula2>99999999999999900</formula2>
    </dataValidation>
    <dataValidation type="whole" allowBlank="1" showInputMessage="1" showErrorMessage="1" sqref="BC10:BI10 G10:M10 S10:Y10 AE10:AK10 AQ10:AW10 BO10:BT10">
      <formula1>0</formula1>
      <formula2>99999999999999</formula2>
    </dataValidation>
    <dataValidation type="date" operator="greaterThan" allowBlank="1" showInputMessage="1" showErrorMessage="1" sqref="AN7 BC8:BI8 AZ7 D7 G8:M8 P7 S8:Y8 AB7 AE8:AK8 AQ8:AW8 BO8:BT8 BL7">
      <formula1>42005</formula1>
    </dataValidation>
    <dataValidation type="whole" allowBlank="1" showInputMessage="1" showErrorMessage="1" sqref="BB6:BC6 AP6:AQ6 F6:G6 R6:S6 AD6:AE6 BN6:BO6">
      <formula1>0</formula1>
      <formula2>9999</formula2>
    </dataValidation>
    <dataValidation type="list" allowBlank="1" showInputMessage="1" showErrorMessage="1" sqref="F2:G2">
      <formula1>SITIOS_2</formula1>
    </dataValidation>
    <dataValidation type="list" allowBlank="1" showInputMessage="1" showErrorMessage="1" sqref="I3">
      <formula1>SITIOS_3</formula1>
    </dataValidation>
    <dataValidation type="list" allowBlank="1" showInputMessage="1" showErrorMessage="1" sqref="F3:G3">
      <formula1>INDIRECT($F$2)</formula1>
    </dataValidation>
    <dataValidation type="list" allowBlank="1" showInputMessage="1" showErrorMessage="1" sqref="F4:G4">
      <formula1>INDIRECT($F$3)</formula1>
    </dataValidation>
    <dataValidation type="list" allowBlank="1" showInputMessage="1" showErrorMessage="1" sqref="I4">
      <formula1>INDIRECT($I$3)</formula1>
    </dataValidation>
    <dataValidation type="list" allowBlank="1" showInputMessage="1" showErrorMessage="1" sqref="I5">
      <formula1>INDIRECT($I$4)</formula1>
    </dataValidation>
    <dataValidation type="list" allowBlank="1" showInputMessage="1" showErrorMessage="1" sqref="R3:S3">
      <formula1>INDIRECT($R$2)</formula1>
    </dataValidation>
    <dataValidation type="list" allowBlank="1" showInputMessage="1" showErrorMessage="1" sqref="R4:S4">
      <formula1>INDIRECT($R$3)</formula1>
    </dataValidation>
    <dataValidation type="list" allowBlank="1" showInputMessage="1" showErrorMessage="1" sqref="U4">
      <formula1>INDIRECT($U$3)</formula1>
    </dataValidation>
    <dataValidation type="list" allowBlank="1" showInputMessage="1" showErrorMessage="1" sqref="U5">
      <formula1>INDIRECT($U$4)</formula1>
    </dataValidation>
    <dataValidation type="list" allowBlank="1" showInputMessage="1" showErrorMessage="1" sqref="AD3:AE3">
      <formula1>INDIRECT($AD$2)</formula1>
    </dataValidation>
    <dataValidation type="list" allowBlank="1" showInputMessage="1" showErrorMessage="1" sqref="AD4:AE4">
      <formula1>INDIRECT($AD$3)</formula1>
    </dataValidation>
    <dataValidation type="list" allowBlank="1" showInputMessage="1" showErrorMessage="1" sqref="AG4">
      <formula1>INDIRECT($AG$3)</formula1>
    </dataValidation>
    <dataValidation type="list" allowBlank="1" showInputMessage="1" showErrorMessage="1" sqref="AG5">
      <formula1>INDIRECT($AG$4)</formula1>
    </dataValidation>
    <dataValidation type="list" allowBlank="1" showInputMessage="1" showErrorMessage="1" sqref="AP3:AQ3">
      <formula1>INDIRECT($AP$2)</formula1>
    </dataValidation>
    <dataValidation type="list" allowBlank="1" showInputMessage="1" showErrorMessage="1" sqref="AP4:AQ4">
      <formula1>INDIRECT($AP$3)</formula1>
    </dataValidation>
    <dataValidation type="list" allowBlank="1" showInputMessage="1" showErrorMessage="1" sqref="AS4">
      <formula1>INDIRECT($AS$3)</formula1>
    </dataValidation>
    <dataValidation type="list" allowBlank="1" showInputMessage="1" showErrorMessage="1" sqref="AS5">
      <formula1>INDIRECT($AS$4)</formula1>
    </dataValidation>
    <dataValidation type="list" allowBlank="1" showInputMessage="1" showErrorMessage="1" sqref="BB3:BC3">
      <formula1>INDIRECT($BB$2)</formula1>
    </dataValidation>
    <dataValidation type="list" allowBlank="1" showInputMessage="1" showErrorMessage="1" sqref="BB4:BC4">
      <formula1>INDIRECT($BB$3)</formula1>
    </dataValidation>
    <dataValidation type="list" allowBlank="1" showInputMessage="1" showErrorMessage="1" sqref="BE4">
      <formula1>INDIRECT($BE$3)</formula1>
    </dataValidation>
    <dataValidation type="list" allowBlank="1" showInputMessage="1" showErrorMessage="1" sqref="BE5">
      <formula1>INDIRECT($BE$4)</formula1>
    </dataValidation>
    <dataValidation type="list" allowBlank="1" showInputMessage="1" showErrorMessage="1" sqref="BN3:BO3">
      <formula1>INDIRECT($BN$2)</formula1>
    </dataValidation>
    <dataValidation type="list" allowBlank="1" showInputMessage="1" showErrorMessage="1" sqref="BN4:BO4">
      <formula1>INDIRECT($BN$3)</formula1>
    </dataValidation>
    <dataValidation type="list" allowBlank="1" showInputMessage="1" showErrorMessage="1" sqref="BQ4">
      <formula1>INDIRECT($BQ$3)</formula1>
    </dataValidation>
    <dataValidation type="list" allowBlank="1" showInputMessage="1" showErrorMessage="1" sqref="BQ5">
      <formula1>INDIRECT($BQ$4)</formula1>
    </dataValidation>
  </dataValidations>
  <pageMargins left="0.39370078740157483" right="0.39370078740157483" top="0.39370078740157483" bottom="0.39370078740157483" header="0" footer="0"/>
  <pageSetup orientation="portrait" horizontalDpi="4294967293" verticalDpi="4294967293" r:id="rId3"/>
  <headerFooter>
    <oddHeader>&amp;CREGISTRO DE EVENTOS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1:BI230"/>
  <sheetViews>
    <sheetView showGridLines="0" view="pageLayout" zoomScaleNormal="100" workbookViewId="0">
      <selection activeCell="G8" sqref="G8:I8"/>
    </sheetView>
  </sheetViews>
  <sheetFormatPr baseColWidth="10" defaultColWidth="0" defaultRowHeight="15" x14ac:dyDescent="0.25"/>
  <cols>
    <col min="1" max="1" width="3" style="22" customWidth="1"/>
    <col min="2" max="2" width="11.7109375" style="157" customWidth="1"/>
    <col min="3" max="4" width="11.7109375" style="22" customWidth="1"/>
    <col min="5" max="5" width="11.7109375" style="23" customWidth="1"/>
    <col min="6" max="8" width="11.7109375" style="157" customWidth="1"/>
    <col min="9" max="9" width="11.7109375" style="155" customWidth="1"/>
    <col min="10" max="10" width="3.7109375" style="26" customWidth="1"/>
    <col min="11" max="11" width="11.7109375" style="157" customWidth="1"/>
    <col min="12" max="13" width="11.7109375" style="22" customWidth="1"/>
    <col min="14" max="14" width="11.7109375" style="23" customWidth="1"/>
    <col min="15" max="17" width="11.7109375" style="157" customWidth="1"/>
    <col min="18" max="18" width="11.7109375" style="155" customWidth="1"/>
    <col min="19" max="19" width="2.85546875" style="26" customWidth="1"/>
    <col min="20" max="20" width="11.7109375" style="157" customWidth="1"/>
    <col min="21" max="22" width="11.7109375" style="22" customWidth="1"/>
    <col min="23" max="23" width="11.7109375" style="23" customWidth="1"/>
    <col min="24" max="26" width="11.7109375" style="157" customWidth="1"/>
    <col min="27" max="27" width="11.7109375" style="155" customWidth="1"/>
    <col min="28" max="28" width="2.140625" style="26" customWidth="1"/>
    <col min="29" max="29" width="11.7109375" style="157" customWidth="1"/>
    <col min="30" max="31" width="11.7109375" style="22" customWidth="1"/>
    <col min="32" max="32" width="11.7109375" style="23" customWidth="1"/>
    <col min="33" max="33" width="11.7109375" style="22" customWidth="1"/>
    <col min="34" max="36" width="11.7109375" style="157" customWidth="1"/>
    <col min="37" max="37" width="3.140625" style="26" customWidth="1"/>
    <col min="38" max="38" width="11.7109375" style="157" customWidth="1"/>
    <col min="39" max="40" width="11.7109375" style="22" customWidth="1"/>
    <col min="41" max="41" width="11.7109375" style="23" customWidth="1"/>
    <col min="42" max="45" width="11.7109375" style="157" customWidth="1"/>
    <col min="46" max="46" width="3.28515625" style="26" customWidth="1"/>
    <col min="47" max="47" width="11.7109375" style="157" customWidth="1"/>
    <col min="48" max="49" width="11.7109375" style="22" customWidth="1"/>
    <col min="50" max="50" width="11.7109375" style="23" customWidth="1"/>
    <col min="51" max="54" width="11.7109375" style="157" customWidth="1"/>
    <col min="55" max="61" width="11.42578125" style="22" hidden="1" customWidth="1"/>
    <col min="62" max="62" width="0" style="22" hidden="1" customWidth="1"/>
    <col min="63" max="16384" width="0" style="22" hidden="1"/>
  </cols>
  <sheetData>
    <row r="1" spans="2:54" x14ac:dyDescent="0.25">
      <c r="B1" s="22"/>
      <c r="D1" s="22" t="s">
        <v>33</v>
      </c>
      <c r="E1" s="23" t="str">
        <f>RESUMEN!F2</f>
        <v>ESPERANZA</v>
      </c>
      <c r="F1" s="22" t="s">
        <v>89</v>
      </c>
      <c r="G1" s="23">
        <f>RESUMEN!I5</f>
        <v>0</v>
      </c>
      <c r="H1" s="24"/>
      <c r="I1" s="25"/>
      <c r="J1" s="25"/>
      <c r="K1" s="22"/>
      <c r="M1" s="22" t="s">
        <v>33</v>
      </c>
      <c r="N1" s="23" t="str">
        <f>E1</f>
        <v>ESPERANZA</v>
      </c>
      <c r="O1" s="22" t="s">
        <v>89</v>
      </c>
      <c r="P1" s="23">
        <f>RESUMEN!U5</f>
        <v>0</v>
      </c>
      <c r="Q1" s="24"/>
      <c r="R1" s="25"/>
      <c r="S1" s="25"/>
      <c r="T1" s="22"/>
      <c r="V1" s="22" t="s">
        <v>33</v>
      </c>
      <c r="W1" s="23" t="str">
        <f>N1</f>
        <v>ESPERANZA</v>
      </c>
      <c r="X1" s="22" t="s">
        <v>89</v>
      </c>
      <c r="Y1" s="23">
        <f>RESUMEN!AG5</f>
        <v>0</v>
      </c>
      <c r="Z1" s="24"/>
      <c r="AA1" s="25"/>
      <c r="AB1" s="25"/>
      <c r="AC1" s="22"/>
      <c r="AE1" s="22" t="s">
        <v>33</v>
      </c>
      <c r="AF1" s="23" t="str">
        <f>W1</f>
        <v>ESPERANZA</v>
      </c>
      <c r="AG1" s="22" t="s">
        <v>89</v>
      </c>
      <c r="AH1" s="23">
        <f>RESUMEN!AS5</f>
        <v>0</v>
      </c>
      <c r="AI1" s="24"/>
      <c r="AJ1" s="24"/>
      <c r="AK1" s="25"/>
      <c r="AL1" s="22"/>
      <c r="AN1" s="22" t="s">
        <v>33</v>
      </c>
      <c r="AO1" s="23" t="str">
        <f>AF1</f>
        <v>ESPERANZA</v>
      </c>
      <c r="AP1" s="22" t="s">
        <v>89</v>
      </c>
      <c r="AQ1" s="23">
        <f>RESUMEN!BE5</f>
        <v>0</v>
      </c>
      <c r="AR1" s="24"/>
      <c r="AS1" s="24"/>
      <c r="AT1" s="25"/>
      <c r="AU1" s="22"/>
      <c r="AW1" s="22" t="s">
        <v>33</v>
      </c>
      <c r="AX1" s="23" t="str">
        <f>AO1</f>
        <v>ESPERANZA</v>
      </c>
      <c r="AY1" s="22" t="s">
        <v>89</v>
      </c>
      <c r="AZ1" s="22">
        <f>RESUMEN!BQ5</f>
        <v>0</v>
      </c>
      <c r="BA1" s="24"/>
      <c r="BB1" s="22"/>
    </row>
    <row r="2" spans="2:54" x14ac:dyDescent="0.25">
      <c r="B2" s="22"/>
      <c r="D2" s="26" t="s">
        <v>19</v>
      </c>
      <c r="E2" s="23">
        <f>RESUMEN!F5</f>
        <v>18044</v>
      </c>
      <c r="F2" s="22"/>
      <c r="G2" s="22"/>
      <c r="H2" s="24"/>
      <c r="I2" s="25"/>
      <c r="J2" s="25"/>
      <c r="K2" s="22"/>
      <c r="M2" s="22" t="s">
        <v>19</v>
      </c>
      <c r="N2" s="23">
        <f>RESUMEN!R5</f>
        <v>18045</v>
      </c>
      <c r="O2" s="109"/>
      <c r="P2" s="22"/>
      <c r="Q2" s="24"/>
      <c r="R2" s="25"/>
      <c r="S2" s="25"/>
      <c r="T2" s="22"/>
      <c r="V2" s="22" t="s">
        <v>19</v>
      </c>
      <c r="W2" s="23">
        <f>RESUMEN!AD5</f>
        <v>18046</v>
      </c>
      <c r="X2" s="22"/>
      <c r="Y2" s="22"/>
      <c r="Z2" s="24"/>
      <c r="AA2" s="25"/>
      <c r="AB2" s="25"/>
      <c r="AC2" s="22"/>
      <c r="AE2" s="22" t="s">
        <v>19</v>
      </c>
      <c r="AF2" s="23">
        <f>RESUMEN!AP5</f>
        <v>18047</v>
      </c>
      <c r="AH2" s="22"/>
      <c r="AI2" s="24"/>
      <c r="AJ2" s="24"/>
      <c r="AK2" s="25"/>
      <c r="AL2" s="22"/>
      <c r="AN2" s="22" t="s">
        <v>19</v>
      </c>
      <c r="AO2" s="23">
        <f>RESUMEN!BB5</f>
        <v>18048</v>
      </c>
      <c r="AP2" s="22"/>
      <c r="AQ2" s="22"/>
      <c r="AR2" s="24"/>
      <c r="AS2" s="24"/>
      <c r="AT2" s="25"/>
      <c r="AU2" s="22"/>
      <c r="AW2" s="22" t="s">
        <v>19</v>
      </c>
      <c r="AX2" s="23">
        <f>RESUMEN!BN5</f>
        <v>18049</v>
      </c>
      <c r="AY2" s="22"/>
      <c r="AZ2" s="22"/>
      <c r="BA2" s="24"/>
      <c r="BB2" s="22"/>
    </row>
    <row r="3" spans="2:54" x14ac:dyDescent="0.25">
      <c r="B3" s="22"/>
      <c r="D3" s="26" t="s">
        <v>21</v>
      </c>
      <c r="E3" s="23" t="str">
        <f>RESUMEN!F4</f>
        <v>Tejaban 7 y 10</v>
      </c>
      <c r="F3" s="22"/>
      <c r="G3" s="22"/>
      <c r="H3" s="24"/>
      <c r="I3" s="25"/>
      <c r="J3" s="25"/>
      <c r="K3" s="22"/>
      <c r="M3" s="22" t="s">
        <v>21</v>
      </c>
      <c r="N3" s="108" t="str">
        <f>RESUMEN!R4</f>
        <v>Tejaban 7 y 10</v>
      </c>
      <c r="O3" s="109"/>
      <c r="P3" s="22"/>
      <c r="Q3" s="24"/>
      <c r="R3" s="25"/>
      <c r="S3" s="25"/>
      <c r="T3" s="22"/>
      <c r="V3" s="22" t="s">
        <v>21</v>
      </c>
      <c r="W3" s="108" t="str">
        <f>RESUMEN!AD4</f>
        <v>Tejaban 7 y 10</v>
      </c>
      <c r="X3" s="22"/>
      <c r="Y3" s="22"/>
      <c r="Z3" s="24"/>
      <c r="AA3" s="25"/>
      <c r="AB3" s="25"/>
      <c r="AC3" s="22"/>
      <c r="AE3" s="22" t="s">
        <v>21</v>
      </c>
      <c r="AF3" s="108" t="str">
        <f>RESUMEN!AP4</f>
        <v>Tejaban 5 y 9</v>
      </c>
      <c r="AH3" s="22"/>
      <c r="AI3" s="24"/>
      <c r="AJ3" s="24"/>
      <c r="AK3" s="25"/>
      <c r="AL3" s="22"/>
      <c r="AN3" s="22" t="s">
        <v>21</v>
      </c>
      <c r="AO3" s="108" t="str">
        <f>RESUMEN!BB4</f>
        <v>Tejaban 5 y 9</v>
      </c>
      <c r="AP3" s="22"/>
      <c r="AQ3" s="22"/>
      <c r="AR3" s="24"/>
      <c r="AS3" s="24"/>
      <c r="AT3" s="25"/>
      <c r="AU3" s="22"/>
      <c r="AW3" s="22" t="s">
        <v>21</v>
      </c>
      <c r="AX3" s="108" t="str">
        <f>RESUMEN!BN4</f>
        <v>Tejaban 5 y 9</v>
      </c>
      <c r="AY3" s="22"/>
      <c r="AZ3" s="22"/>
      <c r="BA3" s="24"/>
      <c r="BB3" s="22"/>
    </row>
    <row r="4" spans="2:54" x14ac:dyDescent="0.25">
      <c r="B4" s="22"/>
      <c r="D4" s="26" t="s">
        <v>23</v>
      </c>
      <c r="E4" s="27">
        <f>RESUMEN!L249</f>
        <v>1460</v>
      </c>
      <c r="F4" s="22"/>
      <c r="G4" s="22"/>
      <c r="H4" s="24"/>
      <c r="I4" s="25"/>
      <c r="J4" s="25"/>
      <c r="K4" s="22"/>
      <c r="M4" s="22" t="s">
        <v>23</v>
      </c>
      <c r="N4" s="28">
        <f>RESUMEN!X249</f>
        <v>1520</v>
      </c>
      <c r="O4" s="22"/>
      <c r="P4" s="22"/>
      <c r="Q4" s="24"/>
      <c r="R4" s="25"/>
      <c r="S4" s="25"/>
      <c r="T4" s="22"/>
      <c r="V4" s="22" t="s">
        <v>23</v>
      </c>
      <c r="W4" s="28">
        <f>RESUMEN!AJ249</f>
        <v>1724</v>
      </c>
      <c r="X4" s="22"/>
      <c r="Y4" s="22"/>
      <c r="Z4" s="24"/>
      <c r="AA4" s="25"/>
      <c r="AB4" s="25"/>
      <c r="AC4" s="22"/>
      <c r="AE4" s="22" t="s">
        <v>23</v>
      </c>
      <c r="AF4" s="28">
        <f>RESUMEN!AV249</f>
        <v>2076</v>
      </c>
      <c r="AH4" s="22"/>
      <c r="AI4" s="24"/>
      <c r="AJ4" s="24"/>
      <c r="AK4" s="25"/>
      <c r="AL4" s="22"/>
      <c r="AN4" s="22" t="s">
        <v>23</v>
      </c>
      <c r="AO4" s="28">
        <f>RESUMEN!BH249</f>
        <v>2081</v>
      </c>
      <c r="AP4" s="22"/>
      <c r="AQ4" s="22"/>
      <c r="AR4" s="24"/>
      <c r="AS4" s="24"/>
      <c r="AT4" s="25"/>
      <c r="AU4" s="22"/>
      <c r="AW4" s="22" t="s">
        <v>23</v>
      </c>
      <c r="AX4" s="28">
        <f>RESUMEN!BT249</f>
        <v>2241</v>
      </c>
      <c r="AY4" s="22"/>
      <c r="AZ4" s="22"/>
      <c r="BA4" s="24"/>
      <c r="BB4" s="22"/>
    </row>
    <row r="5" spans="2:54" x14ac:dyDescent="0.25">
      <c r="B5" s="103" t="s">
        <v>24</v>
      </c>
      <c r="C5" s="103" t="s">
        <v>25</v>
      </c>
      <c r="D5" s="103" t="s">
        <v>26</v>
      </c>
      <c r="E5" s="104" t="s">
        <v>77</v>
      </c>
      <c r="F5" s="103" t="s">
        <v>78</v>
      </c>
      <c r="G5" s="103" t="s">
        <v>33</v>
      </c>
      <c r="H5" s="105" t="s">
        <v>115</v>
      </c>
      <c r="I5" s="105" t="s">
        <v>21</v>
      </c>
      <c r="J5" s="25"/>
      <c r="K5" s="103" t="s">
        <v>24</v>
      </c>
      <c r="L5" s="103" t="s">
        <v>25</v>
      </c>
      <c r="M5" s="103" t="s">
        <v>26</v>
      </c>
      <c r="N5" s="104" t="s">
        <v>77</v>
      </c>
      <c r="O5" s="103" t="s">
        <v>78</v>
      </c>
      <c r="P5" s="103" t="s">
        <v>33</v>
      </c>
      <c r="Q5" s="105" t="s">
        <v>115</v>
      </c>
      <c r="R5" s="105" t="s">
        <v>21</v>
      </c>
      <c r="S5" s="25"/>
      <c r="T5" s="103" t="s">
        <v>24</v>
      </c>
      <c r="U5" s="103" t="s">
        <v>25</v>
      </c>
      <c r="V5" s="103" t="s">
        <v>26</v>
      </c>
      <c r="W5" s="104" t="s">
        <v>77</v>
      </c>
      <c r="X5" s="103" t="s">
        <v>78</v>
      </c>
      <c r="Y5" s="103" t="s">
        <v>33</v>
      </c>
      <c r="Z5" s="105" t="s">
        <v>115</v>
      </c>
      <c r="AA5" s="105" t="s">
        <v>21</v>
      </c>
      <c r="AB5" s="25"/>
      <c r="AC5" s="103" t="s">
        <v>24</v>
      </c>
      <c r="AD5" s="103" t="s">
        <v>25</v>
      </c>
      <c r="AE5" s="103" t="s">
        <v>26</v>
      </c>
      <c r="AF5" s="104" t="s">
        <v>77</v>
      </c>
      <c r="AG5" s="103" t="s">
        <v>78</v>
      </c>
      <c r="AH5" s="103" t="s">
        <v>33</v>
      </c>
      <c r="AI5" s="105" t="s">
        <v>115</v>
      </c>
      <c r="AJ5" s="105" t="s">
        <v>21</v>
      </c>
      <c r="AK5" s="25"/>
      <c r="AL5" s="103" t="s">
        <v>24</v>
      </c>
      <c r="AM5" s="103" t="s">
        <v>25</v>
      </c>
      <c r="AN5" s="103" t="s">
        <v>26</v>
      </c>
      <c r="AO5" s="104" t="s">
        <v>77</v>
      </c>
      <c r="AP5" s="103" t="s">
        <v>78</v>
      </c>
      <c r="AQ5" s="103" t="s">
        <v>33</v>
      </c>
      <c r="AR5" s="105" t="s">
        <v>115</v>
      </c>
      <c r="AS5" s="105" t="s">
        <v>21</v>
      </c>
      <c r="AT5" s="25"/>
      <c r="AU5" s="103" t="s">
        <v>24</v>
      </c>
      <c r="AV5" s="103" t="s">
        <v>25</v>
      </c>
      <c r="AW5" s="103" t="s">
        <v>26</v>
      </c>
      <c r="AX5" s="104" t="s">
        <v>77</v>
      </c>
      <c r="AY5" s="103" t="s">
        <v>78</v>
      </c>
      <c r="AZ5" s="103" t="s">
        <v>33</v>
      </c>
      <c r="BA5" s="105" t="s">
        <v>115</v>
      </c>
      <c r="BB5" s="105" t="s">
        <v>21</v>
      </c>
    </row>
    <row r="6" spans="2:54" x14ac:dyDescent="0.25">
      <c r="B6" s="160"/>
      <c r="C6" s="106" t="e">
        <f>WEEKNUM(B6-RESUMEN!$D$7)</f>
        <v>#NUM!</v>
      </c>
      <c r="D6" s="106">
        <f>_xlfn.DAYS(B6,RESUMEN!$D$7)</f>
        <v>-43238</v>
      </c>
      <c r="E6" s="104"/>
      <c r="F6" s="152"/>
      <c r="G6" s="152"/>
      <c r="H6" s="153"/>
      <c r="I6" s="153"/>
      <c r="J6" s="25"/>
      <c r="K6" s="159"/>
      <c r="L6" s="30" t="e">
        <f>WEEKNUM(K6-RESUMEN!$P$7)</f>
        <v>#NUM!</v>
      </c>
      <c r="M6" s="32">
        <f>_xlfn.DAYS(K6,RESUMEN!$P$7)</f>
        <v>-43242</v>
      </c>
      <c r="N6" s="31"/>
      <c r="O6" s="161"/>
      <c r="P6" s="161"/>
      <c r="Q6" s="162"/>
      <c r="R6" s="153"/>
      <c r="S6" s="25"/>
      <c r="T6" s="160"/>
      <c r="U6" s="30" t="e">
        <f>WEEKNUM(T6-RESUMEN!$AB$7)</f>
        <v>#NUM!</v>
      </c>
      <c r="V6" s="30">
        <f>_xlfn.DAYS(T6,RESUMEN!$AB$7)</f>
        <v>-43247</v>
      </c>
      <c r="W6" s="31"/>
      <c r="X6" s="161"/>
      <c r="Y6" s="161"/>
      <c r="Z6" s="162"/>
      <c r="AA6" s="162"/>
      <c r="AB6" s="25"/>
      <c r="AC6" s="159"/>
      <c r="AD6" s="106" t="e">
        <f>WEEKNUM(AC6-RESUMEN!$AN$7)</f>
        <v>#NUM!</v>
      </c>
      <c r="AE6" s="106">
        <f>_xlfn.DAYS(AC6,RESUMEN!$D$7)</f>
        <v>-43238</v>
      </c>
      <c r="AF6" s="104"/>
      <c r="AG6" s="104"/>
      <c r="AH6" s="152"/>
      <c r="AI6" s="153"/>
      <c r="AJ6" s="153"/>
      <c r="AK6" s="25"/>
      <c r="AL6" s="159"/>
      <c r="AM6" s="106" t="e">
        <f>WEEKNUM(AL6-RESUMEN!$D$7)</f>
        <v>#NUM!</v>
      </c>
      <c r="AN6" s="106">
        <f>_xlfn.DAYS(AL6,RESUMEN!$D$7)</f>
        <v>-43238</v>
      </c>
      <c r="AO6" s="104"/>
      <c r="AP6" s="152"/>
      <c r="AQ6" s="152"/>
      <c r="AR6" s="153"/>
      <c r="AS6" s="153"/>
      <c r="AT6" s="25"/>
      <c r="AU6" s="159"/>
      <c r="AV6" s="106" t="e">
        <f>WEEKNUM(AU6-RESUMEN!$D$7)</f>
        <v>#NUM!</v>
      </c>
      <c r="AW6" s="106">
        <f>_xlfn.DAYS(AU6,RESUMEN!$D$7)</f>
        <v>-43238</v>
      </c>
      <c r="AX6" s="104"/>
      <c r="AY6" s="152"/>
      <c r="AZ6" s="152"/>
      <c r="BA6" s="153"/>
      <c r="BB6" s="153"/>
    </row>
    <row r="7" spans="2:54" x14ac:dyDescent="0.25">
      <c r="B7" s="160"/>
      <c r="C7" s="106" t="e">
        <f>WEEKNUM(B7-RESUMEN!$D$7)</f>
        <v>#NUM!</v>
      </c>
      <c r="D7" s="106">
        <f>_xlfn.DAYS(B7,RESUMEN!$D$7)</f>
        <v>-43238</v>
      </c>
      <c r="E7" s="104"/>
      <c r="F7" s="152"/>
      <c r="G7" s="152"/>
      <c r="H7" s="153"/>
      <c r="I7" s="153"/>
      <c r="J7" s="25"/>
      <c r="K7" s="159"/>
      <c r="L7" s="30" t="e">
        <f>WEEKNUM(K7-RESUMEN!$P$7)</f>
        <v>#NUM!</v>
      </c>
      <c r="M7" s="32">
        <f>_xlfn.DAYS(K7,RESUMEN!$P$7)</f>
        <v>-43242</v>
      </c>
      <c r="N7" s="31"/>
      <c r="O7" s="161"/>
      <c r="P7" s="161"/>
      <c r="Q7" s="162"/>
      <c r="R7" s="153"/>
      <c r="S7" s="25"/>
      <c r="T7" s="160"/>
      <c r="U7" s="30" t="e">
        <f>WEEKNUM(T7-RESUMEN!$AB$7)</f>
        <v>#NUM!</v>
      </c>
      <c r="V7" s="30">
        <f>_xlfn.DAYS(T7,RESUMEN!$AB$7)</f>
        <v>-43247</v>
      </c>
      <c r="W7" s="33"/>
      <c r="X7" s="161"/>
      <c r="Y7" s="161"/>
      <c r="Z7" s="162"/>
      <c r="AA7" s="162"/>
      <c r="AB7" s="25"/>
      <c r="AC7" s="159"/>
      <c r="AD7" s="106" t="e">
        <f>WEEKNUM(AC7-RESUMEN!$AN$7)</f>
        <v>#NUM!</v>
      </c>
      <c r="AE7" s="106">
        <f>_xlfn.DAYS(AC7,RESUMEN!$D$7)</f>
        <v>-43238</v>
      </c>
      <c r="AF7" s="104"/>
      <c r="AG7" s="104"/>
      <c r="AH7" s="152"/>
      <c r="AI7" s="153"/>
      <c r="AJ7" s="153"/>
      <c r="AK7" s="25"/>
      <c r="AL7" s="159"/>
      <c r="AM7" s="106" t="e">
        <f>WEEKNUM(AL7-RESUMEN!$D$7)</f>
        <v>#NUM!</v>
      </c>
      <c r="AN7" s="106">
        <f>_xlfn.DAYS(AL7,RESUMEN!$D$7)</f>
        <v>-43238</v>
      </c>
      <c r="AO7" s="104"/>
      <c r="AP7" s="152"/>
      <c r="AQ7" s="152"/>
      <c r="AR7" s="153"/>
      <c r="AS7" s="153"/>
      <c r="AT7" s="25"/>
      <c r="AU7" s="159"/>
      <c r="AV7" s="106" t="e">
        <f>WEEKNUM(AU7-RESUMEN!$D$7)</f>
        <v>#NUM!</v>
      </c>
      <c r="AW7" s="106">
        <f>_xlfn.DAYS(AU7,RESUMEN!$D$7)</f>
        <v>-43238</v>
      </c>
      <c r="AX7" s="104"/>
      <c r="AY7" s="152"/>
      <c r="AZ7" s="152"/>
      <c r="BA7" s="153"/>
      <c r="BB7" s="153"/>
    </row>
    <row r="8" spans="2:54" x14ac:dyDescent="0.25">
      <c r="B8" s="160"/>
      <c r="C8" s="106" t="e">
        <f>WEEKNUM(B8-RESUMEN!$D$7)</f>
        <v>#NUM!</v>
      </c>
      <c r="D8" s="106">
        <f>_xlfn.DAYS(B8,RESUMEN!$D$7)</f>
        <v>-43238</v>
      </c>
      <c r="E8" s="107"/>
      <c r="F8" s="152"/>
      <c r="G8" s="152"/>
      <c r="H8" s="153"/>
      <c r="I8" s="153"/>
      <c r="J8" s="25"/>
      <c r="K8" s="159"/>
      <c r="L8" s="30" t="e">
        <f>WEEKNUM(K8-RESUMEN!$P$7)</f>
        <v>#NUM!</v>
      </c>
      <c r="M8" s="32">
        <f>_xlfn.DAYS(K8,RESUMEN!$P$7)</f>
        <v>-43242</v>
      </c>
      <c r="N8" s="31"/>
      <c r="O8" s="161"/>
      <c r="P8" s="161"/>
      <c r="Q8" s="162"/>
      <c r="R8" s="153"/>
      <c r="S8" s="25"/>
      <c r="T8" s="160"/>
      <c r="U8" s="30" t="e">
        <f>WEEKNUM(T8-RESUMEN!$AB$7)</f>
        <v>#NUM!</v>
      </c>
      <c r="V8" s="30">
        <f>_xlfn.DAYS(T8,RESUMEN!$AB$7)</f>
        <v>-43247</v>
      </c>
      <c r="W8" s="33"/>
      <c r="X8" s="161"/>
      <c r="Y8" s="161"/>
      <c r="Z8" s="162"/>
      <c r="AA8" s="162"/>
      <c r="AB8" s="25"/>
      <c r="AC8" s="159"/>
      <c r="AD8" s="106" t="e">
        <f>WEEKNUM(AC8-RESUMEN!$AN$7)</f>
        <v>#NUM!</v>
      </c>
      <c r="AE8" s="106">
        <f>_xlfn.DAYS(AC8,RESUMEN!$D$7)</f>
        <v>-43238</v>
      </c>
      <c r="AF8" s="104"/>
      <c r="AG8" s="104"/>
      <c r="AH8" s="152"/>
      <c r="AI8" s="153"/>
      <c r="AJ8" s="153"/>
      <c r="AK8" s="25"/>
      <c r="AL8" s="159"/>
      <c r="AM8" s="106" t="e">
        <f>WEEKNUM(AL8-RESUMEN!$D$7)</f>
        <v>#NUM!</v>
      </c>
      <c r="AN8" s="106">
        <f>_xlfn.DAYS(AL8,RESUMEN!$D$7)</f>
        <v>-43238</v>
      </c>
      <c r="AO8" s="104"/>
      <c r="AP8" s="152"/>
      <c r="AQ8" s="152"/>
      <c r="AR8" s="153"/>
      <c r="AS8" s="153"/>
      <c r="AT8" s="25"/>
      <c r="AU8" s="159"/>
      <c r="AV8" s="106" t="e">
        <f>WEEKNUM(AU8-RESUMEN!$D$7)</f>
        <v>#NUM!</v>
      </c>
      <c r="AW8" s="106">
        <f>_xlfn.DAYS(AU8,RESUMEN!$D$7)</f>
        <v>-43238</v>
      </c>
      <c r="AX8" s="104"/>
      <c r="AY8" s="152"/>
      <c r="AZ8" s="152"/>
      <c r="BA8" s="153"/>
      <c r="BB8" s="153"/>
    </row>
    <row r="9" spans="2:54" x14ac:dyDescent="0.25">
      <c r="B9" s="160"/>
      <c r="C9" s="106" t="e">
        <f>WEEKNUM(B9-RESUMEN!$D$7)</f>
        <v>#NUM!</v>
      </c>
      <c r="D9" s="106">
        <f>_xlfn.DAYS(B9,RESUMEN!$D$7)</f>
        <v>-43238</v>
      </c>
      <c r="E9" s="107"/>
      <c r="F9" s="152"/>
      <c r="G9" s="152"/>
      <c r="H9" s="153"/>
      <c r="I9" s="153"/>
      <c r="J9" s="25"/>
      <c r="K9" s="159"/>
      <c r="L9" s="30" t="e">
        <f>WEEKNUM(K9-RESUMEN!$P$7)</f>
        <v>#NUM!</v>
      </c>
      <c r="M9" s="32">
        <f>_xlfn.DAYS(K9,RESUMEN!$P$7)</f>
        <v>-43242</v>
      </c>
      <c r="N9" s="31"/>
      <c r="O9" s="161"/>
      <c r="P9" s="161"/>
      <c r="Q9" s="162"/>
      <c r="R9" s="153"/>
      <c r="S9" s="25"/>
      <c r="T9" s="160"/>
      <c r="U9" s="30" t="e">
        <f>WEEKNUM(T9-RESUMEN!$AB$7)</f>
        <v>#NUM!</v>
      </c>
      <c r="V9" s="30">
        <f>_xlfn.DAYS(T9,RESUMEN!$AB$7)</f>
        <v>-43247</v>
      </c>
      <c r="W9" s="33"/>
      <c r="X9" s="161"/>
      <c r="Y9" s="161"/>
      <c r="Z9" s="162"/>
      <c r="AA9" s="162"/>
      <c r="AB9" s="25"/>
      <c r="AC9" s="159"/>
      <c r="AD9" s="106" t="e">
        <f>WEEKNUM(AC9-RESUMEN!$AN$7)</f>
        <v>#NUM!</v>
      </c>
      <c r="AE9" s="106">
        <f>_xlfn.DAYS(AC9,RESUMEN!$D$7)</f>
        <v>-43238</v>
      </c>
      <c r="AF9" s="104"/>
      <c r="AG9" s="104"/>
      <c r="AH9" s="152"/>
      <c r="AI9" s="153"/>
      <c r="AJ9" s="153"/>
      <c r="AK9" s="25"/>
      <c r="AL9" s="159"/>
      <c r="AM9" s="106" t="e">
        <f>WEEKNUM(AL9-RESUMEN!$D$7)</f>
        <v>#NUM!</v>
      </c>
      <c r="AN9" s="106">
        <f>_xlfn.DAYS(AL9,RESUMEN!$D$7)</f>
        <v>-43238</v>
      </c>
      <c r="AO9" s="104"/>
      <c r="AP9" s="152"/>
      <c r="AQ9" s="152"/>
      <c r="AR9" s="153"/>
      <c r="AS9" s="153"/>
      <c r="AT9" s="25"/>
      <c r="AU9" s="159"/>
      <c r="AV9" s="106" t="e">
        <f>WEEKNUM(AU9-RESUMEN!$D$7)</f>
        <v>#NUM!</v>
      </c>
      <c r="AW9" s="106">
        <f>_xlfn.DAYS(AU9,RESUMEN!$D$7)</f>
        <v>-43238</v>
      </c>
      <c r="AX9" s="104"/>
      <c r="AY9" s="152"/>
      <c r="AZ9" s="152"/>
      <c r="BA9" s="153"/>
      <c r="BB9" s="153"/>
    </row>
    <row r="10" spans="2:54" x14ac:dyDescent="0.25">
      <c r="B10" s="160"/>
      <c r="C10" s="106" t="e">
        <f>WEEKNUM(B10-RESUMEN!$D$7)</f>
        <v>#NUM!</v>
      </c>
      <c r="D10" s="106">
        <f>_xlfn.DAYS(B10,RESUMEN!$D$7)</f>
        <v>-43238</v>
      </c>
      <c r="E10" s="107"/>
      <c r="F10" s="152"/>
      <c r="G10" s="152"/>
      <c r="H10" s="153"/>
      <c r="I10" s="153"/>
      <c r="J10" s="25"/>
      <c r="K10" s="159"/>
      <c r="L10" s="30" t="e">
        <f>WEEKNUM(K10-RESUMEN!$P$7)</f>
        <v>#NUM!</v>
      </c>
      <c r="M10" s="32">
        <f>_xlfn.DAYS(K10,RESUMEN!$P$7)</f>
        <v>-43242</v>
      </c>
      <c r="N10" s="31"/>
      <c r="O10" s="161"/>
      <c r="P10" s="161"/>
      <c r="Q10" s="162"/>
      <c r="R10" s="153"/>
      <c r="S10" s="25"/>
      <c r="T10" s="160"/>
      <c r="U10" s="30" t="e">
        <f>WEEKNUM(T10-RESUMEN!$AB$7)</f>
        <v>#NUM!</v>
      </c>
      <c r="V10" s="30">
        <f>_xlfn.DAYS(T10,RESUMEN!$AB$7)</f>
        <v>-43247</v>
      </c>
      <c r="W10" s="33"/>
      <c r="X10" s="161"/>
      <c r="Y10" s="161"/>
      <c r="Z10" s="162"/>
      <c r="AA10" s="162"/>
      <c r="AB10" s="25"/>
      <c r="AC10" s="159"/>
      <c r="AD10" s="106" t="e">
        <f>WEEKNUM(AC10-RESUMEN!$AN$7)</f>
        <v>#NUM!</v>
      </c>
      <c r="AE10" s="106">
        <f>_xlfn.DAYS(AC10,RESUMEN!$D$7)</f>
        <v>-43238</v>
      </c>
      <c r="AF10" s="104"/>
      <c r="AG10" s="104"/>
      <c r="AH10" s="152"/>
      <c r="AI10" s="153"/>
      <c r="AJ10" s="153"/>
      <c r="AK10" s="25"/>
      <c r="AL10" s="159"/>
      <c r="AM10" s="106" t="e">
        <f>WEEKNUM(AL10-RESUMEN!$D$7)</f>
        <v>#NUM!</v>
      </c>
      <c r="AN10" s="106">
        <f>_xlfn.DAYS(AL10,RESUMEN!$D$7)</f>
        <v>-43238</v>
      </c>
      <c r="AO10" s="104"/>
      <c r="AP10" s="152"/>
      <c r="AQ10" s="152"/>
      <c r="AR10" s="153"/>
      <c r="AS10" s="153"/>
      <c r="AT10" s="25"/>
      <c r="AU10" s="159"/>
      <c r="AV10" s="106" t="e">
        <f>WEEKNUM(AU10-RESUMEN!$D$7)</f>
        <v>#NUM!</v>
      </c>
      <c r="AW10" s="106">
        <f>_xlfn.DAYS(AU10,RESUMEN!$D$7)</f>
        <v>-43238</v>
      </c>
      <c r="AX10" s="104"/>
      <c r="AY10" s="152"/>
      <c r="AZ10" s="152"/>
      <c r="BA10" s="153"/>
      <c r="BB10" s="153"/>
    </row>
    <row r="11" spans="2:54" x14ac:dyDescent="0.25">
      <c r="B11" s="160"/>
      <c r="C11" s="106" t="e">
        <f>WEEKNUM(B11-RESUMEN!$D$7)</f>
        <v>#NUM!</v>
      </c>
      <c r="D11" s="106">
        <f>_xlfn.DAYS(B11,RESUMEN!$D$7)</f>
        <v>-43238</v>
      </c>
      <c r="E11" s="107"/>
      <c r="F11" s="152"/>
      <c r="G11" s="152"/>
      <c r="H11" s="153"/>
      <c r="I11" s="153"/>
      <c r="J11" s="25"/>
      <c r="K11" s="159"/>
      <c r="L11" s="30" t="e">
        <f>WEEKNUM(K11-RESUMEN!$P$7)</f>
        <v>#NUM!</v>
      </c>
      <c r="M11" s="32">
        <f>_xlfn.DAYS(K11,RESUMEN!$P$7)</f>
        <v>-43242</v>
      </c>
      <c r="N11" s="31"/>
      <c r="O11" s="161"/>
      <c r="P11" s="161"/>
      <c r="Q11" s="162"/>
      <c r="R11" s="153"/>
      <c r="S11" s="25"/>
      <c r="T11" s="160"/>
      <c r="U11" s="30" t="e">
        <f>WEEKNUM(T11-RESUMEN!$AB$7)</f>
        <v>#NUM!</v>
      </c>
      <c r="V11" s="30">
        <f>_xlfn.DAYS(T11,RESUMEN!$AB$7)</f>
        <v>-43247</v>
      </c>
      <c r="W11" s="33"/>
      <c r="X11" s="161"/>
      <c r="Y11" s="161"/>
      <c r="Z11" s="162"/>
      <c r="AA11" s="162"/>
      <c r="AB11" s="25"/>
      <c r="AC11" s="159"/>
      <c r="AD11" s="106" t="e">
        <f>WEEKNUM(AC11-RESUMEN!$AN$7)</f>
        <v>#NUM!</v>
      </c>
      <c r="AE11" s="106">
        <f>_xlfn.DAYS(AC11,RESUMEN!$D$7)</f>
        <v>-43238</v>
      </c>
      <c r="AF11" s="104"/>
      <c r="AG11" s="104"/>
      <c r="AH11" s="152"/>
      <c r="AI11" s="153"/>
      <c r="AJ11" s="153"/>
      <c r="AK11" s="25"/>
      <c r="AL11" s="159"/>
      <c r="AM11" s="106" t="e">
        <f>WEEKNUM(AL11-RESUMEN!$D$7)</f>
        <v>#NUM!</v>
      </c>
      <c r="AN11" s="106">
        <f>_xlfn.DAYS(AL11,RESUMEN!$D$7)</f>
        <v>-43238</v>
      </c>
      <c r="AO11" s="104"/>
      <c r="AP11" s="152"/>
      <c r="AQ11" s="152"/>
      <c r="AR11" s="153"/>
      <c r="AS11" s="153"/>
      <c r="AT11" s="25"/>
      <c r="AU11" s="159"/>
      <c r="AV11" s="106" t="e">
        <f>WEEKNUM(AU11-RESUMEN!$D$7)</f>
        <v>#NUM!</v>
      </c>
      <c r="AW11" s="106">
        <f>_xlfn.DAYS(AU11,RESUMEN!$D$7)</f>
        <v>-43238</v>
      </c>
      <c r="AX11" s="104"/>
      <c r="AY11" s="152"/>
      <c r="AZ11" s="152"/>
      <c r="BA11" s="153"/>
      <c r="BB11" s="153"/>
    </row>
    <row r="12" spans="2:54" x14ac:dyDescent="0.25">
      <c r="B12" s="160"/>
      <c r="C12" s="106" t="e">
        <f>WEEKNUM(B12-RESUMEN!$D$7)</f>
        <v>#NUM!</v>
      </c>
      <c r="D12" s="106">
        <f>_xlfn.DAYS(B12,RESUMEN!$D$7)</f>
        <v>-43238</v>
      </c>
      <c r="E12" s="107"/>
      <c r="F12" s="152"/>
      <c r="G12" s="152"/>
      <c r="H12" s="153"/>
      <c r="I12" s="153"/>
      <c r="J12" s="25"/>
      <c r="K12" s="159"/>
      <c r="L12" s="30" t="e">
        <f>WEEKNUM(K12-RESUMEN!$P$7)</f>
        <v>#NUM!</v>
      </c>
      <c r="M12" s="32">
        <f>_xlfn.DAYS(K12,RESUMEN!$P$7)</f>
        <v>-43242</v>
      </c>
      <c r="N12" s="31"/>
      <c r="O12" s="161"/>
      <c r="P12" s="161"/>
      <c r="Q12" s="162"/>
      <c r="R12" s="153"/>
      <c r="S12" s="25"/>
      <c r="T12" s="160"/>
      <c r="U12" s="30" t="e">
        <f>WEEKNUM(T12-RESUMEN!$AB$7)</f>
        <v>#NUM!</v>
      </c>
      <c r="V12" s="30">
        <f>_xlfn.DAYS(T12,RESUMEN!$AB$7)</f>
        <v>-43247</v>
      </c>
      <c r="W12" s="33"/>
      <c r="X12" s="161"/>
      <c r="Y12" s="161"/>
      <c r="Z12" s="162"/>
      <c r="AA12" s="162"/>
      <c r="AB12" s="25"/>
      <c r="AC12" s="159"/>
      <c r="AD12" s="106" t="e">
        <f>WEEKNUM(AC12-RESUMEN!$AN$7)</f>
        <v>#NUM!</v>
      </c>
      <c r="AE12" s="106">
        <f>_xlfn.DAYS(AC12,RESUMEN!$D$7)</f>
        <v>-43238</v>
      </c>
      <c r="AF12" s="104"/>
      <c r="AG12" s="104"/>
      <c r="AH12" s="152"/>
      <c r="AI12" s="153"/>
      <c r="AJ12" s="153"/>
      <c r="AK12" s="25"/>
      <c r="AL12" s="159"/>
      <c r="AM12" s="106" t="e">
        <f>WEEKNUM(AL12-RESUMEN!$D$7)</f>
        <v>#NUM!</v>
      </c>
      <c r="AN12" s="106">
        <f>_xlfn.DAYS(AL12,RESUMEN!$D$7)</f>
        <v>-43238</v>
      </c>
      <c r="AO12" s="104"/>
      <c r="AP12" s="152"/>
      <c r="AQ12" s="152"/>
      <c r="AR12" s="153"/>
      <c r="AS12" s="153"/>
      <c r="AT12" s="25"/>
      <c r="AU12" s="159"/>
      <c r="AV12" s="106" t="e">
        <f>WEEKNUM(AU12-RESUMEN!$D$7)</f>
        <v>#NUM!</v>
      </c>
      <c r="AW12" s="106">
        <f>_xlfn.DAYS(AU12,RESUMEN!$D$7)</f>
        <v>-43238</v>
      </c>
      <c r="AX12" s="104"/>
      <c r="AY12" s="152"/>
      <c r="AZ12" s="152"/>
      <c r="BA12" s="153"/>
      <c r="BB12" s="153"/>
    </row>
    <row r="13" spans="2:54" x14ac:dyDescent="0.25">
      <c r="B13" s="160"/>
      <c r="C13" s="106" t="e">
        <f>WEEKNUM(B13-RESUMEN!$D$7)</f>
        <v>#NUM!</v>
      </c>
      <c r="D13" s="106">
        <f>_xlfn.DAYS(B13,RESUMEN!$D$7)</f>
        <v>-43238</v>
      </c>
      <c r="E13" s="107"/>
      <c r="F13" s="152"/>
      <c r="G13" s="152"/>
      <c r="H13" s="153"/>
      <c r="I13" s="153"/>
      <c r="J13" s="25"/>
      <c r="K13" s="159"/>
      <c r="L13" s="30" t="e">
        <f>WEEKNUM(K13-RESUMEN!$P$7)</f>
        <v>#NUM!</v>
      </c>
      <c r="M13" s="32">
        <f>_xlfn.DAYS(K13,RESUMEN!$P$7)</f>
        <v>-43242</v>
      </c>
      <c r="N13" s="33"/>
      <c r="O13" s="161"/>
      <c r="P13" s="161"/>
      <c r="Q13" s="162"/>
      <c r="R13" s="153"/>
      <c r="S13" s="25"/>
      <c r="T13" s="160"/>
      <c r="U13" s="30" t="e">
        <f>WEEKNUM(T13-RESUMEN!$AB$7)</f>
        <v>#NUM!</v>
      </c>
      <c r="V13" s="30">
        <f>_xlfn.DAYS(T13,RESUMEN!$AB$7)</f>
        <v>-43247</v>
      </c>
      <c r="W13" s="33"/>
      <c r="X13" s="161"/>
      <c r="Y13" s="161"/>
      <c r="Z13" s="162"/>
      <c r="AA13" s="162"/>
      <c r="AB13" s="25"/>
      <c r="AC13" s="159"/>
      <c r="AD13" s="106" t="e">
        <f>WEEKNUM(AC13-RESUMEN!$AN$7)</f>
        <v>#NUM!</v>
      </c>
      <c r="AE13" s="106">
        <f>_xlfn.DAYS(AC13,RESUMEN!$D$7)</f>
        <v>-43238</v>
      </c>
      <c r="AF13" s="104"/>
      <c r="AG13" s="104"/>
      <c r="AH13" s="152"/>
      <c r="AI13" s="153"/>
      <c r="AJ13" s="153"/>
      <c r="AK13" s="25"/>
      <c r="AL13" s="159"/>
      <c r="AM13" s="106" t="e">
        <f>WEEKNUM(AL13-RESUMEN!$D$7)</f>
        <v>#NUM!</v>
      </c>
      <c r="AN13" s="106">
        <f>_xlfn.DAYS(AL13,RESUMEN!$D$7)</f>
        <v>-43238</v>
      </c>
      <c r="AO13" s="104"/>
      <c r="AP13" s="152"/>
      <c r="AQ13" s="152"/>
      <c r="AR13" s="153"/>
      <c r="AS13" s="153"/>
      <c r="AT13" s="25"/>
      <c r="AU13" s="159"/>
      <c r="AV13" s="106" t="e">
        <f>WEEKNUM(AU13-RESUMEN!$D$7)</f>
        <v>#NUM!</v>
      </c>
      <c r="AW13" s="106">
        <f>_xlfn.DAYS(AU13,RESUMEN!$D$7)</f>
        <v>-43238</v>
      </c>
      <c r="AX13" s="104"/>
      <c r="AY13" s="152"/>
      <c r="AZ13" s="152"/>
      <c r="BA13" s="153"/>
      <c r="BB13" s="153"/>
    </row>
    <row r="14" spans="2:54" x14ac:dyDescent="0.25">
      <c r="B14" s="160"/>
      <c r="C14" s="106" t="e">
        <f>WEEKNUM(B14-RESUMEN!$D$7)</f>
        <v>#NUM!</v>
      </c>
      <c r="D14" s="106">
        <f>_xlfn.DAYS(B14,RESUMEN!$D$7)</f>
        <v>-43238</v>
      </c>
      <c r="E14" s="107"/>
      <c r="F14" s="152"/>
      <c r="G14" s="152"/>
      <c r="H14" s="153"/>
      <c r="I14" s="153"/>
      <c r="J14" s="25"/>
      <c r="K14" s="159"/>
      <c r="L14" s="30" t="e">
        <f>WEEKNUM(K14-RESUMEN!$P$7)</f>
        <v>#NUM!</v>
      </c>
      <c r="M14" s="32">
        <f>_xlfn.DAYS(K14,RESUMEN!$P$7)</f>
        <v>-43242</v>
      </c>
      <c r="N14" s="33"/>
      <c r="O14" s="161"/>
      <c r="P14" s="161"/>
      <c r="Q14" s="162"/>
      <c r="R14" s="153"/>
      <c r="S14" s="25"/>
      <c r="T14" s="160"/>
      <c r="U14" s="30" t="e">
        <f>WEEKNUM(T14-RESUMEN!$AB$7)</f>
        <v>#NUM!</v>
      </c>
      <c r="V14" s="30">
        <f>_xlfn.DAYS(T14,RESUMEN!$AB$7)</f>
        <v>-43247</v>
      </c>
      <c r="W14" s="33"/>
      <c r="X14" s="161"/>
      <c r="Y14" s="161"/>
      <c r="Z14" s="162"/>
      <c r="AA14" s="162"/>
      <c r="AB14" s="25"/>
      <c r="AC14" s="159"/>
      <c r="AD14" s="106" t="e">
        <f>WEEKNUM(AC14-RESUMEN!$AN$7)</f>
        <v>#NUM!</v>
      </c>
      <c r="AE14" s="106">
        <f>_xlfn.DAYS(AC14,RESUMEN!$D$7)</f>
        <v>-43238</v>
      </c>
      <c r="AF14" s="104"/>
      <c r="AG14" s="104"/>
      <c r="AH14" s="152"/>
      <c r="AI14" s="153"/>
      <c r="AJ14" s="153"/>
      <c r="AK14" s="25"/>
      <c r="AL14" s="159"/>
      <c r="AM14" s="106" t="e">
        <f>WEEKNUM(AL14-RESUMEN!$D$7)</f>
        <v>#NUM!</v>
      </c>
      <c r="AN14" s="106">
        <f>_xlfn.DAYS(AL14,RESUMEN!$D$7)</f>
        <v>-43238</v>
      </c>
      <c r="AO14" s="104"/>
      <c r="AP14" s="152"/>
      <c r="AQ14" s="152"/>
      <c r="AR14" s="153"/>
      <c r="AS14" s="153"/>
      <c r="AT14" s="25"/>
      <c r="AU14" s="159"/>
      <c r="AV14" s="106" t="e">
        <f>WEEKNUM(AU14-RESUMEN!$D$7)</f>
        <v>#NUM!</v>
      </c>
      <c r="AW14" s="106">
        <f>_xlfn.DAYS(AU14,RESUMEN!$D$7)</f>
        <v>-43238</v>
      </c>
      <c r="AX14" s="104"/>
      <c r="AY14" s="152"/>
      <c r="AZ14" s="152"/>
      <c r="BA14" s="153"/>
      <c r="BB14" s="153"/>
    </row>
    <row r="15" spans="2:54" x14ac:dyDescent="0.25">
      <c r="B15" s="160"/>
      <c r="C15" s="106" t="e">
        <f>WEEKNUM(B15-RESUMEN!$D$7)</f>
        <v>#NUM!</v>
      </c>
      <c r="D15" s="106">
        <f>_xlfn.DAYS(B15,RESUMEN!$D$7)</f>
        <v>-43238</v>
      </c>
      <c r="E15" s="107"/>
      <c r="F15" s="152"/>
      <c r="G15" s="152"/>
      <c r="H15" s="153"/>
      <c r="I15" s="153"/>
      <c r="J15" s="25"/>
      <c r="K15" s="159"/>
      <c r="L15" s="30" t="e">
        <f>WEEKNUM(K15-RESUMEN!$P$7)</f>
        <v>#NUM!</v>
      </c>
      <c r="M15" s="32">
        <f>_xlfn.DAYS(K15,RESUMEN!$P$7)</f>
        <v>-43242</v>
      </c>
      <c r="N15" s="33"/>
      <c r="O15" s="161"/>
      <c r="P15" s="161"/>
      <c r="Q15" s="162"/>
      <c r="R15" s="153"/>
      <c r="S15" s="25"/>
      <c r="T15" s="160"/>
      <c r="U15" s="30" t="e">
        <f>WEEKNUM(T15-RESUMEN!$AB$7)</f>
        <v>#NUM!</v>
      </c>
      <c r="V15" s="30">
        <f>_xlfn.DAYS(T15,RESUMEN!$AB$7)</f>
        <v>-43247</v>
      </c>
      <c r="W15" s="33"/>
      <c r="X15" s="161"/>
      <c r="Y15" s="161"/>
      <c r="Z15" s="162"/>
      <c r="AA15" s="162"/>
      <c r="AB15" s="25"/>
      <c r="AC15" s="159"/>
      <c r="AD15" s="106" t="e">
        <f>WEEKNUM(AC15-RESUMEN!$AN$7)</f>
        <v>#NUM!</v>
      </c>
      <c r="AE15" s="106">
        <f>_xlfn.DAYS(AC15,RESUMEN!$D$7)</f>
        <v>-43238</v>
      </c>
      <c r="AF15" s="104"/>
      <c r="AG15" s="104"/>
      <c r="AH15" s="152"/>
      <c r="AI15" s="153"/>
      <c r="AJ15" s="153"/>
      <c r="AK15" s="25"/>
      <c r="AL15" s="159"/>
      <c r="AM15" s="106" t="e">
        <f>WEEKNUM(AL15-RESUMEN!$D$7)</f>
        <v>#NUM!</v>
      </c>
      <c r="AN15" s="106">
        <f>_xlfn.DAYS(AL15,RESUMEN!$D$7)</f>
        <v>-43238</v>
      </c>
      <c r="AO15" s="104"/>
      <c r="AP15" s="152"/>
      <c r="AQ15" s="152"/>
      <c r="AR15" s="153"/>
      <c r="AS15" s="153"/>
      <c r="AT15" s="25"/>
      <c r="AU15" s="159"/>
      <c r="AV15" s="106" t="e">
        <f>WEEKNUM(AU15-RESUMEN!$D$7)</f>
        <v>#NUM!</v>
      </c>
      <c r="AW15" s="106">
        <f>_xlfn.DAYS(AU15,RESUMEN!$D$7)</f>
        <v>-43238</v>
      </c>
      <c r="AX15" s="104"/>
      <c r="AY15" s="152"/>
      <c r="AZ15" s="152"/>
      <c r="BA15" s="153"/>
      <c r="BB15" s="153"/>
    </row>
    <row r="16" spans="2:54" x14ac:dyDescent="0.25">
      <c r="B16" s="160"/>
      <c r="C16" s="106" t="e">
        <f>WEEKNUM(B16-RESUMEN!$D$7)</f>
        <v>#NUM!</v>
      </c>
      <c r="D16" s="106">
        <f>_xlfn.DAYS(B16,RESUMEN!$D$7)</f>
        <v>-43238</v>
      </c>
      <c r="E16" s="107"/>
      <c r="F16" s="152"/>
      <c r="G16" s="152"/>
      <c r="H16" s="153"/>
      <c r="I16" s="153"/>
      <c r="J16" s="25"/>
      <c r="K16" s="159"/>
      <c r="L16" s="30" t="e">
        <f>WEEKNUM(K16-RESUMEN!$P$7)</f>
        <v>#NUM!</v>
      </c>
      <c r="M16" s="32">
        <f>_xlfn.DAYS(K16,RESUMEN!$P$7)</f>
        <v>-43242</v>
      </c>
      <c r="N16" s="33"/>
      <c r="O16" s="161"/>
      <c r="P16" s="161"/>
      <c r="Q16" s="162"/>
      <c r="R16" s="153"/>
      <c r="S16" s="25"/>
      <c r="T16" s="160"/>
      <c r="U16" s="30" t="e">
        <f>WEEKNUM(T16-RESUMEN!$AB$7)</f>
        <v>#NUM!</v>
      </c>
      <c r="V16" s="30">
        <f>_xlfn.DAYS(T16,RESUMEN!$AB$7)</f>
        <v>-43247</v>
      </c>
      <c r="W16" s="31"/>
      <c r="X16" s="161"/>
      <c r="Y16" s="161"/>
      <c r="Z16" s="162"/>
      <c r="AA16" s="162"/>
      <c r="AB16" s="25"/>
      <c r="AC16" s="159"/>
      <c r="AD16" s="106" t="e">
        <f>WEEKNUM(AC16-RESUMEN!$AN$7)</f>
        <v>#NUM!</v>
      </c>
      <c r="AE16" s="106">
        <f>_xlfn.DAYS(AC16,RESUMEN!$D$7)</f>
        <v>-43238</v>
      </c>
      <c r="AF16" s="104"/>
      <c r="AG16" s="104"/>
      <c r="AH16" s="152"/>
      <c r="AI16" s="153"/>
      <c r="AJ16" s="153"/>
      <c r="AK16" s="25"/>
      <c r="AL16" s="159"/>
      <c r="AM16" s="106" t="e">
        <f>WEEKNUM(AL16-RESUMEN!$D$7)</f>
        <v>#NUM!</v>
      </c>
      <c r="AN16" s="106">
        <f>_xlfn.DAYS(AL16,RESUMEN!$D$7)</f>
        <v>-43238</v>
      </c>
      <c r="AO16" s="104"/>
      <c r="AP16" s="152"/>
      <c r="AQ16" s="152"/>
      <c r="AR16" s="153"/>
      <c r="AS16" s="153"/>
      <c r="AT16" s="25"/>
      <c r="AU16" s="159"/>
      <c r="AV16" s="106" t="e">
        <f>WEEKNUM(AU16-RESUMEN!$D$7)</f>
        <v>#NUM!</v>
      </c>
      <c r="AW16" s="106">
        <f>_xlfn.DAYS(AU16,RESUMEN!$D$7)</f>
        <v>-43238</v>
      </c>
      <c r="AX16" s="104"/>
      <c r="AY16" s="152"/>
      <c r="AZ16" s="152"/>
      <c r="BA16" s="153"/>
      <c r="BB16" s="153"/>
    </row>
    <row r="17" spans="2:54" x14ac:dyDescent="0.25">
      <c r="B17" s="160"/>
      <c r="C17" s="106" t="e">
        <f>WEEKNUM(B17-RESUMEN!$D$7)</f>
        <v>#NUM!</v>
      </c>
      <c r="D17" s="106">
        <f>_xlfn.DAYS(B17,RESUMEN!$D$7)</f>
        <v>-43238</v>
      </c>
      <c r="E17" s="107"/>
      <c r="F17" s="152"/>
      <c r="G17" s="152"/>
      <c r="H17" s="153"/>
      <c r="I17" s="153"/>
      <c r="J17" s="25"/>
      <c r="K17" s="159"/>
      <c r="L17" s="30" t="e">
        <f>WEEKNUM(K17-RESUMEN!$P$7)</f>
        <v>#NUM!</v>
      </c>
      <c r="M17" s="32">
        <f>_xlfn.DAYS(K17,RESUMEN!$P$7)</f>
        <v>-43242</v>
      </c>
      <c r="N17" s="33"/>
      <c r="O17" s="161"/>
      <c r="P17" s="161"/>
      <c r="Q17" s="162"/>
      <c r="R17" s="153"/>
      <c r="S17" s="25"/>
      <c r="T17" s="160"/>
      <c r="U17" s="30" t="e">
        <f>WEEKNUM(T17-RESUMEN!$AB$7)</f>
        <v>#NUM!</v>
      </c>
      <c r="V17" s="30">
        <f>_xlfn.DAYS(T17,RESUMEN!$AB$7)</f>
        <v>-43247</v>
      </c>
      <c r="W17" s="31"/>
      <c r="X17" s="161"/>
      <c r="Y17" s="161"/>
      <c r="Z17" s="162"/>
      <c r="AA17" s="162"/>
      <c r="AB17" s="25"/>
      <c r="AC17" s="159"/>
      <c r="AD17" s="106" t="e">
        <f>WEEKNUM(AC17-RESUMEN!$AN$7)</f>
        <v>#NUM!</v>
      </c>
      <c r="AE17" s="106">
        <f>_xlfn.DAYS(AC17,RESUMEN!$D$7)</f>
        <v>-43238</v>
      </c>
      <c r="AF17" s="107"/>
      <c r="AG17" s="104"/>
      <c r="AH17" s="152"/>
      <c r="AI17" s="153"/>
      <c r="AJ17" s="153"/>
      <c r="AK17" s="25"/>
      <c r="AL17" s="159"/>
      <c r="AM17" s="106" t="e">
        <f>WEEKNUM(AL17-RESUMEN!$D$7)</f>
        <v>#NUM!</v>
      </c>
      <c r="AN17" s="106">
        <f>_xlfn.DAYS(AL17,RESUMEN!$D$7)</f>
        <v>-43238</v>
      </c>
      <c r="AO17" s="104"/>
      <c r="AP17" s="152"/>
      <c r="AQ17" s="152"/>
      <c r="AR17" s="153"/>
      <c r="AS17" s="153"/>
      <c r="AT17" s="25"/>
      <c r="AU17" s="159"/>
      <c r="AV17" s="106" t="e">
        <f>WEEKNUM(AU17-RESUMEN!$D$7)</f>
        <v>#NUM!</v>
      </c>
      <c r="AW17" s="106">
        <f>_xlfn.DAYS(AU17,RESUMEN!$D$7)</f>
        <v>-43238</v>
      </c>
      <c r="AX17" s="104"/>
      <c r="AY17" s="152"/>
      <c r="AZ17" s="152"/>
      <c r="BA17" s="153"/>
      <c r="BB17" s="153"/>
    </row>
    <row r="18" spans="2:54" x14ac:dyDescent="0.25">
      <c r="B18" s="160"/>
      <c r="C18" s="106" t="e">
        <f>WEEKNUM(B18-RESUMEN!$D$7)</f>
        <v>#NUM!</v>
      </c>
      <c r="D18" s="106">
        <f>_xlfn.DAYS(B18,RESUMEN!$D$7)</f>
        <v>-43238</v>
      </c>
      <c r="E18" s="107"/>
      <c r="F18" s="152"/>
      <c r="G18" s="152"/>
      <c r="H18" s="153"/>
      <c r="I18" s="153"/>
      <c r="J18" s="25"/>
      <c r="K18" s="159"/>
      <c r="L18" s="30" t="e">
        <f>WEEKNUM(K18-RESUMEN!$P$7)</f>
        <v>#NUM!</v>
      </c>
      <c r="M18" s="32">
        <f>_xlfn.DAYS(K18,RESUMEN!$P$7)</f>
        <v>-43242</v>
      </c>
      <c r="N18" s="31"/>
      <c r="O18" s="161"/>
      <c r="P18" s="161"/>
      <c r="Q18" s="162"/>
      <c r="R18" s="153"/>
      <c r="S18" s="25"/>
      <c r="T18" s="160"/>
      <c r="U18" s="30" t="e">
        <f>WEEKNUM(T18-RESUMEN!$AB$7)</f>
        <v>#NUM!</v>
      </c>
      <c r="V18" s="30">
        <f>_xlfn.DAYS(T18,RESUMEN!$AB$7)</f>
        <v>-43247</v>
      </c>
      <c r="W18" s="33"/>
      <c r="X18" s="161"/>
      <c r="Y18" s="161"/>
      <c r="Z18" s="162"/>
      <c r="AA18" s="162"/>
      <c r="AB18" s="25"/>
      <c r="AC18" s="159"/>
      <c r="AD18" s="106" t="e">
        <f>WEEKNUM(AC18-RESUMEN!$AN$7)</f>
        <v>#NUM!</v>
      </c>
      <c r="AE18" s="106">
        <f>_xlfn.DAYS(AC18,RESUMEN!$D$7)</f>
        <v>-43238</v>
      </c>
      <c r="AF18" s="104"/>
      <c r="AG18" s="104"/>
      <c r="AH18" s="152"/>
      <c r="AI18" s="153"/>
      <c r="AJ18" s="153"/>
      <c r="AK18" s="25"/>
      <c r="AL18" s="159"/>
      <c r="AM18" s="106" t="e">
        <f>WEEKNUM(AL18-RESUMEN!$D$7)</f>
        <v>#NUM!</v>
      </c>
      <c r="AN18" s="106">
        <f>_xlfn.DAYS(AL18,RESUMEN!$D$7)</f>
        <v>-43238</v>
      </c>
      <c r="AO18" s="104"/>
      <c r="AP18" s="152"/>
      <c r="AQ18" s="152"/>
      <c r="AR18" s="153"/>
      <c r="AS18" s="153"/>
      <c r="AT18" s="25"/>
      <c r="AU18" s="159"/>
      <c r="AV18" s="106" t="e">
        <f>WEEKNUM(AU18-RESUMEN!$D$7)</f>
        <v>#NUM!</v>
      </c>
      <c r="AW18" s="106">
        <f>_xlfn.DAYS(AU18,RESUMEN!$D$7)</f>
        <v>-43238</v>
      </c>
      <c r="AX18" s="104"/>
      <c r="AY18" s="152"/>
      <c r="AZ18" s="152"/>
      <c r="BA18" s="153"/>
      <c r="BB18" s="153"/>
    </row>
    <row r="19" spans="2:54" x14ac:dyDescent="0.25">
      <c r="B19" s="160"/>
      <c r="C19" s="106" t="e">
        <f>WEEKNUM(B19-RESUMEN!$D$7)</f>
        <v>#NUM!</v>
      </c>
      <c r="D19" s="106">
        <f>_xlfn.DAYS(B19,RESUMEN!$D$7)</f>
        <v>-43238</v>
      </c>
      <c r="E19" s="107"/>
      <c r="F19" s="152"/>
      <c r="G19" s="152"/>
      <c r="H19" s="153"/>
      <c r="I19" s="153"/>
      <c r="J19" s="25"/>
      <c r="K19" s="159"/>
      <c r="L19" s="30" t="e">
        <f>WEEKNUM(K19-RESUMEN!$P$7)</f>
        <v>#NUM!</v>
      </c>
      <c r="M19" s="32">
        <f>_xlfn.DAYS(K19,RESUMEN!$P$7)</f>
        <v>-43242</v>
      </c>
      <c r="N19" s="33"/>
      <c r="O19" s="161"/>
      <c r="P19" s="161"/>
      <c r="Q19" s="162"/>
      <c r="R19" s="153"/>
      <c r="S19" s="25"/>
      <c r="T19" s="160"/>
      <c r="U19" s="30" t="e">
        <f>WEEKNUM(T19-RESUMEN!$AB$7)</f>
        <v>#NUM!</v>
      </c>
      <c r="V19" s="30">
        <f>_xlfn.DAYS(T19,RESUMEN!$AB$7)</f>
        <v>-43247</v>
      </c>
      <c r="W19" s="33"/>
      <c r="X19" s="161"/>
      <c r="Y19" s="161"/>
      <c r="Z19" s="162"/>
      <c r="AA19" s="162"/>
      <c r="AB19" s="25"/>
      <c r="AC19" s="159"/>
      <c r="AD19" s="106" t="e">
        <f>WEEKNUM(AC19-RESUMEN!$AN$7)</f>
        <v>#NUM!</v>
      </c>
      <c r="AE19" s="106">
        <f>_xlfn.DAYS(AC19,RESUMEN!$D$7)</f>
        <v>-43238</v>
      </c>
      <c r="AF19" s="104"/>
      <c r="AG19" s="104"/>
      <c r="AH19" s="152"/>
      <c r="AI19" s="153"/>
      <c r="AJ19" s="153"/>
      <c r="AK19" s="25"/>
      <c r="AL19" s="159"/>
      <c r="AM19" s="106" t="e">
        <f>WEEKNUM(AL19-RESUMEN!$D$7)</f>
        <v>#NUM!</v>
      </c>
      <c r="AN19" s="106">
        <f>_xlfn.DAYS(AL19,RESUMEN!$D$7)</f>
        <v>-43238</v>
      </c>
      <c r="AO19" s="104"/>
      <c r="AP19" s="152"/>
      <c r="AQ19" s="152"/>
      <c r="AR19" s="153"/>
      <c r="AS19" s="153"/>
      <c r="AT19" s="25"/>
      <c r="AU19" s="159"/>
      <c r="AV19" s="106" t="e">
        <f>WEEKNUM(AU19-RESUMEN!$D$7)</f>
        <v>#NUM!</v>
      </c>
      <c r="AW19" s="106">
        <f>_xlfn.DAYS(AU19,RESUMEN!$D$7)</f>
        <v>-43238</v>
      </c>
      <c r="AX19" s="104"/>
      <c r="AY19" s="152"/>
      <c r="AZ19" s="152"/>
      <c r="BA19" s="153"/>
      <c r="BB19" s="153"/>
    </row>
    <row r="20" spans="2:54" x14ac:dyDescent="0.25">
      <c r="B20" s="160"/>
      <c r="C20" s="106" t="e">
        <f>WEEKNUM(B20-RESUMEN!$D$7)</f>
        <v>#NUM!</v>
      </c>
      <c r="D20" s="106">
        <f>_xlfn.DAYS(B20,RESUMEN!$D$7)</f>
        <v>-43238</v>
      </c>
      <c r="E20" s="107"/>
      <c r="F20" s="152"/>
      <c r="G20" s="152"/>
      <c r="H20" s="153"/>
      <c r="I20" s="153"/>
      <c r="J20" s="25"/>
      <c r="K20" s="159"/>
      <c r="L20" s="30" t="e">
        <f>WEEKNUM(K20-RESUMEN!$P$7)</f>
        <v>#NUM!</v>
      </c>
      <c r="M20" s="32">
        <f>_xlfn.DAYS(K20,RESUMEN!$P$7)</f>
        <v>-43242</v>
      </c>
      <c r="N20" s="31"/>
      <c r="O20" s="161"/>
      <c r="P20" s="161"/>
      <c r="Q20" s="162"/>
      <c r="R20" s="153"/>
      <c r="S20" s="25"/>
      <c r="T20" s="160"/>
      <c r="U20" s="30" t="e">
        <f>WEEKNUM(T20-RESUMEN!$AB$7)</f>
        <v>#NUM!</v>
      </c>
      <c r="V20" s="30">
        <f>_xlfn.DAYS(T20,RESUMEN!$AB$7)</f>
        <v>-43247</v>
      </c>
      <c r="W20" s="33"/>
      <c r="X20" s="161"/>
      <c r="Y20" s="161"/>
      <c r="Z20" s="162"/>
      <c r="AA20" s="162"/>
      <c r="AB20" s="25"/>
      <c r="AC20" s="159"/>
      <c r="AD20" s="106" t="e">
        <f>WEEKNUM(AC20-RESUMEN!$AN$7)</f>
        <v>#NUM!</v>
      </c>
      <c r="AE20" s="106">
        <f>_xlfn.DAYS(AC20,RESUMEN!$D$7)</f>
        <v>-43238</v>
      </c>
      <c r="AF20" s="104"/>
      <c r="AG20" s="104"/>
      <c r="AH20" s="152"/>
      <c r="AI20" s="153"/>
      <c r="AJ20" s="153"/>
      <c r="AK20" s="25"/>
      <c r="AL20" s="159"/>
      <c r="AM20" s="106" t="e">
        <f>WEEKNUM(AL20-RESUMEN!$D$7)</f>
        <v>#NUM!</v>
      </c>
      <c r="AN20" s="106">
        <f>_xlfn.DAYS(AL20,RESUMEN!$D$7)</f>
        <v>-43238</v>
      </c>
      <c r="AO20" s="104"/>
      <c r="AP20" s="152"/>
      <c r="AQ20" s="152"/>
      <c r="AR20" s="153"/>
      <c r="AS20" s="153"/>
      <c r="AT20" s="25"/>
      <c r="AU20" s="159"/>
      <c r="AV20" s="106" t="e">
        <f>WEEKNUM(AU20-RESUMEN!$D$7)</f>
        <v>#NUM!</v>
      </c>
      <c r="AW20" s="106">
        <f>_xlfn.DAYS(AU20,RESUMEN!$D$7)</f>
        <v>-43238</v>
      </c>
      <c r="AX20" s="104"/>
      <c r="AY20" s="152"/>
      <c r="AZ20" s="152"/>
      <c r="BA20" s="153"/>
      <c r="BB20" s="153"/>
    </row>
    <row r="21" spans="2:54" x14ac:dyDescent="0.25">
      <c r="B21" s="160"/>
      <c r="C21" s="106" t="e">
        <f>WEEKNUM(B21-RESUMEN!$D$7)</f>
        <v>#NUM!</v>
      </c>
      <c r="D21" s="106">
        <f>_xlfn.DAYS(B21,RESUMEN!$D$7)</f>
        <v>-43238</v>
      </c>
      <c r="E21" s="104"/>
      <c r="F21" s="152"/>
      <c r="G21" s="152"/>
      <c r="H21" s="153"/>
      <c r="I21" s="153"/>
      <c r="J21" s="25"/>
      <c r="K21" s="159"/>
      <c r="L21" s="30" t="e">
        <f>WEEKNUM(K21-RESUMEN!$P$7)</f>
        <v>#NUM!</v>
      </c>
      <c r="M21" s="32">
        <f>_xlfn.DAYS(K21,RESUMEN!$P$7)</f>
        <v>-43242</v>
      </c>
      <c r="N21" s="31"/>
      <c r="O21" s="161"/>
      <c r="P21" s="161"/>
      <c r="Q21" s="162"/>
      <c r="R21" s="153"/>
      <c r="S21" s="25"/>
      <c r="T21" s="160"/>
      <c r="U21" s="30" t="e">
        <f>WEEKNUM(T21-RESUMEN!$AB$7)</f>
        <v>#NUM!</v>
      </c>
      <c r="V21" s="30">
        <f>_xlfn.DAYS(T21,RESUMEN!$AB$7)</f>
        <v>-43247</v>
      </c>
      <c r="W21" s="33"/>
      <c r="X21" s="161"/>
      <c r="Y21" s="161"/>
      <c r="Z21" s="162"/>
      <c r="AA21" s="162"/>
      <c r="AB21" s="25"/>
      <c r="AC21" s="159"/>
      <c r="AD21" s="106" t="e">
        <f>WEEKNUM(AC21-RESUMEN!$AN$7)</f>
        <v>#NUM!</v>
      </c>
      <c r="AE21" s="106">
        <f>_xlfn.DAYS(AC21,RESUMEN!$D$7)</f>
        <v>-43238</v>
      </c>
      <c r="AF21" s="104"/>
      <c r="AG21" s="104"/>
      <c r="AH21" s="152"/>
      <c r="AI21" s="153"/>
      <c r="AJ21" s="153"/>
      <c r="AK21" s="25"/>
      <c r="AL21" s="159"/>
      <c r="AM21" s="106" t="e">
        <f>WEEKNUM(AL21-RESUMEN!$D$7)</f>
        <v>#NUM!</v>
      </c>
      <c r="AN21" s="106">
        <f>_xlfn.DAYS(AL21,RESUMEN!$D$7)</f>
        <v>-43238</v>
      </c>
      <c r="AO21" s="104"/>
      <c r="AP21" s="152"/>
      <c r="AQ21" s="152"/>
      <c r="AR21" s="153"/>
      <c r="AS21" s="153"/>
      <c r="AT21" s="25"/>
      <c r="AU21" s="159"/>
      <c r="AV21" s="106" t="e">
        <f>WEEKNUM(AU21-RESUMEN!$D$7)</f>
        <v>#NUM!</v>
      </c>
      <c r="AW21" s="106">
        <f>_xlfn.DAYS(AU21,RESUMEN!$D$7)</f>
        <v>-43238</v>
      </c>
      <c r="AX21" s="104"/>
      <c r="AY21" s="152"/>
      <c r="AZ21" s="152"/>
      <c r="BA21" s="153"/>
      <c r="BB21" s="153"/>
    </row>
    <row r="22" spans="2:54" x14ac:dyDescent="0.25">
      <c r="B22" s="160"/>
      <c r="C22" s="106" t="e">
        <f>WEEKNUM(B22-RESUMEN!$D$7)</f>
        <v>#NUM!</v>
      </c>
      <c r="D22" s="106">
        <f>_xlfn.DAYS(B22,RESUMEN!$D$7)</f>
        <v>-43238</v>
      </c>
      <c r="E22" s="104"/>
      <c r="F22" s="152"/>
      <c r="G22" s="152"/>
      <c r="H22" s="153"/>
      <c r="I22" s="153"/>
      <c r="J22" s="25"/>
      <c r="K22" s="159"/>
      <c r="L22" s="30" t="e">
        <f>WEEKNUM(K22-RESUMEN!$P$7)</f>
        <v>#NUM!</v>
      </c>
      <c r="M22" s="32">
        <f>_xlfn.DAYS(K22,RESUMEN!$P$7)</f>
        <v>-43242</v>
      </c>
      <c r="N22" s="31"/>
      <c r="O22" s="161"/>
      <c r="P22" s="161"/>
      <c r="Q22" s="162"/>
      <c r="R22" s="153"/>
      <c r="S22" s="25"/>
      <c r="T22" s="160"/>
      <c r="U22" s="30" t="e">
        <f>WEEKNUM(T22-RESUMEN!$AB$7)</f>
        <v>#NUM!</v>
      </c>
      <c r="V22" s="30">
        <f>_xlfn.DAYS(T22,RESUMEN!$AB$7)</f>
        <v>-43247</v>
      </c>
      <c r="W22" s="33"/>
      <c r="X22" s="161"/>
      <c r="Y22" s="161"/>
      <c r="Z22" s="162"/>
      <c r="AA22" s="162"/>
      <c r="AB22" s="25"/>
      <c r="AC22" s="159"/>
      <c r="AD22" s="106" t="e">
        <f>WEEKNUM(AC22-RESUMEN!$AN$7)</f>
        <v>#NUM!</v>
      </c>
      <c r="AE22" s="106">
        <f>_xlfn.DAYS(AC22,RESUMEN!$D$7)</f>
        <v>-43238</v>
      </c>
      <c r="AF22" s="104"/>
      <c r="AG22" s="104"/>
      <c r="AH22" s="152"/>
      <c r="AI22" s="153"/>
      <c r="AJ22" s="153"/>
      <c r="AK22" s="25"/>
      <c r="AL22" s="159"/>
      <c r="AM22" s="106" t="e">
        <f>WEEKNUM(AL22-RESUMEN!$D$7)</f>
        <v>#NUM!</v>
      </c>
      <c r="AN22" s="106">
        <f>_xlfn.DAYS(AL22,RESUMEN!$D$7)</f>
        <v>-43238</v>
      </c>
      <c r="AO22" s="104"/>
      <c r="AP22" s="152"/>
      <c r="AQ22" s="152"/>
      <c r="AR22" s="153"/>
      <c r="AS22" s="153"/>
      <c r="AT22" s="25"/>
      <c r="AU22" s="159"/>
      <c r="AV22" s="106" t="e">
        <f>WEEKNUM(AU22-RESUMEN!$D$7)</f>
        <v>#NUM!</v>
      </c>
      <c r="AW22" s="106">
        <f>_xlfn.DAYS(AU22,RESUMEN!$D$7)</f>
        <v>-43238</v>
      </c>
      <c r="AX22" s="104"/>
      <c r="AY22" s="152"/>
      <c r="AZ22" s="152"/>
      <c r="BA22" s="153"/>
      <c r="BB22" s="153"/>
    </row>
    <row r="23" spans="2:54" x14ac:dyDescent="0.25">
      <c r="B23" s="160"/>
      <c r="C23" s="106" t="e">
        <f>WEEKNUM(B23-RESUMEN!$D$7)</f>
        <v>#NUM!</v>
      </c>
      <c r="D23" s="106">
        <f>_xlfn.DAYS(B23,RESUMEN!$D$7)</f>
        <v>-43238</v>
      </c>
      <c r="E23" s="104"/>
      <c r="F23" s="152"/>
      <c r="G23" s="152"/>
      <c r="H23" s="153"/>
      <c r="I23" s="153"/>
      <c r="J23" s="25"/>
      <c r="K23" s="159"/>
      <c r="L23" s="30" t="e">
        <f>WEEKNUM(K23-RESUMEN!$P$7)</f>
        <v>#NUM!</v>
      </c>
      <c r="M23" s="32">
        <f>_xlfn.DAYS(K23,RESUMEN!$P$7)</f>
        <v>-43242</v>
      </c>
      <c r="N23" s="31"/>
      <c r="O23" s="161"/>
      <c r="P23" s="161"/>
      <c r="Q23" s="162"/>
      <c r="R23" s="153"/>
      <c r="S23" s="25"/>
      <c r="T23" s="160"/>
      <c r="U23" s="30" t="e">
        <f>WEEKNUM(T23-RESUMEN!$AB$7)</f>
        <v>#NUM!</v>
      </c>
      <c r="V23" s="30">
        <f>_xlfn.DAYS(T23,RESUMEN!$AB$7)</f>
        <v>-43247</v>
      </c>
      <c r="W23" s="33"/>
      <c r="X23" s="161"/>
      <c r="Y23" s="161"/>
      <c r="Z23" s="162"/>
      <c r="AA23" s="162"/>
      <c r="AB23" s="25"/>
      <c r="AC23" s="159"/>
      <c r="AD23" s="106" t="e">
        <f>WEEKNUM(AC23-RESUMEN!$AN$7)</f>
        <v>#NUM!</v>
      </c>
      <c r="AE23" s="106">
        <f>_xlfn.DAYS(AC23,RESUMEN!$D$7)</f>
        <v>-43238</v>
      </c>
      <c r="AF23" s="104"/>
      <c r="AG23" s="104"/>
      <c r="AH23" s="152"/>
      <c r="AI23" s="153"/>
      <c r="AJ23" s="153"/>
      <c r="AK23" s="25"/>
      <c r="AL23" s="159"/>
      <c r="AM23" s="106" t="e">
        <f>WEEKNUM(AL23-RESUMEN!$D$7)</f>
        <v>#NUM!</v>
      </c>
      <c r="AN23" s="106">
        <f>_xlfn.DAYS(AL23,RESUMEN!$D$7)</f>
        <v>-43238</v>
      </c>
      <c r="AO23" s="104"/>
      <c r="AP23" s="152"/>
      <c r="AQ23" s="152"/>
      <c r="AR23" s="153"/>
      <c r="AS23" s="153"/>
      <c r="AT23" s="25"/>
      <c r="AU23" s="159"/>
      <c r="AV23" s="106" t="e">
        <f>WEEKNUM(AU23-RESUMEN!$D$7)</f>
        <v>#NUM!</v>
      </c>
      <c r="AW23" s="106">
        <f>_xlfn.DAYS(AU23,RESUMEN!$D$7)</f>
        <v>-43238</v>
      </c>
      <c r="AX23" s="104"/>
      <c r="AY23" s="152"/>
      <c r="AZ23" s="152"/>
      <c r="BA23" s="153"/>
      <c r="BB23" s="153"/>
    </row>
    <row r="24" spans="2:54" x14ac:dyDescent="0.25">
      <c r="B24" s="160"/>
      <c r="C24" s="106" t="e">
        <f>WEEKNUM(B24-RESUMEN!$D$7)</f>
        <v>#NUM!</v>
      </c>
      <c r="D24" s="106">
        <f>_xlfn.DAYS(B24,RESUMEN!$D$7)</f>
        <v>-43238</v>
      </c>
      <c r="E24" s="104"/>
      <c r="F24" s="152"/>
      <c r="G24" s="152"/>
      <c r="H24" s="153"/>
      <c r="I24" s="153"/>
      <c r="J24" s="25"/>
      <c r="K24" s="159"/>
      <c r="L24" s="30" t="e">
        <f>WEEKNUM(K24-RESUMEN!$P$7)</f>
        <v>#NUM!</v>
      </c>
      <c r="M24" s="32">
        <f>_xlfn.DAYS(K24,RESUMEN!$P$7)</f>
        <v>-43242</v>
      </c>
      <c r="N24" s="31"/>
      <c r="O24" s="161"/>
      <c r="P24" s="161"/>
      <c r="Q24" s="162"/>
      <c r="R24" s="153"/>
      <c r="S24" s="25"/>
      <c r="T24" s="160"/>
      <c r="U24" s="30" t="e">
        <f>WEEKNUM(T24-RESUMEN!$AB$7)</f>
        <v>#NUM!</v>
      </c>
      <c r="V24" s="30">
        <f>_xlfn.DAYS(T24,RESUMEN!$AB$7)</f>
        <v>-43247</v>
      </c>
      <c r="W24" s="31"/>
      <c r="X24" s="161"/>
      <c r="Y24" s="161"/>
      <c r="Z24" s="162"/>
      <c r="AA24" s="162"/>
      <c r="AB24" s="25"/>
      <c r="AC24" s="159"/>
      <c r="AD24" s="106" t="e">
        <f>WEEKNUM(AC24-RESUMEN!$AN$7)</f>
        <v>#NUM!</v>
      </c>
      <c r="AE24" s="106">
        <f>_xlfn.DAYS(AC24,RESUMEN!$D$7)</f>
        <v>-43238</v>
      </c>
      <c r="AF24" s="104"/>
      <c r="AG24" s="104"/>
      <c r="AH24" s="152"/>
      <c r="AI24" s="153"/>
      <c r="AJ24" s="153"/>
      <c r="AK24" s="25"/>
      <c r="AL24" s="159"/>
      <c r="AM24" s="106" t="e">
        <f>WEEKNUM(AL24-RESUMEN!$D$7)</f>
        <v>#NUM!</v>
      </c>
      <c r="AN24" s="106">
        <f>_xlfn.DAYS(AL24,RESUMEN!$D$7)</f>
        <v>-43238</v>
      </c>
      <c r="AO24" s="104"/>
      <c r="AP24" s="152"/>
      <c r="AQ24" s="152"/>
      <c r="AR24" s="153"/>
      <c r="AS24" s="153"/>
      <c r="AT24" s="25"/>
      <c r="AU24" s="159"/>
      <c r="AV24" s="106" t="e">
        <f>WEEKNUM(AU24-RESUMEN!$D$7)</f>
        <v>#NUM!</v>
      </c>
      <c r="AW24" s="106">
        <f>_xlfn.DAYS(AU24,RESUMEN!$D$7)</f>
        <v>-43238</v>
      </c>
      <c r="AX24" s="104"/>
      <c r="AY24" s="152"/>
      <c r="AZ24" s="152"/>
      <c r="BA24" s="153"/>
      <c r="BB24" s="153"/>
    </row>
    <row r="25" spans="2:54" x14ac:dyDescent="0.25">
      <c r="B25" s="160"/>
      <c r="C25" s="106" t="e">
        <f>WEEKNUM(B25-RESUMEN!$D$7)</f>
        <v>#NUM!</v>
      </c>
      <c r="D25" s="106">
        <f>_xlfn.DAYS(B25,RESUMEN!$D$7)</f>
        <v>-43238</v>
      </c>
      <c r="E25" s="104"/>
      <c r="F25" s="152"/>
      <c r="G25" s="152"/>
      <c r="H25" s="153"/>
      <c r="I25" s="153"/>
      <c r="J25" s="25"/>
      <c r="K25" s="159"/>
      <c r="L25" s="30" t="e">
        <f>WEEKNUM(K25-RESUMEN!$P$7)</f>
        <v>#NUM!</v>
      </c>
      <c r="M25" s="32">
        <f>_xlfn.DAYS(K25,RESUMEN!$P$7)</f>
        <v>-43242</v>
      </c>
      <c r="N25" s="31"/>
      <c r="O25" s="161"/>
      <c r="P25" s="161"/>
      <c r="Q25" s="162"/>
      <c r="R25" s="153"/>
      <c r="S25" s="25"/>
      <c r="T25" s="160"/>
      <c r="U25" s="30" t="e">
        <f>WEEKNUM(T25-RESUMEN!$AB$7)</f>
        <v>#NUM!</v>
      </c>
      <c r="V25" s="30">
        <f>_xlfn.DAYS(T25,RESUMEN!$AB$7)</f>
        <v>-43247</v>
      </c>
      <c r="W25" s="33"/>
      <c r="X25" s="161"/>
      <c r="Y25" s="161"/>
      <c r="Z25" s="162"/>
      <c r="AA25" s="162"/>
      <c r="AB25" s="25"/>
      <c r="AC25" s="159"/>
      <c r="AD25" s="106" t="e">
        <f>WEEKNUM(AC25-RESUMEN!$AN$7)</f>
        <v>#NUM!</v>
      </c>
      <c r="AE25" s="106">
        <f>_xlfn.DAYS(AC25,RESUMEN!$D$7)</f>
        <v>-43238</v>
      </c>
      <c r="AF25" s="104"/>
      <c r="AG25" s="104"/>
      <c r="AH25" s="152"/>
      <c r="AI25" s="153"/>
      <c r="AJ25" s="153"/>
      <c r="AK25" s="25"/>
      <c r="AL25" s="159"/>
      <c r="AM25" s="106" t="e">
        <f>WEEKNUM(AL25-RESUMEN!$D$7)</f>
        <v>#NUM!</v>
      </c>
      <c r="AN25" s="106">
        <f>_xlfn.DAYS(AL25,RESUMEN!$D$7)</f>
        <v>-43238</v>
      </c>
      <c r="AO25" s="104"/>
      <c r="AP25" s="152"/>
      <c r="AQ25" s="152"/>
      <c r="AR25" s="153"/>
      <c r="AS25" s="153"/>
      <c r="AT25" s="25"/>
      <c r="AU25" s="159"/>
      <c r="AV25" s="106" t="e">
        <f>WEEKNUM(AU25-RESUMEN!$D$7)</f>
        <v>#NUM!</v>
      </c>
      <c r="AW25" s="106">
        <f>_xlfn.DAYS(AU25,RESUMEN!$D$7)</f>
        <v>-43238</v>
      </c>
      <c r="AX25" s="104"/>
      <c r="AY25" s="152"/>
      <c r="AZ25" s="152"/>
      <c r="BA25" s="153"/>
      <c r="BB25" s="153"/>
    </row>
    <row r="26" spans="2:54" x14ac:dyDescent="0.25">
      <c r="B26" s="160"/>
      <c r="C26" s="106" t="e">
        <f>WEEKNUM(B26-RESUMEN!$D$7)</f>
        <v>#NUM!</v>
      </c>
      <c r="D26" s="106">
        <f>_xlfn.DAYS(B26,RESUMEN!$D$7)</f>
        <v>-43238</v>
      </c>
      <c r="E26" s="104"/>
      <c r="F26" s="152"/>
      <c r="G26" s="152"/>
      <c r="H26" s="153"/>
      <c r="I26" s="153"/>
      <c r="J26" s="25"/>
      <c r="K26" s="159"/>
      <c r="L26" s="30" t="e">
        <f>WEEKNUM(K26-RESUMEN!$P$7)</f>
        <v>#NUM!</v>
      </c>
      <c r="M26" s="32">
        <f>_xlfn.DAYS(K26,RESUMEN!$P$7)</f>
        <v>-43242</v>
      </c>
      <c r="N26" s="33"/>
      <c r="O26" s="161"/>
      <c r="P26" s="161"/>
      <c r="Q26" s="162"/>
      <c r="R26" s="153"/>
      <c r="S26" s="25"/>
      <c r="T26" s="160"/>
      <c r="U26" s="30" t="e">
        <f>WEEKNUM(T26-RESUMEN!$AB$7)</f>
        <v>#NUM!</v>
      </c>
      <c r="V26" s="30">
        <f>_xlfn.DAYS(T26,RESUMEN!$AB$7)</f>
        <v>-43247</v>
      </c>
      <c r="W26" s="33"/>
      <c r="X26" s="161"/>
      <c r="Y26" s="161"/>
      <c r="Z26" s="162"/>
      <c r="AA26" s="162"/>
      <c r="AB26" s="25"/>
      <c r="AC26" s="159"/>
      <c r="AD26" s="106" t="e">
        <f>WEEKNUM(AC26-RESUMEN!$AN$7)</f>
        <v>#NUM!</v>
      </c>
      <c r="AE26" s="106">
        <f>_xlfn.DAYS(AC26,RESUMEN!$D$7)</f>
        <v>-43238</v>
      </c>
      <c r="AF26" s="104"/>
      <c r="AG26" s="104"/>
      <c r="AH26" s="152"/>
      <c r="AI26" s="153"/>
      <c r="AJ26" s="153"/>
      <c r="AK26" s="25"/>
      <c r="AL26" s="159"/>
      <c r="AM26" s="106" t="e">
        <f>WEEKNUM(AL26-RESUMEN!$D$7)</f>
        <v>#NUM!</v>
      </c>
      <c r="AN26" s="106">
        <f>_xlfn.DAYS(AL26,RESUMEN!$D$7)</f>
        <v>-43238</v>
      </c>
      <c r="AO26" s="104"/>
      <c r="AP26" s="152"/>
      <c r="AQ26" s="152"/>
      <c r="AR26" s="153"/>
      <c r="AS26" s="153"/>
      <c r="AT26" s="25"/>
      <c r="AU26" s="159"/>
      <c r="AV26" s="106" t="e">
        <f>WEEKNUM(AU26-RESUMEN!$D$7)</f>
        <v>#NUM!</v>
      </c>
      <c r="AW26" s="106">
        <f>_xlfn.DAYS(AU26,RESUMEN!$D$7)</f>
        <v>-43238</v>
      </c>
      <c r="AX26" s="104"/>
      <c r="AY26" s="152"/>
      <c r="AZ26" s="152"/>
      <c r="BA26" s="153"/>
      <c r="BB26" s="153"/>
    </row>
    <row r="27" spans="2:54" x14ac:dyDescent="0.25">
      <c r="B27" s="160"/>
      <c r="C27" s="106" t="e">
        <f>WEEKNUM(B27-RESUMEN!$D$7)</f>
        <v>#NUM!</v>
      </c>
      <c r="D27" s="106">
        <f>_xlfn.DAYS(B27,RESUMEN!$D$7)</f>
        <v>-43238</v>
      </c>
      <c r="E27" s="104"/>
      <c r="F27" s="152"/>
      <c r="G27" s="152"/>
      <c r="H27" s="153"/>
      <c r="I27" s="153"/>
      <c r="J27" s="25"/>
      <c r="K27" s="159"/>
      <c r="L27" s="30" t="e">
        <f>WEEKNUM(K27-RESUMEN!$P$7)</f>
        <v>#NUM!</v>
      </c>
      <c r="M27" s="32">
        <f>_xlfn.DAYS(K27,RESUMEN!$P$7)</f>
        <v>-43242</v>
      </c>
      <c r="N27" s="33"/>
      <c r="O27" s="161"/>
      <c r="P27" s="161"/>
      <c r="Q27" s="162"/>
      <c r="R27" s="153"/>
      <c r="S27" s="25"/>
      <c r="T27" s="160"/>
      <c r="U27" s="30" t="e">
        <f>WEEKNUM(T27-RESUMEN!$AB$7)</f>
        <v>#NUM!</v>
      </c>
      <c r="V27" s="30">
        <f>_xlfn.DAYS(T27,RESUMEN!$AB$7)</f>
        <v>-43247</v>
      </c>
      <c r="W27" s="31"/>
      <c r="X27" s="161"/>
      <c r="Y27" s="161"/>
      <c r="Z27" s="162"/>
      <c r="AA27" s="162"/>
      <c r="AB27" s="25"/>
      <c r="AC27" s="159"/>
      <c r="AD27" s="106" t="e">
        <f>WEEKNUM(AC27-RESUMEN!$AN$7)</f>
        <v>#NUM!</v>
      </c>
      <c r="AE27" s="106">
        <f>_xlfn.DAYS(AC27,RESUMEN!$D$7)</f>
        <v>-43238</v>
      </c>
      <c r="AF27" s="104"/>
      <c r="AG27" s="104"/>
      <c r="AH27" s="152"/>
      <c r="AI27" s="153"/>
      <c r="AJ27" s="153"/>
      <c r="AK27" s="25"/>
      <c r="AL27" s="159"/>
      <c r="AM27" s="106" t="e">
        <f>WEEKNUM(AL27-RESUMEN!$D$7)</f>
        <v>#NUM!</v>
      </c>
      <c r="AN27" s="106">
        <f>_xlfn.DAYS(AL27,RESUMEN!$D$7)</f>
        <v>-43238</v>
      </c>
      <c r="AO27" s="104"/>
      <c r="AP27" s="152"/>
      <c r="AQ27" s="152"/>
      <c r="AR27" s="153"/>
      <c r="AS27" s="153"/>
      <c r="AT27" s="25"/>
      <c r="AU27" s="159"/>
      <c r="AV27" s="106" t="e">
        <f>WEEKNUM(AU27-RESUMEN!$D$7)</f>
        <v>#NUM!</v>
      </c>
      <c r="AW27" s="106">
        <f>_xlfn.DAYS(AU27,RESUMEN!$D$7)</f>
        <v>-43238</v>
      </c>
      <c r="AX27" s="104"/>
      <c r="AY27" s="152"/>
      <c r="AZ27" s="152"/>
      <c r="BA27" s="153"/>
      <c r="BB27" s="153"/>
    </row>
    <row r="28" spans="2:54" x14ac:dyDescent="0.25">
      <c r="B28" s="160"/>
      <c r="C28" s="106" t="e">
        <f>WEEKNUM(B28-RESUMEN!$D$7)</f>
        <v>#NUM!</v>
      </c>
      <c r="D28" s="106">
        <f>_xlfn.DAYS(B28,RESUMEN!$D$7)</f>
        <v>-43238</v>
      </c>
      <c r="E28" s="104"/>
      <c r="F28" s="152"/>
      <c r="G28" s="152"/>
      <c r="H28" s="153"/>
      <c r="I28" s="153"/>
      <c r="J28" s="25"/>
      <c r="K28" s="159"/>
      <c r="L28" s="30" t="e">
        <f>WEEKNUM(K28-RESUMEN!$P$7)</f>
        <v>#NUM!</v>
      </c>
      <c r="M28" s="32">
        <f>_xlfn.DAYS(K28,RESUMEN!$P$7)</f>
        <v>-43242</v>
      </c>
      <c r="N28" s="33"/>
      <c r="O28" s="161"/>
      <c r="P28" s="161"/>
      <c r="Q28" s="162"/>
      <c r="R28" s="153"/>
      <c r="S28" s="25"/>
      <c r="T28" s="160"/>
      <c r="U28" s="30" t="e">
        <f>WEEKNUM(T28-RESUMEN!$AB$7)</f>
        <v>#NUM!</v>
      </c>
      <c r="V28" s="30">
        <f>_xlfn.DAYS(T28,RESUMEN!$AB$7)</f>
        <v>-43247</v>
      </c>
      <c r="W28" s="31"/>
      <c r="X28" s="161"/>
      <c r="Y28" s="161"/>
      <c r="Z28" s="162"/>
      <c r="AA28" s="162"/>
      <c r="AB28" s="25"/>
      <c r="AC28" s="159"/>
      <c r="AD28" s="106" t="e">
        <f>WEEKNUM(AC28-RESUMEN!$AN$7)</f>
        <v>#NUM!</v>
      </c>
      <c r="AE28" s="106">
        <f>_xlfn.DAYS(AC28,RESUMEN!$D$7)</f>
        <v>-43238</v>
      </c>
      <c r="AF28" s="104"/>
      <c r="AG28" s="104"/>
      <c r="AH28" s="152"/>
      <c r="AI28" s="153"/>
      <c r="AJ28" s="153"/>
      <c r="AK28" s="25"/>
      <c r="AL28" s="159"/>
      <c r="AM28" s="106" t="e">
        <f>WEEKNUM(AL28-RESUMEN!$D$7)</f>
        <v>#NUM!</v>
      </c>
      <c r="AN28" s="106">
        <f>_xlfn.DAYS(AL28,RESUMEN!$D$7)</f>
        <v>-43238</v>
      </c>
      <c r="AO28" s="104"/>
      <c r="AP28" s="152"/>
      <c r="AQ28" s="152"/>
      <c r="AR28" s="153"/>
      <c r="AS28" s="153"/>
      <c r="AT28" s="25"/>
      <c r="AU28" s="159"/>
      <c r="AV28" s="106" t="e">
        <f>WEEKNUM(AU28-RESUMEN!$D$7)</f>
        <v>#NUM!</v>
      </c>
      <c r="AW28" s="106">
        <f>_xlfn.DAYS(AU28,RESUMEN!$D$7)</f>
        <v>-43238</v>
      </c>
      <c r="AX28" s="104"/>
      <c r="AY28" s="152"/>
      <c r="AZ28" s="152"/>
      <c r="BA28" s="153"/>
      <c r="BB28" s="153"/>
    </row>
    <row r="29" spans="2:54" x14ac:dyDescent="0.25">
      <c r="B29" s="160"/>
      <c r="C29" s="106" t="e">
        <f>WEEKNUM(B29-RESUMEN!$D$7)</f>
        <v>#NUM!</v>
      </c>
      <c r="D29" s="106">
        <f>_xlfn.DAYS(B29,RESUMEN!$D$7)</f>
        <v>-43238</v>
      </c>
      <c r="E29" s="104"/>
      <c r="F29" s="152"/>
      <c r="G29" s="152"/>
      <c r="H29" s="153"/>
      <c r="I29" s="153"/>
      <c r="J29" s="25"/>
      <c r="K29" s="159"/>
      <c r="L29" s="30" t="e">
        <f>WEEKNUM(K29-RESUMEN!$P$7)</f>
        <v>#NUM!</v>
      </c>
      <c r="M29" s="32">
        <f>_xlfn.DAYS(K29,RESUMEN!$P$7)</f>
        <v>-43242</v>
      </c>
      <c r="N29" s="31"/>
      <c r="O29" s="161"/>
      <c r="P29" s="161"/>
      <c r="Q29" s="162"/>
      <c r="R29" s="153"/>
      <c r="S29" s="25"/>
      <c r="T29" s="160"/>
      <c r="U29" s="30" t="e">
        <f>WEEKNUM(T29-RESUMEN!$AB$7)</f>
        <v>#NUM!</v>
      </c>
      <c r="V29" s="30">
        <f>_xlfn.DAYS(T29,RESUMEN!$AB$7)</f>
        <v>-43247</v>
      </c>
      <c r="W29" s="31"/>
      <c r="X29" s="161"/>
      <c r="Y29" s="161"/>
      <c r="Z29" s="162"/>
      <c r="AA29" s="162"/>
      <c r="AB29" s="25"/>
      <c r="AC29" s="159"/>
      <c r="AD29" s="106" t="e">
        <f>WEEKNUM(AC29-RESUMEN!$AN$7)</f>
        <v>#NUM!</v>
      </c>
      <c r="AE29" s="106">
        <f>_xlfn.DAYS(AC29,RESUMEN!$D$7)</f>
        <v>-43238</v>
      </c>
      <c r="AF29" s="104"/>
      <c r="AG29" s="104"/>
      <c r="AH29" s="152"/>
      <c r="AI29" s="153"/>
      <c r="AJ29" s="153"/>
      <c r="AK29" s="25"/>
      <c r="AL29" s="159"/>
      <c r="AM29" s="106" t="e">
        <f>WEEKNUM(AL29-RESUMEN!$D$7)</f>
        <v>#NUM!</v>
      </c>
      <c r="AN29" s="106">
        <f>_xlfn.DAYS(AL29,RESUMEN!$D$7)</f>
        <v>-43238</v>
      </c>
      <c r="AO29" s="104"/>
      <c r="AP29" s="152"/>
      <c r="AQ29" s="152"/>
      <c r="AR29" s="153"/>
      <c r="AS29" s="153"/>
      <c r="AT29" s="25"/>
      <c r="AU29" s="159"/>
      <c r="AV29" s="106" t="e">
        <f>WEEKNUM(AU29-RESUMEN!$D$7)</f>
        <v>#NUM!</v>
      </c>
      <c r="AW29" s="106">
        <f>_xlfn.DAYS(AU29,RESUMEN!$D$7)</f>
        <v>-43238</v>
      </c>
      <c r="AX29" s="104"/>
      <c r="AY29" s="152"/>
      <c r="AZ29" s="152"/>
      <c r="BA29" s="153"/>
      <c r="BB29" s="153"/>
    </row>
    <row r="30" spans="2:54" x14ac:dyDescent="0.25">
      <c r="B30" s="160"/>
      <c r="C30" s="106" t="e">
        <f>WEEKNUM(B30-RESUMEN!$D$7)</f>
        <v>#NUM!</v>
      </c>
      <c r="D30" s="106">
        <f>_xlfn.DAYS(B30,RESUMEN!$D$7)</f>
        <v>-43238</v>
      </c>
      <c r="E30" s="104"/>
      <c r="F30" s="152"/>
      <c r="G30" s="152"/>
      <c r="H30" s="153"/>
      <c r="I30" s="153"/>
      <c r="J30" s="25"/>
      <c r="K30" s="159"/>
      <c r="L30" s="30" t="e">
        <f>WEEKNUM(K30-RESUMEN!$P$7)</f>
        <v>#NUM!</v>
      </c>
      <c r="M30" s="32">
        <f>_xlfn.DAYS(K30,RESUMEN!$P$7)</f>
        <v>-43242</v>
      </c>
      <c r="N30" s="31"/>
      <c r="O30" s="161"/>
      <c r="P30" s="161"/>
      <c r="Q30" s="162"/>
      <c r="R30" s="153"/>
      <c r="S30" s="25"/>
      <c r="T30" s="160"/>
      <c r="U30" s="30" t="e">
        <f>WEEKNUM(T30-RESUMEN!$AB$7)</f>
        <v>#NUM!</v>
      </c>
      <c r="V30" s="30">
        <f>_xlfn.DAYS(T30,RESUMEN!$AB$7)</f>
        <v>-43247</v>
      </c>
      <c r="W30" s="31"/>
      <c r="X30" s="161"/>
      <c r="Y30" s="161"/>
      <c r="Z30" s="162"/>
      <c r="AA30" s="162"/>
      <c r="AB30" s="25"/>
      <c r="AC30" s="159"/>
      <c r="AD30" s="106" t="e">
        <f>WEEKNUM(AC30-RESUMEN!$AN$7)</f>
        <v>#NUM!</v>
      </c>
      <c r="AE30" s="106">
        <f>_xlfn.DAYS(AC30,RESUMEN!$D$7)</f>
        <v>-43238</v>
      </c>
      <c r="AF30" s="104"/>
      <c r="AG30" s="104"/>
      <c r="AH30" s="152"/>
      <c r="AI30" s="153"/>
      <c r="AJ30" s="153"/>
      <c r="AK30" s="25"/>
      <c r="AL30" s="159"/>
      <c r="AM30" s="106" t="e">
        <f>WEEKNUM(AL30-RESUMEN!$D$7)</f>
        <v>#NUM!</v>
      </c>
      <c r="AN30" s="106">
        <f>_xlfn.DAYS(AL30,RESUMEN!$D$7)</f>
        <v>-43238</v>
      </c>
      <c r="AO30" s="104"/>
      <c r="AP30" s="152"/>
      <c r="AQ30" s="152"/>
      <c r="AR30" s="153"/>
      <c r="AS30" s="153"/>
      <c r="AT30" s="25"/>
      <c r="AU30" s="159"/>
      <c r="AV30" s="106" t="e">
        <f>WEEKNUM(AU30-RESUMEN!$D$7)</f>
        <v>#NUM!</v>
      </c>
      <c r="AW30" s="106">
        <f>_xlfn.DAYS(AU30,RESUMEN!$D$7)</f>
        <v>-43238</v>
      </c>
      <c r="AX30" s="104"/>
      <c r="AY30" s="152"/>
      <c r="AZ30" s="152"/>
      <c r="BA30" s="153"/>
      <c r="BB30" s="153"/>
    </row>
    <row r="31" spans="2:54" x14ac:dyDescent="0.25">
      <c r="B31" s="160"/>
      <c r="C31" s="106" t="e">
        <f>WEEKNUM(B31-RESUMEN!$D$7)</f>
        <v>#NUM!</v>
      </c>
      <c r="D31" s="106">
        <f>_xlfn.DAYS(B31,RESUMEN!$D$7)</f>
        <v>-43238</v>
      </c>
      <c r="E31" s="104"/>
      <c r="F31" s="152"/>
      <c r="G31" s="152"/>
      <c r="H31" s="153"/>
      <c r="I31" s="153"/>
      <c r="J31" s="25"/>
      <c r="K31" s="159"/>
      <c r="L31" s="30" t="e">
        <f>WEEKNUM(K31-RESUMEN!$P$7)</f>
        <v>#NUM!</v>
      </c>
      <c r="M31" s="32">
        <f>_xlfn.DAYS(K31,RESUMEN!$P$7)</f>
        <v>-43242</v>
      </c>
      <c r="N31" s="31"/>
      <c r="O31" s="161"/>
      <c r="P31" s="161"/>
      <c r="Q31" s="162"/>
      <c r="R31" s="153"/>
      <c r="S31" s="25"/>
      <c r="T31" s="160"/>
      <c r="U31" s="30" t="e">
        <f>WEEKNUM(T31-RESUMEN!$AB$7)</f>
        <v>#NUM!</v>
      </c>
      <c r="V31" s="30">
        <f>_xlfn.DAYS(T31,RESUMEN!$AB$7)</f>
        <v>-43247</v>
      </c>
      <c r="W31" s="31"/>
      <c r="X31" s="161"/>
      <c r="Y31" s="161"/>
      <c r="Z31" s="162"/>
      <c r="AA31" s="162"/>
      <c r="AB31" s="25"/>
      <c r="AC31" s="159"/>
      <c r="AD31" s="106" t="e">
        <f>WEEKNUM(AC31-RESUMEN!$AN$7)</f>
        <v>#NUM!</v>
      </c>
      <c r="AE31" s="106">
        <f>_xlfn.DAYS(AC31,RESUMEN!$D$7)</f>
        <v>-43238</v>
      </c>
      <c r="AF31" s="104"/>
      <c r="AG31" s="104"/>
      <c r="AH31" s="152"/>
      <c r="AI31" s="153"/>
      <c r="AJ31" s="153"/>
      <c r="AK31" s="25"/>
      <c r="AL31" s="159"/>
      <c r="AM31" s="106" t="e">
        <f>WEEKNUM(AL31-RESUMEN!$D$7)</f>
        <v>#NUM!</v>
      </c>
      <c r="AN31" s="106">
        <f>_xlfn.DAYS(AL31,RESUMEN!$D$7)</f>
        <v>-43238</v>
      </c>
      <c r="AO31" s="104"/>
      <c r="AP31" s="152"/>
      <c r="AQ31" s="152"/>
      <c r="AR31" s="153"/>
      <c r="AS31" s="153"/>
      <c r="AT31" s="25"/>
      <c r="AU31" s="159"/>
      <c r="AV31" s="106" t="e">
        <f>WEEKNUM(AU31-RESUMEN!$D$7)</f>
        <v>#NUM!</v>
      </c>
      <c r="AW31" s="106">
        <f>_xlfn.DAYS(AU31,RESUMEN!$D$7)</f>
        <v>-43238</v>
      </c>
      <c r="AX31" s="104"/>
      <c r="AY31" s="152"/>
      <c r="AZ31" s="152"/>
      <c r="BA31" s="153"/>
      <c r="BB31" s="153"/>
    </row>
    <row r="32" spans="2:54" x14ac:dyDescent="0.25">
      <c r="B32" s="160"/>
      <c r="C32" s="106" t="e">
        <f>WEEKNUM(B32-RESUMEN!$D$7)</f>
        <v>#NUM!</v>
      </c>
      <c r="D32" s="106">
        <f>_xlfn.DAYS(B32,RESUMEN!$D$7)</f>
        <v>-43238</v>
      </c>
      <c r="E32" s="104"/>
      <c r="F32" s="152"/>
      <c r="G32" s="152"/>
      <c r="H32" s="153"/>
      <c r="I32" s="153"/>
      <c r="J32" s="25"/>
      <c r="K32" s="159"/>
      <c r="L32" s="30" t="e">
        <f>WEEKNUM(K32-RESUMEN!$P$7)</f>
        <v>#NUM!</v>
      </c>
      <c r="M32" s="32">
        <f>_xlfn.DAYS(K32,RESUMEN!$P$7)</f>
        <v>-43242</v>
      </c>
      <c r="N32" s="31"/>
      <c r="O32" s="161"/>
      <c r="P32" s="161"/>
      <c r="Q32" s="162"/>
      <c r="R32" s="153"/>
      <c r="S32" s="25"/>
      <c r="T32" s="160"/>
      <c r="U32" s="30" t="e">
        <f>WEEKNUM(T32-RESUMEN!$AB$7)</f>
        <v>#NUM!</v>
      </c>
      <c r="V32" s="30">
        <f>_xlfn.DAYS(T32,RESUMEN!$AB$7)</f>
        <v>-43247</v>
      </c>
      <c r="W32" s="31"/>
      <c r="X32" s="161"/>
      <c r="Y32" s="161"/>
      <c r="Z32" s="162"/>
      <c r="AA32" s="162"/>
      <c r="AB32" s="25"/>
      <c r="AC32" s="159"/>
      <c r="AD32" s="106" t="e">
        <f>WEEKNUM(AC32-RESUMEN!$AN$7)</f>
        <v>#NUM!</v>
      </c>
      <c r="AE32" s="106">
        <f>_xlfn.DAYS(AC32,RESUMEN!$D$7)</f>
        <v>-43238</v>
      </c>
      <c r="AF32" s="104"/>
      <c r="AG32" s="104"/>
      <c r="AH32" s="152"/>
      <c r="AI32" s="153"/>
      <c r="AJ32" s="153"/>
      <c r="AK32" s="25"/>
      <c r="AL32" s="159"/>
      <c r="AM32" s="106" t="e">
        <f>WEEKNUM(AL32-RESUMEN!$D$7)</f>
        <v>#NUM!</v>
      </c>
      <c r="AN32" s="106">
        <f>_xlfn.DAYS(AL32,RESUMEN!$D$7)</f>
        <v>-43238</v>
      </c>
      <c r="AO32" s="104"/>
      <c r="AP32" s="152"/>
      <c r="AQ32" s="152"/>
      <c r="AR32" s="153"/>
      <c r="AS32" s="153"/>
      <c r="AT32" s="25"/>
      <c r="AU32" s="159"/>
      <c r="AV32" s="106" t="e">
        <f>WEEKNUM(AU32-RESUMEN!$D$7)</f>
        <v>#NUM!</v>
      </c>
      <c r="AW32" s="106">
        <f>_xlfn.DAYS(AU32,RESUMEN!$D$7)</f>
        <v>-43238</v>
      </c>
      <c r="AX32" s="104"/>
      <c r="AY32" s="152"/>
      <c r="AZ32" s="152"/>
      <c r="BA32" s="153"/>
      <c r="BB32" s="153"/>
    </row>
    <row r="33" spans="2:54" x14ac:dyDescent="0.25">
      <c r="B33" s="160"/>
      <c r="C33" s="106" t="e">
        <f>WEEKNUM(B33-RESUMEN!$D$7)</f>
        <v>#NUM!</v>
      </c>
      <c r="D33" s="106">
        <f>_xlfn.DAYS(B33,RESUMEN!$D$7)</f>
        <v>-43238</v>
      </c>
      <c r="E33" s="104"/>
      <c r="F33" s="152"/>
      <c r="G33" s="152"/>
      <c r="H33" s="153"/>
      <c r="I33" s="153"/>
      <c r="J33" s="25"/>
      <c r="K33" s="159"/>
      <c r="L33" s="30" t="e">
        <f>WEEKNUM(K33-RESUMEN!$P$7)</f>
        <v>#NUM!</v>
      </c>
      <c r="M33" s="32">
        <f>_xlfn.DAYS(K33,RESUMEN!$P$7)</f>
        <v>-43242</v>
      </c>
      <c r="N33" s="31"/>
      <c r="O33" s="161"/>
      <c r="P33" s="161"/>
      <c r="Q33" s="162"/>
      <c r="R33" s="153"/>
      <c r="S33" s="25"/>
      <c r="T33" s="160"/>
      <c r="U33" s="30" t="e">
        <f>WEEKNUM(T33-RESUMEN!$AB$7)</f>
        <v>#NUM!</v>
      </c>
      <c r="V33" s="30">
        <f>_xlfn.DAYS(T33,RESUMEN!$AB$7)</f>
        <v>-43247</v>
      </c>
      <c r="W33" s="31"/>
      <c r="X33" s="161"/>
      <c r="Y33" s="161"/>
      <c r="Z33" s="162"/>
      <c r="AA33" s="162"/>
      <c r="AB33" s="25"/>
      <c r="AC33" s="159"/>
      <c r="AD33" s="106" t="e">
        <f>WEEKNUM(AC33-RESUMEN!$AN$7)</f>
        <v>#NUM!</v>
      </c>
      <c r="AE33" s="106">
        <f>_xlfn.DAYS(AC33,RESUMEN!$D$7)</f>
        <v>-43238</v>
      </c>
      <c r="AF33" s="104"/>
      <c r="AG33" s="104"/>
      <c r="AH33" s="152"/>
      <c r="AI33" s="153"/>
      <c r="AJ33" s="153"/>
      <c r="AK33" s="25"/>
      <c r="AL33" s="159"/>
      <c r="AM33" s="106" t="e">
        <f>WEEKNUM(AL33-RESUMEN!$D$7)</f>
        <v>#NUM!</v>
      </c>
      <c r="AN33" s="106">
        <f>_xlfn.DAYS(AL33,RESUMEN!$D$7)</f>
        <v>-43238</v>
      </c>
      <c r="AO33" s="104"/>
      <c r="AP33" s="152"/>
      <c r="AQ33" s="152"/>
      <c r="AR33" s="153"/>
      <c r="AS33" s="153"/>
      <c r="AT33" s="25"/>
      <c r="AU33" s="159"/>
      <c r="AV33" s="106" t="e">
        <f>WEEKNUM(AU33-RESUMEN!$D$7)</f>
        <v>#NUM!</v>
      </c>
      <c r="AW33" s="106">
        <f>_xlfn.DAYS(AU33,RESUMEN!$D$7)</f>
        <v>-43238</v>
      </c>
      <c r="AX33" s="104"/>
      <c r="AY33" s="152"/>
      <c r="AZ33" s="152"/>
      <c r="BA33" s="153"/>
      <c r="BB33" s="153"/>
    </row>
    <row r="34" spans="2:54" x14ac:dyDescent="0.25">
      <c r="B34" s="160"/>
      <c r="C34" s="106" t="e">
        <f>WEEKNUM(B34-RESUMEN!$D$7)</f>
        <v>#NUM!</v>
      </c>
      <c r="D34" s="106">
        <f>_xlfn.DAYS(B34,RESUMEN!$D$7)</f>
        <v>-43238</v>
      </c>
      <c r="E34" s="104"/>
      <c r="F34" s="152"/>
      <c r="G34" s="152"/>
      <c r="H34" s="153"/>
      <c r="I34" s="153"/>
      <c r="J34" s="25"/>
      <c r="K34" s="159"/>
      <c r="L34" s="30" t="e">
        <f>WEEKNUM(K34-RESUMEN!$P$7)</f>
        <v>#NUM!</v>
      </c>
      <c r="M34" s="32">
        <f>_xlfn.DAYS(K34,RESUMEN!$P$7)</f>
        <v>-43242</v>
      </c>
      <c r="N34" s="31"/>
      <c r="O34" s="161"/>
      <c r="P34" s="161"/>
      <c r="Q34" s="162"/>
      <c r="R34" s="153"/>
      <c r="S34" s="25"/>
      <c r="T34" s="160"/>
      <c r="U34" s="30" t="e">
        <f>WEEKNUM(T34-RESUMEN!$AB$7)</f>
        <v>#NUM!</v>
      </c>
      <c r="V34" s="30">
        <f>_xlfn.DAYS(T34,RESUMEN!$AB$7)</f>
        <v>-43247</v>
      </c>
      <c r="W34" s="31"/>
      <c r="X34" s="161"/>
      <c r="Y34" s="161"/>
      <c r="Z34" s="162"/>
      <c r="AA34" s="162"/>
      <c r="AB34" s="25"/>
      <c r="AC34" s="159"/>
      <c r="AD34" s="106" t="e">
        <f>WEEKNUM(AC34-RESUMEN!$AN$7)</f>
        <v>#NUM!</v>
      </c>
      <c r="AE34" s="106">
        <f>_xlfn.DAYS(AC34,RESUMEN!$D$7)</f>
        <v>-43238</v>
      </c>
      <c r="AF34" s="104"/>
      <c r="AG34" s="104"/>
      <c r="AH34" s="152"/>
      <c r="AI34" s="153"/>
      <c r="AJ34" s="153"/>
      <c r="AK34" s="25"/>
      <c r="AL34" s="159"/>
      <c r="AM34" s="106" t="e">
        <f>WEEKNUM(AL34-RESUMEN!$D$7)</f>
        <v>#NUM!</v>
      </c>
      <c r="AN34" s="106">
        <f>_xlfn.DAYS(AL34,RESUMEN!$D$7)</f>
        <v>-43238</v>
      </c>
      <c r="AO34" s="104"/>
      <c r="AP34" s="152"/>
      <c r="AQ34" s="152"/>
      <c r="AR34" s="153"/>
      <c r="AS34" s="153"/>
      <c r="AT34" s="25"/>
      <c r="AU34" s="159"/>
      <c r="AV34" s="106" t="e">
        <f>WEEKNUM(AU34-RESUMEN!$D$7)</f>
        <v>#NUM!</v>
      </c>
      <c r="AW34" s="106">
        <f>_xlfn.DAYS(AU34,RESUMEN!$D$7)</f>
        <v>-43238</v>
      </c>
      <c r="AX34" s="104"/>
      <c r="AY34" s="152"/>
      <c r="AZ34" s="152"/>
      <c r="BA34" s="153"/>
      <c r="BB34" s="153"/>
    </row>
    <row r="35" spans="2:54" x14ac:dyDescent="0.25">
      <c r="B35" s="160"/>
      <c r="C35" s="106" t="e">
        <f>WEEKNUM(B35-RESUMEN!$D$7)</f>
        <v>#NUM!</v>
      </c>
      <c r="D35" s="106">
        <f>_xlfn.DAYS(B35,RESUMEN!$D$7)</f>
        <v>-43238</v>
      </c>
      <c r="E35" s="104"/>
      <c r="F35" s="152"/>
      <c r="G35" s="152"/>
      <c r="H35" s="153"/>
      <c r="I35" s="153"/>
      <c r="J35" s="25"/>
      <c r="K35" s="159"/>
      <c r="L35" s="30" t="e">
        <f>WEEKNUM(K35-RESUMEN!$P$7)</f>
        <v>#NUM!</v>
      </c>
      <c r="M35" s="32">
        <f>_xlfn.DAYS(K35,RESUMEN!$P$7)</f>
        <v>-43242</v>
      </c>
      <c r="N35" s="31"/>
      <c r="O35" s="161"/>
      <c r="P35" s="161"/>
      <c r="Q35" s="162"/>
      <c r="R35" s="153"/>
      <c r="S35" s="25"/>
      <c r="T35" s="160"/>
      <c r="U35" s="30" t="e">
        <f>WEEKNUM(T35-RESUMEN!$AB$7)</f>
        <v>#NUM!</v>
      </c>
      <c r="V35" s="30">
        <f>_xlfn.DAYS(T35,RESUMEN!$AB$7)</f>
        <v>-43247</v>
      </c>
      <c r="W35" s="31"/>
      <c r="X35" s="161"/>
      <c r="Y35" s="161"/>
      <c r="Z35" s="162"/>
      <c r="AA35" s="162"/>
      <c r="AB35" s="25"/>
      <c r="AC35" s="159"/>
      <c r="AD35" s="106" t="e">
        <f>WEEKNUM(AC35-RESUMEN!$AN$7)</f>
        <v>#NUM!</v>
      </c>
      <c r="AE35" s="106">
        <f>_xlfn.DAYS(AC35,RESUMEN!$D$7)</f>
        <v>-43238</v>
      </c>
      <c r="AF35" s="104"/>
      <c r="AG35" s="104"/>
      <c r="AH35" s="152"/>
      <c r="AI35" s="153"/>
      <c r="AJ35" s="153"/>
      <c r="AK35" s="25"/>
      <c r="AL35" s="159"/>
      <c r="AM35" s="106" t="e">
        <f>WEEKNUM(AL35-RESUMEN!$D$7)</f>
        <v>#NUM!</v>
      </c>
      <c r="AN35" s="106">
        <f>_xlfn.DAYS(AL35,RESUMEN!$D$7)</f>
        <v>-43238</v>
      </c>
      <c r="AO35" s="104"/>
      <c r="AP35" s="152"/>
      <c r="AQ35" s="152"/>
      <c r="AR35" s="153"/>
      <c r="AS35" s="153"/>
      <c r="AT35" s="25"/>
      <c r="AU35" s="159"/>
      <c r="AV35" s="106" t="e">
        <f>WEEKNUM(AU35-RESUMEN!$D$7)</f>
        <v>#NUM!</v>
      </c>
      <c r="AW35" s="106">
        <f>_xlfn.DAYS(AU35,RESUMEN!$D$7)</f>
        <v>-43238</v>
      </c>
      <c r="AX35" s="104"/>
      <c r="AY35" s="152"/>
      <c r="AZ35" s="152"/>
      <c r="BA35" s="153"/>
      <c r="BB35" s="153"/>
    </row>
    <row r="36" spans="2:54" x14ac:dyDescent="0.25">
      <c r="B36" s="160"/>
      <c r="C36" s="106" t="e">
        <f>WEEKNUM(B36-RESUMEN!$D$7)</f>
        <v>#NUM!</v>
      </c>
      <c r="D36" s="106">
        <f>_xlfn.DAYS(B36,RESUMEN!$D$7)</f>
        <v>-43238</v>
      </c>
      <c r="E36" s="104"/>
      <c r="F36" s="152"/>
      <c r="G36" s="152"/>
      <c r="H36" s="153"/>
      <c r="I36" s="153"/>
      <c r="J36" s="25"/>
      <c r="K36" s="159"/>
      <c r="L36" s="30" t="e">
        <f>WEEKNUM(K36-RESUMEN!$P$7)</f>
        <v>#NUM!</v>
      </c>
      <c r="M36" s="32">
        <f>_xlfn.DAYS(K36,RESUMEN!$P$7)</f>
        <v>-43242</v>
      </c>
      <c r="N36" s="31"/>
      <c r="O36" s="161"/>
      <c r="P36" s="161"/>
      <c r="Q36" s="162"/>
      <c r="R36" s="153"/>
      <c r="S36" s="25"/>
      <c r="T36" s="160"/>
      <c r="U36" s="30" t="e">
        <f>WEEKNUM(T36-RESUMEN!$AB$7)</f>
        <v>#NUM!</v>
      </c>
      <c r="V36" s="30">
        <f>_xlfn.DAYS(T36,RESUMEN!$AB$7)</f>
        <v>-43247</v>
      </c>
      <c r="W36" s="31"/>
      <c r="X36" s="161"/>
      <c r="Y36" s="161"/>
      <c r="Z36" s="162"/>
      <c r="AA36" s="162"/>
      <c r="AB36" s="25"/>
      <c r="AC36" s="159"/>
      <c r="AD36" s="106" t="e">
        <f>WEEKNUM(AC36-RESUMEN!$AN$7)</f>
        <v>#NUM!</v>
      </c>
      <c r="AE36" s="106">
        <f>_xlfn.DAYS(AC36,RESUMEN!$D$7)</f>
        <v>-43238</v>
      </c>
      <c r="AF36" s="104"/>
      <c r="AG36" s="104"/>
      <c r="AH36" s="152"/>
      <c r="AI36" s="153"/>
      <c r="AJ36" s="153"/>
      <c r="AK36" s="25"/>
      <c r="AL36" s="159"/>
      <c r="AM36" s="106" t="e">
        <f>WEEKNUM(AL36-RESUMEN!$D$7)</f>
        <v>#NUM!</v>
      </c>
      <c r="AN36" s="106">
        <f>_xlfn.DAYS(AL36,RESUMEN!$D$7)</f>
        <v>-43238</v>
      </c>
      <c r="AO36" s="104"/>
      <c r="AP36" s="152"/>
      <c r="AQ36" s="152"/>
      <c r="AR36" s="153"/>
      <c r="AS36" s="153"/>
      <c r="AT36" s="25"/>
      <c r="AU36" s="159"/>
      <c r="AV36" s="106" t="e">
        <f>WEEKNUM(AU36-RESUMEN!$D$7)</f>
        <v>#NUM!</v>
      </c>
      <c r="AW36" s="106">
        <f>_xlfn.DAYS(AU36,RESUMEN!$D$7)</f>
        <v>-43238</v>
      </c>
      <c r="AX36" s="104"/>
      <c r="AY36" s="152"/>
      <c r="AZ36" s="152"/>
      <c r="BA36" s="153"/>
      <c r="BB36" s="153"/>
    </row>
    <row r="37" spans="2:54" x14ac:dyDescent="0.25">
      <c r="B37" s="160"/>
      <c r="C37" s="106" t="e">
        <f>WEEKNUM(B37-RESUMEN!$D$7)</f>
        <v>#NUM!</v>
      </c>
      <c r="D37" s="106">
        <f>_xlfn.DAYS(B37,RESUMEN!$D$7)</f>
        <v>-43238</v>
      </c>
      <c r="E37" s="107"/>
      <c r="F37" s="152"/>
      <c r="G37" s="152"/>
      <c r="H37" s="153"/>
      <c r="I37" s="153"/>
      <c r="J37" s="25"/>
      <c r="K37" s="159"/>
      <c r="L37" s="30" t="e">
        <f>WEEKNUM(K37-RESUMEN!$P$7)</f>
        <v>#NUM!</v>
      </c>
      <c r="M37" s="32">
        <f>_xlfn.DAYS(K37,RESUMEN!$P$7)</f>
        <v>-43242</v>
      </c>
      <c r="N37" s="31"/>
      <c r="O37" s="161"/>
      <c r="P37" s="161"/>
      <c r="Q37" s="162"/>
      <c r="R37" s="153"/>
      <c r="S37" s="25"/>
      <c r="T37" s="160"/>
      <c r="U37" s="30" t="e">
        <f>WEEKNUM(T37-RESUMEN!$AB$7)</f>
        <v>#NUM!</v>
      </c>
      <c r="V37" s="30">
        <f>_xlfn.DAYS(T37,RESUMEN!$AB$7)</f>
        <v>-43247</v>
      </c>
      <c r="W37" s="31"/>
      <c r="X37" s="161"/>
      <c r="Y37" s="161"/>
      <c r="Z37" s="162"/>
      <c r="AA37" s="162"/>
      <c r="AB37" s="25"/>
      <c r="AC37" s="159"/>
      <c r="AD37" s="106" t="e">
        <f>WEEKNUM(AC37-RESUMEN!$AN$7)</f>
        <v>#NUM!</v>
      </c>
      <c r="AE37" s="106">
        <f>_xlfn.DAYS(AC37,RESUMEN!$D$7)</f>
        <v>-43238</v>
      </c>
      <c r="AF37" s="104"/>
      <c r="AG37" s="104"/>
      <c r="AH37" s="152"/>
      <c r="AI37" s="153"/>
      <c r="AJ37" s="153"/>
      <c r="AK37" s="25"/>
      <c r="AL37" s="159"/>
      <c r="AM37" s="106" t="e">
        <f>WEEKNUM(AL37-RESUMEN!$D$7)</f>
        <v>#NUM!</v>
      </c>
      <c r="AN37" s="106">
        <f>_xlfn.DAYS(AL37,RESUMEN!$D$7)</f>
        <v>-43238</v>
      </c>
      <c r="AO37" s="104"/>
      <c r="AP37" s="152"/>
      <c r="AQ37" s="152"/>
      <c r="AR37" s="153"/>
      <c r="AS37" s="153"/>
      <c r="AT37" s="25"/>
      <c r="AU37" s="159"/>
      <c r="AV37" s="106" t="e">
        <f>WEEKNUM(AU37-RESUMEN!$D$7)</f>
        <v>#NUM!</v>
      </c>
      <c r="AW37" s="106">
        <f>_xlfn.DAYS(AU37,RESUMEN!$D$7)</f>
        <v>-43238</v>
      </c>
      <c r="AX37" s="104"/>
      <c r="AY37" s="152"/>
      <c r="AZ37" s="152"/>
      <c r="BA37" s="153"/>
      <c r="BB37" s="153"/>
    </row>
    <row r="38" spans="2:54" x14ac:dyDescent="0.25">
      <c r="B38" s="160"/>
      <c r="C38" s="106" t="e">
        <f>WEEKNUM(B38-RESUMEN!$D$7)</f>
        <v>#NUM!</v>
      </c>
      <c r="D38" s="106">
        <f>_xlfn.DAYS(B38,RESUMEN!$D$7)</f>
        <v>-43238</v>
      </c>
      <c r="E38" s="104"/>
      <c r="F38" s="152"/>
      <c r="G38" s="152"/>
      <c r="H38" s="153"/>
      <c r="I38" s="153"/>
      <c r="J38" s="25"/>
      <c r="K38" s="159"/>
      <c r="L38" s="30" t="e">
        <f>WEEKNUM(K38-RESUMEN!$P$7)</f>
        <v>#NUM!</v>
      </c>
      <c r="M38" s="32">
        <f>_xlfn.DAYS(K38,RESUMEN!$P$7)</f>
        <v>-43242</v>
      </c>
      <c r="N38" s="31"/>
      <c r="O38" s="161"/>
      <c r="P38" s="161"/>
      <c r="Q38" s="162"/>
      <c r="R38" s="153"/>
      <c r="S38" s="25"/>
      <c r="T38" s="160"/>
      <c r="U38" s="30" t="e">
        <f>WEEKNUM(T38-RESUMEN!$AB$7)</f>
        <v>#NUM!</v>
      </c>
      <c r="V38" s="30">
        <f>_xlfn.DAYS(T38,RESUMEN!$AB$7)</f>
        <v>-43247</v>
      </c>
      <c r="W38" s="31"/>
      <c r="X38" s="161"/>
      <c r="Y38" s="161"/>
      <c r="Z38" s="162"/>
      <c r="AA38" s="162"/>
      <c r="AB38" s="25"/>
      <c r="AC38" s="159"/>
      <c r="AD38" s="106" t="e">
        <f>WEEKNUM(AC38-RESUMEN!$AN$7)</f>
        <v>#NUM!</v>
      </c>
      <c r="AE38" s="106">
        <f>_xlfn.DAYS(AC38,RESUMEN!$D$7)</f>
        <v>-43238</v>
      </c>
      <c r="AF38" s="104"/>
      <c r="AG38" s="104"/>
      <c r="AH38" s="152"/>
      <c r="AI38" s="153"/>
      <c r="AJ38" s="153"/>
      <c r="AK38" s="25"/>
      <c r="AL38" s="159"/>
      <c r="AM38" s="106" t="e">
        <f>WEEKNUM(AL38-RESUMEN!$D$7)</f>
        <v>#NUM!</v>
      </c>
      <c r="AN38" s="106">
        <f>_xlfn.DAYS(AL38,RESUMEN!$D$7)</f>
        <v>-43238</v>
      </c>
      <c r="AO38" s="104"/>
      <c r="AP38" s="152"/>
      <c r="AQ38" s="152"/>
      <c r="AR38" s="153"/>
      <c r="AS38" s="153"/>
      <c r="AT38" s="25"/>
      <c r="AU38" s="159"/>
      <c r="AV38" s="106" t="e">
        <f>WEEKNUM(AU38-RESUMEN!$D$7)</f>
        <v>#NUM!</v>
      </c>
      <c r="AW38" s="106">
        <f>_xlfn.DAYS(AU38,RESUMEN!$D$7)</f>
        <v>-43238</v>
      </c>
      <c r="AX38" s="104"/>
      <c r="AY38" s="152"/>
      <c r="AZ38" s="152"/>
      <c r="BA38" s="153"/>
      <c r="BB38" s="153"/>
    </row>
    <row r="39" spans="2:54" x14ac:dyDescent="0.25">
      <c r="B39" s="160"/>
      <c r="C39" s="106" t="e">
        <f>WEEKNUM(B39-RESUMEN!$D$7)</f>
        <v>#NUM!</v>
      </c>
      <c r="D39" s="106">
        <f>_xlfn.DAYS(B39,RESUMEN!$D$7)</f>
        <v>-43238</v>
      </c>
      <c r="E39" s="104"/>
      <c r="F39" s="152"/>
      <c r="G39" s="152"/>
      <c r="H39" s="153"/>
      <c r="I39" s="153"/>
      <c r="J39" s="25"/>
      <c r="K39" s="159"/>
      <c r="L39" s="30" t="e">
        <f>WEEKNUM(K39-RESUMEN!$P$7)</f>
        <v>#NUM!</v>
      </c>
      <c r="M39" s="32">
        <f>_xlfn.DAYS(K39,RESUMEN!$P$7)</f>
        <v>-43242</v>
      </c>
      <c r="N39" s="31"/>
      <c r="O39" s="161"/>
      <c r="P39" s="161"/>
      <c r="Q39" s="162"/>
      <c r="R39" s="153"/>
      <c r="S39" s="25"/>
      <c r="T39" s="160"/>
      <c r="U39" s="30" t="e">
        <f>WEEKNUM(T39-RESUMEN!$AB$7)</f>
        <v>#NUM!</v>
      </c>
      <c r="V39" s="30">
        <f>_xlfn.DAYS(T39,RESUMEN!$AB$7)</f>
        <v>-43247</v>
      </c>
      <c r="W39" s="31"/>
      <c r="X39" s="161"/>
      <c r="Y39" s="161"/>
      <c r="Z39" s="162"/>
      <c r="AA39" s="162"/>
      <c r="AB39" s="25"/>
      <c r="AC39" s="159"/>
      <c r="AD39" s="106" t="e">
        <f>WEEKNUM(AC39-RESUMEN!$AN$7)</f>
        <v>#NUM!</v>
      </c>
      <c r="AE39" s="106">
        <f>_xlfn.DAYS(AC39,RESUMEN!$D$7)</f>
        <v>-43238</v>
      </c>
      <c r="AF39" s="104"/>
      <c r="AG39" s="104"/>
      <c r="AH39" s="152"/>
      <c r="AI39" s="153"/>
      <c r="AJ39" s="153"/>
      <c r="AK39" s="25"/>
      <c r="AL39" s="159"/>
      <c r="AM39" s="106" t="e">
        <f>WEEKNUM(AL39-RESUMEN!$D$7)</f>
        <v>#NUM!</v>
      </c>
      <c r="AN39" s="106">
        <f>_xlfn.DAYS(AL39,RESUMEN!$D$7)</f>
        <v>-43238</v>
      </c>
      <c r="AO39" s="104"/>
      <c r="AP39" s="152"/>
      <c r="AQ39" s="152"/>
      <c r="AR39" s="153"/>
      <c r="AS39" s="153"/>
      <c r="AT39" s="25"/>
      <c r="AU39" s="159"/>
      <c r="AV39" s="106" t="e">
        <f>WEEKNUM(AU39-RESUMEN!$D$7)</f>
        <v>#NUM!</v>
      </c>
      <c r="AW39" s="106">
        <f>_xlfn.DAYS(AU39,RESUMEN!$D$7)</f>
        <v>-43238</v>
      </c>
      <c r="AX39" s="104"/>
      <c r="AY39" s="152"/>
      <c r="AZ39" s="152"/>
      <c r="BA39" s="153"/>
      <c r="BB39" s="153"/>
    </row>
    <row r="40" spans="2:54" x14ac:dyDescent="0.25">
      <c r="B40" s="160"/>
      <c r="C40" s="106" t="e">
        <f>WEEKNUM(B40-RESUMEN!$D$7)</f>
        <v>#NUM!</v>
      </c>
      <c r="D40" s="106">
        <f>_xlfn.DAYS(B40,RESUMEN!$D$7)</f>
        <v>-43238</v>
      </c>
      <c r="E40" s="107"/>
      <c r="F40" s="152"/>
      <c r="G40" s="152"/>
      <c r="H40" s="153"/>
      <c r="I40" s="153"/>
      <c r="J40" s="25"/>
      <c r="K40" s="159"/>
      <c r="L40" s="30" t="e">
        <f>WEEKNUM(K40-RESUMEN!$P$7)</f>
        <v>#NUM!</v>
      </c>
      <c r="M40" s="32">
        <f>_xlfn.DAYS(K40,RESUMEN!$P$7)</f>
        <v>-43242</v>
      </c>
      <c r="N40" s="31"/>
      <c r="O40" s="161"/>
      <c r="P40" s="161"/>
      <c r="Q40" s="162"/>
      <c r="R40" s="153"/>
      <c r="S40" s="25"/>
      <c r="T40" s="160"/>
      <c r="U40" s="30" t="e">
        <f>WEEKNUM(T40-RESUMEN!$AB$7)</f>
        <v>#NUM!</v>
      </c>
      <c r="V40" s="30">
        <f>_xlfn.DAYS(T40,RESUMEN!$AB$7)</f>
        <v>-43247</v>
      </c>
      <c r="W40" s="31"/>
      <c r="X40" s="161"/>
      <c r="Y40" s="161"/>
      <c r="Z40" s="162"/>
      <c r="AA40" s="162"/>
      <c r="AB40" s="25"/>
      <c r="AC40" s="159"/>
      <c r="AD40" s="106" t="e">
        <f>WEEKNUM(AC40-RESUMEN!$AN$7)</f>
        <v>#NUM!</v>
      </c>
      <c r="AE40" s="106">
        <f>_xlfn.DAYS(AC40,RESUMEN!$D$7)</f>
        <v>-43238</v>
      </c>
      <c r="AF40" s="104"/>
      <c r="AG40" s="104"/>
      <c r="AH40" s="152"/>
      <c r="AI40" s="153"/>
      <c r="AJ40" s="153"/>
      <c r="AK40" s="25"/>
      <c r="AL40" s="159"/>
      <c r="AM40" s="106" t="e">
        <f>WEEKNUM(AL40-RESUMEN!$D$7)</f>
        <v>#NUM!</v>
      </c>
      <c r="AN40" s="106">
        <f>_xlfn.DAYS(AL40,RESUMEN!$D$7)</f>
        <v>-43238</v>
      </c>
      <c r="AO40" s="104"/>
      <c r="AP40" s="152"/>
      <c r="AQ40" s="152"/>
      <c r="AR40" s="153"/>
      <c r="AS40" s="153"/>
      <c r="AT40" s="25"/>
      <c r="AU40" s="159"/>
      <c r="AV40" s="106" t="e">
        <f>WEEKNUM(AU40-RESUMEN!$D$7)</f>
        <v>#NUM!</v>
      </c>
      <c r="AW40" s="106">
        <f>_xlfn.DAYS(AU40,RESUMEN!$D$7)</f>
        <v>-43238</v>
      </c>
      <c r="AX40" s="104"/>
      <c r="AY40" s="152"/>
      <c r="AZ40" s="152"/>
      <c r="BA40" s="153"/>
      <c r="BB40" s="153"/>
    </row>
    <row r="41" spans="2:54" x14ac:dyDescent="0.25">
      <c r="B41" s="160"/>
      <c r="C41" s="106" t="e">
        <f>WEEKNUM(B41-RESUMEN!$D$7)</f>
        <v>#NUM!</v>
      </c>
      <c r="D41" s="106">
        <f>_xlfn.DAYS(B41,RESUMEN!$D$7)</f>
        <v>-43238</v>
      </c>
      <c r="E41" s="104"/>
      <c r="F41" s="152"/>
      <c r="G41" s="152"/>
      <c r="H41" s="153"/>
      <c r="I41" s="153"/>
      <c r="J41" s="25"/>
      <c r="K41" s="159"/>
      <c r="L41" s="30" t="e">
        <f>WEEKNUM(K41-RESUMEN!$P$7)</f>
        <v>#NUM!</v>
      </c>
      <c r="M41" s="32">
        <f>_xlfn.DAYS(K41,RESUMEN!$P$7)</f>
        <v>-43242</v>
      </c>
      <c r="N41" s="31"/>
      <c r="O41" s="161"/>
      <c r="P41" s="161"/>
      <c r="Q41" s="162"/>
      <c r="R41" s="153"/>
      <c r="S41" s="25"/>
      <c r="T41" s="160"/>
      <c r="U41" s="30" t="e">
        <f>WEEKNUM(T41-RESUMEN!$AB$7)</f>
        <v>#NUM!</v>
      </c>
      <c r="V41" s="30">
        <f>_xlfn.DAYS(T41,RESUMEN!$AB$7)</f>
        <v>-43247</v>
      </c>
      <c r="W41" s="31"/>
      <c r="X41" s="161"/>
      <c r="Y41" s="161"/>
      <c r="Z41" s="162"/>
      <c r="AA41" s="162"/>
      <c r="AB41" s="25"/>
      <c r="AC41" s="159"/>
      <c r="AD41" s="106" t="e">
        <f>WEEKNUM(AC41-RESUMEN!$AN$7)</f>
        <v>#NUM!</v>
      </c>
      <c r="AE41" s="106">
        <f>_xlfn.DAYS(AC41,RESUMEN!$D$7)</f>
        <v>-43238</v>
      </c>
      <c r="AF41" s="104"/>
      <c r="AG41" s="104"/>
      <c r="AH41" s="152"/>
      <c r="AI41" s="153"/>
      <c r="AJ41" s="153"/>
      <c r="AK41" s="25"/>
      <c r="AL41" s="160"/>
      <c r="AM41" s="106" t="e">
        <f>WEEKNUM(AL41-RESUMEN!$D$7)</f>
        <v>#NUM!</v>
      </c>
      <c r="AN41" s="106">
        <f>_xlfn.DAYS(AL41,RESUMEN!$D$7)</f>
        <v>-43238</v>
      </c>
      <c r="AO41" s="110"/>
      <c r="AP41" s="154"/>
      <c r="AQ41" s="154"/>
      <c r="AR41" s="153"/>
      <c r="AS41" s="153"/>
      <c r="AT41" s="25"/>
      <c r="AU41" s="159"/>
      <c r="AV41" s="106" t="e">
        <f>WEEKNUM(AU41-RESUMEN!$D$7)</f>
        <v>#NUM!</v>
      </c>
      <c r="AW41" s="106">
        <f>_xlfn.DAYS(AU41,RESUMEN!$D$7)</f>
        <v>-43238</v>
      </c>
      <c r="AX41" s="104"/>
      <c r="AY41" s="152"/>
      <c r="AZ41" s="152"/>
      <c r="BA41" s="153"/>
      <c r="BB41" s="153"/>
    </row>
    <row r="42" spans="2:54" x14ac:dyDescent="0.25">
      <c r="B42" s="160"/>
      <c r="C42" s="106" t="e">
        <f>WEEKNUM(B42-RESUMEN!$D$7)</f>
        <v>#NUM!</v>
      </c>
      <c r="D42" s="106">
        <f>_xlfn.DAYS(B42,RESUMEN!$D$7)</f>
        <v>-43238</v>
      </c>
      <c r="E42" s="104"/>
      <c r="F42" s="152"/>
      <c r="G42" s="152"/>
      <c r="H42" s="153"/>
      <c r="I42" s="153"/>
      <c r="J42" s="25"/>
      <c r="K42" s="159"/>
      <c r="L42" s="30" t="e">
        <f>WEEKNUM(K42-RESUMEN!$P$7)</f>
        <v>#NUM!</v>
      </c>
      <c r="M42" s="32">
        <f>_xlfn.DAYS(K42,RESUMEN!$P$7)</f>
        <v>-43242</v>
      </c>
      <c r="N42" s="31"/>
      <c r="O42" s="161"/>
      <c r="P42" s="161"/>
      <c r="Q42" s="162"/>
      <c r="R42" s="153"/>
      <c r="S42" s="25"/>
      <c r="T42" s="160"/>
      <c r="U42" s="30" t="e">
        <f>WEEKNUM(T42-RESUMEN!$AB$7)</f>
        <v>#NUM!</v>
      </c>
      <c r="V42" s="30">
        <f>_xlfn.DAYS(T42,RESUMEN!$AB$7)</f>
        <v>-43247</v>
      </c>
      <c r="W42" s="31"/>
      <c r="X42" s="161"/>
      <c r="Y42" s="161"/>
      <c r="Z42" s="162"/>
      <c r="AA42" s="162"/>
      <c r="AB42" s="25"/>
      <c r="AC42" s="159"/>
      <c r="AD42" s="106" t="e">
        <f>WEEKNUM(AC42-RESUMEN!$AN$7)</f>
        <v>#NUM!</v>
      </c>
      <c r="AE42" s="106">
        <f>_xlfn.DAYS(AC42,RESUMEN!$D$7)</f>
        <v>-43238</v>
      </c>
      <c r="AF42" s="104"/>
      <c r="AG42" s="104"/>
      <c r="AH42" s="152"/>
      <c r="AI42" s="153"/>
      <c r="AJ42" s="153"/>
      <c r="AK42" s="25"/>
      <c r="AL42" s="160"/>
      <c r="AM42" s="106" t="e">
        <f>WEEKNUM(AL42-RESUMEN!$D$7)</f>
        <v>#NUM!</v>
      </c>
      <c r="AN42" s="106">
        <f>_xlfn.DAYS(AL42,RESUMEN!$D$7)</f>
        <v>-43238</v>
      </c>
      <c r="AO42" s="104"/>
      <c r="AP42" s="154"/>
      <c r="AQ42" s="154"/>
      <c r="AR42" s="153"/>
      <c r="AS42" s="153"/>
      <c r="AT42" s="25"/>
      <c r="AU42" s="159"/>
      <c r="AV42" s="106" t="e">
        <f>WEEKNUM(AU42-RESUMEN!$D$7)</f>
        <v>#NUM!</v>
      </c>
      <c r="AW42" s="106">
        <f>_xlfn.DAYS(AU42,RESUMEN!$D$7)</f>
        <v>-43238</v>
      </c>
      <c r="AX42" s="104"/>
      <c r="AY42" s="152"/>
      <c r="AZ42" s="152"/>
      <c r="BA42" s="153"/>
      <c r="BB42" s="153"/>
    </row>
    <row r="43" spans="2:54" x14ac:dyDescent="0.25">
      <c r="B43" s="160"/>
      <c r="C43" s="106" t="e">
        <f>WEEKNUM(B43-RESUMEN!$D$7)</f>
        <v>#NUM!</v>
      </c>
      <c r="D43" s="106">
        <f>_xlfn.DAYS(B43,RESUMEN!$D$7)</f>
        <v>-43238</v>
      </c>
      <c r="E43" s="104"/>
      <c r="F43" s="152"/>
      <c r="G43" s="152"/>
      <c r="H43" s="153"/>
      <c r="I43" s="153"/>
      <c r="J43" s="25"/>
      <c r="K43" s="159"/>
      <c r="L43" s="30" t="e">
        <f>WEEKNUM(K43-RESUMEN!$P$7)</f>
        <v>#NUM!</v>
      </c>
      <c r="M43" s="32">
        <f>_xlfn.DAYS(K43,RESUMEN!$P$7)</f>
        <v>-43242</v>
      </c>
      <c r="N43" s="31"/>
      <c r="O43" s="161"/>
      <c r="P43" s="161"/>
      <c r="Q43" s="162"/>
      <c r="R43" s="153"/>
      <c r="S43" s="25"/>
      <c r="T43" s="160"/>
      <c r="U43" s="30" t="e">
        <f>WEEKNUM(T43-RESUMEN!$AB$7)</f>
        <v>#NUM!</v>
      </c>
      <c r="V43" s="30">
        <f>_xlfn.DAYS(T43,RESUMEN!$AB$7)</f>
        <v>-43247</v>
      </c>
      <c r="W43" s="31"/>
      <c r="X43" s="161"/>
      <c r="Y43" s="161"/>
      <c r="Z43" s="162"/>
      <c r="AA43" s="162"/>
      <c r="AB43" s="25"/>
      <c r="AC43" s="159"/>
      <c r="AD43" s="106" t="e">
        <f>WEEKNUM(AC43-RESUMEN!$AN$7)</f>
        <v>#NUM!</v>
      </c>
      <c r="AE43" s="106">
        <f>_xlfn.DAYS(AC43,RESUMEN!$D$7)</f>
        <v>-43238</v>
      </c>
      <c r="AF43" s="104"/>
      <c r="AG43" s="104"/>
      <c r="AH43" s="152"/>
      <c r="AI43" s="153"/>
      <c r="AJ43" s="153"/>
      <c r="AK43" s="25"/>
      <c r="AL43" s="160"/>
      <c r="AM43" s="106" t="e">
        <f>WEEKNUM(AL43-RESUMEN!$D$7)</f>
        <v>#NUM!</v>
      </c>
      <c r="AN43" s="106">
        <f>_xlfn.DAYS(AL43,RESUMEN!$D$7)</f>
        <v>-43238</v>
      </c>
      <c r="AO43" s="104"/>
      <c r="AP43" s="154"/>
      <c r="AQ43" s="154"/>
      <c r="AR43" s="153"/>
      <c r="AS43" s="153"/>
      <c r="AT43" s="25"/>
      <c r="AU43" s="159"/>
      <c r="AV43" s="106" t="e">
        <f>WEEKNUM(AU43-RESUMEN!$D$7)</f>
        <v>#NUM!</v>
      </c>
      <c r="AW43" s="106">
        <f>_xlfn.DAYS(AU43,RESUMEN!$D$7)</f>
        <v>-43238</v>
      </c>
      <c r="AX43" s="104"/>
      <c r="AY43" s="152"/>
      <c r="AZ43" s="152"/>
      <c r="BA43" s="153"/>
      <c r="BB43" s="153"/>
    </row>
    <row r="44" spans="2:54" x14ac:dyDescent="0.25">
      <c r="B44" s="160"/>
      <c r="C44" s="106" t="e">
        <f>WEEKNUM(B44-RESUMEN!$D$7)</f>
        <v>#NUM!</v>
      </c>
      <c r="D44" s="106">
        <f>_xlfn.DAYS(B44,RESUMEN!$D$7)</f>
        <v>-43238</v>
      </c>
      <c r="E44" s="104"/>
      <c r="F44" s="152"/>
      <c r="G44" s="152"/>
      <c r="H44" s="153"/>
      <c r="I44" s="153"/>
      <c r="J44" s="25"/>
      <c r="K44" s="159"/>
      <c r="L44" s="30" t="e">
        <f>WEEKNUM(K44-RESUMEN!$P$7)</f>
        <v>#NUM!</v>
      </c>
      <c r="M44" s="32">
        <f>_xlfn.DAYS(K44,RESUMEN!$P$7)</f>
        <v>-43242</v>
      </c>
      <c r="N44" s="31"/>
      <c r="O44" s="161"/>
      <c r="P44" s="161"/>
      <c r="Q44" s="162"/>
      <c r="R44" s="153"/>
      <c r="S44" s="25"/>
      <c r="T44" s="160"/>
      <c r="U44" s="30" t="e">
        <f>WEEKNUM(T44-RESUMEN!$AB$7)</f>
        <v>#NUM!</v>
      </c>
      <c r="V44" s="30">
        <f>_xlfn.DAYS(T44,RESUMEN!$AB$7)</f>
        <v>-43247</v>
      </c>
      <c r="W44" s="31"/>
      <c r="X44" s="161"/>
      <c r="Y44" s="161"/>
      <c r="Z44" s="162"/>
      <c r="AA44" s="162"/>
      <c r="AB44" s="25"/>
      <c r="AC44" s="159"/>
      <c r="AD44" s="106" t="e">
        <f>WEEKNUM(AC44-RESUMEN!$AN$7)</f>
        <v>#NUM!</v>
      </c>
      <c r="AE44" s="106">
        <f>_xlfn.DAYS(AC44,RESUMEN!$D$7)</f>
        <v>-43238</v>
      </c>
      <c r="AF44" s="104"/>
      <c r="AG44" s="104"/>
      <c r="AH44" s="152"/>
      <c r="AI44" s="153"/>
      <c r="AJ44" s="153"/>
      <c r="AK44" s="25"/>
      <c r="AL44" s="160"/>
      <c r="AM44" s="106" t="e">
        <f>WEEKNUM(AL44-RESUMEN!$D$7)</f>
        <v>#NUM!</v>
      </c>
      <c r="AN44" s="106">
        <f>_xlfn.DAYS(AL44,RESUMEN!$D$7)</f>
        <v>-43238</v>
      </c>
      <c r="AO44" s="104"/>
      <c r="AP44" s="154"/>
      <c r="AQ44" s="154"/>
      <c r="AR44" s="153"/>
      <c r="AS44" s="153"/>
      <c r="AT44" s="25"/>
      <c r="AU44" s="159"/>
      <c r="AV44" s="106" t="e">
        <f>WEEKNUM(AU44-RESUMEN!$D$7)</f>
        <v>#NUM!</v>
      </c>
      <c r="AW44" s="106">
        <f>_xlfn.DAYS(AU44,RESUMEN!$D$7)</f>
        <v>-43238</v>
      </c>
      <c r="AX44" s="104"/>
      <c r="AY44" s="152"/>
      <c r="AZ44" s="152"/>
      <c r="BA44" s="153"/>
      <c r="BB44" s="153"/>
    </row>
    <row r="45" spans="2:54" x14ac:dyDescent="0.25">
      <c r="B45" s="160"/>
      <c r="C45" s="106" t="e">
        <f>WEEKNUM(B45-RESUMEN!$D$7)</f>
        <v>#NUM!</v>
      </c>
      <c r="D45" s="106">
        <f>_xlfn.DAYS(B45,RESUMEN!$D$7)</f>
        <v>-43238</v>
      </c>
      <c r="E45" s="104"/>
      <c r="F45" s="152"/>
      <c r="G45" s="152"/>
      <c r="H45" s="153"/>
      <c r="I45" s="153"/>
      <c r="J45" s="25"/>
      <c r="K45" s="159"/>
      <c r="L45" s="30" t="e">
        <f>WEEKNUM(K45-RESUMEN!$P$7)</f>
        <v>#NUM!</v>
      </c>
      <c r="M45" s="32">
        <f>_xlfn.DAYS(K45,RESUMEN!$P$7)</f>
        <v>-43242</v>
      </c>
      <c r="N45" s="31"/>
      <c r="O45" s="161"/>
      <c r="P45" s="161"/>
      <c r="Q45" s="162"/>
      <c r="R45" s="153"/>
      <c r="S45" s="25"/>
      <c r="T45" s="160"/>
      <c r="U45" s="30" t="e">
        <f>WEEKNUM(T45-RESUMEN!$AB$7)</f>
        <v>#NUM!</v>
      </c>
      <c r="V45" s="30">
        <f>_xlfn.DAYS(T45,RESUMEN!$AB$7)</f>
        <v>-43247</v>
      </c>
      <c r="W45" s="31"/>
      <c r="X45" s="161"/>
      <c r="Y45" s="161"/>
      <c r="Z45" s="162"/>
      <c r="AA45" s="162"/>
      <c r="AB45" s="25"/>
      <c r="AC45" s="159"/>
      <c r="AD45" s="106" t="e">
        <f>WEEKNUM(AC45-RESUMEN!$AN$7)</f>
        <v>#NUM!</v>
      </c>
      <c r="AE45" s="106">
        <f>_xlfn.DAYS(AC45,RESUMEN!$D$7)</f>
        <v>-43238</v>
      </c>
      <c r="AF45" s="104"/>
      <c r="AG45" s="104"/>
      <c r="AH45" s="152"/>
      <c r="AI45" s="153"/>
      <c r="AJ45" s="153"/>
      <c r="AK45" s="25"/>
      <c r="AL45" s="160"/>
      <c r="AM45" s="106" t="e">
        <f>WEEKNUM(AL45-RESUMEN!$D$7)</f>
        <v>#NUM!</v>
      </c>
      <c r="AN45" s="106">
        <f>_xlfn.DAYS(AL45,RESUMEN!$D$7)</f>
        <v>-43238</v>
      </c>
      <c r="AO45" s="104"/>
      <c r="AP45" s="154"/>
      <c r="AQ45" s="154"/>
      <c r="AR45" s="153"/>
      <c r="AS45" s="153"/>
      <c r="AT45" s="25"/>
      <c r="AU45" s="159"/>
      <c r="AV45" s="106" t="e">
        <f>WEEKNUM(AU45-RESUMEN!$D$7)</f>
        <v>#NUM!</v>
      </c>
      <c r="AW45" s="106">
        <f>_xlfn.DAYS(AU45,RESUMEN!$D$7)</f>
        <v>-43238</v>
      </c>
      <c r="AX45" s="104"/>
      <c r="AY45" s="152"/>
      <c r="AZ45" s="152"/>
      <c r="BA45" s="153"/>
      <c r="BB45" s="153"/>
    </row>
    <row r="46" spans="2:54" x14ac:dyDescent="0.25">
      <c r="B46" s="160"/>
      <c r="C46" s="106" t="e">
        <f>WEEKNUM(B46-RESUMEN!$D$7)</f>
        <v>#NUM!</v>
      </c>
      <c r="D46" s="106">
        <f>_xlfn.DAYS(B46,RESUMEN!$D$7)</f>
        <v>-43238</v>
      </c>
      <c r="E46" s="104"/>
      <c r="F46" s="152"/>
      <c r="G46" s="152"/>
      <c r="H46" s="153"/>
      <c r="I46" s="153"/>
      <c r="J46" s="25"/>
      <c r="K46" s="159"/>
      <c r="L46" s="30" t="e">
        <f>WEEKNUM(K46-RESUMEN!$P$7)</f>
        <v>#NUM!</v>
      </c>
      <c r="M46" s="32">
        <f>_xlfn.DAYS(K46,RESUMEN!$P$7)</f>
        <v>-43242</v>
      </c>
      <c r="N46" s="31"/>
      <c r="O46" s="161"/>
      <c r="P46" s="161"/>
      <c r="Q46" s="162"/>
      <c r="R46" s="153"/>
      <c r="S46" s="25"/>
      <c r="T46" s="160"/>
      <c r="U46" s="30" t="e">
        <f>WEEKNUM(T46-RESUMEN!$AB$7)</f>
        <v>#NUM!</v>
      </c>
      <c r="V46" s="30">
        <f>_xlfn.DAYS(T46,RESUMEN!$AB$7)</f>
        <v>-43247</v>
      </c>
      <c r="W46" s="31"/>
      <c r="X46" s="161"/>
      <c r="Y46" s="161"/>
      <c r="Z46" s="162"/>
      <c r="AA46" s="162"/>
      <c r="AB46" s="25"/>
      <c r="AC46" s="159"/>
      <c r="AD46" s="106" t="e">
        <f>WEEKNUM(AC46-RESUMEN!$AN$7)</f>
        <v>#NUM!</v>
      </c>
      <c r="AE46" s="106">
        <f>_xlfn.DAYS(AC46,RESUMEN!$D$7)</f>
        <v>-43238</v>
      </c>
      <c r="AF46" s="104"/>
      <c r="AG46" s="104"/>
      <c r="AH46" s="152"/>
      <c r="AI46" s="153"/>
      <c r="AJ46" s="153"/>
      <c r="AK46" s="25"/>
      <c r="AL46" s="160"/>
      <c r="AM46" s="106" t="e">
        <f>WEEKNUM(AL46-RESUMEN!$D$7)</f>
        <v>#NUM!</v>
      </c>
      <c r="AN46" s="106">
        <f>_xlfn.DAYS(AL46,RESUMEN!$D$7)</f>
        <v>-43238</v>
      </c>
      <c r="AO46" s="104"/>
      <c r="AP46" s="154"/>
      <c r="AQ46" s="154"/>
      <c r="AR46" s="153"/>
      <c r="AS46" s="153"/>
      <c r="AT46" s="25"/>
      <c r="AU46" s="159"/>
      <c r="AV46" s="106" t="e">
        <f>WEEKNUM(AU46-RESUMEN!$D$7)</f>
        <v>#NUM!</v>
      </c>
      <c r="AW46" s="106">
        <f>_xlfn.DAYS(AU46,RESUMEN!$D$7)</f>
        <v>-43238</v>
      </c>
      <c r="AX46" s="104"/>
      <c r="AY46" s="152"/>
      <c r="AZ46" s="152"/>
      <c r="BA46" s="153"/>
      <c r="BB46" s="153"/>
    </row>
    <row r="47" spans="2:54" x14ac:dyDescent="0.25">
      <c r="B47" s="160"/>
      <c r="C47" s="106" t="e">
        <f>WEEKNUM(B47-RESUMEN!$D$7)</f>
        <v>#NUM!</v>
      </c>
      <c r="D47" s="106">
        <f>_xlfn.DAYS(B47,RESUMEN!$D$7)</f>
        <v>-43238</v>
      </c>
      <c r="E47" s="104"/>
      <c r="F47" s="152"/>
      <c r="G47" s="152"/>
      <c r="H47" s="153"/>
      <c r="I47" s="153"/>
      <c r="J47" s="25"/>
      <c r="K47" s="159"/>
      <c r="L47" s="30" t="e">
        <f>WEEKNUM(K47-RESUMEN!$P$7)</f>
        <v>#NUM!</v>
      </c>
      <c r="M47" s="32">
        <f>_xlfn.DAYS(K47,RESUMEN!$P$7)</f>
        <v>-43242</v>
      </c>
      <c r="N47" s="31"/>
      <c r="O47" s="161"/>
      <c r="P47" s="161"/>
      <c r="Q47" s="162"/>
      <c r="R47" s="153"/>
      <c r="S47" s="25"/>
      <c r="T47" s="160"/>
      <c r="U47" s="30" t="e">
        <f>WEEKNUM(T47-RESUMEN!$AB$7)</f>
        <v>#NUM!</v>
      </c>
      <c r="V47" s="30">
        <f>_xlfn.DAYS(T47,RESUMEN!$AB$7)</f>
        <v>-43247</v>
      </c>
      <c r="W47" s="31"/>
      <c r="X47" s="161"/>
      <c r="Y47" s="161"/>
      <c r="Z47" s="162"/>
      <c r="AA47" s="162"/>
      <c r="AB47" s="25"/>
      <c r="AC47" s="159"/>
      <c r="AD47" s="106" t="e">
        <f>WEEKNUM(AC47-RESUMEN!$AN$7)</f>
        <v>#NUM!</v>
      </c>
      <c r="AE47" s="106">
        <f>_xlfn.DAYS(AC47,RESUMEN!$D$7)</f>
        <v>-43238</v>
      </c>
      <c r="AF47" s="104"/>
      <c r="AG47" s="104"/>
      <c r="AH47" s="152"/>
      <c r="AI47" s="153"/>
      <c r="AJ47" s="153"/>
      <c r="AK47" s="25"/>
      <c r="AL47" s="160"/>
      <c r="AM47" s="106" t="e">
        <f>WEEKNUM(AL47-RESUMEN!$D$7)</f>
        <v>#NUM!</v>
      </c>
      <c r="AN47" s="106">
        <f>_xlfn.DAYS(AL47,RESUMEN!$D$7)</f>
        <v>-43238</v>
      </c>
      <c r="AO47" s="104"/>
      <c r="AP47" s="154"/>
      <c r="AQ47" s="154"/>
      <c r="AR47" s="153"/>
      <c r="AS47" s="153"/>
      <c r="AT47" s="25"/>
      <c r="AU47" s="159"/>
      <c r="AV47" s="106" t="e">
        <f>WEEKNUM(AU47-RESUMEN!$D$7)</f>
        <v>#NUM!</v>
      </c>
      <c r="AW47" s="106">
        <f>_xlfn.DAYS(AU47,RESUMEN!$D$7)</f>
        <v>-43238</v>
      </c>
      <c r="AX47" s="104"/>
      <c r="AY47" s="152"/>
      <c r="AZ47" s="152"/>
      <c r="BA47" s="153"/>
      <c r="BB47" s="153"/>
    </row>
    <row r="48" spans="2:54" x14ac:dyDescent="0.25">
      <c r="B48" s="160"/>
      <c r="C48" s="106" t="e">
        <f>WEEKNUM(B48-RESUMEN!$D$7)</f>
        <v>#NUM!</v>
      </c>
      <c r="D48" s="106">
        <f>_xlfn.DAYS(B48,RESUMEN!$D$7)</f>
        <v>-43238</v>
      </c>
      <c r="E48" s="104"/>
      <c r="F48" s="152"/>
      <c r="G48" s="152"/>
      <c r="H48" s="153"/>
      <c r="I48" s="153"/>
      <c r="J48" s="25"/>
      <c r="K48" s="159"/>
      <c r="L48" s="30" t="e">
        <f>WEEKNUM(K48-RESUMEN!$P$7)</f>
        <v>#NUM!</v>
      </c>
      <c r="M48" s="32">
        <f>_xlfn.DAYS(K48,RESUMEN!$P$7)</f>
        <v>-43242</v>
      </c>
      <c r="N48" s="31"/>
      <c r="O48" s="161"/>
      <c r="P48" s="161"/>
      <c r="Q48" s="162"/>
      <c r="R48" s="153"/>
      <c r="S48" s="25"/>
      <c r="T48" s="160"/>
      <c r="U48" s="30" t="e">
        <f>WEEKNUM(T48-RESUMEN!$AB$7)</f>
        <v>#NUM!</v>
      </c>
      <c r="V48" s="30">
        <f>_xlfn.DAYS(T48,RESUMEN!$AB$7)</f>
        <v>-43247</v>
      </c>
      <c r="W48" s="31"/>
      <c r="X48" s="161"/>
      <c r="Y48" s="161"/>
      <c r="Z48" s="162"/>
      <c r="AA48" s="162"/>
      <c r="AB48" s="25"/>
      <c r="AC48" s="159"/>
      <c r="AD48" s="106" t="e">
        <f>WEEKNUM(AC48-RESUMEN!$AN$7)</f>
        <v>#NUM!</v>
      </c>
      <c r="AE48" s="106">
        <f>_xlfn.DAYS(AC48,RESUMEN!$D$7)</f>
        <v>-43238</v>
      </c>
      <c r="AF48" s="104"/>
      <c r="AG48" s="104"/>
      <c r="AH48" s="152"/>
      <c r="AI48" s="153"/>
      <c r="AJ48" s="153"/>
      <c r="AK48" s="25"/>
      <c r="AL48" s="160"/>
      <c r="AM48" s="106" t="e">
        <f>WEEKNUM(AL48-RESUMEN!$D$7)</f>
        <v>#NUM!</v>
      </c>
      <c r="AN48" s="106">
        <f>_xlfn.DAYS(AL48,RESUMEN!$D$7)</f>
        <v>-43238</v>
      </c>
      <c r="AO48" s="104"/>
      <c r="AP48" s="154"/>
      <c r="AQ48" s="154"/>
      <c r="AR48" s="153"/>
      <c r="AS48" s="153"/>
      <c r="AT48" s="25"/>
      <c r="AU48" s="159"/>
      <c r="AV48" s="106" t="e">
        <f>WEEKNUM(AU48-RESUMEN!$D$7)</f>
        <v>#NUM!</v>
      </c>
      <c r="AW48" s="106">
        <f>_xlfn.DAYS(AU48,RESUMEN!$D$7)</f>
        <v>-43238</v>
      </c>
      <c r="AX48" s="104"/>
      <c r="AY48" s="152"/>
      <c r="AZ48" s="152"/>
      <c r="BA48" s="153"/>
      <c r="BB48" s="153"/>
    </row>
    <row r="49" spans="2:54" x14ac:dyDescent="0.25">
      <c r="B49" s="160"/>
      <c r="C49" s="106" t="e">
        <f>WEEKNUM(B49-RESUMEN!$D$7)</f>
        <v>#NUM!</v>
      </c>
      <c r="D49" s="106">
        <f>_xlfn.DAYS(B49,RESUMEN!$D$7)</f>
        <v>-43238</v>
      </c>
      <c r="E49" s="104"/>
      <c r="F49" s="152"/>
      <c r="G49" s="152"/>
      <c r="H49" s="153"/>
      <c r="I49" s="153"/>
      <c r="J49" s="25"/>
      <c r="K49" s="159"/>
      <c r="L49" s="30" t="e">
        <f>WEEKNUM(K49-RESUMEN!$P$7)</f>
        <v>#NUM!</v>
      </c>
      <c r="M49" s="32">
        <f>_xlfn.DAYS(K49,RESUMEN!$P$7)</f>
        <v>-43242</v>
      </c>
      <c r="N49" s="31"/>
      <c r="O49" s="161"/>
      <c r="P49" s="161"/>
      <c r="Q49" s="162"/>
      <c r="R49" s="153"/>
      <c r="S49" s="25"/>
      <c r="T49" s="160"/>
      <c r="U49" s="30" t="e">
        <f>WEEKNUM(T49-RESUMEN!$AB$7)</f>
        <v>#NUM!</v>
      </c>
      <c r="V49" s="30">
        <f>_xlfn.DAYS(T49,RESUMEN!$AB$7)</f>
        <v>-43247</v>
      </c>
      <c r="W49" s="31"/>
      <c r="X49" s="161"/>
      <c r="Y49" s="161"/>
      <c r="Z49" s="162"/>
      <c r="AA49" s="162"/>
      <c r="AB49" s="25"/>
      <c r="AC49" s="159"/>
      <c r="AD49" s="106" t="e">
        <f>WEEKNUM(AC49-RESUMEN!$AN$7)</f>
        <v>#NUM!</v>
      </c>
      <c r="AE49" s="106">
        <f>_xlfn.DAYS(AC49,RESUMEN!$D$7)</f>
        <v>-43238</v>
      </c>
      <c r="AF49" s="104"/>
      <c r="AG49" s="104"/>
      <c r="AH49" s="152"/>
      <c r="AI49" s="153"/>
      <c r="AJ49" s="153"/>
      <c r="AK49" s="25"/>
      <c r="AL49" s="160"/>
      <c r="AM49" s="106" t="e">
        <f>WEEKNUM(AL49-RESUMEN!$D$7)</f>
        <v>#NUM!</v>
      </c>
      <c r="AN49" s="106">
        <f>_xlfn.DAYS(AL49,RESUMEN!$D$7)</f>
        <v>-43238</v>
      </c>
      <c r="AO49" s="104"/>
      <c r="AP49" s="154"/>
      <c r="AQ49" s="154"/>
      <c r="AR49" s="153"/>
      <c r="AS49" s="153"/>
      <c r="AT49" s="25"/>
      <c r="AU49" s="159"/>
      <c r="AV49" s="106" t="e">
        <f>WEEKNUM(AU49-RESUMEN!$D$7)</f>
        <v>#NUM!</v>
      </c>
      <c r="AW49" s="106">
        <f>_xlfn.DAYS(AU49,RESUMEN!$D$7)</f>
        <v>-43238</v>
      </c>
      <c r="AX49" s="104"/>
      <c r="AY49" s="152"/>
      <c r="AZ49" s="152"/>
      <c r="BA49" s="153"/>
      <c r="BB49" s="153"/>
    </row>
    <row r="50" spans="2:54" x14ac:dyDescent="0.25">
      <c r="B50" s="160"/>
      <c r="C50" s="106" t="e">
        <f>WEEKNUM(B50-RESUMEN!$D$7)</f>
        <v>#NUM!</v>
      </c>
      <c r="D50" s="106">
        <f>_xlfn.DAYS(B50,RESUMEN!$D$7)</f>
        <v>-43238</v>
      </c>
      <c r="E50" s="104"/>
      <c r="F50" s="152"/>
      <c r="G50" s="152"/>
      <c r="H50" s="153"/>
      <c r="I50" s="153"/>
      <c r="J50" s="25"/>
      <c r="K50" s="159"/>
      <c r="L50" s="30" t="e">
        <f>WEEKNUM(K50-RESUMEN!$P$7)</f>
        <v>#NUM!</v>
      </c>
      <c r="M50" s="32">
        <f>_xlfn.DAYS(K50,RESUMEN!$P$7)</f>
        <v>-43242</v>
      </c>
      <c r="N50" s="31"/>
      <c r="O50" s="161"/>
      <c r="P50" s="161"/>
      <c r="Q50" s="162"/>
      <c r="R50" s="153"/>
      <c r="S50" s="25"/>
      <c r="T50" s="160"/>
      <c r="U50" s="30" t="e">
        <f>WEEKNUM(T50-RESUMEN!$AB$7)</f>
        <v>#NUM!</v>
      </c>
      <c r="V50" s="30">
        <f>_xlfn.DAYS(T50,RESUMEN!$AB$7)</f>
        <v>-43247</v>
      </c>
      <c r="W50" s="31"/>
      <c r="X50" s="161"/>
      <c r="Y50" s="161"/>
      <c r="Z50" s="162"/>
      <c r="AA50" s="162"/>
      <c r="AB50" s="25"/>
      <c r="AC50" s="159"/>
      <c r="AD50" s="106" t="e">
        <f>WEEKNUM(AC50-RESUMEN!$AN$7)</f>
        <v>#NUM!</v>
      </c>
      <c r="AE50" s="106">
        <f>_xlfn.DAYS(AC50,RESUMEN!$D$7)</f>
        <v>-43238</v>
      </c>
      <c r="AF50" s="104"/>
      <c r="AG50" s="104"/>
      <c r="AH50" s="152"/>
      <c r="AI50" s="153"/>
      <c r="AJ50" s="153"/>
      <c r="AK50" s="25"/>
      <c r="AL50" s="160"/>
      <c r="AM50" s="106" t="e">
        <f>WEEKNUM(AL50-RESUMEN!$D$7)</f>
        <v>#NUM!</v>
      </c>
      <c r="AN50" s="106">
        <f>_xlfn.DAYS(AL50,RESUMEN!$D$7)</f>
        <v>-43238</v>
      </c>
      <c r="AO50" s="104"/>
      <c r="AP50" s="154"/>
      <c r="AQ50" s="154"/>
      <c r="AR50" s="153"/>
      <c r="AS50" s="153"/>
      <c r="AT50" s="25"/>
      <c r="AU50" s="159"/>
      <c r="AV50" s="106" t="e">
        <f>WEEKNUM(AU50-RESUMEN!$D$7)</f>
        <v>#NUM!</v>
      </c>
      <c r="AW50" s="106">
        <f>_xlfn.DAYS(AU50,RESUMEN!$D$7)</f>
        <v>-43238</v>
      </c>
      <c r="AX50" s="104"/>
      <c r="AY50" s="152"/>
      <c r="AZ50" s="152"/>
      <c r="BA50" s="153"/>
      <c r="BB50" s="153"/>
    </row>
    <row r="51" spans="2:54" x14ac:dyDescent="0.25">
      <c r="B51" s="160"/>
      <c r="C51" s="106" t="e">
        <f>WEEKNUM(B51-RESUMEN!$D$7)</f>
        <v>#NUM!</v>
      </c>
      <c r="D51" s="106">
        <f>_xlfn.DAYS(B51,RESUMEN!$D$7)</f>
        <v>-43238</v>
      </c>
      <c r="E51" s="104"/>
      <c r="F51" s="152"/>
      <c r="G51" s="152"/>
      <c r="H51" s="153"/>
      <c r="I51" s="153"/>
      <c r="J51" s="25"/>
      <c r="K51" s="159"/>
      <c r="L51" s="30" t="e">
        <f>WEEKNUM(K51-RESUMEN!$P$7)</f>
        <v>#NUM!</v>
      </c>
      <c r="M51" s="32">
        <f>_xlfn.DAYS(K51,RESUMEN!$P$7)</f>
        <v>-43242</v>
      </c>
      <c r="N51" s="31"/>
      <c r="O51" s="161"/>
      <c r="P51" s="161"/>
      <c r="Q51" s="162"/>
      <c r="R51" s="153"/>
      <c r="S51" s="25"/>
      <c r="T51" s="160"/>
      <c r="U51" s="30" t="e">
        <f>WEEKNUM(T51-RESUMEN!$AB$7)</f>
        <v>#NUM!</v>
      </c>
      <c r="V51" s="30">
        <f>_xlfn.DAYS(T51,RESUMEN!$AB$7)</f>
        <v>-43247</v>
      </c>
      <c r="W51" s="31"/>
      <c r="X51" s="161"/>
      <c r="Y51" s="161"/>
      <c r="Z51" s="162"/>
      <c r="AA51" s="162"/>
      <c r="AB51" s="25"/>
      <c r="AC51" s="159"/>
      <c r="AD51" s="106" t="e">
        <f>WEEKNUM(AC51-RESUMEN!$AN$7)</f>
        <v>#NUM!</v>
      </c>
      <c r="AE51" s="106">
        <f>_xlfn.DAYS(AC51,RESUMEN!$D$7)</f>
        <v>-43238</v>
      </c>
      <c r="AF51" s="104"/>
      <c r="AG51" s="104"/>
      <c r="AH51" s="152"/>
      <c r="AI51" s="153"/>
      <c r="AJ51" s="153"/>
      <c r="AK51" s="25"/>
      <c r="AL51" s="160"/>
      <c r="AM51" s="106" t="e">
        <f>WEEKNUM(AL51-RESUMEN!$D$7)</f>
        <v>#NUM!</v>
      </c>
      <c r="AN51" s="106">
        <f>_xlfn.DAYS(AL51,RESUMEN!$D$7)</f>
        <v>-43238</v>
      </c>
      <c r="AO51" s="104"/>
      <c r="AP51" s="154"/>
      <c r="AQ51" s="154"/>
      <c r="AR51" s="153"/>
      <c r="AS51" s="153"/>
      <c r="AT51" s="25"/>
      <c r="AU51" s="159"/>
      <c r="AV51" s="106" t="e">
        <f>WEEKNUM(AU51-RESUMEN!$D$7)</f>
        <v>#NUM!</v>
      </c>
      <c r="AW51" s="106">
        <f>_xlfn.DAYS(AU51,RESUMEN!$D$7)</f>
        <v>-43238</v>
      </c>
      <c r="AX51" s="104"/>
      <c r="AY51" s="152"/>
      <c r="AZ51" s="152"/>
      <c r="BA51" s="153"/>
      <c r="BB51" s="153"/>
    </row>
    <row r="52" spans="2:54" x14ac:dyDescent="0.25">
      <c r="B52" s="160"/>
      <c r="C52" s="106" t="e">
        <f>WEEKNUM(B52-RESUMEN!$D$7)</f>
        <v>#NUM!</v>
      </c>
      <c r="D52" s="106">
        <f>_xlfn.DAYS(B52,RESUMEN!$D$7)</f>
        <v>-43238</v>
      </c>
      <c r="E52" s="104"/>
      <c r="F52" s="152"/>
      <c r="G52" s="152"/>
      <c r="H52" s="153"/>
      <c r="I52" s="153"/>
      <c r="J52" s="25"/>
      <c r="K52" s="159"/>
      <c r="L52" s="30" t="e">
        <f>WEEKNUM(K52-RESUMEN!$P$7)</f>
        <v>#NUM!</v>
      </c>
      <c r="M52" s="32">
        <f>_xlfn.DAYS(K52,RESUMEN!$P$7)</f>
        <v>-43242</v>
      </c>
      <c r="N52" s="31"/>
      <c r="O52" s="161"/>
      <c r="P52" s="161"/>
      <c r="Q52" s="162"/>
      <c r="R52" s="153"/>
      <c r="S52" s="25"/>
      <c r="T52" s="160"/>
      <c r="U52" s="30" t="e">
        <f>WEEKNUM(T52-RESUMEN!$AB$7)</f>
        <v>#NUM!</v>
      </c>
      <c r="V52" s="30">
        <f>_xlfn.DAYS(T52,RESUMEN!$AB$7)</f>
        <v>-43247</v>
      </c>
      <c r="W52" s="31"/>
      <c r="X52" s="161"/>
      <c r="Y52" s="161"/>
      <c r="Z52" s="162"/>
      <c r="AA52" s="162"/>
      <c r="AB52" s="25"/>
      <c r="AC52" s="159"/>
      <c r="AD52" s="106" t="e">
        <f>WEEKNUM(AC52-RESUMEN!$AN$7)</f>
        <v>#NUM!</v>
      </c>
      <c r="AE52" s="106">
        <f>_xlfn.DAYS(AC52,RESUMEN!$D$7)</f>
        <v>-43238</v>
      </c>
      <c r="AF52" s="104"/>
      <c r="AG52" s="104"/>
      <c r="AH52" s="152"/>
      <c r="AI52" s="153"/>
      <c r="AJ52" s="153"/>
      <c r="AK52" s="25"/>
      <c r="AL52" s="160"/>
      <c r="AM52" s="106" t="e">
        <f>WEEKNUM(AL52-RESUMEN!$D$7)</f>
        <v>#NUM!</v>
      </c>
      <c r="AN52" s="106">
        <f>_xlfn.DAYS(AL52,RESUMEN!$D$7)</f>
        <v>-43238</v>
      </c>
      <c r="AO52" s="104"/>
      <c r="AP52" s="154"/>
      <c r="AQ52" s="154"/>
      <c r="AR52" s="153"/>
      <c r="AS52" s="153"/>
      <c r="AT52" s="25"/>
      <c r="AU52" s="159"/>
      <c r="AV52" s="106" t="e">
        <f>WEEKNUM(AU52-RESUMEN!$D$7)</f>
        <v>#NUM!</v>
      </c>
      <c r="AW52" s="106">
        <f>_xlfn.DAYS(AU52,RESUMEN!$D$7)</f>
        <v>-43238</v>
      </c>
      <c r="AX52" s="104"/>
      <c r="AY52" s="152"/>
      <c r="AZ52" s="152"/>
      <c r="BA52" s="153"/>
      <c r="BB52" s="153"/>
    </row>
    <row r="53" spans="2:54" x14ac:dyDescent="0.25">
      <c r="B53" s="160"/>
      <c r="C53" s="106" t="e">
        <f>WEEKNUM(B53-RESUMEN!$D$7)</f>
        <v>#NUM!</v>
      </c>
      <c r="D53" s="106">
        <f>_xlfn.DAYS(B53,RESUMEN!$D$7)</f>
        <v>-43238</v>
      </c>
      <c r="E53" s="104"/>
      <c r="F53" s="152"/>
      <c r="G53" s="152"/>
      <c r="H53" s="153"/>
      <c r="I53" s="153"/>
      <c r="J53" s="25"/>
      <c r="K53" s="159"/>
      <c r="L53" s="30" t="e">
        <f>WEEKNUM(K53-RESUMEN!$P$7)</f>
        <v>#NUM!</v>
      </c>
      <c r="M53" s="32">
        <f>_xlfn.DAYS(K53,RESUMEN!$P$7)</f>
        <v>-43242</v>
      </c>
      <c r="N53" s="31"/>
      <c r="O53" s="161"/>
      <c r="P53" s="161"/>
      <c r="Q53" s="162"/>
      <c r="R53" s="153"/>
      <c r="S53" s="25"/>
      <c r="T53" s="160"/>
      <c r="U53" s="30" t="e">
        <f>WEEKNUM(T53-RESUMEN!$AB$7)</f>
        <v>#NUM!</v>
      </c>
      <c r="V53" s="30">
        <f>_xlfn.DAYS(T53,RESUMEN!$AB$7)</f>
        <v>-43247</v>
      </c>
      <c r="W53" s="31"/>
      <c r="X53" s="161"/>
      <c r="Y53" s="161"/>
      <c r="Z53" s="162"/>
      <c r="AA53" s="162"/>
      <c r="AB53" s="25"/>
      <c r="AC53" s="160"/>
      <c r="AD53" s="106" t="e">
        <f>WEEKNUM(AC53-RESUMEN!$AN$7)</f>
        <v>#NUM!</v>
      </c>
      <c r="AE53" s="106">
        <f>_xlfn.DAYS(AC53,RESUMEN!$D$7)</f>
        <v>-43238</v>
      </c>
      <c r="AF53" s="104"/>
      <c r="AG53" s="103"/>
      <c r="AH53" s="154"/>
      <c r="AI53" s="153"/>
      <c r="AJ53" s="153"/>
      <c r="AK53" s="25"/>
      <c r="AL53" s="160"/>
      <c r="AM53" s="106" t="e">
        <f>WEEKNUM(AL53-RESUMEN!$D$7)</f>
        <v>#NUM!</v>
      </c>
      <c r="AN53" s="106">
        <f>_xlfn.DAYS(AL53,RESUMEN!$D$7)</f>
        <v>-43238</v>
      </c>
      <c r="AO53" s="104"/>
      <c r="AP53" s="154"/>
      <c r="AQ53" s="154"/>
      <c r="AR53" s="153"/>
      <c r="AS53" s="153"/>
      <c r="AT53" s="25"/>
      <c r="AU53" s="159"/>
      <c r="AV53" s="106" t="e">
        <f>WEEKNUM(AU53-RESUMEN!$D$7)</f>
        <v>#NUM!</v>
      </c>
      <c r="AW53" s="106">
        <f>_xlfn.DAYS(AU53,RESUMEN!$D$7)</f>
        <v>-43238</v>
      </c>
      <c r="AX53" s="104"/>
      <c r="AY53" s="152"/>
      <c r="AZ53" s="152"/>
      <c r="BA53" s="153"/>
      <c r="BB53" s="153"/>
    </row>
    <row r="54" spans="2:54" x14ac:dyDescent="0.25">
      <c r="B54" s="160"/>
      <c r="C54" s="106" t="e">
        <f>WEEKNUM(B54-RESUMEN!$D$7)</f>
        <v>#NUM!</v>
      </c>
      <c r="D54" s="106">
        <f>_xlfn.DAYS(B54,RESUMEN!$D$7)</f>
        <v>-43238</v>
      </c>
      <c r="E54" s="104"/>
      <c r="F54" s="152"/>
      <c r="G54" s="152"/>
      <c r="H54" s="153"/>
      <c r="I54" s="153"/>
      <c r="J54" s="25"/>
      <c r="K54" s="159"/>
      <c r="L54" s="30" t="e">
        <f>WEEKNUM(K54-RESUMEN!$P$7)</f>
        <v>#NUM!</v>
      </c>
      <c r="M54" s="32">
        <f>_xlfn.DAYS(K54,RESUMEN!$P$7)</f>
        <v>-43242</v>
      </c>
      <c r="N54" s="31"/>
      <c r="O54" s="161"/>
      <c r="P54" s="161"/>
      <c r="Q54" s="162"/>
      <c r="R54" s="153"/>
      <c r="S54" s="25"/>
      <c r="T54" s="160"/>
      <c r="U54" s="30" t="e">
        <f>WEEKNUM(T54-RESUMEN!$AB$7)</f>
        <v>#NUM!</v>
      </c>
      <c r="V54" s="30">
        <f>_xlfn.DAYS(T54,RESUMEN!$AB$7)</f>
        <v>-43247</v>
      </c>
      <c r="W54" s="31"/>
      <c r="X54" s="161"/>
      <c r="Y54" s="161"/>
      <c r="Z54" s="162"/>
      <c r="AA54" s="162"/>
      <c r="AB54" s="25"/>
      <c r="AC54" s="160"/>
      <c r="AD54" s="106" t="e">
        <f>WEEKNUM(AC54-RESUMEN!$AN$7)</f>
        <v>#NUM!</v>
      </c>
      <c r="AE54" s="106">
        <f>_xlfn.DAYS(AC54,RESUMEN!$D$7)</f>
        <v>-43238</v>
      </c>
      <c r="AF54" s="104"/>
      <c r="AG54" s="103"/>
      <c r="AH54" s="154"/>
      <c r="AI54" s="153"/>
      <c r="AJ54" s="153"/>
      <c r="AK54" s="25"/>
      <c r="AL54" s="160"/>
      <c r="AM54" s="106" t="e">
        <f>WEEKNUM(AL54-RESUMEN!$D$7)</f>
        <v>#NUM!</v>
      </c>
      <c r="AN54" s="106">
        <f>_xlfn.DAYS(AL54,RESUMEN!$D$7)</f>
        <v>-43238</v>
      </c>
      <c r="AO54" s="104"/>
      <c r="AP54" s="154"/>
      <c r="AQ54" s="154"/>
      <c r="AR54" s="153"/>
      <c r="AS54" s="153"/>
      <c r="AT54" s="25"/>
      <c r="AU54" s="159"/>
      <c r="AV54" s="106" t="e">
        <f>WEEKNUM(AU54-RESUMEN!$D$7)</f>
        <v>#NUM!</v>
      </c>
      <c r="AW54" s="106">
        <f>_xlfn.DAYS(AU54,RESUMEN!$D$7)</f>
        <v>-43238</v>
      </c>
      <c r="AX54" s="104"/>
      <c r="AY54" s="152"/>
      <c r="AZ54" s="152"/>
      <c r="BA54" s="153"/>
      <c r="BB54" s="153"/>
    </row>
    <row r="55" spans="2:54" x14ac:dyDescent="0.25">
      <c r="B55" s="160"/>
      <c r="C55" s="106" t="e">
        <f>WEEKNUM(B55-RESUMEN!$D$7)</f>
        <v>#NUM!</v>
      </c>
      <c r="D55" s="106">
        <f>_xlfn.DAYS(B55,RESUMEN!$D$7)</f>
        <v>-43238</v>
      </c>
      <c r="E55" s="104"/>
      <c r="F55" s="152"/>
      <c r="G55" s="152"/>
      <c r="H55" s="153"/>
      <c r="I55" s="153"/>
      <c r="J55" s="25"/>
      <c r="K55" s="159"/>
      <c r="L55" s="30" t="e">
        <f>WEEKNUM(K55-RESUMEN!$P$7)</f>
        <v>#NUM!</v>
      </c>
      <c r="M55" s="32">
        <f>_xlfn.DAYS(K55,RESUMEN!$P$7)</f>
        <v>-43242</v>
      </c>
      <c r="N55" s="31"/>
      <c r="O55" s="161"/>
      <c r="P55" s="161"/>
      <c r="Q55" s="162"/>
      <c r="R55" s="153"/>
      <c r="S55" s="25"/>
      <c r="T55" s="160"/>
      <c r="U55" s="30" t="e">
        <f>WEEKNUM(T55-RESUMEN!$AB$7)</f>
        <v>#NUM!</v>
      </c>
      <c r="V55" s="30">
        <f>_xlfn.DAYS(T55,RESUMEN!$AB$7)</f>
        <v>-43247</v>
      </c>
      <c r="W55" s="31"/>
      <c r="X55" s="161"/>
      <c r="Y55" s="161"/>
      <c r="Z55" s="162"/>
      <c r="AA55" s="162"/>
      <c r="AB55" s="25"/>
      <c r="AC55" s="160"/>
      <c r="AD55" s="106" t="e">
        <f>WEEKNUM(AC55-RESUMEN!$AN$7)</f>
        <v>#NUM!</v>
      </c>
      <c r="AE55" s="106">
        <f>_xlfn.DAYS(AC55,RESUMEN!$D$7)</f>
        <v>-43238</v>
      </c>
      <c r="AF55" s="104"/>
      <c r="AG55" s="103"/>
      <c r="AH55" s="154"/>
      <c r="AI55" s="153"/>
      <c r="AJ55" s="153"/>
      <c r="AK55" s="25"/>
      <c r="AL55" s="160"/>
      <c r="AM55" s="106" t="e">
        <f>WEEKNUM(AL55-RESUMEN!$D$7)</f>
        <v>#NUM!</v>
      </c>
      <c r="AN55" s="106">
        <f>_xlfn.DAYS(AL55,RESUMEN!$D$7)</f>
        <v>-43238</v>
      </c>
      <c r="AO55" s="104"/>
      <c r="AP55" s="154"/>
      <c r="AQ55" s="154"/>
      <c r="AR55" s="153"/>
      <c r="AS55" s="153"/>
      <c r="AT55" s="25"/>
      <c r="AU55" s="159"/>
      <c r="AV55" s="106" t="e">
        <f>WEEKNUM(AU55-RESUMEN!$D$7)</f>
        <v>#NUM!</v>
      </c>
      <c r="AW55" s="106">
        <f>_xlfn.DAYS(AU55,RESUMEN!$D$7)</f>
        <v>-43238</v>
      </c>
      <c r="AX55" s="104"/>
      <c r="AY55" s="152"/>
      <c r="AZ55" s="152"/>
      <c r="BA55" s="153"/>
      <c r="BB55" s="153"/>
    </row>
    <row r="56" spans="2:54" x14ac:dyDescent="0.25">
      <c r="B56" s="160"/>
      <c r="C56" s="106" t="e">
        <f>WEEKNUM(B56-RESUMEN!$D$7)</f>
        <v>#NUM!</v>
      </c>
      <c r="D56" s="106">
        <f>_xlfn.DAYS(B56,RESUMEN!$D$7)</f>
        <v>-43238</v>
      </c>
      <c r="E56" s="104"/>
      <c r="F56" s="152"/>
      <c r="G56" s="152"/>
      <c r="H56" s="153"/>
      <c r="I56" s="153"/>
      <c r="J56" s="25"/>
      <c r="K56" s="159"/>
      <c r="L56" s="30" t="e">
        <f>WEEKNUM(K56-RESUMEN!$P$7)</f>
        <v>#NUM!</v>
      </c>
      <c r="M56" s="32">
        <f>_xlfn.DAYS(K56,RESUMEN!$P$7)</f>
        <v>-43242</v>
      </c>
      <c r="N56" s="31"/>
      <c r="O56" s="161"/>
      <c r="P56" s="161"/>
      <c r="Q56" s="162"/>
      <c r="R56" s="153"/>
      <c r="S56" s="25"/>
      <c r="T56" s="160"/>
      <c r="U56" s="30" t="e">
        <f>WEEKNUM(T56-RESUMEN!$AB$7)</f>
        <v>#NUM!</v>
      </c>
      <c r="V56" s="30">
        <f>_xlfn.DAYS(T56,RESUMEN!$AB$7)</f>
        <v>-43247</v>
      </c>
      <c r="W56" s="31"/>
      <c r="X56" s="161"/>
      <c r="Y56" s="161"/>
      <c r="Z56" s="162"/>
      <c r="AA56" s="162"/>
      <c r="AB56" s="25"/>
      <c r="AC56" s="160"/>
      <c r="AD56" s="106" t="e">
        <f>WEEKNUM(AC56-RESUMEN!$AN$7)</f>
        <v>#NUM!</v>
      </c>
      <c r="AE56" s="106">
        <f>_xlfn.DAYS(AC56,RESUMEN!$D$7)</f>
        <v>-43238</v>
      </c>
      <c r="AF56" s="104"/>
      <c r="AG56" s="103"/>
      <c r="AH56" s="154"/>
      <c r="AI56" s="153"/>
      <c r="AJ56" s="153"/>
      <c r="AK56" s="25"/>
      <c r="AL56" s="160"/>
      <c r="AM56" s="106" t="e">
        <f>WEEKNUM(AL56-RESUMEN!$D$7)</f>
        <v>#NUM!</v>
      </c>
      <c r="AN56" s="106">
        <f>_xlfn.DAYS(AL56,RESUMEN!$D$7)</f>
        <v>-43238</v>
      </c>
      <c r="AO56" s="104"/>
      <c r="AP56" s="154"/>
      <c r="AQ56" s="154"/>
      <c r="AR56" s="153"/>
      <c r="AS56" s="153"/>
      <c r="AT56" s="25"/>
      <c r="AU56" s="159"/>
      <c r="AV56" s="106" t="e">
        <f>WEEKNUM(AU56-RESUMEN!$D$7)</f>
        <v>#NUM!</v>
      </c>
      <c r="AW56" s="106">
        <f>_xlfn.DAYS(AU56,RESUMEN!$D$7)</f>
        <v>-43238</v>
      </c>
      <c r="AX56" s="104"/>
      <c r="AY56" s="152"/>
      <c r="AZ56" s="152"/>
      <c r="BA56" s="153"/>
      <c r="BB56" s="153"/>
    </row>
    <row r="57" spans="2:54" x14ac:dyDescent="0.25">
      <c r="B57" s="160"/>
      <c r="C57" s="106" t="e">
        <f>WEEKNUM(B57-RESUMEN!$D$7)</f>
        <v>#NUM!</v>
      </c>
      <c r="D57" s="106">
        <f>_xlfn.DAYS(B57,RESUMEN!$D$7)</f>
        <v>-43238</v>
      </c>
      <c r="E57" s="104"/>
      <c r="F57" s="152"/>
      <c r="G57" s="152"/>
      <c r="H57" s="153"/>
      <c r="I57" s="153"/>
      <c r="J57" s="25"/>
      <c r="K57" s="159"/>
      <c r="L57" s="30" t="e">
        <f>WEEKNUM(K57-RESUMEN!$P$7)</f>
        <v>#NUM!</v>
      </c>
      <c r="M57" s="32">
        <f>_xlfn.DAYS(K57,RESUMEN!$P$7)</f>
        <v>-43242</v>
      </c>
      <c r="N57" s="31"/>
      <c r="O57" s="161"/>
      <c r="P57" s="161"/>
      <c r="Q57" s="162"/>
      <c r="R57" s="153"/>
      <c r="S57" s="25"/>
      <c r="T57" s="160"/>
      <c r="U57" s="30" t="e">
        <f>WEEKNUM(T57-RESUMEN!$AB$7)</f>
        <v>#NUM!</v>
      </c>
      <c r="V57" s="30">
        <f>_xlfn.DAYS(T57,RESUMEN!$AB$7)</f>
        <v>-43247</v>
      </c>
      <c r="W57" s="31"/>
      <c r="X57" s="161"/>
      <c r="Y57" s="161"/>
      <c r="Z57" s="162"/>
      <c r="AA57" s="162"/>
      <c r="AB57" s="25"/>
      <c r="AC57" s="160"/>
      <c r="AD57" s="106" t="e">
        <f>WEEKNUM(AC57-RESUMEN!$AN$7)</f>
        <v>#NUM!</v>
      </c>
      <c r="AE57" s="106">
        <f>_xlfn.DAYS(AC57,RESUMEN!$D$7)</f>
        <v>-43238</v>
      </c>
      <c r="AF57" s="104"/>
      <c r="AG57" s="103"/>
      <c r="AH57" s="154"/>
      <c r="AI57" s="153"/>
      <c r="AJ57" s="153"/>
      <c r="AK57" s="25"/>
      <c r="AL57" s="160"/>
      <c r="AM57" s="106" t="e">
        <f>WEEKNUM(AL57-RESUMEN!$D$7)</f>
        <v>#NUM!</v>
      </c>
      <c r="AN57" s="106">
        <f>_xlfn.DAYS(AL57,RESUMEN!$D$7)</f>
        <v>-43238</v>
      </c>
      <c r="AO57" s="104"/>
      <c r="AP57" s="154"/>
      <c r="AQ57" s="154"/>
      <c r="AR57" s="153"/>
      <c r="AS57" s="153"/>
      <c r="AT57" s="25"/>
      <c r="AU57" s="159"/>
      <c r="AV57" s="106" t="e">
        <f>WEEKNUM(AU57-RESUMEN!$D$7)</f>
        <v>#NUM!</v>
      </c>
      <c r="AW57" s="106">
        <f>_xlfn.DAYS(AU57,RESUMEN!$D$7)</f>
        <v>-43238</v>
      </c>
      <c r="AX57" s="104"/>
      <c r="AY57" s="152"/>
      <c r="AZ57" s="152"/>
      <c r="BA57" s="153"/>
      <c r="BB57" s="153"/>
    </row>
    <row r="58" spans="2:54" x14ac:dyDescent="0.25">
      <c r="B58" s="160"/>
      <c r="C58" s="106" t="e">
        <f>WEEKNUM(B58-RESUMEN!$D$7)</f>
        <v>#NUM!</v>
      </c>
      <c r="D58" s="106">
        <f>_xlfn.DAYS(B58,RESUMEN!$D$7)</f>
        <v>-43238</v>
      </c>
      <c r="E58" s="104"/>
      <c r="F58" s="152"/>
      <c r="G58" s="152"/>
      <c r="H58" s="153"/>
      <c r="I58" s="153"/>
      <c r="J58" s="25"/>
      <c r="K58" s="159"/>
      <c r="L58" s="30" t="e">
        <f>WEEKNUM(K58-RESUMEN!$P$7)</f>
        <v>#NUM!</v>
      </c>
      <c r="M58" s="32">
        <f>_xlfn.DAYS(K58,RESUMEN!$P$7)</f>
        <v>-43242</v>
      </c>
      <c r="N58" s="31"/>
      <c r="O58" s="161"/>
      <c r="P58" s="161"/>
      <c r="Q58" s="162"/>
      <c r="R58" s="153"/>
      <c r="S58" s="25"/>
      <c r="T58" s="160"/>
      <c r="U58" s="30" t="e">
        <f>WEEKNUM(T58-RESUMEN!$AB$7)</f>
        <v>#NUM!</v>
      </c>
      <c r="V58" s="30">
        <f>_xlfn.DAYS(T58,RESUMEN!$AB$7)</f>
        <v>-43247</v>
      </c>
      <c r="W58" s="31"/>
      <c r="X58" s="161"/>
      <c r="Y58" s="161"/>
      <c r="Z58" s="162"/>
      <c r="AA58" s="162"/>
      <c r="AB58" s="25"/>
      <c r="AC58" s="160"/>
      <c r="AD58" s="106" t="e">
        <f>WEEKNUM(AC58-RESUMEN!$AN$7)</f>
        <v>#NUM!</v>
      </c>
      <c r="AE58" s="106">
        <f>_xlfn.DAYS(AC58,RESUMEN!$D$7)</f>
        <v>-43238</v>
      </c>
      <c r="AF58" s="104"/>
      <c r="AG58" s="103"/>
      <c r="AH58" s="154"/>
      <c r="AI58" s="153"/>
      <c r="AJ58" s="153"/>
      <c r="AK58" s="25"/>
      <c r="AL58" s="160"/>
      <c r="AM58" s="106" t="e">
        <f>WEEKNUM(AL58-RESUMEN!$D$7)</f>
        <v>#NUM!</v>
      </c>
      <c r="AN58" s="106">
        <f>_xlfn.DAYS(AL58,RESUMEN!$D$7)</f>
        <v>-43238</v>
      </c>
      <c r="AO58" s="104"/>
      <c r="AP58" s="154"/>
      <c r="AQ58" s="154"/>
      <c r="AR58" s="153"/>
      <c r="AS58" s="153"/>
      <c r="AT58" s="25"/>
      <c r="AU58" s="159"/>
      <c r="AV58" s="106" t="e">
        <f>WEEKNUM(AU58-RESUMEN!$D$7)</f>
        <v>#NUM!</v>
      </c>
      <c r="AW58" s="106">
        <f>_xlfn.DAYS(AU58,RESUMEN!$D$7)</f>
        <v>-43238</v>
      </c>
      <c r="AX58" s="104"/>
      <c r="AY58" s="152"/>
      <c r="AZ58" s="152"/>
      <c r="BA58" s="153"/>
      <c r="BB58" s="153"/>
    </row>
    <row r="59" spans="2:54" x14ac:dyDescent="0.25">
      <c r="B59" s="160"/>
      <c r="C59" s="106" t="e">
        <f>WEEKNUM(B59-RESUMEN!$D$7)</f>
        <v>#NUM!</v>
      </c>
      <c r="D59" s="106">
        <f>_xlfn.DAYS(B59,RESUMEN!$D$7)</f>
        <v>-43238</v>
      </c>
      <c r="E59" s="104"/>
      <c r="F59" s="152"/>
      <c r="G59" s="152"/>
      <c r="H59" s="153"/>
      <c r="I59" s="153"/>
      <c r="J59" s="25"/>
      <c r="K59" s="159"/>
      <c r="L59" s="30" t="e">
        <f>WEEKNUM(K59-RESUMEN!$P$7)</f>
        <v>#NUM!</v>
      </c>
      <c r="M59" s="32">
        <f>_xlfn.DAYS(K59,RESUMEN!$P$7)</f>
        <v>-43242</v>
      </c>
      <c r="N59" s="31"/>
      <c r="O59" s="161"/>
      <c r="P59" s="161"/>
      <c r="Q59" s="162"/>
      <c r="R59" s="153"/>
      <c r="S59" s="25"/>
      <c r="T59" s="160"/>
      <c r="U59" s="30" t="e">
        <f>WEEKNUM(T59-RESUMEN!$AB$7)</f>
        <v>#NUM!</v>
      </c>
      <c r="V59" s="30">
        <f>_xlfn.DAYS(T59,RESUMEN!$AB$7)</f>
        <v>-43247</v>
      </c>
      <c r="W59" s="31"/>
      <c r="X59" s="161"/>
      <c r="Y59" s="161"/>
      <c r="Z59" s="162"/>
      <c r="AA59" s="162"/>
      <c r="AB59" s="25"/>
      <c r="AC59" s="160"/>
      <c r="AD59" s="106" t="e">
        <f>WEEKNUM(AC59-RESUMEN!$AN$7)</f>
        <v>#NUM!</v>
      </c>
      <c r="AE59" s="106">
        <f>_xlfn.DAYS(AC59,RESUMEN!$D$7)</f>
        <v>-43238</v>
      </c>
      <c r="AF59" s="104"/>
      <c r="AG59" s="103"/>
      <c r="AH59" s="154"/>
      <c r="AI59" s="153"/>
      <c r="AJ59" s="153"/>
      <c r="AK59" s="25"/>
      <c r="AL59" s="160"/>
      <c r="AM59" s="106" t="e">
        <f>WEEKNUM(AL59-RESUMEN!$D$7)</f>
        <v>#NUM!</v>
      </c>
      <c r="AN59" s="106">
        <f>_xlfn.DAYS(AL59,RESUMEN!$D$7)</f>
        <v>-43238</v>
      </c>
      <c r="AO59" s="104"/>
      <c r="AP59" s="154"/>
      <c r="AQ59" s="154"/>
      <c r="AR59" s="153"/>
      <c r="AS59" s="153"/>
      <c r="AT59" s="25"/>
      <c r="AU59" s="159"/>
      <c r="AV59" s="106" t="e">
        <f>WEEKNUM(AU59-RESUMEN!$D$7)</f>
        <v>#NUM!</v>
      </c>
      <c r="AW59" s="106">
        <f>_xlfn.DAYS(AU59,RESUMEN!$D$7)</f>
        <v>-43238</v>
      </c>
      <c r="AX59" s="104"/>
      <c r="AY59" s="152"/>
      <c r="AZ59" s="152"/>
      <c r="BA59" s="153"/>
      <c r="BB59" s="153"/>
    </row>
    <row r="60" spans="2:54" x14ac:dyDescent="0.25">
      <c r="B60" s="160"/>
      <c r="C60" s="106" t="e">
        <f>WEEKNUM(B60-RESUMEN!$D$7)</f>
        <v>#NUM!</v>
      </c>
      <c r="D60" s="106">
        <f>_xlfn.DAYS(B60,RESUMEN!$D$7)</f>
        <v>-43238</v>
      </c>
      <c r="E60" s="104"/>
      <c r="F60" s="152"/>
      <c r="G60" s="152"/>
      <c r="H60" s="153"/>
      <c r="I60" s="153"/>
      <c r="J60" s="25"/>
      <c r="K60" s="159"/>
      <c r="L60" s="30" t="e">
        <f>WEEKNUM(K60-RESUMEN!$P$7)</f>
        <v>#NUM!</v>
      </c>
      <c r="M60" s="32">
        <f>_xlfn.DAYS(K60,RESUMEN!$P$7)</f>
        <v>-43242</v>
      </c>
      <c r="N60" s="31"/>
      <c r="O60" s="161"/>
      <c r="P60" s="161"/>
      <c r="Q60" s="162"/>
      <c r="R60" s="153"/>
      <c r="S60" s="25"/>
      <c r="T60" s="160"/>
      <c r="U60" s="30" t="e">
        <f>WEEKNUM(T60-RESUMEN!$AB$7)</f>
        <v>#NUM!</v>
      </c>
      <c r="V60" s="30">
        <f>_xlfn.DAYS(T60,RESUMEN!$AB$7)</f>
        <v>-43247</v>
      </c>
      <c r="W60" s="31"/>
      <c r="X60" s="161"/>
      <c r="Y60" s="161"/>
      <c r="Z60" s="162"/>
      <c r="AA60" s="162"/>
      <c r="AB60" s="25"/>
      <c r="AC60" s="160"/>
      <c r="AD60" s="106" t="e">
        <f>WEEKNUM(AC60-RESUMEN!$AN$7)</f>
        <v>#NUM!</v>
      </c>
      <c r="AE60" s="106">
        <f>_xlfn.DAYS(AC60,RESUMEN!$D$7)</f>
        <v>-43238</v>
      </c>
      <c r="AF60" s="104"/>
      <c r="AG60" s="103"/>
      <c r="AH60" s="154"/>
      <c r="AI60" s="153"/>
      <c r="AJ60" s="153"/>
      <c r="AK60" s="25"/>
      <c r="AL60" s="160"/>
      <c r="AM60" s="106" t="e">
        <f>WEEKNUM(AL60-RESUMEN!$D$7)</f>
        <v>#NUM!</v>
      </c>
      <c r="AN60" s="106">
        <f>_xlfn.DAYS(AL60,RESUMEN!$D$7)</f>
        <v>-43238</v>
      </c>
      <c r="AO60" s="104"/>
      <c r="AP60" s="154"/>
      <c r="AQ60" s="154"/>
      <c r="AR60" s="153"/>
      <c r="AS60" s="153"/>
      <c r="AT60" s="25"/>
      <c r="AU60" s="159"/>
      <c r="AV60" s="106" t="e">
        <f>WEEKNUM(AU60-RESUMEN!$D$7)</f>
        <v>#NUM!</v>
      </c>
      <c r="AW60" s="106">
        <f>_xlfn.DAYS(AU60,RESUMEN!$D$7)</f>
        <v>-43238</v>
      </c>
      <c r="AX60" s="104"/>
      <c r="AY60" s="152"/>
      <c r="AZ60" s="152"/>
      <c r="BA60" s="153"/>
      <c r="BB60" s="153"/>
    </row>
    <row r="61" spans="2:54" x14ac:dyDescent="0.25">
      <c r="B61" s="160"/>
      <c r="C61" s="106" t="e">
        <f>WEEKNUM(B61-RESUMEN!$D$7)</f>
        <v>#NUM!</v>
      </c>
      <c r="D61" s="106">
        <f>_xlfn.DAYS(B61,RESUMEN!$D$7)</f>
        <v>-43238</v>
      </c>
      <c r="E61" s="104"/>
      <c r="F61" s="152"/>
      <c r="G61" s="152"/>
      <c r="H61" s="153"/>
      <c r="I61" s="153"/>
      <c r="J61" s="25"/>
      <c r="K61" s="159"/>
      <c r="L61" s="30" t="e">
        <f>WEEKNUM(K61-RESUMEN!$P$7)</f>
        <v>#NUM!</v>
      </c>
      <c r="M61" s="32">
        <f>_xlfn.DAYS(K61,RESUMEN!$P$7)</f>
        <v>-43242</v>
      </c>
      <c r="N61" s="31"/>
      <c r="O61" s="161"/>
      <c r="P61" s="161"/>
      <c r="Q61" s="162"/>
      <c r="R61" s="153"/>
      <c r="S61" s="25"/>
      <c r="T61" s="160"/>
      <c r="U61" s="30" t="e">
        <f>WEEKNUM(T61-RESUMEN!$AB$7)</f>
        <v>#NUM!</v>
      </c>
      <c r="V61" s="30">
        <f>_xlfn.DAYS(T61,RESUMEN!$AB$7)</f>
        <v>-43247</v>
      </c>
      <c r="W61" s="31"/>
      <c r="X61" s="161"/>
      <c r="Y61" s="161"/>
      <c r="Z61" s="162"/>
      <c r="AA61" s="162"/>
      <c r="AB61" s="25"/>
      <c r="AC61" s="160"/>
      <c r="AD61" s="106" t="e">
        <f>WEEKNUM(AC61-RESUMEN!$AN$7)</f>
        <v>#NUM!</v>
      </c>
      <c r="AE61" s="106">
        <f>_xlfn.DAYS(AC61,RESUMEN!$D$7)</f>
        <v>-43238</v>
      </c>
      <c r="AF61" s="104"/>
      <c r="AG61" s="103"/>
      <c r="AH61" s="154"/>
      <c r="AI61" s="153"/>
      <c r="AJ61" s="153"/>
      <c r="AK61" s="25"/>
      <c r="AL61" s="160"/>
      <c r="AM61" s="106" t="e">
        <f>WEEKNUM(AL61-RESUMEN!$D$7)</f>
        <v>#NUM!</v>
      </c>
      <c r="AN61" s="106">
        <f>_xlfn.DAYS(AL61,RESUMEN!$D$7)</f>
        <v>-43238</v>
      </c>
      <c r="AO61" s="104"/>
      <c r="AP61" s="154"/>
      <c r="AQ61" s="154"/>
      <c r="AR61" s="153"/>
      <c r="AS61" s="153"/>
      <c r="AT61" s="25"/>
      <c r="AU61" s="159"/>
      <c r="AV61" s="106" t="e">
        <f>WEEKNUM(AU61-RESUMEN!$D$7)</f>
        <v>#NUM!</v>
      </c>
      <c r="AW61" s="106">
        <f>_xlfn.DAYS(AU61,RESUMEN!$D$7)</f>
        <v>-43238</v>
      </c>
      <c r="AX61" s="104"/>
      <c r="AY61" s="152"/>
      <c r="AZ61" s="152"/>
      <c r="BA61" s="153"/>
      <c r="BB61" s="153"/>
    </row>
    <row r="62" spans="2:54" x14ac:dyDescent="0.25">
      <c r="B62" s="160"/>
      <c r="C62" s="106" t="e">
        <f>WEEKNUM(B62-RESUMEN!$D$7)</f>
        <v>#NUM!</v>
      </c>
      <c r="D62" s="106">
        <f>_xlfn.DAYS(B62,RESUMEN!$D$7)</f>
        <v>-43238</v>
      </c>
      <c r="E62" s="104"/>
      <c r="F62" s="152"/>
      <c r="G62" s="152"/>
      <c r="H62" s="153"/>
      <c r="I62" s="153"/>
      <c r="J62" s="25"/>
      <c r="K62" s="159"/>
      <c r="L62" s="30" t="e">
        <f>WEEKNUM(K62-RESUMEN!$P$7)</f>
        <v>#NUM!</v>
      </c>
      <c r="M62" s="32">
        <f>_xlfn.DAYS(K62,RESUMEN!$P$7)</f>
        <v>-43242</v>
      </c>
      <c r="N62" s="31"/>
      <c r="O62" s="161"/>
      <c r="P62" s="161"/>
      <c r="Q62" s="162"/>
      <c r="R62" s="153"/>
      <c r="S62" s="25"/>
      <c r="T62" s="160"/>
      <c r="U62" s="30" t="e">
        <f>WEEKNUM(T62-RESUMEN!$AB$7)</f>
        <v>#NUM!</v>
      </c>
      <c r="V62" s="30">
        <f>_xlfn.DAYS(T62,RESUMEN!$AB$7)</f>
        <v>-43247</v>
      </c>
      <c r="W62" s="31"/>
      <c r="X62" s="161"/>
      <c r="Y62" s="161"/>
      <c r="Z62" s="162"/>
      <c r="AA62" s="162"/>
      <c r="AB62" s="25"/>
      <c r="AC62" s="160"/>
      <c r="AD62" s="106" t="e">
        <f>WEEKNUM(AC62-RESUMEN!$AN$7)</f>
        <v>#NUM!</v>
      </c>
      <c r="AE62" s="106">
        <f>_xlfn.DAYS(AC62,RESUMEN!$D$7)</f>
        <v>-43238</v>
      </c>
      <c r="AF62" s="104"/>
      <c r="AG62" s="103"/>
      <c r="AH62" s="154"/>
      <c r="AI62" s="153"/>
      <c r="AJ62" s="153"/>
      <c r="AK62" s="25"/>
      <c r="AL62" s="160"/>
      <c r="AM62" s="106" t="e">
        <f>WEEKNUM(AL62-RESUMEN!$D$7)</f>
        <v>#NUM!</v>
      </c>
      <c r="AN62" s="106">
        <f>_xlfn.DAYS(AL62,RESUMEN!$D$7)</f>
        <v>-43238</v>
      </c>
      <c r="AO62" s="104"/>
      <c r="AP62" s="154"/>
      <c r="AQ62" s="154"/>
      <c r="AR62" s="153"/>
      <c r="AS62" s="153"/>
      <c r="AT62" s="25"/>
      <c r="AU62" s="159"/>
      <c r="AV62" s="106" t="e">
        <f>WEEKNUM(AU62-RESUMEN!$D$7)</f>
        <v>#NUM!</v>
      </c>
      <c r="AW62" s="106">
        <f>_xlfn.DAYS(AU62,RESUMEN!$D$7)</f>
        <v>-43238</v>
      </c>
      <c r="AX62" s="104"/>
      <c r="AY62" s="152"/>
      <c r="AZ62" s="152"/>
      <c r="BA62" s="153"/>
      <c r="BB62" s="153"/>
    </row>
    <row r="63" spans="2:54" x14ac:dyDescent="0.25">
      <c r="B63" s="160"/>
      <c r="C63" s="106" t="e">
        <f>WEEKNUM(B63-RESUMEN!$D$7)</f>
        <v>#NUM!</v>
      </c>
      <c r="D63" s="106">
        <f>_xlfn.DAYS(B63,RESUMEN!$D$7)</f>
        <v>-43238</v>
      </c>
      <c r="E63" s="104"/>
      <c r="F63" s="152"/>
      <c r="G63" s="152"/>
      <c r="H63" s="153"/>
      <c r="I63" s="153"/>
      <c r="J63" s="25"/>
      <c r="K63" s="159"/>
      <c r="L63" s="30" t="e">
        <f>WEEKNUM(K63-RESUMEN!$P$7)</f>
        <v>#NUM!</v>
      </c>
      <c r="M63" s="32">
        <f>_xlfn.DAYS(K63,RESUMEN!$P$7)</f>
        <v>-43242</v>
      </c>
      <c r="N63" s="31"/>
      <c r="O63" s="161"/>
      <c r="P63" s="161"/>
      <c r="Q63" s="162"/>
      <c r="R63" s="153"/>
      <c r="S63" s="25"/>
      <c r="T63" s="160"/>
      <c r="U63" s="30" t="e">
        <f>WEEKNUM(T63-RESUMEN!$AB$7)</f>
        <v>#NUM!</v>
      </c>
      <c r="V63" s="30">
        <f>_xlfn.DAYS(T63,RESUMEN!$AB$7)</f>
        <v>-43247</v>
      </c>
      <c r="W63" s="31"/>
      <c r="X63" s="161"/>
      <c r="Y63" s="161"/>
      <c r="Z63" s="162"/>
      <c r="AA63" s="162"/>
      <c r="AB63" s="25"/>
      <c r="AC63" s="160"/>
      <c r="AD63" s="106" t="e">
        <f>WEEKNUM(AC63-RESUMEN!$AN$7)</f>
        <v>#NUM!</v>
      </c>
      <c r="AE63" s="106">
        <f>_xlfn.DAYS(AC63,RESUMEN!$D$7)</f>
        <v>-43238</v>
      </c>
      <c r="AF63" s="104"/>
      <c r="AG63" s="103"/>
      <c r="AH63" s="154"/>
      <c r="AI63" s="153"/>
      <c r="AJ63" s="153"/>
      <c r="AK63" s="25"/>
      <c r="AL63" s="160"/>
      <c r="AM63" s="106" t="e">
        <f>WEEKNUM(AL63-RESUMEN!$D$7)</f>
        <v>#NUM!</v>
      </c>
      <c r="AN63" s="106">
        <f>_xlfn.DAYS(AL63,RESUMEN!$D$7)</f>
        <v>-43238</v>
      </c>
      <c r="AO63" s="104"/>
      <c r="AP63" s="154"/>
      <c r="AQ63" s="154"/>
      <c r="AR63" s="153"/>
      <c r="AS63" s="153"/>
      <c r="AT63" s="25"/>
      <c r="AU63" s="159"/>
      <c r="AV63" s="106" t="e">
        <f>WEEKNUM(AU63-RESUMEN!$D$7)</f>
        <v>#NUM!</v>
      </c>
      <c r="AW63" s="106">
        <f>_xlfn.DAYS(AU63,RESUMEN!$D$7)</f>
        <v>-43238</v>
      </c>
      <c r="AX63" s="104"/>
      <c r="AY63" s="152"/>
      <c r="AZ63" s="152"/>
      <c r="BA63" s="153"/>
      <c r="BB63" s="153"/>
    </row>
    <row r="64" spans="2:54" x14ac:dyDescent="0.25">
      <c r="B64" s="160"/>
      <c r="C64" s="106" t="e">
        <f>WEEKNUM(B64-RESUMEN!$D$7)</f>
        <v>#NUM!</v>
      </c>
      <c r="D64" s="106">
        <f>_xlfn.DAYS(B64,RESUMEN!$D$7)</f>
        <v>-43238</v>
      </c>
      <c r="E64" s="104"/>
      <c r="F64" s="152"/>
      <c r="G64" s="152"/>
      <c r="H64" s="153"/>
      <c r="I64" s="153"/>
      <c r="J64" s="25"/>
      <c r="K64" s="159"/>
      <c r="L64" s="30" t="e">
        <f>WEEKNUM(K64-RESUMEN!$P$7)</f>
        <v>#NUM!</v>
      </c>
      <c r="M64" s="32">
        <f>_xlfn.DAYS(K64,RESUMEN!$P$7)</f>
        <v>-43242</v>
      </c>
      <c r="N64" s="31"/>
      <c r="O64" s="161"/>
      <c r="P64" s="161"/>
      <c r="Q64" s="162"/>
      <c r="R64" s="153"/>
      <c r="S64" s="25"/>
      <c r="T64" s="160"/>
      <c r="U64" s="30" t="e">
        <f>WEEKNUM(T64-RESUMEN!$AB$7)</f>
        <v>#NUM!</v>
      </c>
      <c r="V64" s="30">
        <f>_xlfn.DAYS(T64,RESUMEN!$AB$7)</f>
        <v>-43247</v>
      </c>
      <c r="W64" s="31"/>
      <c r="X64" s="161"/>
      <c r="Y64" s="161"/>
      <c r="Z64" s="162"/>
      <c r="AA64" s="162"/>
      <c r="AB64" s="25"/>
      <c r="AC64" s="160"/>
      <c r="AD64" s="106" t="e">
        <f>WEEKNUM(AC64-RESUMEN!$AN$7)</f>
        <v>#NUM!</v>
      </c>
      <c r="AE64" s="106">
        <f>_xlfn.DAYS(AC64,RESUMEN!$D$7)</f>
        <v>-43238</v>
      </c>
      <c r="AF64" s="104"/>
      <c r="AG64" s="103"/>
      <c r="AH64" s="154"/>
      <c r="AI64" s="153"/>
      <c r="AJ64" s="153"/>
      <c r="AK64" s="25"/>
      <c r="AL64" s="160"/>
      <c r="AM64" s="106" t="e">
        <f>WEEKNUM(AL64-RESUMEN!$D$7)</f>
        <v>#NUM!</v>
      </c>
      <c r="AN64" s="106">
        <f>_xlfn.DAYS(AL64,RESUMEN!$D$7)</f>
        <v>-43238</v>
      </c>
      <c r="AO64" s="104"/>
      <c r="AP64" s="154"/>
      <c r="AQ64" s="154"/>
      <c r="AR64" s="153"/>
      <c r="AS64" s="153"/>
      <c r="AT64" s="25"/>
      <c r="AU64" s="159"/>
      <c r="AV64" s="106" t="e">
        <f>WEEKNUM(AU64-RESUMEN!$D$7)</f>
        <v>#NUM!</v>
      </c>
      <c r="AW64" s="106">
        <f>_xlfn.DAYS(AU64,RESUMEN!$D$7)</f>
        <v>-43238</v>
      </c>
      <c r="AX64" s="104"/>
      <c r="AY64" s="152"/>
      <c r="AZ64" s="152"/>
      <c r="BA64" s="153"/>
      <c r="BB64" s="153"/>
    </row>
    <row r="65" spans="2:54" x14ac:dyDescent="0.25">
      <c r="B65" s="160"/>
      <c r="C65" s="106" t="e">
        <f>WEEKNUM(B65-RESUMEN!$D$7)</f>
        <v>#NUM!</v>
      </c>
      <c r="D65" s="106">
        <f>_xlfn.DAYS(B65,RESUMEN!$D$7)</f>
        <v>-43238</v>
      </c>
      <c r="E65" s="104"/>
      <c r="F65" s="152"/>
      <c r="G65" s="152"/>
      <c r="H65" s="153"/>
      <c r="I65" s="153"/>
      <c r="J65" s="25"/>
      <c r="K65" s="159"/>
      <c r="L65" s="30" t="e">
        <f>WEEKNUM(K65-RESUMEN!$P$7)</f>
        <v>#NUM!</v>
      </c>
      <c r="M65" s="32">
        <f>_xlfn.DAYS(K65,RESUMEN!$P$7)</f>
        <v>-43242</v>
      </c>
      <c r="N65" s="31"/>
      <c r="O65" s="161"/>
      <c r="P65" s="161"/>
      <c r="Q65" s="162"/>
      <c r="R65" s="153"/>
      <c r="S65" s="25"/>
      <c r="T65" s="160"/>
      <c r="U65" s="30" t="e">
        <f>WEEKNUM(T65-RESUMEN!$AB$7)</f>
        <v>#NUM!</v>
      </c>
      <c r="V65" s="30">
        <f>_xlfn.DAYS(T65,RESUMEN!$AB$7)</f>
        <v>-43247</v>
      </c>
      <c r="W65" s="31"/>
      <c r="X65" s="161"/>
      <c r="Y65" s="161"/>
      <c r="Z65" s="162"/>
      <c r="AA65" s="162"/>
      <c r="AB65" s="25"/>
      <c r="AC65" s="160"/>
      <c r="AD65" s="106" t="e">
        <f>WEEKNUM(AC65-RESUMEN!$AN$7)</f>
        <v>#NUM!</v>
      </c>
      <c r="AE65" s="106">
        <f>_xlfn.DAYS(AC65,RESUMEN!$D$7)</f>
        <v>-43238</v>
      </c>
      <c r="AF65" s="104"/>
      <c r="AG65" s="103"/>
      <c r="AH65" s="154"/>
      <c r="AI65" s="153"/>
      <c r="AJ65" s="153"/>
      <c r="AK65" s="25"/>
      <c r="AL65" s="160"/>
      <c r="AM65" s="106" t="e">
        <f>WEEKNUM(AL65-RESUMEN!$D$7)</f>
        <v>#NUM!</v>
      </c>
      <c r="AN65" s="106">
        <f>_xlfn.DAYS(AL65,RESUMEN!$D$7)</f>
        <v>-43238</v>
      </c>
      <c r="AO65" s="104"/>
      <c r="AP65" s="154"/>
      <c r="AQ65" s="154"/>
      <c r="AR65" s="153"/>
      <c r="AS65" s="153"/>
      <c r="AT65" s="25"/>
      <c r="AU65" s="159"/>
      <c r="AV65" s="106" t="e">
        <f>WEEKNUM(AU65-RESUMEN!$D$7)</f>
        <v>#NUM!</v>
      </c>
      <c r="AW65" s="106">
        <f>_xlfn.DAYS(AU65,RESUMEN!$D$7)</f>
        <v>-43238</v>
      </c>
      <c r="AX65" s="104"/>
      <c r="AY65" s="152"/>
      <c r="AZ65" s="152"/>
      <c r="BA65" s="153"/>
      <c r="BB65" s="153"/>
    </row>
    <row r="66" spans="2:54" x14ac:dyDescent="0.25">
      <c r="B66" s="160"/>
      <c r="C66" s="106" t="e">
        <f>WEEKNUM(B66-RESUMEN!$D$7)</f>
        <v>#NUM!</v>
      </c>
      <c r="D66" s="106">
        <f>_xlfn.DAYS(B66,RESUMEN!$D$7)</f>
        <v>-43238</v>
      </c>
      <c r="E66" s="104"/>
      <c r="F66" s="152"/>
      <c r="G66" s="152"/>
      <c r="H66" s="153"/>
      <c r="I66" s="153"/>
      <c r="J66" s="25"/>
      <c r="K66" s="159"/>
      <c r="L66" s="30" t="e">
        <f>WEEKNUM(K66-RESUMEN!$P$7)</f>
        <v>#NUM!</v>
      </c>
      <c r="M66" s="32">
        <f>_xlfn.DAYS(K66,RESUMEN!$P$7)</f>
        <v>-43242</v>
      </c>
      <c r="N66" s="31"/>
      <c r="O66" s="161"/>
      <c r="P66" s="161"/>
      <c r="Q66" s="162"/>
      <c r="R66" s="153"/>
      <c r="S66" s="25"/>
      <c r="T66" s="160"/>
      <c r="U66" s="30" t="e">
        <f>WEEKNUM(T66-RESUMEN!$AB$7)</f>
        <v>#NUM!</v>
      </c>
      <c r="V66" s="30">
        <f>_xlfn.DAYS(T66,RESUMEN!$AB$7)</f>
        <v>-43247</v>
      </c>
      <c r="W66" s="31"/>
      <c r="X66" s="161"/>
      <c r="Y66" s="161"/>
      <c r="Z66" s="162"/>
      <c r="AA66" s="162"/>
      <c r="AB66" s="25"/>
      <c r="AC66" s="160"/>
      <c r="AD66" s="106" t="e">
        <f>WEEKNUM(AC66-RESUMEN!$AN$7)</f>
        <v>#NUM!</v>
      </c>
      <c r="AE66" s="106">
        <f>_xlfn.DAYS(AC66,RESUMEN!$D$7)</f>
        <v>-43238</v>
      </c>
      <c r="AF66" s="104"/>
      <c r="AG66" s="103"/>
      <c r="AH66" s="154"/>
      <c r="AI66" s="153"/>
      <c r="AJ66" s="153"/>
      <c r="AK66" s="25"/>
      <c r="AL66" s="160"/>
      <c r="AM66" s="106" t="e">
        <f>WEEKNUM(AL66-RESUMEN!$D$7)</f>
        <v>#NUM!</v>
      </c>
      <c r="AN66" s="106">
        <f>_xlfn.DAYS(AL66,RESUMEN!$D$7)</f>
        <v>-43238</v>
      </c>
      <c r="AO66" s="104"/>
      <c r="AP66" s="154"/>
      <c r="AQ66" s="154"/>
      <c r="AR66" s="153"/>
      <c r="AS66" s="153"/>
      <c r="AT66" s="25"/>
      <c r="AU66" s="159"/>
      <c r="AV66" s="106" t="e">
        <f>WEEKNUM(AU66-RESUMEN!$D$7)</f>
        <v>#NUM!</v>
      </c>
      <c r="AW66" s="106">
        <f>_xlfn.DAYS(AU66,RESUMEN!$D$7)</f>
        <v>-43238</v>
      </c>
      <c r="AX66" s="104"/>
      <c r="AY66" s="152"/>
      <c r="AZ66" s="152"/>
      <c r="BA66" s="153"/>
      <c r="BB66" s="153"/>
    </row>
    <row r="67" spans="2:54" x14ac:dyDescent="0.25">
      <c r="B67" s="160"/>
      <c r="C67" s="106" t="e">
        <f>WEEKNUM(B67-RESUMEN!$D$7)</f>
        <v>#NUM!</v>
      </c>
      <c r="D67" s="106">
        <f>_xlfn.DAYS(B67,RESUMEN!$D$7)</f>
        <v>-43238</v>
      </c>
      <c r="E67" s="104"/>
      <c r="F67" s="152"/>
      <c r="G67" s="152"/>
      <c r="H67" s="153"/>
      <c r="I67" s="153"/>
      <c r="J67" s="25"/>
      <c r="K67" s="159"/>
      <c r="L67" s="30" t="e">
        <f>WEEKNUM(K67-RESUMEN!$P$7)</f>
        <v>#NUM!</v>
      </c>
      <c r="M67" s="32">
        <f>_xlfn.DAYS(K67,RESUMEN!$P$7)</f>
        <v>-43242</v>
      </c>
      <c r="N67" s="31"/>
      <c r="O67" s="161"/>
      <c r="P67" s="161"/>
      <c r="Q67" s="162"/>
      <c r="R67" s="153"/>
      <c r="S67" s="25"/>
      <c r="T67" s="160"/>
      <c r="U67" s="30" t="e">
        <f>WEEKNUM(T67-RESUMEN!$AB$7)</f>
        <v>#NUM!</v>
      </c>
      <c r="V67" s="30">
        <f>_xlfn.DAYS(T67,RESUMEN!$AB$7)</f>
        <v>-43247</v>
      </c>
      <c r="W67" s="31"/>
      <c r="X67" s="161"/>
      <c r="Y67" s="161"/>
      <c r="Z67" s="162"/>
      <c r="AA67" s="162"/>
      <c r="AB67" s="25"/>
      <c r="AC67" s="160"/>
      <c r="AD67" s="106" t="e">
        <f>WEEKNUM(AC67-RESUMEN!$AN$7)</f>
        <v>#NUM!</v>
      </c>
      <c r="AE67" s="106">
        <f>_xlfn.DAYS(AC67,RESUMEN!$D$7)</f>
        <v>-43238</v>
      </c>
      <c r="AF67" s="104"/>
      <c r="AG67" s="103"/>
      <c r="AH67" s="154"/>
      <c r="AI67" s="153"/>
      <c r="AJ67" s="153"/>
      <c r="AK67" s="25"/>
      <c r="AL67" s="160"/>
      <c r="AM67" s="106" t="e">
        <f>WEEKNUM(AL67-RESUMEN!$D$7)</f>
        <v>#NUM!</v>
      </c>
      <c r="AN67" s="106">
        <f>_xlfn.DAYS(AL67,RESUMEN!$D$7)</f>
        <v>-43238</v>
      </c>
      <c r="AO67" s="104"/>
      <c r="AP67" s="154"/>
      <c r="AQ67" s="154"/>
      <c r="AR67" s="153"/>
      <c r="AS67" s="153"/>
      <c r="AT67" s="25"/>
      <c r="AU67" s="159"/>
      <c r="AV67" s="106" t="e">
        <f>WEEKNUM(AU67-RESUMEN!$D$7)</f>
        <v>#NUM!</v>
      </c>
      <c r="AW67" s="106">
        <f>_xlfn.DAYS(AU67,RESUMEN!$D$7)</f>
        <v>-43238</v>
      </c>
      <c r="AX67" s="104"/>
      <c r="AY67" s="152"/>
      <c r="AZ67" s="152"/>
      <c r="BA67" s="153"/>
      <c r="BB67" s="153"/>
    </row>
    <row r="68" spans="2:54" x14ac:dyDescent="0.25">
      <c r="B68" s="160"/>
      <c r="C68" s="106" t="e">
        <f>WEEKNUM(B68-RESUMEN!$D$7)</f>
        <v>#NUM!</v>
      </c>
      <c r="D68" s="106">
        <f>_xlfn.DAYS(B68,RESUMEN!$D$7)</f>
        <v>-43238</v>
      </c>
      <c r="E68" s="104"/>
      <c r="F68" s="152"/>
      <c r="G68" s="152"/>
      <c r="H68" s="153"/>
      <c r="I68" s="153"/>
      <c r="J68" s="25"/>
      <c r="K68" s="159"/>
      <c r="L68" s="30" t="e">
        <f>WEEKNUM(K68-RESUMEN!$P$7)</f>
        <v>#NUM!</v>
      </c>
      <c r="M68" s="32">
        <f>_xlfn.DAYS(K68,RESUMEN!$P$7)</f>
        <v>-43242</v>
      </c>
      <c r="N68" s="31"/>
      <c r="O68" s="161"/>
      <c r="P68" s="161"/>
      <c r="Q68" s="162"/>
      <c r="R68" s="153"/>
      <c r="S68" s="25"/>
      <c r="T68" s="160"/>
      <c r="U68" s="30" t="e">
        <f>WEEKNUM(T68-RESUMEN!$AB$7)</f>
        <v>#NUM!</v>
      </c>
      <c r="V68" s="30">
        <f>_xlfn.DAYS(T68,RESUMEN!$AB$7)</f>
        <v>-43247</v>
      </c>
      <c r="W68" s="31"/>
      <c r="X68" s="161"/>
      <c r="Y68" s="161"/>
      <c r="Z68" s="162"/>
      <c r="AA68" s="162"/>
      <c r="AB68" s="25"/>
      <c r="AC68" s="160"/>
      <c r="AD68" s="106" t="e">
        <f>WEEKNUM(AC68-RESUMEN!$AN$7)</f>
        <v>#NUM!</v>
      </c>
      <c r="AE68" s="106">
        <f>_xlfn.DAYS(AC68,RESUMEN!$D$7)</f>
        <v>-43238</v>
      </c>
      <c r="AF68" s="104"/>
      <c r="AG68" s="103"/>
      <c r="AH68" s="154"/>
      <c r="AI68" s="153"/>
      <c r="AJ68" s="153"/>
      <c r="AK68" s="25"/>
      <c r="AL68" s="160"/>
      <c r="AM68" s="106" t="e">
        <f>WEEKNUM(AL68-RESUMEN!$D$7)</f>
        <v>#NUM!</v>
      </c>
      <c r="AN68" s="106">
        <f>_xlfn.DAYS(AL68,RESUMEN!$D$7)</f>
        <v>-43238</v>
      </c>
      <c r="AO68" s="104"/>
      <c r="AP68" s="154"/>
      <c r="AQ68" s="154"/>
      <c r="AR68" s="153"/>
      <c r="AS68" s="153"/>
      <c r="AT68" s="25"/>
      <c r="AU68" s="159"/>
      <c r="AV68" s="106" t="e">
        <f>WEEKNUM(AU68-RESUMEN!$D$7)</f>
        <v>#NUM!</v>
      </c>
      <c r="AW68" s="106">
        <f>_xlfn.DAYS(AU68,RESUMEN!$D$7)</f>
        <v>-43238</v>
      </c>
      <c r="AX68" s="104"/>
      <c r="AY68" s="152"/>
      <c r="AZ68" s="152"/>
      <c r="BA68" s="153"/>
      <c r="BB68" s="153"/>
    </row>
    <row r="69" spans="2:54" x14ac:dyDescent="0.25">
      <c r="B69" s="160"/>
      <c r="C69" s="106" t="e">
        <f>WEEKNUM(B69-RESUMEN!$D$7)</f>
        <v>#NUM!</v>
      </c>
      <c r="D69" s="106">
        <f>_xlfn.DAYS(B69,RESUMEN!$D$7)</f>
        <v>-43238</v>
      </c>
      <c r="E69" s="104"/>
      <c r="F69" s="152"/>
      <c r="G69" s="152"/>
      <c r="H69" s="153"/>
      <c r="I69" s="153"/>
      <c r="J69" s="25"/>
      <c r="K69" s="159"/>
      <c r="L69" s="30" t="e">
        <f>WEEKNUM(K69-RESUMEN!$P$7)</f>
        <v>#NUM!</v>
      </c>
      <c r="M69" s="32">
        <f>_xlfn.DAYS(K69,RESUMEN!$P$7)</f>
        <v>-43242</v>
      </c>
      <c r="N69" s="31"/>
      <c r="O69" s="161"/>
      <c r="P69" s="161"/>
      <c r="Q69" s="162"/>
      <c r="R69" s="153"/>
      <c r="S69" s="25"/>
      <c r="T69" s="160"/>
      <c r="U69" s="30" t="e">
        <f>WEEKNUM(T69-RESUMEN!$AB$7)</f>
        <v>#NUM!</v>
      </c>
      <c r="V69" s="30">
        <f>_xlfn.DAYS(T69,RESUMEN!$AB$7)</f>
        <v>-43247</v>
      </c>
      <c r="W69" s="29"/>
      <c r="X69" s="163"/>
      <c r="Y69" s="163"/>
      <c r="Z69" s="162"/>
      <c r="AA69" s="162"/>
      <c r="AB69" s="25"/>
      <c r="AC69" s="160"/>
      <c r="AD69" s="106" t="e">
        <f>WEEKNUM(AC69-RESUMEN!$AN$7)</f>
        <v>#NUM!</v>
      </c>
      <c r="AE69" s="106">
        <f>_xlfn.DAYS(AC69,RESUMEN!$D$7)</f>
        <v>-43238</v>
      </c>
      <c r="AF69" s="104"/>
      <c r="AG69" s="103"/>
      <c r="AH69" s="154"/>
      <c r="AI69" s="153"/>
      <c r="AJ69" s="153"/>
      <c r="AK69" s="25"/>
      <c r="AL69" s="160"/>
      <c r="AM69" s="106" t="e">
        <f>WEEKNUM(AL69-RESUMEN!$D$7)</f>
        <v>#NUM!</v>
      </c>
      <c r="AN69" s="106">
        <f>_xlfn.DAYS(AL69,RESUMEN!$D$7)</f>
        <v>-43238</v>
      </c>
      <c r="AO69" s="104"/>
      <c r="AP69" s="154"/>
      <c r="AQ69" s="154"/>
      <c r="AR69" s="153"/>
      <c r="AS69" s="153"/>
      <c r="AT69" s="25"/>
      <c r="AU69" s="159"/>
      <c r="AV69" s="106" t="e">
        <f>WEEKNUM(AU69-RESUMEN!$D$7)</f>
        <v>#NUM!</v>
      </c>
      <c r="AW69" s="106">
        <f>_xlfn.DAYS(AU69,RESUMEN!$D$7)</f>
        <v>-43238</v>
      </c>
      <c r="AX69" s="104"/>
      <c r="AY69" s="152"/>
      <c r="AZ69" s="152"/>
      <c r="BA69" s="153"/>
      <c r="BB69" s="153"/>
    </row>
    <row r="70" spans="2:54" x14ac:dyDescent="0.25">
      <c r="B70" s="160"/>
      <c r="C70" s="106" t="e">
        <f>WEEKNUM(B70-RESUMEN!$D$7)</f>
        <v>#NUM!</v>
      </c>
      <c r="D70" s="106">
        <f>_xlfn.DAYS(B70,RESUMEN!$D$7)</f>
        <v>-43238</v>
      </c>
      <c r="E70" s="104"/>
      <c r="F70" s="152"/>
      <c r="G70" s="152"/>
      <c r="H70" s="153"/>
      <c r="I70" s="153"/>
      <c r="J70" s="25"/>
      <c r="K70" s="159"/>
      <c r="L70" s="30" t="e">
        <f>WEEKNUM(K70-RESUMEN!$P$7)</f>
        <v>#NUM!</v>
      </c>
      <c r="M70" s="32">
        <f>_xlfn.DAYS(K70,RESUMEN!$P$7)</f>
        <v>-43242</v>
      </c>
      <c r="N70" s="31"/>
      <c r="O70" s="161"/>
      <c r="P70" s="161"/>
      <c r="Q70" s="162"/>
      <c r="R70" s="153"/>
      <c r="S70" s="25"/>
      <c r="T70" s="160"/>
      <c r="U70" s="30" t="e">
        <f>WEEKNUM(T70-RESUMEN!$AB$7)</f>
        <v>#NUM!</v>
      </c>
      <c r="V70" s="30">
        <f>_xlfn.DAYS(T70,RESUMEN!$AB$7)</f>
        <v>-43247</v>
      </c>
      <c r="W70" s="29"/>
      <c r="X70" s="163"/>
      <c r="Y70" s="163"/>
      <c r="Z70" s="162"/>
      <c r="AA70" s="162"/>
      <c r="AB70" s="25"/>
      <c r="AC70" s="160"/>
      <c r="AD70" s="106" t="e">
        <f>WEEKNUM(AC70-RESUMEN!$AN$7)</f>
        <v>#NUM!</v>
      </c>
      <c r="AE70" s="106">
        <f>_xlfn.DAYS(AC70,RESUMEN!$D$7)</f>
        <v>-43238</v>
      </c>
      <c r="AF70" s="104"/>
      <c r="AG70" s="103"/>
      <c r="AH70" s="154"/>
      <c r="AI70" s="153"/>
      <c r="AJ70" s="153"/>
      <c r="AK70" s="25"/>
      <c r="AL70" s="160"/>
      <c r="AM70" s="106" t="e">
        <f>WEEKNUM(AL70-RESUMEN!$D$7)</f>
        <v>#NUM!</v>
      </c>
      <c r="AN70" s="106">
        <f>_xlfn.DAYS(AL70,RESUMEN!$D$7)</f>
        <v>-43238</v>
      </c>
      <c r="AO70" s="104"/>
      <c r="AP70" s="154"/>
      <c r="AQ70" s="154"/>
      <c r="AR70" s="153"/>
      <c r="AS70" s="153"/>
      <c r="AT70" s="25"/>
      <c r="AU70" s="159"/>
      <c r="AV70" s="106" t="e">
        <f>WEEKNUM(AU70-RESUMEN!$D$7)</f>
        <v>#NUM!</v>
      </c>
      <c r="AW70" s="106">
        <f>_xlfn.DAYS(AU70,RESUMEN!$D$7)</f>
        <v>-43238</v>
      </c>
      <c r="AX70" s="104"/>
      <c r="AY70" s="152"/>
      <c r="AZ70" s="152"/>
      <c r="BA70" s="153"/>
      <c r="BB70" s="153"/>
    </row>
    <row r="71" spans="2:54" x14ac:dyDescent="0.25">
      <c r="B71" s="160"/>
      <c r="C71" s="106" t="e">
        <f>WEEKNUM(B71-RESUMEN!$D$7)</f>
        <v>#NUM!</v>
      </c>
      <c r="D71" s="106">
        <f>_xlfn.DAYS(B71,RESUMEN!$D$7)</f>
        <v>-43238</v>
      </c>
      <c r="E71" s="104"/>
      <c r="F71" s="152"/>
      <c r="G71" s="152"/>
      <c r="H71" s="153"/>
      <c r="I71" s="153"/>
      <c r="J71" s="25"/>
      <c r="K71" s="159"/>
      <c r="L71" s="30" t="e">
        <f>WEEKNUM(K71-RESUMEN!$P$7)</f>
        <v>#NUM!</v>
      </c>
      <c r="M71" s="32">
        <f>_xlfn.DAYS(K71,RESUMEN!$P$7)</f>
        <v>-43242</v>
      </c>
      <c r="N71" s="31"/>
      <c r="O71" s="161"/>
      <c r="P71" s="161"/>
      <c r="Q71" s="162"/>
      <c r="R71" s="153"/>
      <c r="S71" s="25"/>
      <c r="T71" s="160"/>
      <c r="U71" s="30" t="e">
        <f>WEEKNUM(T71-RESUMEN!$AB$7)</f>
        <v>#NUM!</v>
      </c>
      <c r="V71" s="30">
        <f>_xlfn.DAYS(T71,RESUMEN!$AB$7)</f>
        <v>-43247</v>
      </c>
      <c r="W71" s="29"/>
      <c r="X71" s="163"/>
      <c r="Y71" s="163"/>
      <c r="Z71" s="162"/>
      <c r="AA71" s="162"/>
      <c r="AB71" s="25"/>
      <c r="AC71" s="160"/>
      <c r="AD71" s="106" t="e">
        <f>WEEKNUM(AC71-RESUMEN!$AN$7)</f>
        <v>#NUM!</v>
      </c>
      <c r="AE71" s="106">
        <f>_xlfn.DAYS(AC71,RESUMEN!$D$7)</f>
        <v>-43238</v>
      </c>
      <c r="AF71" s="104"/>
      <c r="AG71" s="103"/>
      <c r="AH71" s="154"/>
      <c r="AI71" s="153"/>
      <c r="AJ71" s="153"/>
      <c r="AK71" s="25"/>
      <c r="AL71" s="160"/>
      <c r="AM71" s="106" t="e">
        <f>WEEKNUM(AL71-RESUMEN!$D$7)</f>
        <v>#NUM!</v>
      </c>
      <c r="AN71" s="106">
        <f>_xlfn.DAYS(AL71,RESUMEN!$D$7)</f>
        <v>-43238</v>
      </c>
      <c r="AO71" s="104"/>
      <c r="AP71" s="154"/>
      <c r="AQ71" s="154"/>
      <c r="AR71" s="153"/>
      <c r="AS71" s="153"/>
      <c r="AT71" s="25"/>
      <c r="AU71" s="159"/>
      <c r="AV71" s="106" t="e">
        <f>WEEKNUM(AU71-RESUMEN!$D$7)</f>
        <v>#NUM!</v>
      </c>
      <c r="AW71" s="106">
        <f>_xlfn.DAYS(AU71,RESUMEN!$D$7)</f>
        <v>-43238</v>
      </c>
      <c r="AX71" s="104"/>
      <c r="AY71" s="152"/>
      <c r="AZ71" s="152"/>
      <c r="BA71" s="153"/>
      <c r="BB71" s="153"/>
    </row>
    <row r="72" spans="2:54" x14ac:dyDescent="0.25">
      <c r="B72" s="160"/>
      <c r="C72" s="106" t="e">
        <f>WEEKNUM(B72-RESUMEN!$D$7)</f>
        <v>#NUM!</v>
      </c>
      <c r="D72" s="106">
        <f>_xlfn.DAYS(B72,RESUMEN!$D$7)</f>
        <v>-43238</v>
      </c>
      <c r="E72" s="104"/>
      <c r="F72" s="154"/>
      <c r="G72" s="154"/>
      <c r="H72" s="153"/>
      <c r="I72" s="153"/>
      <c r="J72" s="25"/>
      <c r="K72" s="159"/>
      <c r="L72" s="30" t="e">
        <f>WEEKNUM(K72-RESUMEN!$P$7)</f>
        <v>#NUM!</v>
      </c>
      <c r="M72" s="32">
        <f>_xlfn.DAYS(K72,RESUMEN!$P$7)</f>
        <v>-43242</v>
      </c>
      <c r="N72" s="31"/>
      <c r="O72" s="161"/>
      <c r="P72" s="161"/>
      <c r="Q72" s="162"/>
      <c r="R72" s="153"/>
      <c r="S72" s="25"/>
      <c r="T72" s="160"/>
      <c r="U72" s="30" t="e">
        <f>WEEKNUM(T72-RESUMEN!$AB$7)</f>
        <v>#NUM!</v>
      </c>
      <c r="V72" s="30">
        <f>_xlfn.DAYS(T72,RESUMEN!$AB$7)</f>
        <v>-43247</v>
      </c>
      <c r="W72" s="29"/>
      <c r="X72" s="163"/>
      <c r="Y72" s="163"/>
      <c r="Z72" s="162"/>
      <c r="AA72" s="162"/>
      <c r="AB72" s="25"/>
      <c r="AC72" s="160"/>
      <c r="AD72" s="106" t="e">
        <f>WEEKNUM(AC72-RESUMEN!$AN$7)</f>
        <v>#NUM!</v>
      </c>
      <c r="AE72" s="106">
        <f>_xlfn.DAYS(AC72,RESUMEN!$D$7)</f>
        <v>-43238</v>
      </c>
      <c r="AF72" s="104"/>
      <c r="AG72" s="103"/>
      <c r="AH72" s="154"/>
      <c r="AI72" s="153"/>
      <c r="AJ72" s="153"/>
      <c r="AK72" s="25"/>
      <c r="AL72" s="160"/>
      <c r="AM72" s="106" t="e">
        <f>WEEKNUM(AL72-RESUMEN!$D$7)</f>
        <v>#NUM!</v>
      </c>
      <c r="AN72" s="106">
        <f>_xlfn.DAYS(AL72,RESUMEN!$D$7)</f>
        <v>-43238</v>
      </c>
      <c r="AO72" s="104"/>
      <c r="AP72" s="154"/>
      <c r="AQ72" s="154"/>
      <c r="AR72" s="153"/>
      <c r="AS72" s="153"/>
      <c r="AT72" s="25"/>
      <c r="AU72" s="160"/>
      <c r="AV72" s="106" t="e">
        <f>WEEKNUM(AU72-RESUMEN!$D$7)</f>
        <v>#NUM!</v>
      </c>
      <c r="AW72" s="106">
        <f>_xlfn.DAYS(AU72,RESUMEN!$D$7)</f>
        <v>-43238</v>
      </c>
      <c r="AX72" s="104"/>
      <c r="AY72" s="154"/>
      <c r="AZ72" s="154"/>
      <c r="BA72" s="153"/>
      <c r="BB72" s="153"/>
    </row>
    <row r="73" spans="2:54" x14ac:dyDescent="0.25">
      <c r="B73" s="160"/>
      <c r="C73" s="106" t="e">
        <f>WEEKNUM(B73-RESUMEN!$D$7)</f>
        <v>#NUM!</v>
      </c>
      <c r="D73" s="106">
        <f>_xlfn.DAYS(B73,RESUMEN!$D$7)</f>
        <v>-43238</v>
      </c>
      <c r="E73" s="104"/>
      <c r="F73" s="154"/>
      <c r="G73" s="154"/>
      <c r="H73" s="153"/>
      <c r="I73" s="153"/>
      <c r="J73" s="25"/>
      <c r="K73" s="159"/>
      <c r="L73" s="30" t="e">
        <f>WEEKNUM(K73-RESUMEN!$P$7)</f>
        <v>#NUM!</v>
      </c>
      <c r="M73" s="32">
        <f>_xlfn.DAYS(K73,RESUMEN!$P$7)</f>
        <v>-43242</v>
      </c>
      <c r="N73" s="31"/>
      <c r="O73" s="161"/>
      <c r="P73" s="161"/>
      <c r="Q73" s="162"/>
      <c r="R73" s="153"/>
      <c r="S73" s="25"/>
      <c r="T73" s="160"/>
      <c r="U73" s="30" t="e">
        <f>WEEKNUM(T73-RESUMEN!$AB$7)</f>
        <v>#NUM!</v>
      </c>
      <c r="V73" s="30">
        <f>_xlfn.DAYS(T73,RESUMEN!$AB$7)</f>
        <v>-43247</v>
      </c>
      <c r="W73" s="29"/>
      <c r="X73" s="163"/>
      <c r="Y73" s="163"/>
      <c r="Z73" s="162"/>
      <c r="AA73" s="162"/>
      <c r="AB73" s="25"/>
      <c r="AC73" s="160"/>
      <c r="AD73" s="106" t="e">
        <f>WEEKNUM(AC73-RESUMEN!$AN$7)</f>
        <v>#NUM!</v>
      </c>
      <c r="AE73" s="106">
        <f>_xlfn.DAYS(AC73,RESUMEN!$D$7)</f>
        <v>-43238</v>
      </c>
      <c r="AF73" s="104"/>
      <c r="AG73" s="103"/>
      <c r="AH73" s="154"/>
      <c r="AI73" s="153"/>
      <c r="AJ73" s="153"/>
      <c r="AK73" s="25"/>
      <c r="AL73" s="160"/>
      <c r="AM73" s="106" t="e">
        <f>WEEKNUM(AL73-RESUMEN!$D$7)</f>
        <v>#NUM!</v>
      </c>
      <c r="AN73" s="106">
        <f>_xlfn.DAYS(AL73,RESUMEN!$D$7)</f>
        <v>-43238</v>
      </c>
      <c r="AO73" s="104"/>
      <c r="AP73" s="154"/>
      <c r="AQ73" s="154"/>
      <c r="AR73" s="153"/>
      <c r="AS73" s="153"/>
      <c r="AT73" s="25"/>
      <c r="AU73" s="160"/>
      <c r="AV73" s="106" t="e">
        <f>WEEKNUM(AU73-RESUMEN!$D$7)</f>
        <v>#NUM!</v>
      </c>
      <c r="AW73" s="106">
        <f>_xlfn.DAYS(AU73,RESUMEN!$D$7)</f>
        <v>-43238</v>
      </c>
      <c r="AX73" s="104"/>
      <c r="AY73" s="154"/>
      <c r="AZ73" s="154"/>
      <c r="BA73" s="153"/>
      <c r="BB73" s="153"/>
    </row>
    <row r="74" spans="2:54" x14ac:dyDescent="0.25">
      <c r="B74" s="160"/>
      <c r="C74" s="106" t="e">
        <f>WEEKNUM(B74-RESUMEN!$D$7)</f>
        <v>#NUM!</v>
      </c>
      <c r="D74" s="106">
        <f>_xlfn.DAYS(B74,RESUMEN!$D$7)</f>
        <v>-43238</v>
      </c>
      <c r="E74" s="104"/>
      <c r="F74" s="154"/>
      <c r="G74" s="154"/>
      <c r="H74" s="153"/>
      <c r="I74" s="153"/>
      <c r="J74" s="25"/>
      <c r="K74" s="159"/>
      <c r="L74" s="30" t="e">
        <f>WEEKNUM(K74-RESUMEN!$P$7)</f>
        <v>#NUM!</v>
      </c>
      <c r="M74" s="32">
        <f>_xlfn.DAYS(K74,RESUMEN!$P$7)</f>
        <v>-43242</v>
      </c>
      <c r="N74" s="31"/>
      <c r="O74" s="161"/>
      <c r="P74" s="161"/>
      <c r="Q74" s="162"/>
      <c r="R74" s="153"/>
      <c r="S74" s="25"/>
      <c r="T74" s="160"/>
      <c r="U74" s="30" t="e">
        <f>WEEKNUM(T74-RESUMEN!$AB$7)</f>
        <v>#NUM!</v>
      </c>
      <c r="V74" s="30">
        <f>_xlfn.DAYS(T74,RESUMEN!$AB$7)</f>
        <v>-43247</v>
      </c>
      <c r="W74" s="29"/>
      <c r="X74" s="163"/>
      <c r="Y74" s="163"/>
      <c r="Z74" s="162"/>
      <c r="AA74" s="162"/>
      <c r="AB74" s="25"/>
      <c r="AC74" s="160"/>
      <c r="AD74" s="106" t="e">
        <f>WEEKNUM(AC74-RESUMEN!$AN$7)</f>
        <v>#NUM!</v>
      </c>
      <c r="AE74" s="106">
        <f>_xlfn.DAYS(AC74,RESUMEN!$D$7)</f>
        <v>-43238</v>
      </c>
      <c r="AF74" s="104"/>
      <c r="AG74" s="103"/>
      <c r="AH74" s="154"/>
      <c r="AI74" s="153"/>
      <c r="AJ74" s="153"/>
      <c r="AK74" s="25"/>
      <c r="AL74" s="160"/>
      <c r="AM74" s="106" t="e">
        <f>WEEKNUM(AL74-RESUMEN!$D$7)</f>
        <v>#NUM!</v>
      </c>
      <c r="AN74" s="106">
        <f>_xlfn.DAYS(AL74,RESUMEN!$D$7)</f>
        <v>-43238</v>
      </c>
      <c r="AO74" s="104"/>
      <c r="AP74" s="154"/>
      <c r="AQ74" s="154"/>
      <c r="AR74" s="153"/>
      <c r="AS74" s="153"/>
      <c r="AT74" s="25"/>
      <c r="AU74" s="160"/>
      <c r="AV74" s="106" t="e">
        <f>WEEKNUM(AU74-RESUMEN!$D$7)</f>
        <v>#NUM!</v>
      </c>
      <c r="AW74" s="106">
        <f>_xlfn.DAYS(AU74,RESUMEN!$D$7)</f>
        <v>-43238</v>
      </c>
      <c r="AX74" s="104"/>
      <c r="AY74" s="154"/>
      <c r="AZ74" s="154"/>
      <c r="BA74" s="153"/>
      <c r="BB74" s="153"/>
    </row>
    <row r="75" spans="2:54" x14ac:dyDescent="0.25">
      <c r="B75" s="160"/>
      <c r="C75" s="106" t="e">
        <f>WEEKNUM(B75-RESUMEN!$D$7)</f>
        <v>#NUM!</v>
      </c>
      <c r="D75" s="106">
        <f>_xlfn.DAYS(B75,RESUMEN!$D$7)</f>
        <v>-43238</v>
      </c>
      <c r="E75" s="104"/>
      <c r="F75" s="154"/>
      <c r="G75" s="154"/>
      <c r="H75" s="153"/>
      <c r="I75" s="153"/>
      <c r="J75" s="25"/>
      <c r="K75" s="159"/>
      <c r="L75" s="30" t="e">
        <f>WEEKNUM(K75-RESUMEN!$P$7)</f>
        <v>#NUM!</v>
      </c>
      <c r="M75" s="32">
        <f>_xlfn.DAYS(K75,RESUMEN!$P$7)</f>
        <v>-43242</v>
      </c>
      <c r="N75" s="31"/>
      <c r="O75" s="161"/>
      <c r="P75" s="161"/>
      <c r="Q75" s="162"/>
      <c r="R75" s="153"/>
      <c r="S75" s="25"/>
      <c r="T75" s="160"/>
      <c r="U75" s="30" t="e">
        <f>WEEKNUM(T75-RESUMEN!$AB$7)</f>
        <v>#NUM!</v>
      </c>
      <c r="V75" s="30">
        <f>_xlfn.DAYS(T75,RESUMEN!$AB$7)</f>
        <v>-43247</v>
      </c>
      <c r="W75" s="29"/>
      <c r="X75" s="163"/>
      <c r="Y75" s="163"/>
      <c r="Z75" s="162"/>
      <c r="AA75" s="162"/>
      <c r="AB75" s="25"/>
      <c r="AC75" s="160"/>
      <c r="AD75" s="106" t="e">
        <f>WEEKNUM(AC75-RESUMEN!$AN$7)</f>
        <v>#NUM!</v>
      </c>
      <c r="AE75" s="106">
        <f>_xlfn.DAYS(AC75,RESUMEN!$D$7)</f>
        <v>-43238</v>
      </c>
      <c r="AF75" s="104"/>
      <c r="AG75" s="103"/>
      <c r="AH75" s="154"/>
      <c r="AI75" s="153"/>
      <c r="AJ75" s="153"/>
      <c r="AK75" s="25"/>
      <c r="AL75" s="160"/>
      <c r="AM75" s="106" t="e">
        <f>WEEKNUM(AL75-RESUMEN!$D$7)</f>
        <v>#NUM!</v>
      </c>
      <c r="AN75" s="106">
        <f>_xlfn.DAYS(AL75,RESUMEN!$D$7)</f>
        <v>-43238</v>
      </c>
      <c r="AO75" s="104"/>
      <c r="AP75" s="154"/>
      <c r="AQ75" s="154"/>
      <c r="AR75" s="153"/>
      <c r="AS75" s="153"/>
      <c r="AT75" s="25"/>
      <c r="AU75" s="160"/>
      <c r="AV75" s="106" t="e">
        <f>WEEKNUM(AU75-RESUMEN!$D$7)</f>
        <v>#NUM!</v>
      </c>
      <c r="AW75" s="106">
        <f>_xlfn.DAYS(AU75,RESUMEN!$D$7)</f>
        <v>-43238</v>
      </c>
      <c r="AX75" s="104"/>
      <c r="AY75" s="154"/>
      <c r="AZ75" s="154"/>
      <c r="BA75" s="153"/>
      <c r="BB75" s="153"/>
    </row>
    <row r="76" spans="2:54" x14ac:dyDescent="0.25">
      <c r="B76" s="160"/>
      <c r="C76" s="106" t="e">
        <f>WEEKNUM(B76-RESUMEN!$D$7)</f>
        <v>#NUM!</v>
      </c>
      <c r="D76" s="106">
        <f>_xlfn.DAYS(B76,RESUMEN!$D$7)</f>
        <v>-43238</v>
      </c>
      <c r="E76" s="104"/>
      <c r="F76" s="154"/>
      <c r="G76" s="154"/>
      <c r="H76" s="153"/>
      <c r="I76" s="153"/>
      <c r="J76" s="25"/>
      <c r="K76" s="159"/>
      <c r="L76" s="30" t="e">
        <f>WEEKNUM(K76-RESUMEN!$P$7)</f>
        <v>#NUM!</v>
      </c>
      <c r="M76" s="32">
        <f>_xlfn.DAYS(K76,RESUMEN!$P$7)</f>
        <v>-43242</v>
      </c>
      <c r="N76" s="31"/>
      <c r="O76" s="161"/>
      <c r="P76" s="161"/>
      <c r="Q76" s="162"/>
      <c r="R76" s="153"/>
      <c r="S76" s="25"/>
      <c r="T76" s="160"/>
      <c r="U76" s="30" t="e">
        <f>WEEKNUM(T76-RESUMEN!$AB$7)</f>
        <v>#NUM!</v>
      </c>
      <c r="V76" s="30">
        <f>_xlfn.DAYS(T76,RESUMEN!$AB$7)</f>
        <v>-43247</v>
      </c>
      <c r="W76" s="29"/>
      <c r="X76" s="163"/>
      <c r="Y76" s="163"/>
      <c r="Z76" s="162"/>
      <c r="AA76" s="162"/>
      <c r="AB76" s="25"/>
      <c r="AC76" s="160"/>
      <c r="AD76" s="106" t="e">
        <f>WEEKNUM(AC76-RESUMEN!$AN$7)</f>
        <v>#NUM!</v>
      </c>
      <c r="AE76" s="106">
        <f>_xlfn.DAYS(AC76,RESUMEN!$D$7)</f>
        <v>-43238</v>
      </c>
      <c r="AF76" s="104"/>
      <c r="AG76" s="103"/>
      <c r="AH76" s="154"/>
      <c r="AI76" s="153"/>
      <c r="AJ76" s="153"/>
      <c r="AK76" s="25"/>
      <c r="AL76" s="160"/>
      <c r="AM76" s="106" t="e">
        <f>WEEKNUM(AL76-RESUMEN!$D$7)</f>
        <v>#NUM!</v>
      </c>
      <c r="AN76" s="106">
        <f>_xlfn.DAYS(AL76,RESUMEN!$D$7)</f>
        <v>-43238</v>
      </c>
      <c r="AO76" s="104"/>
      <c r="AP76" s="154"/>
      <c r="AQ76" s="154"/>
      <c r="AR76" s="153"/>
      <c r="AS76" s="153"/>
      <c r="AT76" s="25"/>
      <c r="AU76" s="160"/>
      <c r="AV76" s="106" t="e">
        <f>WEEKNUM(AU76-RESUMEN!$D$7)</f>
        <v>#NUM!</v>
      </c>
      <c r="AW76" s="106">
        <f>_xlfn.DAYS(AU76,RESUMEN!$D$7)</f>
        <v>-43238</v>
      </c>
      <c r="AX76" s="104"/>
      <c r="AY76" s="154"/>
      <c r="AZ76" s="154"/>
      <c r="BA76" s="153"/>
      <c r="BB76" s="153"/>
    </row>
    <row r="77" spans="2:54" x14ac:dyDescent="0.25">
      <c r="B77" s="160"/>
      <c r="C77" s="106" t="e">
        <f>WEEKNUM(B77-RESUMEN!$D$7)</f>
        <v>#NUM!</v>
      </c>
      <c r="D77" s="106">
        <f>_xlfn.DAYS(B77,RESUMEN!$D$7)</f>
        <v>-43238</v>
      </c>
      <c r="E77" s="104"/>
      <c r="F77" s="154"/>
      <c r="G77" s="154"/>
      <c r="H77" s="153"/>
      <c r="I77" s="153"/>
      <c r="J77" s="25"/>
      <c r="K77" s="159"/>
      <c r="L77" s="30" t="e">
        <f>WEEKNUM(K77-RESUMEN!$P$7)</f>
        <v>#NUM!</v>
      </c>
      <c r="M77" s="32">
        <f>_xlfn.DAYS(K77,RESUMEN!$P$7)</f>
        <v>-43242</v>
      </c>
      <c r="N77" s="31"/>
      <c r="O77" s="161"/>
      <c r="P77" s="161"/>
      <c r="Q77" s="162"/>
      <c r="R77" s="153"/>
      <c r="S77" s="25"/>
      <c r="T77" s="160"/>
      <c r="U77" s="30" t="e">
        <f>WEEKNUM(T77-RESUMEN!$AB$7)</f>
        <v>#NUM!</v>
      </c>
      <c r="V77" s="30">
        <f>_xlfn.DAYS(T77,RESUMEN!$AB$7)</f>
        <v>-43247</v>
      </c>
      <c r="W77" s="29"/>
      <c r="X77" s="163"/>
      <c r="Y77" s="163"/>
      <c r="Z77" s="162"/>
      <c r="AA77" s="162"/>
      <c r="AB77" s="25"/>
      <c r="AC77" s="160"/>
      <c r="AD77" s="106" t="e">
        <f>WEEKNUM(AC77-RESUMEN!$AN$7)</f>
        <v>#NUM!</v>
      </c>
      <c r="AE77" s="106">
        <f>_xlfn.DAYS(AC77,RESUMEN!$D$7)</f>
        <v>-43238</v>
      </c>
      <c r="AF77" s="104"/>
      <c r="AG77" s="103"/>
      <c r="AH77" s="154"/>
      <c r="AI77" s="153"/>
      <c r="AJ77" s="153"/>
      <c r="AK77" s="25"/>
      <c r="AL77" s="160"/>
      <c r="AM77" s="106" t="e">
        <f>WEEKNUM(AL77-RESUMEN!$D$7)</f>
        <v>#NUM!</v>
      </c>
      <c r="AN77" s="106">
        <f>_xlfn.DAYS(AL77,RESUMEN!$D$7)</f>
        <v>-43238</v>
      </c>
      <c r="AO77" s="104"/>
      <c r="AP77" s="154"/>
      <c r="AQ77" s="154"/>
      <c r="AR77" s="153"/>
      <c r="AS77" s="153"/>
      <c r="AT77" s="25"/>
      <c r="AU77" s="160"/>
      <c r="AV77" s="106" t="e">
        <f>WEEKNUM(AU77-RESUMEN!$D$7)</f>
        <v>#NUM!</v>
      </c>
      <c r="AW77" s="106">
        <f>_xlfn.DAYS(AU77,RESUMEN!$D$7)</f>
        <v>-43238</v>
      </c>
      <c r="AX77" s="104"/>
      <c r="AY77" s="154"/>
      <c r="AZ77" s="154"/>
      <c r="BA77" s="153"/>
      <c r="BB77" s="153"/>
    </row>
    <row r="78" spans="2:54" x14ac:dyDescent="0.25">
      <c r="B78" s="160"/>
      <c r="C78" s="106" t="e">
        <f>WEEKNUM(B78-RESUMEN!$D$7)</f>
        <v>#NUM!</v>
      </c>
      <c r="D78" s="106">
        <f>_xlfn.DAYS(B78,RESUMEN!$D$7)</f>
        <v>-43238</v>
      </c>
      <c r="E78" s="104"/>
      <c r="F78" s="154"/>
      <c r="G78" s="154"/>
      <c r="H78" s="153"/>
      <c r="I78" s="153"/>
      <c r="J78" s="25"/>
      <c r="K78" s="159"/>
      <c r="L78" s="30" t="e">
        <f>WEEKNUM(K78-RESUMEN!$P$7)</f>
        <v>#NUM!</v>
      </c>
      <c r="M78" s="32">
        <f>_xlfn.DAYS(K78,RESUMEN!$P$7)</f>
        <v>-43242</v>
      </c>
      <c r="N78" s="31"/>
      <c r="O78" s="161"/>
      <c r="P78" s="161"/>
      <c r="Q78" s="162"/>
      <c r="R78" s="153"/>
      <c r="S78" s="25"/>
      <c r="T78" s="160"/>
      <c r="U78" s="30" t="e">
        <f>WEEKNUM(T78-RESUMEN!$AB$7)</f>
        <v>#NUM!</v>
      </c>
      <c r="V78" s="30">
        <f>_xlfn.DAYS(T78,RESUMEN!$AB$7)</f>
        <v>-43247</v>
      </c>
      <c r="W78" s="29"/>
      <c r="X78" s="163"/>
      <c r="Y78" s="163"/>
      <c r="Z78" s="162"/>
      <c r="AA78" s="162"/>
      <c r="AB78" s="25"/>
      <c r="AC78" s="160"/>
      <c r="AD78" s="106" t="e">
        <f>WEEKNUM(AC78-RESUMEN!$AN$7)</f>
        <v>#NUM!</v>
      </c>
      <c r="AE78" s="106">
        <f>_xlfn.DAYS(AC78,RESUMEN!$D$7)</f>
        <v>-43238</v>
      </c>
      <c r="AF78" s="104"/>
      <c r="AG78" s="103"/>
      <c r="AH78" s="154"/>
      <c r="AI78" s="153"/>
      <c r="AJ78" s="153"/>
      <c r="AK78" s="25"/>
      <c r="AL78" s="160"/>
      <c r="AM78" s="106" t="e">
        <f>WEEKNUM(AL78-RESUMEN!$D$7)</f>
        <v>#NUM!</v>
      </c>
      <c r="AN78" s="106">
        <f>_xlfn.DAYS(AL78,RESUMEN!$D$7)</f>
        <v>-43238</v>
      </c>
      <c r="AO78" s="104"/>
      <c r="AP78" s="154"/>
      <c r="AQ78" s="154"/>
      <c r="AR78" s="153"/>
      <c r="AS78" s="153"/>
      <c r="AT78" s="25"/>
      <c r="AU78" s="160"/>
      <c r="AV78" s="106" t="e">
        <f>WEEKNUM(AU78-RESUMEN!$D$7)</f>
        <v>#NUM!</v>
      </c>
      <c r="AW78" s="106">
        <f>_xlfn.DAYS(AU78,RESUMEN!$D$7)</f>
        <v>-43238</v>
      </c>
      <c r="AX78" s="104"/>
      <c r="AY78" s="154"/>
      <c r="AZ78" s="154"/>
      <c r="BA78" s="153"/>
      <c r="BB78" s="153"/>
    </row>
    <row r="79" spans="2:54" x14ac:dyDescent="0.25">
      <c r="B79" s="160"/>
      <c r="C79" s="106" t="e">
        <f>WEEKNUM(B79-RESUMEN!$D$7)</f>
        <v>#NUM!</v>
      </c>
      <c r="D79" s="106">
        <f>_xlfn.DAYS(B79,RESUMEN!$D$7)</f>
        <v>-43238</v>
      </c>
      <c r="E79" s="104"/>
      <c r="F79" s="154"/>
      <c r="G79" s="154"/>
      <c r="H79" s="153"/>
      <c r="I79" s="153"/>
      <c r="J79" s="25"/>
      <c r="K79" s="159"/>
      <c r="L79" s="30" t="e">
        <f>WEEKNUM(K79-RESUMEN!$P$7)</f>
        <v>#NUM!</v>
      </c>
      <c r="M79" s="32">
        <f>_xlfn.DAYS(K79,RESUMEN!$P$7)</f>
        <v>-43242</v>
      </c>
      <c r="N79" s="31"/>
      <c r="O79" s="161"/>
      <c r="P79" s="161"/>
      <c r="Q79" s="162"/>
      <c r="R79" s="153"/>
      <c r="S79" s="25"/>
      <c r="T79" s="160"/>
      <c r="U79" s="30" t="e">
        <f>WEEKNUM(T79-RESUMEN!$AB$7)</f>
        <v>#NUM!</v>
      </c>
      <c r="V79" s="30">
        <f>_xlfn.DAYS(T79,RESUMEN!$AB$7)</f>
        <v>-43247</v>
      </c>
      <c r="W79" s="29"/>
      <c r="X79" s="163"/>
      <c r="Y79" s="163"/>
      <c r="Z79" s="162"/>
      <c r="AA79" s="162"/>
      <c r="AB79" s="25"/>
      <c r="AC79" s="160"/>
      <c r="AD79" s="106" t="e">
        <f>WEEKNUM(AC79-RESUMEN!$AN$7)</f>
        <v>#NUM!</v>
      </c>
      <c r="AE79" s="106">
        <f>_xlfn.DAYS(AC79,RESUMEN!$D$7)</f>
        <v>-43238</v>
      </c>
      <c r="AF79" s="104"/>
      <c r="AG79" s="103"/>
      <c r="AH79" s="154"/>
      <c r="AI79" s="153"/>
      <c r="AJ79" s="153"/>
      <c r="AK79" s="25"/>
      <c r="AL79" s="160"/>
      <c r="AM79" s="106" t="e">
        <f>WEEKNUM(AL79-RESUMEN!$D$7)</f>
        <v>#NUM!</v>
      </c>
      <c r="AN79" s="106">
        <f>_xlfn.DAYS(AL79,RESUMEN!$D$7)</f>
        <v>-43238</v>
      </c>
      <c r="AO79" s="104"/>
      <c r="AP79" s="154"/>
      <c r="AQ79" s="154"/>
      <c r="AR79" s="153"/>
      <c r="AS79" s="153"/>
      <c r="AT79" s="25"/>
      <c r="AU79" s="160"/>
      <c r="AV79" s="106" t="e">
        <f>WEEKNUM(AU79-RESUMEN!$D$7)</f>
        <v>#NUM!</v>
      </c>
      <c r="AW79" s="106">
        <f>_xlfn.DAYS(AU79,RESUMEN!$D$7)</f>
        <v>-43238</v>
      </c>
      <c r="AX79" s="104"/>
      <c r="AY79" s="154"/>
      <c r="AZ79" s="154"/>
      <c r="BA79" s="153"/>
      <c r="BB79" s="153"/>
    </row>
    <row r="80" spans="2:54" x14ac:dyDescent="0.25">
      <c r="B80" s="160"/>
      <c r="C80" s="106" t="e">
        <f>WEEKNUM(B80-RESUMEN!$D$7)</f>
        <v>#NUM!</v>
      </c>
      <c r="D80" s="106">
        <f>_xlfn.DAYS(B80,RESUMEN!$D$7)</f>
        <v>-43238</v>
      </c>
      <c r="E80" s="104"/>
      <c r="F80" s="154"/>
      <c r="G80" s="154"/>
      <c r="H80" s="153"/>
      <c r="I80" s="153"/>
      <c r="J80" s="25"/>
      <c r="K80" s="160"/>
      <c r="L80" s="30" t="e">
        <f>WEEKNUM(K80-RESUMEN!$P$7)</f>
        <v>#NUM!</v>
      </c>
      <c r="M80" s="32">
        <f>_xlfn.DAYS(K80,RESUMEN!$P$7)</f>
        <v>-43242</v>
      </c>
      <c r="N80" s="29"/>
      <c r="O80" s="163"/>
      <c r="P80" s="163"/>
      <c r="Q80" s="162"/>
      <c r="R80" s="153"/>
      <c r="S80" s="25"/>
      <c r="T80" s="160"/>
      <c r="U80" s="30" t="e">
        <f>WEEKNUM(T80-RESUMEN!$AB$7)</f>
        <v>#NUM!</v>
      </c>
      <c r="V80" s="30">
        <f>_xlfn.DAYS(T80,RESUMEN!$AB$7)</f>
        <v>-43247</v>
      </c>
      <c r="W80" s="29"/>
      <c r="X80" s="163"/>
      <c r="Y80" s="163"/>
      <c r="Z80" s="162"/>
      <c r="AA80" s="162"/>
      <c r="AB80" s="25"/>
      <c r="AC80" s="160"/>
      <c r="AD80" s="106" t="e">
        <f>WEEKNUM(AC80-RESUMEN!$AN$7)</f>
        <v>#NUM!</v>
      </c>
      <c r="AE80" s="106">
        <f>_xlfn.DAYS(AC80,RESUMEN!$D$7)</f>
        <v>-43238</v>
      </c>
      <c r="AF80" s="104"/>
      <c r="AG80" s="103"/>
      <c r="AH80" s="154"/>
      <c r="AI80" s="153"/>
      <c r="AJ80" s="153"/>
      <c r="AK80" s="25"/>
      <c r="AL80" s="160"/>
      <c r="AM80" s="106" t="e">
        <f>WEEKNUM(AL80-RESUMEN!$D$7)</f>
        <v>#NUM!</v>
      </c>
      <c r="AN80" s="106">
        <f>_xlfn.DAYS(AL80,RESUMEN!$D$7)</f>
        <v>-43238</v>
      </c>
      <c r="AO80" s="104"/>
      <c r="AP80" s="154"/>
      <c r="AQ80" s="154"/>
      <c r="AR80" s="153"/>
      <c r="AS80" s="153"/>
      <c r="AT80" s="25"/>
      <c r="AU80" s="160"/>
      <c r="AV80" s="106" t="e">
        <f>WEEKNUM(AU80-RESUMEN!$D$7)</f>
        <v>#NUM!</v>
      </c>
      <c r="AW80" s="106">
        <f>_xlfn.DAYS(AU80,RESUMEN!$D$7)</f>
        <v>-43238</v>
      </c>
      <c r="AX80" s="104"/>
      <c r="AY80" s="154"/>
      <c r="AZ80" s="154"/>
      <c r="BA80" s="153"/>
      <c r="BB80" s="153"/>
    </row>
    <row r="81" spans="2:54" x14ac:dyDescent="0.25">
      <c r="B81" s="160"/>
      <c r="C81" s="106" t="e">
        <f>WEEKNUM(B81-RESUMEN!$D$7)</f>
        <v>#NUM!</v>
      </c>
      <c r="D81" s="106">
        <f>_xlfn.DAYS(B81,RESUMEN!$D$7)</f>
        <v>-43238</v>
      </c>
      <c r="E81" s="104"/>
      <c r="F81" s="154"/>
      <c r="G81" s="154"/>
      <c r="H81" s="153"/>
      <c r="I81" s="153"/>
      <c r="J81" s="25"/>
      <c r="K81" s="160"/>
      <c r="L81" s="30" t="e">
        <f>WEEKNUM(K81-RESUMEN!$P$7)</f>
        <v>#NUM!</v>
      </c>
      <c r="M81" s="32">
        <f>_xlfn.DAYS(K81,RESUMEN!$P$7)</f>
        <v>-43242</v>
      </c>
      <c r="N81" s="29"/>
      <c r="O81" s="163"/>
      <c r="P81" s="163"/>
      <c r="Q81" s="162"/>
      <c r="R81" s="153"/>
      <c r="S81" s="25"/>
      <c r="T81" s="160"/>
      <c r="U81" s="30" t="e">
        <f>WEEKNUM(T81-RESUMEN!$AB$7)</f>
        <v>#NUM!</v>
      </c>
      <c r="V81" s="30">
        <f>_xlfn.DAYS(T81,RESUMEN!$AB$7)</f>
        <v>-43247</v>
      </c>
      <c r="W81" s="29"/>
      <c r="X81" s="163"/>
      <c r="Y81" s="163"/>
      <c r="Z81" s="162"/>
      <c r="AA81" s="162"/>
      <c r="AB81" s="25"/>
      <c r="AC81" s="160"/>
      <c r="AD81" s="106" t="e">
        <f>WEEKNUM(AC81-RESUMEN!$AN$7)</f>
        <v>#NUM!</v>
      </c>
      <c r="AE81" s="106">
        <f>_xlfn.DAYS(AC81,RESUMEN!$D$7)</f>
        <v>-43238</v>
      </c>
      <c r="AF81" s="104"/>
      <c r="AG81" s="103"/>
      <c r="AH81" s="154"/>
      <c r="AI81" s="153"/>
      <c r="AJ81" s="153"/>
      <c r="AK81" s="25"/>
      <c r="AL81" s="160"/>
      <c r="AM81" s="106" t="e">
        <f>WEEKNUM(AL81-RESUMEN!$D$7)</f>
        <v>#NUM!</v>
      </c>
      <c r="AN81" s="106">
        <f>_xlfn.DAYS(AL81,RESUMEN!$D$7)</f>
        <v>-43238</v>
      </c>
      <c r="AO81" s="104"/>
      <c r="AP81" s="154"/>
      <c r="AQ81" s="154"/>
      <c r="AR81" s="153"/>
      <c r="AS81" s="153"/>
      <c r="AT81" s="25"/>
      <c r="AU81" s="160"/>
      <c r="AV81" s="106" t="e">
        <f>WEEKNUM(AU81-RESUMEN!$D$7)</f>
        <v>#NUM!</v>
      </c>
      <c r="AW81" s="106">
        <f>_xlfn.DAYS(AU81,RESUMEN!$D$7)</f>
        <v>-43238</v>
      </c>
      <c r="AX81" s="104"/>
      <c r="AY81" s="154"/>
      <c r="AZ81" s="154"/>
      <c r="BA81" s="153"/>
      <c r="BB81" s="153"/>
    </row>
    <row r="82" spans="2:54" x14ac:dyDescent="0.25">
      <c r="B82" s="160"/>
      <c r="C82" s="106" t="e">
        <f>WEEKNUM(B82-RESUMEN!$D$7)</f>
        <v>#NUM!</v>
      </c>
      <c r="D82" s="106">
        <f>_xlfn.DAYS(B82,RESUMEN!$D$7)</f>
        <v>-43238</v>
      </c>
      <c r="E82" s="104"/>
      <c r="F82" s="154"/>
      <c r="G82" s="154"/>
      <c r="H82" s="153"/>
      <c r="I82" s="153"/>
      <c r="J82" s="25"/>
      <c r="K82" s="160"/>
      <c r="L82" s="30" t="e">
        <f>WEEKNUM(K82-RESUMEN!$P$7)</f>
        <v>#NUM!</v>
      </c>
      <c r="M82" s="32">
        <f>_xlfn.DAYS(K82,RESUMEN!$P$7)</f>
        <v>-43242</v>
      </c>
      <c r="N82" s="29"/>
      <c r="O82" s="163"/>
      <c r="P82" s="163"/>
      <c r="Q82" s="162"/>
      <c r="R82" s="153"/>
      <c r="S82" s="25"/>
      <c r="T82" s="160"/>
      <c r="U82" s="30" t="e">
        <f>WEEKNUM(T82-RESUMEN!$AB$7)</f>
        <v>#NUM!</v>
      </c>
      <c r="V82" s="30">
        <f>_xlfn.DAYS(T82,RESUMEN!$AB$7)</f>
        <v>-43247</v>
      </c>
      <c r="W82" s="29"/>
      <c r="X82" s="163"/>
      <c r="Y82" s="163"/>
      <c r="Z82" s="162"/>
      <c r="AA82" s="162"/>
      <c r="AB82" s="25"/>
      <c r="AC82" s="160"/>
      <c r="AD82" s="106" t="e">
        <f>WEEKNUM(AC82-RESUMEN!$AN$7)</f>
        <v>#NUM!</v>
      </c>
      <c r="AE82" s="106">
        <f>_xlfn.DAYS(AC82,RESUMEN!$D$7)</f>
        <v>-43238</v>
      </c>
      <c r="AF82" s="104"/>
      <c r="AG82" s="103"/>
      <c r="AH82" s="154"/>
      <c r="AI82" s="153"/>
      <c r="AJ82" s="153"/>
      <c r="AK82" s="25"/>
      <c r="AL82" s="160"/>
      <c r="AM82" s="106" t="e">
        <f>WEEKNUM(AL82-RESUMEN!$D$7)</f>
        <v>#NUM!</v>
      </c>
      <c r="AN82" s="106">
        <f>_xlfn.DAYS(AL82,RESUMEN!$D$7)</f>
        <v>-43238</v>
      </c>
      <c r="AO82" s="104"/>
      <c r="AP82" s="154"/>
      <c r="AQ82" s="154"/>
      <c r="AR82" s="153"/>
      <c r="AS82" s="153"/>
      <c r="AT82" s="25"/>
      <c r="AU82" s="160"/>
      <c r="AV82" s="106" t="e">
        <f>WEEKNUM(AU82-RESUMEN!$D$7)</f>
        <v>#NUM!</v>
      </c>
      <c r="AW82" s="106">
        <f>_xlfn.DAYS(AU82,RESUMEN!$D$7)</f>
        <v>-43238</v>
      </c>
      <c r="AX82" s="104"/>
      <c r="AY82" s="154"/>
      <c r="AZ82" s="154"/>
      <c r="BA82" s="153"/>
      <c r="BB82" s="153"/>
    </row>
    <row r="83" spans="2:54" x14ac:dyDescent="0.25">
      <c r="B83" s="160"/>
      <c r="C83" s="106" t="e">
        <f>WEEKNUM(B83-RESUMEN!$D$7)</f>
        <v>#NUM!</v>
      </c>
      <c r="D83" s="106">
        <f>_xlfn.DAYS(B83,RESUMEN!$D$7)</f>
        <v>-43238</v>
      </c>
      <c r="E83" s="104"/>
      <c r="F83" s="154"/>
      <c r="G83" s="154"/>
      <c r="H83" s="153"/>
      <c r="I83" s="153"/>
      <c r="J83" s="25"/>
      <c r="K83" s="160"/>
      <c r="L83" s="30" t="e">
        <f>WEEKNUM(K83-RESUMEN!$P$7)</f>
        <v>#NUM!</v>
      </c>
      <c r="M83" s="32">
        <f>_xlfn.DAYS(K83,RESUMEN!$P$7)</f>
        <v>-43242</v>
      </c>
      <c r="N83" s="29"/>
      <c r="O83" s="163"/>
      <c r="P83" s="163"/>
      <c r="Q83" s="162"/>
      <c r="R83" s="153"/>
      <c r="S83" s="25"/>
      <c r="T83" s="160"/>
      <c r="U83" s="30" t="e">
        <f>WEEKNUM(T83-RESUMEN!$AB$7)</f>
        <v>#NUM!</v>
      </c>
      <c r="V83" s="30">
        <f>_xlfn.DAYS(T83,RESUMEN!$AB$7)</f>
        <v>-43247</v>
      </c>
      <c r="W83" s="29"/>
      <c r="X83" s="163"/>
      <c r="Y83" s="163"/>
      <c r="Z83" s="162"/>
      <c r="AA83" s="162"/>
      <c r="AB83" s="25"/>
      <c r="AC83" s="160"/>
      <c r="AD83" s="106" t="e">
        <f>WEEKNUM(AC83-RESUMEN!$AN$7)</f>
        <v>#NUM!</v>
      </c>
      <c r="AE83" s="106">
        <f>_xlfn.DAYS(AC83,RESUMEN!$D$7)</f>
        <v>-43238</v>
      </c>
      <c r="AF83" s="104"/>
      <c r="AG83" s="103"/>
      <c r="AH83" s="154"/>
      <c r="AI83" s="153"/>
      <c r="AJ83" s="153"/>
      <c r="AK83" s="25"/>
      <c r="AL83" s="160"/>
      <c r="AM83" s="106" t="e">
        <f>WEEKNUM(AL83-RESUMEN!$D$7)</f>
        <v>#NUM!</v>
      </c>
      <c r="AN83" s="106">
        <f>_xlfn.DAYS(AL83,RESUMEN!$D$7)</f>
        <v>-43238</v>
      </c>
      <c r="AO83" s="104"/>
      <c r="AP83" s="154"/>
      <c r="AQ83" s="154"/>
      <c r="AR83" s="153"/>
      <c r="AS83" s="153"/>
      <c r="AT83" s="25"/>
      <c r="AU83" s="160"/>
      <c r="AV83" s="106" t="e">
        <f>WEEKNUM(AU83-RESUMEN!$D$7)</f>
        <v>#NUM!</v>
      </c>
      <c r="AW83" s="106">
        <f>_xlfn.DAYS(AU83,RESUMEN!$D$7)</f>
        <v>-43238</v>
      </c>
      <c r="AX83" s="104"/>
      <c r="AY83" s="154"/>
      <c r="AZ83" s="154"/>
      <c r="BA83" s="153"/>
      <c r="BB83" s="153"/>
    </row>
    <row r="84" spans="2:54" x14ac:dyDescent="0.25">
      <c r="B84" s="160"/>
      <c r="C84" s="106" t="e">
        <f>WEEKNUM(B84-RESUMEN!$D$7)</f>
        <v>#NUM!</v>
      </c>
      <c r="D84" s="106">
        <f>_xlfn.DAYS(B84,RESUMEN!$D$7)</f>
        <v>-43238</v>
      </c>
      <c r="E84" s="104"/>
      <c r="F84" s="154"/>
      <c r="G84" s="154"/>
      <c r="H84" s="153"/>
      <c r="I84" s="153"/>
      <c r="J84" s="25"/>
      <c r="K84" s="160"/>
      <c r="L84" s="30" t="e">
        <f>WEEKNUM(K84-RESUMEN!$P$7)</f>
        <v>#NUM!</v>
      </c>
      <c r="M84" s="32">
        <f>_xlfn.DAYS(K84,RESUMEN!$P$7)</f>
        <v>-43242</v>
      </c>
      <c r="N84" s="29"/>
      <c r="O84" s="163"/>
      <c r="P84" s="163"/>
      <c r="Q84" s="162"/>
      <c r="R84" s="153"/>
      <c r="S84" s="25"/>
      <c r="T84" s="160"/>
      <c r="U84" s="30" t="e">
        <f>WEEKNUM(T84-RESUMEN!$AB$7)</f>
        <v>#NUM!</v>
      </c>
      <c r="V84" s="30">
        <f>_xlfn.DAYS(T84,RESUMEN!$AB$7)</f>
        <v>-43247</v>
      </c>
      <c r="W84" s="29"/>
      <c r="X84" s="163"/>
      <c r="Y84" s="163"/>
      <c r="Z84" s="162"/>
      <c r="AA84" s="162"/>
      <c r="AB84" s="25"/>
      <c r="AC84" s="160"/>
      <c r="AD84" s="106" t="e">
        <f>WEEKNUM(AC84-RESUMEN!$AN$7)</f>
        <v>#NUM!</v>
      </c>
      <c r="AE84" s="106">
        <f>_xlfn.DAYS(AC84,RESUMEN!$D$7)</f>
        <v>-43238</v>
      </c>
      <c r="AF84" s="104"/>
      <c r="AG84" s="103"/>
      <c r="AH84" s="154"/>
      <c r="AI84" s="153"/>
      <c r="AJ84" s="153"/>
      <c r="AK84" s="25"/>
      <c r="AL84" s="160"/>
      <c r="AM84" s="106" t="e">
        <f>WEEKNUM(AL84-RESUMEN!$D$7)</f>
        <v>#NUM!</v>
      </c>
      <c r="AN84" s="106">
        <f>_xlfn.DAYS(AL84,RESUMEN!$D$7)</f>
        <v>-43238</v>
      </c>
      <c r="AO84" s="104"/>
      <c r="AP84" s="154"/>
      <c r="AQ84" s="154"/>
      <c r="AR84" s="153"/>
      <c r="AS84" s="153"/>
      <c r="AT84" s="25"/>
      <c r="AU84" s="160"/>
      <c r="AV84" s="106" t="e">
        <f>WEEKNUM(AU84-RESUMEN!$D$7)</f>
        <v>#NUM!</v>
      </c>
      <c r="AW84" s="106">
        <f>_xlfn.DAYS(AU84,RESUMEN!$D$7)</f>
        <v>-43238</v>
      </c>
      <c r="AX84" s="104"/>
      <c r="AY84" s="154"/>
      <c r="AZ84" s="154"/>
      <c r="BA84" s="153"/>
      <c r="BB84" s="153"/>
    </row>
    <row r="85" spans="2:54" x14ac:dyDescent="0.25">
      <c r="B85" s="160"/>
      <c r="C85" s="106" t="e">
        <f>WEEKNUM(B85-RESUMEN!$D$7)</f>
        <v>#NUM!</v>
      </c>
      <c r="D85" s="106">
        <f>_xlfn.DAYS(B85,RESUMEN!$D$7)</f>
        <v>-43238</v>
      </c>
      <c r="E85" s="104"/>
      <c r="F85" s="154"/>
      <c r="G85" s="154"/>
      <c r="H85" s="153"/>
      <c r="I85" s="153"/>
      <c r="J85" s="25"/>
      <c r="K85" s="160"/>
      <c r="L85" s="30" t="e">
        <f>WEEKNUM(K85-RESUMEN!$P$7)</f>
        <v>#NUM!</v>
      </c>
      <c r="M85" s="32">
        <f>_xlfn.DAYS(K85,RESUMEN!$P$7)</f>
        <v>-43242</v>
      </c>
      <c r="N85" s="29"/>
      <c r="O85" s="163"/>
      <c r="P85" s="163"/>
      <c r="Q85" s="162"/>
      <c r="R85" s="153"/>
      <c r="S85" s="25"/>
      <c r="T85" s="160"/>
      <c r="U85" s="30" t="e">
        <f>WEEKNUM(T85-RESUMEN!$AB$7)</f>
        <v>#NUM!</v>
      </c>
      <c r="V85" s="30">
        <f>_xlfn.DAYS(T85,RESUMEN!$AB$7)</f>
        <v>-43247</v>
      </c>
      <c r="W85" s="29"/>
      <c r="X85" s="163"/>
      <c r="Y85" s="163"/>
      <c r="Z85" s="162"/>
      <c r="AA85" s="162"/>
      <c r="AB85" s="25"/>
      <c r="AC85" s="160"/>
      <c r="AD85" s="106" t="e">
        <f>WEEKNUM(AC85-RESUMEN!$AN$7)</f>
        <v>#NUM!</v>
      </c>
      <c r="AE85" s="106">
        <f>_xlfn.DAYS(AC85,RESUMEN!$D$7)</f>
        <v>-43238</v>
      </c>
      <c r="AF85" s="104"/>
      <c r="AG85" s="103"/>
      <c r="AH85" s="154"/>
      <c r="AI85" s="153"/>
      <c r="AJ85" s="153"/>
      <c r="AK85" s="25"/>
      <c r="AL85" s="160"/>
      <c r="AM85" s="106" t="e">
        <f>WEEKNUM(AL85-RESUMEN!$D$7)</f>
        <v>#NUM!</v>
      </c>
      <c r="AN85" s="106">
        <f>_xlfn.DAYS(AL85,RESUMEN!$D$7)</f>
        <v>-43238</v>
      </c>
      <c r="AO85" s="104"/>
      <c r="AP85" s="154"/>
      <c r="AQ85" s="154"/>
      <c r="AR85" s="153"/>
      <c r="AS85" s="153"/>
      <c r="AT85" s="25"/>
      <c r="AU85" s="160"/>
      <c r="AV85" s="106" t="e">
        <f>WEEKNUM(AU85-RESUMEN!$D$7)</f>
        <v>#NUM!</v>
      </c>
      <c r="AW85" s="106">
        <f>_xlfn.DAYS(AU85,RESUMEN!$D$7)</f>
        <v>-43238</v>
      </c>
      <c r="AX85" s="104"/>
      <c r="AY85" s="154"/>
      <c r="AZ85" s="154"/>
      <c r="BA85" s="153"/>
      <c r="BB85" s="153"/>
    </row>
    <row r="86" spans="2:54" x14ac:dyDescent="0.25">
      <c r="B86" s="160"/>
      <c r="C86" s="106" t="e">
        <f>WEEKNUM(B86-RESUMEN!$D$7)</f>
        <v>#NUM!</v>
      </c>
      <c r="D86" s="106">
        <f>_xlfn.DAYS(B86,RESUMEN!$D$7)</f>
        <v>-43238</v>
      </c>
      <c r="E86" s="104"/>
      <c r="F86" s="154"/>
      <c r="G86" s="154"/>
      <c r="H86" s="153"/>
      <c r="I86" s="153"/>
      <c r="J86" s="25"/>
      <c r="K86" s="160"/>
      <c r="L86" s="30" t="e">
        <f>WEEKNUM(K86-RESUMEN!$P$7)</f>
        <v>#NUM!</v>
      </c>
      <c r="M86" s="32">
        <f>_xlfn.DAYS(K86,RESUMEN!$P$7)</f>
        <v>-43242</v>
      </c>
      <c r="N86" s="29"/>
      <c r="O86" s="163"/>
      <c r="P86" s="163"/>
      <c r="Q86" s="162"/>
      <c r="R86" s="153"/>
      <c r="S86" s="25"/>
      <c r="T86" s="160"/>
      <c r="U86" s="30" t="e">
        <f>WEEKNUM(T86-RESUMEN!$AB$7)</f>
        <v>#NUM!</v>
      </c>
      <c r="V86" s="30">
        <f>_xlfn.DAYS(T86,RESUMEN!$AB$7)</f>
        <v>-43247</v>
      </c>
      <c r="W86" s="29"/>
      <c r="X86" s="163"/>
      <c r="Y86" s="163"/>
      <c r="Z86" s="162"/>
      <c r="AA86" s="162"/>
      <c r="AB86" s="25"/>
      <c r="AC86" s="160"/>
      <c r="AD86" s="106" t="e">
        <f>WEEKNUM(AC86-RESUMEN!$AN$7)</f>
        <v>#NUM!</v>
      </c>
      <c r="AE86" s="106">
        <f>_xlfn.DAYS(AC86,RESUMEN!$D$7)</f>
        <v>-43238</v>
      </c>
      <c r="AF86" s="104"/>
      <c r="AG86" s="103"/>
      <c r="AH86" s="154"/>
      <c r="AI86" s="153"/>
      <c r="AJ86" s="153"/>
      <c r="AK86" s="25"/>
      <c r="AL86" s="160"/>
      <c r="AM86" s="106" t="e">
        <f>WEEKNUM(AL86-RESUMEN!$D$7)</f>
        <v>#NUM!</v>
      </c>
      <c r="AN86" s="106">
        <f>_xlfn.DAYS(AL86,RESUMEN!$D$7)</f>
        <v>-43238</v>
      </c>
      <c r="AO86" s="104"/>
      <c r="AP86" s="154"/>
      <c r="AQ86" s="154"/>
      <c r="AR86" s="153"/>
      <c r="AS86" s="153"/>
      <c r="AT86" s="25"/>
      <c r="AU86" s="160"/>
      <c r="AV86" s="106" t="e">
        <f>WEEKNUM(AU86-RESUMEN!$D$7)</f>
        <v>#NUM!</v>
      </c>
      <c r="AW86" s="106">
        <f>_xlfn.DAYS(AU86,RESUMEN!$D$7)</f>
        <v>-43238</v>
      </c>
      <c r="AX86" s="104"/>
      <c r="AY86" s="154"/>
      <c r="AZ86" s="154"/>
      <c r="BA86" s="153"/>
      <c r="BB86" s="153"/>
    </row>
    <row r="87" spans="2:54" x14ac:dyDescent="0.25">
      <c r="B87" s="160"/>
      <c r="C87" s="106" t="e">
        <f>WEEKNUM(B87-RESUMEN!$D$7)</f>
        <v>#NUM!</v>
      </c>
      <c r="D87" s="106">
        <f>_xlfn.DAYS(B87,RESUMEN!$D$7)</f>
        <v>-43238</v>
      </c>
      <c r="E87" s="104"/>
      <c r="F87" s="154"/>
      <c r="G87" s="154"/>
      <c r="H87" s="153"/>
      <c r="I87" s="153"/>
      <c r="J87" s="25"/>
      <c r="K87" s="160"/>
      <c r="L87" s="30" t="e">
        <f>WEEKNUM(K87-RESUMEN!$P$7)</f>
        <v>#NUM!</v>
      </c>
      <c r="M87" s="32">
        <f>_xlfn.DAYS(K87,RESUMEN!$P$7)</f>
        <v>-43242</v>
      </c>
      <c r="N87" s="29"/>
      <c r="O87" s="163"/>
      <c r="P87" s="163"/>
      <c r="Q87" s="162"/>
      <c r="R87" s="153"/>
      <c r="S87" s="25"/>
      <c r="T87" s="160"/>
      <c r="U87" s="30" t="e">
        <f>WEEKNUM(T87-RESUMEN!$AB$7)</f>
        <v>#NUM!</v>
      </c>
      <c r="V87" s="30">
        <f>_xlfn.DAYS(T87,RESUMEN!$AB$7)</f>
        <v>-43247</v>
      </c>
      <c r="W87" s="29"/>
      <c r="X87" s="163"/>
      <c r="Y87" s="163"/>
      <c r="Z87" s="162"/>
      <c r="AA87" s="162"/>
      <c r="AB87" s="25"/>
      <c r="AC87" s="160"/>
      <c r="AD87" s="106" t="e">
        <f>WEEKNUM(AC87-RESUMEN!$AN$7)</f>
        <v>#NUM!</v>
      </c>
      <c r="AE87" s="106">
        <f>_xlfn.DAYS(AC87,RESUMEN!$D$7)</f>
        <v>-43238</v>
      </c>
      <c r="AF87" s="104"/>
      <c r="AG87" s="103"/>
      <c r="AH87" s="154"/>
      <c r="AI87" s="153"/>
      <c r="AJ87" s="153"/>
      <c r="AK87" s="25"/>
      <c r="AL87" s="160"/>
      <c r="AM87" s="106" t="e">
        <f>WEEKNUM(AL87-RESUMEN!$D$7)</f>
        <v>#NUM!</v>
      </c>
      <c r="AN87" s="106">
        <f>_xlfn.DAYS(AL87,RESUMEN!$D$7)</f>
        <v>-43238</v>
      </c>
      <c r="AO87" s="104"/>
      <c r="AP87" s="154"/>
      <c r="AQ87" s="154"/>
      <c r="AR87" s="153"/>
      <c r="AS87" s="153"/>
      <c r="AT87" s="25"/>
      <c r="AU87" s="160"/>
      <c r="AV87" s="106" t="e">
        <f>WEEKNUM(AU87-RESUMEN!$D$7)</f>
        <v>#NUM!</v>
      </c>
      <c r="AW87" s="106">
        <f>_xlfn.DAYS(AU87,RESUMEN!$D$7)</f>
        <v>-43238</v>
      </c>
      <c r="AX87" s="104"/>
      <c r="AY87" s="154"/>
      <c r="AZ87" s="154"/>
      <c r="BA87" s="153"/>
      <c r="BB87" s="153"/>
    </row>
    <row r="88" spans="2:54" x14ac:dyDescent="0.25">
      <c r="B88" s="160"/>
      <c r="C88" s="106" t="e">
        <f>WEEKNUM(B88-RESUMEN!$D$7)</f>
        <v>#NUM!</v>
      </c>
      <c r="D88" s="106">
        <f>_xlfn.DAYS(B88,RESUMEN!$D$7)</f>
        <v>-43238</v>
      </c>
      <c r="E88" s="104"/>
      <c r="F88" s="154"/>
      <c r="G88" s="154"/>
      <c r="H88" s="153"/>
      <c r="I88" s="153"/>
      <c r="J88" s="25"/>
      <c r="K88" s="160"/>
      <c r="L88" s="30" t="e">
        <f>WEEKNUM(K88-RESUMEN!$P$7)</f>
        <v>#NUM!</v>
      </c>
      <c r="M88" s="32">
        <f>_xlfn.DAYS(K88,RESUMEN!$P$7)</f>
        <v>-43242</v>
      </c>
      <c r="N88" s="29"/>
      <c r="O88" s="163"/>
      <c r="P88" s="163"/>
      <c r="Q88" s="162"/>
      <c r="R88" s="153"/>
      <c r="S88" s="25"/>
      <c r="T88" s="160"/>
      <c r="U88" s="30" t="e">
        <f>WEEKNUM(T88-RESUMEN!$AB$7)</f>
        <v>#NUM!</v>
      </c>
      <c r="V88" s="30">
        <f>_xlfn.DAYS(T88,RESUMEN!$AB$7)</f>
        <v>-43247</v>
      </c>
      <c r="W88" s="29"/>
      <c r="X88" s="163"/>
      <c r="Y88" s="163"/>
      <c r="Z88" s="162"/>
      <c r="AA88" s="162"/>
      <c r="AB88" s="25"/>
      <c r="AC88" s="160"/>
      <c r="AD88" s="106" t="e">
        <f>WEEKNUM(AC88-RESUMEN!$AN$7)</f>
        <v>#NUM!</v>
      </c>
      <c r="AE88" s="106">
        <f>_xlfn.DAYS(AC88,RESUMEN!$D$7)</f>
        <v>-43238</v>
      </c>
      <c r="AF88" s="104"/>
      <c r="AG88" s="103"/>
      <c r="AH88" s="154"/>
      <c r="AI88" s="153"/>
      <c r="AJ88" s="153"/>
      <c r="AK88" s="25"/>
      <c r="AL88" s="160"/>
      <c r="AM88" s="106" t="e">
        <f>WEEKNUM(AL88-RESUMEN!$D$7)</f>
        <v>#NUM!</v>
      </c>
      <c r="AN88" s="106">
        <f>_xlfn.DAYS(AL88,RESUMEN!$D$7)</f>
        <v>-43238</v>
      </c>
      <c r="AO88" s="104"/>
      <c r="AP88" s="154"/>
      <c r="AQ88" s="154"/>
      <c r="AR88" s="153"/>
      <c r="AS88" s="153"/>
      <c r="AT88" s="25"/>
      <c r="AU88" s="160"/>
      <c r="AV88" s="106" t="e">
        <f>WEEKNUM(AU88-RESUMEN!$D$7)</f>
        <v>#NUM!</v>
      </c>
      <c r="AW88" s="106">
        <f>_xlfn.DAYS(AU88,RESUMEN!$D$7)</f>
        <v>-43238</v>
      </c>
      <c r="AX88" s="104"/>
      <c r="AY88" s="154"/>
      <c r="AZ88" s="154"/>
      <c r="BA88" s="153"/>
      <c r="BB88" s="153"/>
    </row>
    <row r="89" spans="2:54" x14ac:dyDescent="0.25">
      <c r="B89" s="160"/>
      <c r="C89" s="106" t="e">
        <f>WEEKNUM(B89-RESUMEN!$D$7)</f>
        <v>#NUM!</v>
      </c>
      <c r="D89" s="106">
        <f>_xlfn.DAYS(B89,RESUMEN!$D$7)</f>
        <v>-43238</v>
      </c>
      <c r="E89" s="104"/>
      <c r="F89" s="154"/>
      <c r="G89" s="154"/>
      <c r="H89" s="153"/>
      <c r="I89" s="153"/>
      <c r="J89" s="25"/>
      <c r="K89" s="160"/>
      <c r="L89" s="30" t="e">
        <f>WEEKNUM(K89-RESUMEN!$P$7)</f>
        <v>#NUM!</v>
      </c>
      <c r="M89" s="32">
        <f>_xlfn.DAYS(K89,RESUMEN!$P$7)</f>
        <v>-43242</v>
      </c>
      <c r="N89" s="29"/>
      <c r="O89" s="163"/>
      <c r="P89" s="163"/>
      <c r="Q89" s="162"/>
      <c r="R89" s="153"/>
      <c r="S89" s="25"/>
      <c r="T89" s="160"/>
      <c r="U89" s="30" t="e">
        <f>WEEKNUM(T89-RESUMEN!$AB$7)</f>
        <v>#NUM!</v>
      </c>
      <c r="V89" s="30">
        <f>_xlfn.DAYS(T89,RESUMEN!$AB$7)</f>
        <v>-43247</v>
      </c>
      <c r="W89" s="29"/>
      <c r="X89" s="163"/>
      <c r="Y89" s="163"/>
      <c r="Z89" s="162"/>
      <c r="AA89" s="162"/>
      <c r="AB89" s="25"/>
      <c r="AC89" s="160"/>
      <c r="AD89" s="106" t="e">
        <f>WEEKNUM(AC89-RESUMEN!$AN$7)</f>
        <v>#NUM!</v>
      </c>
      <c r="AE89" s="106">
        <f>_xlfn.DAYS(AC89,RESUMEN!$D$7)</f>
        <v>-43238</v>
      </c>
      <c r="AF89" s="104"/>
      <c r="AG89" s="103"/>
      <c r="AH89" s="154"/>
      <c r="AI89" s="153"/>
      <c r="AJ89" s="153"/>
      <c r="AK89" s="25"/>
      <c r="AL89" s="160"/>
      <c r="AM89" s="106" t="e">
        <f>WEEKNUM(AL89-RESUMEN!$D$7)</f>
        <v>#NUM!</v>
      </c>
      <c r="AN89" s="106">
        <f>_xlfn.DAYS(AL89,RESUMEN!$D$7)</f>
        <v>-43238</v>
      </c>
      <c r="AO89" s="104"/>
      <c r="AP89" s="154"/>
      <c r="AQ89" s="154"/>
      <c r="AR89" s="153"/>
      <c r="AS89" s="153"/>
      <c r="AT89" s="25"/>
      <c r="AU89" s="160"/>
      <c r="AV89" s="106" t="e">
        <f>WEEKNUM(AU89-RESUMEN!$D$7)</f>
        <v>#NUM!</v>
      </c>
      <c r="AW89" s="106">
        <f>_xlfn.DAYS(AU89,RESUMEN!$D$7)</f>
        <v>-43238</v>
      </c>
      <c r="AX89" s="104"/>
      <c r="AY89" s="154"/>
      <c r="AZ89" s="154"/>
      <c r="BA89" s="153"/>
      <c r="BB89" s="153"/>
    </row>
    <row r="90" spans="2:54" x14ac:dyDescent="0.25">
      <c r="B90" s="160"/>
      <c r="C90" s="106" t="e">
        <f>WEEKNUM(B90-RESUMEN!$D$7)</f>
        <v>#NUM!</v>
      </c>
      <c r="D90" s="106">
        <f>_xlfn.DAYS(B90,RESUMEN!$D$7)</f>
        <v>-43238</v>
      </c>
      <c r="E90" s="104"/>
      <c r="F90" s="154"/>
      <c r="G90" s="154"/>
      <c r="H90" s="153"/>
      <c r="I90" s="153"/>
      <c r="J90" s="25"/>
      <c r="K90" s="160"/>
      <c r="L90" s="30" t="e">
        <f>WEEKNUM(K90-RESUMEN!$P$7)</f>
        <v>#NUM!</v>
      </c>
      <c r="M90" s="32">
        <f>_xlfn.DAYS(K90,RESUMEN!$P$7)</f>
        <v>-43242</v>
      </c>
      <c r="N90" s="29"/>
      <c r="O90" s="163"/>
      <c r="P90" s="163"/>
      <c r="Q90" s="162"/>
      <c r="R90" s="153"/>
      <c r="S90" s="25"/>
      <c r="T90" s="160"/>
      <c r="U90" s="30" t="e">
        <f>WEEKNUM(T90-RESUMEN!$AB$7)</f>
        <v>#NUM!</v>
      </c>
      <c r="V90" s="30">
        <f>_xlfn.DAYS(T90,RESUMEN!$AB$7)</f>
        <v>-43247</v>
      </c>
      <c r="W90" s="29"/>
      <c r="X90" s="163"/>
      <c r="Y90" s="163"/>
      <c r="Z90" s="162"/>
      <c r="AA90" s="162"/>
      <c r="AB90" s="25"/>
      <c r="AC90" s="160"/>
      <c r="AD90" s="106" t="e">
        <f>WEEKNUM(AC90-RESUMEN!$AN$7)</f>
        <v>#NUM!</v>
      </c>
      <c r="AE90" s="106">
        <f>_xlfn.DAYS(AC90,RESUMEN!$D$7)</f>
        <v>-43238</v>
      </c>
      <c r="AF90" s="104"/>
      <c r="AG90" s="103"/>
      <c r="AH90" s="154"/>
      <c r="AI90" s="153"/>
      <c r="AJ90" s="153"/>
      <c r="AK90" s="25"/>
      <c r="AL90" s="160"/>
      <c r="AM90" s="106" t="e">
        <f>WEEKNUM(AL90-RESUMEN!$D$7)</f>
        <v>#NUM!</v>
      </c>
      <c r="AN90" s="106">
        <f>_xlfn.DAYS(AL90,RESUMEN!$D$7)</f>
        <v>-43238</v>
      </c>
      <c r="AO90" s="104"/>
      <c r="AP90" s="154"/>
      <c r="AQ90" s="154"/>
      <c r="AR90" s="153"/>
      <c r="AS90" s="153"/>
      <c r="AT90" s="25"/>
      <c r="AU90" s="160"/>
      <c r="AV90" s="106" t="e">
        <f>WEEKNUM(AU90-RESUMEN!$D$7)</f>
        <v>#NUM!</v>
      </c>
      <c r="AW90" s="106">
        <f>_xlfn.DAYS(AU90,RESUMEN!$D$7)</f>
        <v>-43238</v>
      </c>
      <c r="AX90" s="104"/>
      <c r="AY90" s="154"/>
      <c r="AZ90" s="154"/>
      <c r="BA90" s="153"/>
      <c r="BB90" s="153"/>
    </row>
    <row r="91" spans="2:54" x14ac:dyDescent="0.25">
      <c r="B91" s="160"/>
      <c r="C91" s="106" t="e">
        <f>WEEKNUM(B91-RESUMEN!$D$7)</f>
        <v>#NUM!</v>
      </c>
      <c r="D91" s="106">
        <f>_xlfn.DAYS(B91,RESUMEN!$D$7)</f>
        <v>-43238</v>
      </c>
      <c r="E91" s="104"/>
      <c r="F91" s="154"/>
      <c r="G91" s="154"/>
      <c r="H91" s="153"/>
      <c r="I91" s="153"/>
      <c r="J91" s="25"/>
      <c r="K91" s="160"/>
      <c r="L91" s="30" t="e">
        <f>WEEKNUM(K91-RESUMEN!$P$7)</f>
        <v>#NUM!</v>
      </c>
      <c r="M91" s="32">
        <f>_xlfn.DAYS(K91,RESUMEN!$P$7)</f>
        <v>-43242</v>
      </c>
      <c r="N91" s="29"/>
      <c r="O91" s="163"/>
      <c r="P91" s="163"/>
      <c r="Q91" s="162"/>
      <c r="R91" s="153"/>
      <c r="S91" s="25"/>
      <c r="T91" s="160"/>
      <c r="U91" s="30" t="e">
        <f>WEEKNUM(T91-RESUMEN!$AB$7)</f>
        <v>#NUM!</v>
      </c>
      <c r="V91" s="30">
        <f>_xlfn.DAYS(T91,RESUMEN!$AB$7)</f>
        <v>-43247</v>
      </c>
      <c r="W91" s="29"/>
      <c r="X91" s="163"/>
      <c r="Y91" s="163"/>
      <c r="Z91" s="162"/>
      <c r="AA91" s="162"/>
      <c r="AB91" s="25"/>
      <c r="AC91" s="160"/>
      <c r="AD91" s="106" t="e">
        <f>WEEKNUM(AC91-RESUMEN!$AN$7)</f>
        <v>#NUM!</v>
      </c>
      <c r="AE91" s="106">
        <f>_xlfn.DAYS(AC91,RESUMEN!$D$7)</f>
        <v>-43238</v>
      </c>
      <c r="AF91" s="104"/>
      <c r="AG91" s="103"/>
      <c r="AH91" s="154"/>
      <c r="AI91" s="153"/>
      <c r="AJ91" s="153"/>
      <c r="AK91" s="25"/>
      <c r="AL91" s="160"/>
      <c r="AM91" s="106" t="e">
        <f>WEEKNUM(AL91-RESUMEN!$D$7)</f>
        <v>#NUM!</v>
      </c>
      <c r="AN91" s="106">
        <f>_xlfn.DAYS(AL91,RESUMEN!$D$7)</f>
        <v>-43238</v>
      </c>
      <c r="AO91" s="104"/>
      <c r="AP91" s="154"/>
      <c r="AQ91" s="154"/>
      <c r="AR91" s="153"/>
      <c r="AS91" s="153"/>
      <c r="AT91" s="25"/>
      <c r="AU91" s="160"/>
      <c r="AV91" s="106" t="e">
        <f>WEEKNUM(AU91-RESUMEN!$D$7)</f>
        <v>#NUM!</v>
      </c>
      <c r="AW91" s="106">
        <f>_xlfn.DAYS(AU91,RESUMEN!$D$7)</f>
        <v>-43238</v>
      </c>
      <c r="AX91" s="104"/>
      <c r="AY91" s="154"/>
      <c r="AZ91" s="154"/>
      <c r="BA91" s="153"/>
      <c r="BB91" s="153"/>
    </row>
    <row r="92" spans="2:54" x14ac:dyDescent="0.25">
      <c r="B92" s="160"/>
      <c r="C92" s="106" t="e">
        <f>WEEKNUM(B92-RESUMEN!$D$7)</f>
        <v>#NUM!</v>
      </c>
      <c r="D92" s="106">
        <f>_xlfn.DAYS(B92,RESUMEN!$D$7)</f>
        <v>-43238</v>
      </c>
      <c r="E92" s="104"/>
      <c r="F92" s="154"/>
      <c r="G92" s="154"/>
      <c r="H92" s="153"/>
      <c r="I92" s="153"/>
      <c r="J92" s="25"/>
      <c r="K92" s="160"/>
      <c r="L92" s="30" t="e">
        <f>WEEKNUM(K92-RESUMEN!$P$7)</f>
        <v>#NUM!</v>
      </c>
      <c r="M92" s="32">
        <f>_xlfn.DAYS(K92,RESUMEN!$P$7)</f>
        <v>-43242</v>
      </c>
      <c r="N92" s="29"/>
      <c r="O92" s="163"/>
      <c r="P92" s="163"/>
      <c r="Q92" s="162"/>
      <c r="R92" s="153"/>
      <c r="S92" s="25"/>
      <c r="T92" s="160"/>
      <c r="U92" s="30" t="e">
        <f>WEEKNUM(T92-RESUMEN!$AB$7)</f>
        <v>#NUM!</v>
      </c>
      <c r="V92" s="30">
        <f>_xlfn.DAYS(T92,RESUMEN!$AB$7)</f>
        <v>-43247</v>
      </c>
      <c r="W92" s="29"/>
      <c r="X92" s="163"/>
      <c r="Y92" s="163"/>
      <c r="Z92" s="162"/>
      <c r="AA92" s="162"/>
      <c r="AB92" s="25"/>
      <c r="AC92" s="160"/>
      <c r="AD92" s="106" t="e">
        <f>WEEKNUM(AC92-RESUMEN!$AN$7)</f>
        <v>#NUM!</v>
      </c>
      <c r="AE92" s="106">
        <f>_xlfn.DAYS(AC92,RESUMEN!$D$7)</f>
        <v>-43238</v>
      </c>
      <c r="AF92" s="104"/>
      <c r="AG92" s="103"/>
      <c r="AH92" s="154"/>
      <c r="AI92" s="153"/>
      <c r="AJ92" s="153"/>
      <c r="AK92" s="25"/>
      <c r="AL92" s="160"/>
      <c r="AM92" s="106" t="e">
        <f>WEEKNUM(AL92-RESUMEN!$D$7)</f>
        <v>#NUM!</v>
      </c>
      <c r="AN92" s="106">
        <f>_xlfn.DAYS(AL92,RESUMEN!$D$7)</f>
        <v>-43238</v>
      </c>
      <c r="AO92" s="104"/>
      <c r="AP92" s="154"/>
      <c r="AQ92" s="154"/>
      <c r="AR92" s="153"/>
      <c r="AS92" s="153"/>
      <c r="AT92" s="25"/>
      <c r="AU92" s="160"/>
      <c r="AV92" s="106" t="e">
        <f>WEEKNUM(AU92-RESUMEN!$D$7)</f>
        <v>#NUM!</v>
      </c>
      <c r="AW92" s="106">
        <f>_xlfn.DAYS(AU92,RESUMEN!$D$7)</f>
        <v>-43238</v>
      </c>
      <c r="AX92" s="104"/>
      <c r="AY92" s="154"/>
      <c r="AZ92" s="154"/>
      <c r="BA92" s="153"/>
      <c r="BB92" s="153"/>
    </row>
    <row r="93" spans="2:54" x14ac:dyDescent="0.25">
      <c r="B93" s="160"/>
      <c r="C93" s="106" t="e">
        <f>WEEKNUM(B93-RESUMEN!$D$7)</f>
        <v>#NUM!</v>
      </c>
      <c r="D93" s="106">
        <f>_xlfn.DAYS(B93,RESUMEN!$D$7)</f>
        <v>-43238</v>
      </c>
      <c r="E93" s="104"/>
      <c r="F93" s="154"/>
      <c r="G93" s="154"/>
      <c r="H93" s="153"/>
      <c r="I93" s="153"/>
      <c r="J93" s="25"/>
      <c r="K93" s="160"/>
      <c r="L93" s="30" t="e">
        <f>WEEKNUM(K93-RESUMEN!$P$7)</f>
        <v>#NUM!</v>
      </c>
      <c r="M93" s="32">
        <f>_xlfn.DAYS(K93,RESUMEN!$P$7)</f>
        <v>-43242</v>
      </c>
      <c r="N93" s="29"/>
      <c r="O93" s="163"/>
      <c r="P93" s="163"/>
      <c r="Q93" s="162"/>
      <c r="R93" s="153"/>
      <c r="S93" s="25"/>
      <c r="T93" s="160"/>
      <c r="U93" s="30" t="e">
        <f>WEEKNUM(T93-RESUMEN!$AB$7)</f>
        <v>#NUM!</v>
      </c>
      <c r="V93" s="30">
        <f>_xlfn.DAYS(T93,RESUMEN!$AB$7)</f>
        <v>-43247</v>
      </c>
      <c r="W93" s="29"/>
      <c r="X93" s="163"/>
      <c r="Y93" s="163"/>
      <c r="Z93" s="162"/>
      <c r="AA93" s="162"/>
      <c r="AB93" s="25"/>
      <c r="AC93" s="160"/>
      <c r="AD93" s="106" t="e">
        <f>WEEKNUM(AC93-RESUMEN!$AN$7)</f>
        <v>#NUM!</v>
      </c>
      <c r="AE93" s="106">
        <f>_xlfn.DAYS(AC93,RESUMEN!$D$7)</f>
        <v>-43238</v>
      </c>
      <c r="AF93" s="104"/>
      <c r="AG93" s="103"/>
      <c r="AH93" s="154"/>
      <c r="AI93" s="153"/>
      <c r="AJ93" s="153"/>
      <c r="AK93" s="25"/>
      <c r="AL93" s="160"/>
      <c r="AM93" s="106" t="e">
        <f>WEEKNUM(AL93-RESUMEN!$D$7)</f>
        <v>#NUM!</v>
      </c>
      <c r="AN93" s="106">
        <f>_xlfn.DAYS(AL93,RESUMEN!$D$7)</f>
        <v>-43238</v>
      </c>
      <c r="AO93" s="104"/>
      <c r="AP93" s="154"/>
      <c r="AQ93" s="154"/>
      <c r="AR93" s="153"/>
      <c r="AS93" s="153"/>
      <c r="AT93" s="25"/>
      <c r="AU93" s="160"/>
      <c r="AV93" s="106" t="e">
        <f>WEEKNUM(AU93-RESUMEN!$D$7)</f>
        <v>#NUM!</v>
      </c>
      <c r="AW93" s="106">
        <f>_xlfn.DAYS(AU93,RESUMEN!$D$7)</f>
        <v>-43238</v>
      </c>
      <c r="AX93" s="104"/>
      <c r="AY93" s="154"/>
      <c r="AZ93" s="154"/>
      <c r="BA93" s="153"/>
      <c r="BB93" s="153"/>
    </row>
    <row r="94" spans="2:54" x14ac:dyDescent="0.25">
      <c r="B94" s="160"/>
      <c r="C94" s="106" t="e">
        <f>WEEKNUM(B94-RESUMEN!$D$7)</f>
        <v>#NUM!</v>
      </c>
      <c r="D94" s="106">
        <f>_xlfn.DAYS(B94,RESUMEN!$D$7)</f>
        <v>-43238</v>
      </c>
      <c r="E94" s="104"/>
      <c r="F94" s="154"/>
      <c r="G94" s="154"/>
      <c r="H94" s="153"/>
      <c r="I94" s="153"/>
      <c r="J94" s="25"/>
      <c r="K94" s="160"/>
      <c r="L94" s="30" t="e">
        <f>WEEKNUM(K94-RESUMEN!$P$7)</f>
        <v>#NUM!</v>
      </c>
      <c r="M94" s="32">
        <f>_xlfn.DAYS(K94,RESUMEN!$P$7)</f>
        <v>-43242</v>
      </c>
      <c r="N94" s="29"/>
      <c r="O94" s="163"/>
      <c r="P94" s="163"/>
      <c r="Q94" s="162"/>
      <c r="R94" s="153"/>
      <c r="S94" s="25"/>
      <c r="T94" s="160"/>
      <c r="U94" s="30" t="e">
        <f>WEEKNUM(T94-RESUMEN!$AB$7)</f>
        <v>#NUM!</v>
      </c>
      <c r="V94" s="30">
        <f>_xlfn.DAYS(T94,RESUMEN!$AB$7)</f>
        <v>-43247</v>
      </c>
      <c r="W94" s="29"/>
      <c r="X94" s="163"/>
      <c r="Y94" s="163"/>
      <c r="Z94" s="162"/>
      <c r="AA94" s="162"/>
      <c r="AB94" s="25"/>
      <c r="AC94" s="160"/>
      <c r="AD94" s="106" t="e">
        <f>WEEKNUM(AC94-RESUMEN!$AN$7)</f>
        <v>#NUM!</v>
      </c>
      <c r="AE94" s="106">
        <f>_xlfn.DAYS(AC94,RESUMEN!$D$7)</f>
        <v>-43238</v>
      </c>
      <c r="AF94" s="104"/>
      <c r="AG94" s="103"/>
      <c r="AH94" s="154"/>
      <c r="AI94" s="153"/>
      <c r="AJ94" s="153"/>
      <c r="AK94" s="25"/>
      <c r="AL94" s="160"/>
      <c r="AM94" s="106" t="e">
        <f>WEEKNUM(AL94-RESUMEN!$D$7)</f>
        <v>#NUM!</v>
      </c>
      <c r="AN94" s="106">
        <f>_xlfn.DAYS(AL94,RESUMEN!$D$7)</f>
        <v>-43238</v>
      </c>
      <c r="AO94" s="104"/>
      <c r="AP94" s="154"/>
      <c r="AQ94" s="154"/>
      <c r="AR94" s="153"/>
      <c r="AS94" s="153"/>
      <c r="AT94" s="25"/>
      <c r="AU94" s="160"/>
      <c r="AV94" s="106" t="e">
        <f>WEEKNUM(AU94-RESUMEN!$D$7)</f>
        <v>#NUM!</v>
      </c>
      <c r="AW94" s="106">
        <f>_xlfn.DAYS(AU94,RESUMEN!$D$7)</f>
        <v>-43238</v>
      </c>
      <c r="AX94" s="104"/>
      <c r="AY94" s="154"/>
      <c r="AZ94" s="154"/>
      <c r="BA94" s="153"/>
      <c r="BB94" s="153"/>
    </row>
    <row r="95" spans="2:54" x14ac:dyDescent="0.25">
      <c r="B95" s="160"/>
      <c r="C95" s="106" t="e">
        <f>WEEKNUM(B95-RESUMEN!$D$7)</f>
        <v>#NUM!</v>
      </c>
      <c r="D95" s="106">
        <f>_xlfn.DAYS(B95,RESUMEN!$D$7)</f>
        <v>-43238</v>
      </c>
      <c r="E95" s="104"/>
      <c r="F95" s="154"/>
      <c r="G95" s="154"/>
      <c r="H95" s="153"/>
      <c r="I95" s="153"/>
      <c r="J95" s="25"/>
      <c r="K95" s="160"/>
      <c r="L95" s="30" t="e">
        <f>WEEKNUM(K95-RESUMEN!$P$7)</f>
        <v>#NUM!</v>
      </c>
      <c r="M95" s="32">
        <f>_xlfn.DAYS(K95,RESUMEN!$P$7)</f>
        <v>-43242</v>
      </c>
      <c r="N95" s="29"/>
      <c r="O95" s="163"/>
      <c r="P95" s="163"/>
      <c r="Q95" s="162"/>
      <c r="R95" s="153"/>
      <c r="S95" s="25"/>
      <c r="T95" s="160"/>
      <c r="U95" s="30" t="e">
        <f>WEEKNUM(T95-RESUMEN!$AB$7)</f>
        <v>#NUM!</v>
      </c>
      <c r="V95" s="30">
        <f>_xlfn.DAYS(T95,RESUMEN!$AB$7)</f>
        <v>-43247</v>
      </c>
      <c r="W95" s="29"/>
      <c r="X95" s="163"/>
      <c r="Y95" s="163"/>
      <c r="Z95" s="162"/>
      <c r="AA95" s="162"/>
      <c r="AB95" s="25"/>
      <c r="AC95" s="160"/>
      <c r="AD95" s="106" t="e">
        <f>WEEKNUM(AC95-RESUMEN!$AN$7)</f>
        <v>#NUM!</v>
      </c>
      <c r="AE95" s="106">
        <f>_xlfn.DAYS(AC95,RESUMEN!$D$7)</f>
        <v>-43238</v>
      </c>
      <c r="AF95" s="104"/>
      <c r="AG95" s="103"/>
      <c r="AH95" s="154"/>
      <c r="AI95" s="153"/>
      <c r="AJ95" s="153"/>
      <c r="AK95" s="25"/>
      <c r="AL95" s="160"/>
      <c r="AM95" s="106" t="e">
        <f>WEEKNUM(AL95-RESUMEN!$D$7)</f>
        <v>#NUM!</v>
      </c>
      <c r="AN95" s="106">
        <f>_xlfn.DAYS(AL95,RESUMEN!$D$7)</f>
        <v>-43238</v>
      </c>
      <c r="AO95" s="104"/>
      <c r="AP95" s="154"/>
      <c r="AQ95" s="154"/>
      <c r="AR95" s="153"/>
      <c r="AS95" s="153"/>
      <c r="AT95" s="25"/>
      <c r="AU95" s="160"/>
      <c r="AV95" s="106" t="e">
        <f>WEEKNUM(AU95-RESUMEN!$D$7)</f>
        <v>#NUM!</v>
      </c>
      <c r="AW95" s="106">
        <f>_xlfn.DAYS(AU95,RESUMEN!$D$7)</f>
        <v>-43238</v>
      </c>
      <c r="AX95" s="104"/>
      <c r="AY95" s="154"/>
      <c r="AZ95" s="154"/>
      <c r="BA95" s="153"/>
      <c r="BB95" s="153"/>
    </row>
    <row r="96" spans="2:54" x14ac:dyDescent="0.25">
      <c r="B96" s="160"/>
      <c r="C96" s="106" t="e">
        <f>WEEKNUM(B96-RESUMEN!$D$7)</f>
        <v>#NUM!</v>
      </c>
      <c r="D96" s="106">
        <f>_xlfn.DAYS(B96,RESUMEN!$D$7)</f>
        <v>-43238</v>
      </c>
      <c r="E96" s="104"/>
      <c r="F96" s="154"/>
      <c r="G96" s="154"/>
      <c r="H96" s="153"/>
      <c r="I96" s="153"/>
      <c r="J96" s="25"/>
      <c r="K96" s="160"/>
      <c r="L96" s="30" t="e">
        <f>WEEKNUM(K96-RESUMEN!$P$7)</f>
        <v>#NUM!</v>
      </c>
      <c r="M96" s="32">
        <f>_xlfn.DAYS(K96,RESUMEN!$P$7)</f>
        <v>-43242</v>
      </c>
      <c r="N96" s="29"/>
      <c r="O96" s="163"/>
      <c r="P96" s="163"/>
      <c r="Q96" s="162"/>
      <c r="R96" s="153"/>
      <c r="S96" s="25"/>
      <c r="T96" s="160"/>
      <c r="U96" s="30" t="e">
        <f>WEEKNUM(T96-RESUMEN!$AB$7)</f>
        <v>#NUM!</v>
      </c>
      <c r="V96" s="30">
        <f>_xlfn.DAYS(T96,RESUMEN!$AB$7)</f>
        <v>-43247</v>
      </c>
      <c r="W96" s="29"/>
      <c r="X96" s="163"/>
      <c r="Y96" s="163"/>
      <c r="Z96" s="162"/>
      <c r="AA96" s="162"/>
      <c r="AB96" s="25"/>
      <c r="AC96" s="160"/>
      <c r="AD96" s="106" t="e">
        <f>WEEKNUM(AC96-RESUMEN!$AN$7)</f>
        <v>#NUM!</v>
      </c>
      <c r="AE96" s="106">
        <f>_xlfn.DAYS(AC96,RESUMEN!$D$7)</f>
        <v>-43238</v>
      </c>
      <c r="AF96" s="104"/>
      <c r="AG96" s="103"/>
      <c r="AH96" s="154"/>
      <c r="AI96" s="153"/>
      <c r="AJ96" s="153"/>
      <c r="AK96" s="25"/>
      <c r="AL96" s="160"/>
      <c r="AM96" s="106" t="e">
        <f>WEEKNUM(AL96-RESUMEN!$D$7)</f>
        <v>#NUM!</v>
      </c>
      <c r="AN96" s="106">
        <f>_xlfn.DAYS(AL96,RESUMEN!$D$7)</f>
        <v>-43238</v>
      </c>
      <c r="AO96" s="104"/>
      <c r="AP96" s="154"/>
      <c r="AQ96" s="154"/>
      <c r="AR96" s="153"/>
      <c r="AS96" s="153"/>
      <c r="AT96" s="25"/>
      <c r="AU96" s="160"/>
      <c r="AV96" s="106" t="e">
        <f>WEEKNUM(AU96-RESUMEN!$D$7)</f>
        <v>#NUM!</v>
      </c>
      <c r="AW96" s="106">
        <f>_xlfn.DAYS(AU96,RESUMEN!$D$7)</f>
        <v>-43238</v>
      </c>
      <c r="AX96" s="104"/>
      <c r="AY96" s="154"/>
      <c r="AZ96" s="154"/>
      <c r="BA96" s="153"/>
      <c r="BB96" s="153"/>
    </row>
    <row r="97" spans="2:54" x14ac:dyDescent="0.25">
      <c r="B97" s="160"/>
      <c r="C97" s="106" t="e">
        <f>WEEKNUM(B97-RESUMEN!$D$7)</f>
        <v>#NUM!</v>
      </c>
      <c r="D97" s="106">
        <f>_xlfn.DAYS(B97,RESUMEN!$D$7)</f>
        <v>-43238</v>
      </c>
      <c r="E97" s="104"/>
      <c r="F97" s="154"/>
      <c r="G97" s="154"/>
      <c r="H97" s="153"/>
      <c r="I97" s="153"/>
      <c r="J97" s="25"/>
      <c r="K97" s="160"/>
      <c r="L97" s="30" t="e">
        <f>WEEKNUM(K97-RESUMEN!$P$7)</f>
        <v>#NUM!</v>
      </c>
      <c r="M97" s="32">
        <f>_xlfn.DAYS(K97,RESUMEN!$P$7)</f>
        <v>-43242</v>
      </c>
      <c r="N97" s="29"/>
      <c r="O97" s="163"/>
      <c r="P97" s="163"/>
      <c r="Q97" s="162"/>
      <c r="R97" s="153"/>
      <c r="S97" s="25"/>
      <c r="T97" s="160"/>
      <c r="U97" s="30" t="e">
        <f>WEEKNUM(T97-RESUMEN!$AB$7)</f>
        <v>#NUM!</v>
      </c>
      <c r="V97" s="30">
        <f>_xlfn.DAYS(T97,RESUMEN!$AB$7)</f>
        <v>-43247</v>
      </c>
      <c r="W97" s="29"/>
      <c r="X97" s="163"/>
      <c r="Y97" s="163"/>
      <c r="Z97" s="162"/>
      <c r="AA97" s="162"/>
      <c r="AB97" s="25"/>
      <c r="AC97" s="160"/>
      <c r="AD97" s="106" t="e">
        <f>WEEKNUM(AC97-RESUMEN!$AN$7)</f>
        <v>#NUM!</v>
      </c>
      <c r="AE97" s="106">
        <f>_xlfn.DAYS(AC97,RESUMEN!$D$7)</f>
        <v>-43238</v>
      </c>
      <c r="AF97" s="104"/>
      <c r="AG97" s="103"/>
      <c r="AH97" s="154"/>
      <c r="AI97" s="153"/>
      <c r="AJ97" s="153"/>
      <c r="AK97" s="25"/>
      <c r="AL97" s="160"/>
      <c r="AM97" s="106" t="e">
        <f>WEEKNUM(AL97-RESUMEN!$D$7)</f>
        <v>#NUM!</v>
      </c>
      <c r="AN97" s="106">
        <f>_xlfn.DAYS(AL97,RESUMEN!$D$7)</f>
        <v>-43238</v>
      </c>
      <c r="AO97" s="104"/>
      <c r="AP97" s="154"/>
      <c r="AQ97" s="154"/>
      <c r="AR97" s="153"/>
      <c r="AS97" s="153"/>
      <c r="AT97" s="25"/>
      <c r="AU97" s="160"/>
      <c r="AV97" s="106" t="e">
        <f>WEEKNUM(AU97-RESUMEN!$D$7)</f>
        <v>#NUM!</v>
      </c>
      <c r="AW97" s="106">
        <f>_xlfn.DAYS(AU97,RESUMEN!$D$7)</f>
        <v>-43238</v>
      </c>
      <c r="AX97" s="104"/>
      <c r="AY97" s="154"/>
      <c r="AZ97" s="154"/>
      <c r="BA97" s="153"/>
      <c r="BB97" s="153"/>
    </row>
    <row r="98" spans="2:54" x14ac:dyDescent="0.25">
      <c r="B98" s="160"/>
      <c r="C98" s="106" t="e">
        <f>WEEKNUM(B98-RESUMEN!$D$7)</f>
        <v>#NUM!</v>
      </c>
      <c r="D98" s="106">
        <f>_xlfn.DAYS(B98,RESUMEN!$D$7)</f>
        <v>-43238</v>
      </c>
      <c r="E98" s="104"/>
      <c r="F98" s="154"/>
      <c r="G98" s="154"/>
      <c r="H98" s="153"/>
      <c r="I98" s="153"/>
      <c r="J98" s="25"/>
      <c r="K98" s="160"/>
      <c r="L98" s="30" t="e">
        <f>WEEKNUM(K98-RESUMEN!$P$7)</f>
        <v>#NUM!</v>
      </c>
      <c r="M98" s="32">
        <f>_xlfn.DAYS(K98,RESUMEN!$P$7)</f>
        <v>-43242</v>
      </c>
      <c r="N98" s="29"/>
      <c r="O98" s="163"/>
      <c r="P98" s="163"/>
      <c r="Q98" s="162"/>
      <c r="R98" s="153"/>
      <c r="S98" s="25"/>
      <c r="T98" s="160"/>
      <c r="U98" s="30" t="e">
        <f>WEEKNUM(T98-RESUMEN!$AB$7)</f>
        <v>#NUM!</v>
      </c>
      <c r="V98" s="30">
        <f>_xlfn.DAYS(T98,RESUMEN!$AB$7)</f>
        <v>-43247</v>
      </c>
      <c r="W98" s="29"/>
      <c r="X98" s="163"/>
      <c r="Y98" s="163"/>
      <c r="Z98" s="162"/>
      <c r="AA98" s="162"/>
      <c r="AB98" s="25"/>
      <c r="AC98" s="160"/>
      <c r="AD98" s="106" t="e">
        <f>WEEKNUM(AC98-RESUMEN!$AN$7)</f>
        <v>#NUM!</v>
      </c>
      <c r="AE98" s="106">
        <f>_xlfn.DAYS(AC98,RESUMEN!$D$7)</f>
        <v>-43238</v>
      </c>
      <c r="AF98" s="104"/>
      <c r="AG98" s="103"/>
      <c r="AH98" s="154"/>
      <c r="AI98" s="153"/>
      <c r="AJ98" s="153"/>
      <c r="AK98" s="25"/>
      <c r="AL98" s="160"/>
      <c r="AM98" s="106" t="e">
        <f>WEEKNUM(AL98-RESUMEN!$D$7)</f>
        <v>#NUM!</v>
      </c>
      <c r="AN98" s="106">
        <f>_xlfn.DAYS(AL98,RESUMEN!$D$7)</f>
        <v>-43238</v>
      </c>
      <c r="AO98" s="104"/>
      <c r="AP98" s="154"/>
      <c r="AQ98" s="154"/>
      <c r="AR98" s="153"/>
      <c r="AS98" s="153"/>
      <c r="AT98" s="25"/>
      <c r="AU98" s="160"/>
      <c r="AV98" s="106" t="e">
        <f>WEEKNUM(AU98-RESUMEN!$D$7)</f>
        <v>#NUM!</v>
      </c>
      <c r="AW98" s="106">
        <f>_xlfn.DAYS(AU98,RESUMEN!$D$7)</f>
        <v>-43238</v>
      </c>
      <c r="AX98" s="104"/>
      <c r="AY98" s="154"/>
      <c r="AZ98" s="154"/>
      <c r="BA98" s="153"/>
      <c r="BB98" s="153"/>
    </row>
    <row r="99" spans="2:54" x14ac:dyDescent="0.25">
      <c r="B99" s="160"/>
      <c r="C99" s="106" t="e">
        <f>WEEKNUM(B99-RESUMEN!$D$7)</f>
        <v>#NUM!</v>
      </c>
      <c r="D99" s="106">
        <f>_xlfn.DAYS(B99,RESUMEN!$D$7)</f>
        <v>-43238</v>
      </c>
      <c r="E99" s="104"/>
      <c r="F99" s="154"/>
      <c r="G99" s="154"/>
      <c r="H99" s="153"/>
      <c r="I99" s="153"/>
      <c r="J99" s="25"/>
      <c r="K99" s="160"/>
      <c r="L99" s="30" t="e">
        <f>WEEKNUM(K99-RESUMEN!$P$7)</f>
        <v>#NUM!</v>
      </c>
      <c r="M99" s="32">
        <f>_xlfn.DAYS(K99,RESUMEN!$P$7)</f>
        <v>-43242</v>
      </c>
      <c r="N99" s="29"/>
      <c r="O99" s="163"/>
      <c r="P99" s="163"/>
      <c r="Q99" s="162"/>
      <c r="R99" s="153"/>
      <c r="S99" s="25"/>
      <c r="T99" s="160"/>
      <c r="U99" s="30" t="e">
        <f>WEEKNUM(T99-RESUMEN!$AB$7)</f>
        <v>#NUM!</v>
      </c>
      <c r="V99" s="30">
        <f>_xlfn.DAYS(T99,RESUMEN!$AB$7)</f>
        <v>-43247</v>
      </c>
      <c r="W99" s="29"/>
      <c r="X99" s="163"/>
      <c r="Y99" s="163"/>
      <c r="Z99" s="162"/>
      <c r="AA99" s="162"/>
      <c r="AB99" s="25"/>
      <c r="AC99" s="160"/>
      <c r="AD99" s="106" t="e">
        <f>WEEKNUM(AC99-RESUMEN!$AN$7)</f>
        <v>#NUM!</v>
      </c>
      <c r="AE99" s="106">
        <f>_xlfn.DAYS(AC99,RESUMEN!$D$7)</f>
        <v>-43238</v>
      </c>
      <c r="AF99" s="104"/>
      <c r="AG99" s="103"/>
      <c r="AH99" s="154"/>
      <c r="AI99" s="153"/>
      <c r="AJ99" s="153"/>
      <c r="AK99" s="25"/>
      <c r="AL99" s="160"/>
      <c r="AM99" s="106" t="e">
        <f>WEEKNUM(AL99-RESUMEN!$D$7)</f>
        <v>#NUM!</v>
      </c>
      <c r="AN99" s="106">
        <f>_xlfn.DAYS(AL99,RESUMEN!$D$7)</f>
        <v>-43238</v>
      </c>
      <c r="AO99" s="104"/>
      <c r="AP99" s="154"/>
      <c r="AQ99" s="154"/>
      <c r="AR99" s="153"/>
      <c r="AS99" s="153"/>
      <c r="AT99" s="25"/>
      <c r="AU99" s="160"/>
      <c r="AV99" s="106" t="e">
        <f>WEEKNUM(AU99-RESUMEN!$D$7)</f>
        <v>#NUM!</v>
      </c>
      <c r="AW99" s="106">
        <f>_xlfn.DAYS(AU99,RESUMEN!$D$7)</f>
        <v>-43238</v>
      </c>
      <c r="AX99" s="104"/>
      <c r="AY99" s="154"/>
      <c r="AZ99" s="154"/>
      <c r="BA99" s="153"/>
      <c r="BB99" s="153"/>
    </row>
    <row r="100" spans="2:54" x14ac:dyDescent="0.25">
      <c r="B100" s="160"/>
      <c r="C100" s="106" t="e">
        <f>WEEKNUM(B100-RESUMEN!$D$7)</f>
        <v>#NUM!</v>
      </c>
      <c r="D100" s="106">
        <f>_xlfn.DAYS(B100,RESUMEN!$D$7)</f>
        <v>-43238</v>
      </c>
      <c r="E100" s="104"/>
      <c r="F100" s="154"/>
      <c r="G100" s="154"/>
      <c r="H100" s="153"/>
      <c r="I100" s="153"/>
      <c r="J100" s="25"/>
      <c r="K100" s="160"/>
      <c r="L100" s="30" t="e">
        <f>WEEKNUM(K100-RESUMEN!$P$7)</f>
        <v>#NUM!</v>
      </c>
      <c r="M100" s="32">
        <f>_xlfn.DAYS(K100,RESUMEN!$P$7)</f>
        <v>-43242</v>
      </c>
      <c r="N100" s="29"/>
      <c r="O100" s="163"/>
      <c r="P100" s="163"/>
      <c r="Q100" s="162"/>
      <c r="R100" s="153"/>
      <c r="S100" s="25"/>
      <c r="T100" s="160"/>
      <c r="U100" s="30" t="e">
        <f>WEEKNUM(T100-RESUMEN!$AB$7)</f>
        <v>#NUM!</v>
      </c>
      <c r="V100" s="30">
        <f>_xlfn.DAYS(T100,RESUMEN!$AB$7)</f>
        <v>-43247</v>
      </c>
      <c r="W100" s="29"/>
      <c r="X100" s="163"/>
      <c r="Y100" s="163"/>
      <c r="Z100" s="162"/>
      <c r="AA100" s="162"/>
      <c r="AB100" s="25"/>
      <c r="AC100" s="160"/>
      <c r="AD100" s="106" t="e">
        <f>WEEKNUM(AC100-RESUMEN!$AN$7)</f>
        <v>#NUM!</v>
      </c>
      <c r="AE100" s="106">
        <f>_xlfn.DAYS(AC100,RESUMEN!$D$7)</f>
        <v>-43238</v>
      </c>
      <c r="AF100" s="104"/>
      <c r="AG100" s="103"/>
      <c r="AH100" s="154"/>
      <c r="AI100" s="153"/>
      <c r="AJ100" s="153"/>
      <c r="AK100" s="25"/>
      <c r="AL100" s="160"/>
      <c r="AM100" s="106" t="e">
        <f>WEEKNUM(AL100-RESUMEN!$D$7)</f>
        <v>#NUM!</v>
      </c>
      <c r="AN100" s="106">
        <f>_xlfn.DAYS(AL100,RESUMEN!$D$7)</f>
        <v>-43238</v>
      </c>
      <c r="AO100" s="104"/>
      <c r="AP100" s="154"/>
      <c r="AQ100" s="154"/>
      <c r="AR100" s="153"/>
      <c r="AS100" s="153"/>
      <c r="AT100" s="25"/>
      <c r="AU100" s="160"/>
      <c r="AV100" s="106" t="e">
        <f>WEEKNUM(AU100-RESUMEN!$D$7)</f>
        <v>#NUM!</v>
      </c>
      <c r="AW100" s="106">
        <f>_xlfn.DAYS(AU100,RESUMEN!$D$7)</f>
        <v>-43238</v>
      </c>
      <c r="AX100" s="104"/>
      <c r="AY100" s="154"/>
      <c r="AZ100" s="154"/>
      <c r="BA100" s="153"/>
      <c r="BB100" s="153"/>
    </row>
    <row r="101" spans="2:54" x14ac:dyDescent="0.25">
      <c r="B101" s="160"/>
      <c r="C101" s="106" t="e">
        <f>WEEKNUM(B101-RESUMEN!$D$7)</f>
        <v>#NUM!</v>
      </c>
      <c r="D101" s="106">
        <f>_xlfn.DAYS(B101,RESUMEN!$D$7)</f>
        <v>-43238</v>
      </c>
      <c r="E101" s="104"/>
      <c r="F101" s="154"/>
      <c r="G101" s="154"/>
      <c r="H101" s="153"/>
      <c r="I101" s="153"/>
      <c r="J101" s="25"/>
      <c r="K101" s="160"/>
      <c r="L101" s="30" t="e">
        <f>WEEKNUM(K101-RESUMEN!$P$7)</f>
        <v>#NUM!</v>
      </c>
      <c r="M101" s="32">
        <f>_xlfn.DAYS(K101,RESUMEN!$P$7)</f>
        <v>-43242</v>
      </c>
      <c r="N101" s="29"/>
      <c r="O101" s="163"/>
      <c r="P101" s="163"/>
      <c r="Q101" s="162"/>
      <c r="R101" s="153"/>
      <c r="S101" s="25"/>
      <c r="T101" s="160"/>
      <c r="U101" s="30" t="e">
        <f>WEEKNUM(T101-RESUMEN!$AB$7)</f>
        <v>#NUM!</v>
      </c>
      <c r="V101" s="30">
        <f>_xlfn.DAYS(T101,RESUMEN!$AB$7)</f>
        <v>-43247</v>
      </c>
      <c r="W101" s="29"/>
      <c r="X101" s="163"/>
      <c r="Y101" s="163"/>
      <c r="Z101" s="162"/>
      <c r="AA101" s="162"/>
      <c r="AB101" s="25"/>
      <c r="AC101" s="160"/>
      <c r="AD101" s="106" t="e">
        <f>WEEKNUM(AC101-RESUMEN!$AN$7)</f>
        <v>#NUM!</v>
      </c>
      <c r="AE101" s="106">
        <f>_xlfn.DAYS(AC101,RESUMEN!$D$7)</f>
        <v>-43238</v>
      </c>
      <c r="AF101" s="104"/>
      <c r="AG101" s="103"/>
      <c r="AH101" s="154"/>
      <c r="AI101" s="153"/>
      <c r="AJ101" s="153"/>
      <c r="AK101" s="25"/>
      <c r="AL101" s="160"/>
      <c r="AM101" s="106" t="e">
        <f>WEEKNUM(AL101-RESUMEN!$D$7)</f>
        <v>#NUM!</v>
      </c>
      <c r="AN101" s="106">
        <f>_xlfn.DAYS(AL101,RESUMEN!$D$7)</f>
        <v>-43238</v>
      </c>
      <c r="AO101" s="104"/>
      <c r="AP101" s="154"/>
      <c r="AQ101" s="154"/>
      <c r="AR101" s="153"/>
      <c r="AS101" s="153"/>
      <c r="AT101" s="25"/>
      <c r="AU101" s="160"/>
      <c r="AV101" s="106" t="e">
        <f>WEEKNUM(AU101-RESUMEN!$D$7)</f>
        <v>#NUM!</v>
      </c>
      <c r="AW101" s="106">
        <f>_xlfn.DAYS(AU101,RESUMEN!$D$7)</f>
        <v>-43238</v>
      </c>
      <c r="AX101" s="104"/>
      <c r="AY101" s="154"/>
      <c r="AZ101" s="154"/>
      <c r="BA101" s="153"/>
      <c r="BB101" s="153"/>
    </row>
    <row r="102" spans="2:54" x14ac:dyDescent="0.25">
      <c r="B102" s="160"/>
      <c r="C102" s="106" t="e">
        <f>WEEKNUM(B102-RESUMEN!$D$7)</f>
        <v>#NUM!</v>
      </c>
      <c r="D102" s="106">
        <f>_xlfn.DAYS(B102,RESUMEN!$D$7)</f>
        <v>-43238</v>
      </c>
      <c r="E102" s="104"/>
      <c r="F102" s="154"/>
      <c r="G102" s="154"/>
      <c r="H102" s="153"/>
      <c r="I102" s="153"/>
      <c r="J102" s="25"/>
      <c r="K102" s="160"/>
      <c r="L102" s="30" t="e">
        <f>WEEKNUM(K102-RESUMEN!$P$7)</f>
        <v>#NUM!</v>
      </c>
      <c r="M102" s="32">
        <f>_xlfn.DAYS(K102,RESUMEN!$P$7)</f>
        <v>-43242</v>
      </c>
      <c r="N102" s="29"/>
      <c r="O102" s="163"/>
      <c r="P102" s="163"/>
      <c r="Q102" s="162"/>
      <c r="R102" s="153"/>
      <c r="S102" s="25"/>
      <c r="T102" s="160"/>
      <c r="U102" s="30" t="e">
        <f>WEEKNUM(T102-RESUMEN!$AB$7)</f>
        <v>#NUM!</v>
      </c>
      <c r="V102" s="30">
        <f>_xlfn.DAYS(T102,RESUMEN!$AB$7)</f>
        <v>-43247</v>
      </c>
      <c r="W102" s="29"/>
      <c r="X102" s="163"/>
      <c r="Y102" s="163"/>
      <c r="Z102" s="162"/>
      <c r="AA102" s="162"/>
      <c r="AB102" s="25"/>
      <c r="AC102" s="160"/>
      <c r="AD102" s="106" t="e">
        <f>WEEKNUM(AC102-RESUMEN!$AN$7)</f>
        <v>#NUM!</v>
      </c>
      <c r="AE102" s="106">
        <f>_xlfn.DAYS(AC102,RESUMEN!$D$7)</f>
        <v>-43238</v>
      </c>
      <c r="AF102" s="104"/>
      <c r="AG102" s="103"/>
      <c r="AH102" s="154"/>
      <c r="AI102" s="153"/>
      <c r="AJ102" s="153"/>
      <c r="AK102" s="25"/>
      <c r="AL102" s="160"/>
      <c r="AM102" s="106" t="e">
        <f>WEEKNUM(AL102-RESUMEN!$D$7)</f>
        <v>#NUM!</v>
      </c>
      <c r="AN102" s="106">
        <f>_xlfn.DAYS(AL102,RESUMEN!$D$7)</f>
        <v>-43238</v>
      </c>
      <c r="AO102" s="104"/>
      <c r="AP102" s="154"/>
      <c r="AQ102" s="154"/>
      <c r="AR102" s="153"/>
      <c r="AS102" s="153"/>
      <c r="AT102" s="25"/>
      <c r="AU102" s="160"/>
      <c r="AV102" s="106" t="e">
        <f>WEEKNUM(AU102-RESUMEN!$D$7)</f>
        <v>#NUM!</v>
      </c>
      <c r="AW102" s="106">
        <f>_xlfn.DAYS(AU102,RESUMEN!$D$7)</f>
        <v>-43238</v>
      </c>
      <c r="AX102" s="104"/>
      <c r="AY102" s="154"/>
      <c r="AZ102" s="154"/>
      <c r="BA102" s="153"/>
      <c r="BB102" s="153"/>
    </row>
    <row r="103" spans="2:54" x14ac:dyDescent="0.25">
      <c r="B103" s="160"/>
      <c r="C103" s="106" t="e">
        <f>WEEKNUM(B103-RESUMEN!$D$7)</f>
        <v>#NUM!</v>
      </c>
      <c r="D103" s="106">
        <f>_xlfn.DAYS(B103,RESUMEN!$D$7)</f>
        <v>-43238</v>
      </c>
      <c r="E103" s="104"/>
      <c r="F103" s="154"/>
      <c r="G103" s="154"/>
      <c r="H103" s="153"/>
      <c r="I103" s="153"/>
      <c r="J103" s="25"/>
      <c r="K103" s="160"/>
      <c r="L103" s="30" t="e">
        <f>WEEKNUM(K103-RESUMEN!$P$7)</f>
        <v>#NUM!</v>
      </c>
      <c r="M103" s="32">
        <f>_xlfn.DAYS(K103,RESUMEN!$P$7)</f>
        <v>-43242</v>
      </c>
      <c r="N103" s="29"/>
      <c r="O103" s="163"/>
      <c r="P103" s="163"/>
      <c r="Q103" s="162"/>
      <c r="R103" s="153"/>
      <c r="S103" s="25"/>
      <c r="T103" s="160"/>
      <c r="U103" s="30" t="e">
        <f>WEEKNUM(T103-RESUMEN!$AB$7)</f>
        <v>#NUM!</v>
      </c>
      <c r="V103" s="30">
        <f>_xlfn.DAYS(T103,RESUMEN!$AB$7)</f>
        <v>-43247</v>
      </c>
      <c r="W103" s="29"/>
      <c r="X103" s="163"/>
      <c r="Y103" s="163"/>
      <c r="Z103" s="162"/>
      <c r="AA103" s="162"/>
      <c r="AB103" s="25"/>
      <c r="AC103" s="160"/>
      <c r="AD103" s="106" t="e">
        <f>WEEKNUM(AC103-RESUMEN!$AN$7)</f>
        <v>#NUM!</v>
      </c>
      <c r="AE103" s="106">
        <f>_xlfn.DAYS(AC103,RESUMEN!$D$7)</f>
        <v>-43238</v>
      </c>
      <c r="AF103" s="104"/>
      <c r="AG103" s="103"/>
      <c r="AH103" s="154"/>
      <c r="AI103" s="153"/>
      <c r="AJ103" s="153"/>
      <c r="AK103" s="25"/>
      <c r="AL103" s="160"/>
      <c r="AM103" s="106" t="e">
        <f>WEEKNUM(AL103-RESUMEN!$D$7)</f>
        <v>#NUM!</v>
      </c>
      <c r="AN103" s="106">
        <f>_xlfn.DAYS(AL103,RESUMEN!$D$7)</f>
        <v>-43238</v>
      </c>
      <c r="AO103" s="104"/>
      <c r="AP103" s="154"/>
      <c r="AQ103" s="154"/>
      <c r="AR103" s="153"/>
      <c r="AS103" s="153"/>
      <c r="AT103" s="25"/>
      <c r="AU103" s="160"/>
      <c r="AV103" s="106" t="e">
        <f>WEEKNUM(AU103-RESUMEN!$D$7)</f>
        <v>#NUM!</v>
      </c>
      <c r="AW103" s="106">
        <f>_xlfn.DAYS(AU103,RESUMEN!$D$7)</f>
        <v>-43238</v>
      </c>
      <c r="AX103" s="104"/>
      <c r="AY103" s="154"/>
      <c r="AZ103" s="154"/>
      <c r="BA103" s="153"/>
      <c r="BB103" s="153"/>
    </row>
    <row r="104" spans="2:54" x14ac:dyDescent="0.25">
      <c r="B104" s="160"/>
      <c r="C104" s="106" t="e">
        <f>WEEKNUM(B104-RESUMEN!$D$7)</f>
        <v>#NUM!</v>
      </c>
      <c r="D104" s="106">
        <f>_xlfn.DAYS(B104,RESUMEN!$D$7)</f>
        <v>-43238</v>
      </c>
      <c r="E104" s="104"/>
      <c r="F104" s="154"/>
      <c r="G104" s="154"/>
      <c r="H104" s="153"/>
      <c r="I104" s="153"/>
      <c r="J104" s="25"/>
      <c r="K104" s="160"/>
      <c r="L104" s="30" t="e">
        <f>WEEKNUM(K104-RESUMEN!$P$7)</f>
        <v>#NUM!</v>
      </c>
      <c r="M104" s="32">
        <f>_xlfn.DAYS(K104,RESUMEN!$P$7)</f>
        <v>-43242</v>
      </c>
      <c r="N104" s="29"/>
      <c r="O104" s="163"/>
      <c r="P104" s="163"/>
      <c r="Q104" s="162"/>
      <c r="R104" s="153"/>
      <c r="S104" s="25"/>
      <c r="T104" s="160"/>
      <c r="U104" s="30" t="e">
        <f>WEEKNUM(T104-RESUMEN!$AB$7)</f>
        <v>#NUM!</v>
      </c>
      <c r="V104" s="30">
        <f>_xlfn.DAYS(T104,RESUMEN!$AB$7)</f>
        <v>-43247</v>
      </c>
      <c r="W104" s="29"/>
      <c r="X104" s="163"/>
      <c r="Y104" s="163"/>
      <c r="Z104" s="162"/>
      <c r="AA104" s="162"/>
      <c r="AB104" s="25"/>
      <c r="AC104" s="160"/>
      <c r="AD104" s="106" t="e">
        <f>WEEKNUM(AC104-RESUMEN!$AN$7)</f>
        <v>#NUM!</v>
      </c>
      <c r="AE104" s="106">
        <f>_xlfn.DAYS(AC104,RESUMEN!$D$7)</f>
        <v>-43238</v>
      </c>
      <c r="AF104" s="104"/>
      <c r="AG104" s="103"/>
      <c r="AH104" s="154"/>
      <c r="AI104" s="153"/>
      <c r="AJ104" s="153"/>
      <c r="AK104" s="25"/>
      <c r="AL104" s="160"/>
      <c r="AM104" s="106" t="e">
        <f>WEEKNUM(AL104-RESUMEN!$D$7)</f>
        <v>#NUM!</v>
      </c>
      <c r="AN104" s="106">
        <f>_xlfn.DAYS(AL104,RESUMEN!$D$7)</f>
        <v>-43238</v>
      </c>
      <c r="AO104" s="104"/>
      <c r="AP104" s="154"/>
      <c r="AQ104" s="154"/>
      <c r="AR104" s="153"/>
      <c r="AS104" s="153"/>
      <c r="AT104" s="25"/>
      <c r="AU104" s="160"/>
      <c r="AV104" s="106" t="e">
        <f>WEEKNUM(AU104-RESUMEN!$D$7)</f>
        <v>#NUM!</v>
      </c>
      <c r="AW104" s="106">
        <f>_xlfn.DAYS(AU104,RESUMEN!$D$7)</f>
        <v>-43238</v>
      </c>
      <c r="AX104" s="104"/>
      <c r="AY104" s="154"/>
      <c r="AZ104" s="154"/>
      <c r="BA104" s="153"/>
      <c r="BB104" s="153"/>
    </row>
    <row r="105" spans="2:54" x14ac:dyDescent="0.25">
      <c r="B105" s="160"/>
      <c r="C105" s="106" t="e">
        <f>WEEKNUM(B105-RESUMEN!$D$7)</f>
        <v>#NUM!</v>
      </c>
      <c r="D105" s="106">
        <f>_xlfn.DAYS(B105,RESUMEN!$D$7)</f>
        <v>-43238</v>
      </c>
      <c r="E105" s="104"/>
      <c r="F105" s="154"/>
      <c r="G105" s="154"/>
      <c r="H105" s="153"/>
      <c r="I105" s="153"/>
      <c r="J105" s="25"/>
      <c r="K105" s="160"/>
      <c r="L105" s="30" t="e">
        <f>WEEKNUM(K105-RESUMEN!$P$7)</f>
        <v>#NUM!</v>
      </c>
      <c r="M105" s="32">
        <f>_xlfn.DAYS(K105,RESUMEN!$P$7)</f>
        <v>-43242</v>
      </c>
      <c r="N105" s="29"/>
      <c r="O105" s="163"/>
      <c r="P105" s="163"/>
      <c r="Q105" s="162"/>
      <c r="R105" s="153"/>
      <c r="S105" s="25"/>
      <c r="T105" s="160"/>
      <c r="U105" s="30" t="e">
        <f>WEEKNUM(T105-RESUMEN!$AB$7)</f>
        <v>#NUM!</v>
      </c>
      <c r="V105" s="30">
        <f>_xlfn.DAYS(T105,RESUMEN!$AB$7)</f>
        <v>-43247</v>
      </c>
      <c r="W105" s="29"/>
      <c r="X105" s="163"/>
      <c r="Y105" s="163"/>
      <c r="Z105" s="162"/>
      <c r="AA105" s="162"/>
      <c r="AB105" s="25"/>
      <c r="AC105" s="160"/>
      <c r="AD105" s="106" t="e">
        <f>WEEKNUM(AC105-RESUMEN!$AN$7)</f>
        <v>#NUM!</v>
      </c>
      <c r="AE105" s="106">
        <f>_xlfn.DAYS(AC105,RESUMEN!$D$7)</f>
        <v>-43238</v>
      </c>
      <c r="AF105" s="104"/>
      <c r="AG105" s="103"/>
      <c r="AH105" s="154"/>
      <c r="AI105" s="153"/>
      <c r="AJ105" s="153"/>
      <c r="AK105" s="25"/>
      <c r="AL105" s="160"/>
      <c r="AM105" s="106" t="e">
        <f>WEEKNUM(AL105-RESUMEN!$D$7)</f>
        <v>#NUM!</v>
      </c>
      <c r="AN105" s="106">
        <f>_xlfn.DAYS(AL105,RESUMEN!$D$7)</f>
        <v>-43238</v>
      </c>
      <c r="AO105" s="104"/>
      <c r="AP105" s="154"/>
      <c r="AQ105" s="154"/>
      <c r="AR105" s="153"/>
      <c r="AS105" s="153"/>
      <c r="AT105" s="25"/>
      <c r="AU105" s="160"/>
      <c r="AV105" s="106" t="e">
        <f>WEEKNUM(AU105-RESUMEN!$D$7)</f>
        <v>#NUM!</v>
      </c>
      <c r="AW105" s="106">
        <f>_xlfn.DAYS(AU105,RESUMEN!$D$7)</f>
        <v>-43238</v>
      </c>
      <c r="AX105" s="104"/>
      <c r="AY105" s="154"/>
      <c r="AZ105" s="154"/>
      <c r="BA105" s="153"/>
      <c r="BB105" s="153"/>
    </row>
    <row r="106" spans="2:54" x14ac:dyDescent="0.25">
      <c r="B106" s="160"/>
      <c r="C106" s="106" t="e">
        <f>WEEKNUM(B106-RESUMEN!$D$7)</f>
        <v>#NUM!</v>
      </c>
      <c r="D106" s="106">
        <f>_xlfn.DAYS(B106,RESUMEN!$D$7)</f>
        <v>-43238</v>
      </c>
      <c r="E106" s="104"/>
      <c r="F106" s="154"/>
      <c r="G106" s="154"/>
      <c r="H106" s="153"/>
      <c r="I106" s="153"/>
      <c r="J106" s="25"/>
      <c r="K106" s="160"/>
      <c r="L106" s="30" t="e">
        <f>WEEKNUM(K106-RESUMEN!$P$7)</f>
        <v>#NUM!</v>
      </c>
      <c r="M106" s="32">
        <f>_xlfn.DAYS(K106,RESUMEN!$P$7)</f>
        <v>-43242</v>
      </c>
      <c r="N106" s="29"/>
      <c r="O106" s="163"/>
      <c r="P106" s="163"/>
      <c r="Q106" s="162"/>
      <c r="R106" s="153"/>
      <c r="S106" s="25"/>
      <c r="T106" s="160"/>
      <c r="U106" s="30" t="e">
        <f>WEEKNUM(T106-RESUMEN!$AB$7)</f>
        <v>#NUM!</v>
      </c>
      <c r="V106" s="30">
        <f>_xlfn.DAYS(T106,RESUMEN!$AB$7)</f>
        <v>-43247</v>
      </c>
      <c r="W106" s="29"/>
      <c r="X106" s="163"/>
      <c r="Y106" s="163"/>
      <c r="Z106" s="162"/>
      <c r="AA106" s="162"/>
      <c r="AB106" s="25"/>
      <c r="AC106" s="160"/>
      <c r="AD106" s="106" t="e">
        <f>WEEKNUM(AC106-RESUMEN!$AN$7)</f>
        <v>#NUM!</v>
      </c>
      <c r="AE106" s="106">
        <f>_xlfn.DAYS(AC106,RESUMEN!$D$7)</f>
        <v>-43238</v>
      </c>
      <c r="AF106" s="104"/>
      <c r="AG106" s="103"/>
      <c r="AH106" s="154"/>
      <c r="AI106" s="153"/>
      <c r="AJ106" s="153"/>
      <c r="AK106" s="25"/>
      <c r="AL106" s="160"/>
      <c r="AM106" s="106" t="e">
        <f>WEEKNUM(AL106-RESUMEN!$D$7)</f>
        <v>#NUM!</v>
      </c>
      <c r="AN106" s="106">
        <f>_xlfn.DAYS(AL106,RESUMEN!$D$7)</f>
        <v>-43238</v>
      </c>
      <c r="AO106" s="104"/>
      <c r="AP106" s="154"/>
      <c r="AQ106" s="154"/>
      <c r="AR106" s="153"/>
      <c r="AS106" s="153"/>
      <c r="AT106" s="25"/>
      <c r="AU106" s="160"/>
      <c r="AV106" s="106" t="e">
        <f>WEEKNUM(AU106-RESUMEN!$D$7)</f>
        <v>#NUM!</v>
      </c>
      <c r="AW106" s="106">
        <f>_xlfn.DAYS(AU106,RESUMEN!$D$7)</f>
        <v>-43238</v>
      </c>
      <c r="AX106" s="104"/>
      <c r="AY106" s="154"/>
      <c r="AZ106" s="154"/>
      <c r="BA106" s="153"/>
      <c r="BB106" s="153"/>
    </row>
    <row r="107" spans="2:54" x14ac:dyDescent="0.25">
      <c r="B107" s="160"/>
      <c r="C107" s="106" t="e">
        <f>WEEKNUM(B107-RESUMEN!$D$7)</f>
        <v>#NUM!</v>
      </c>
      <c r="D107" s="106">
        <f>_xlfn.DAYS(B107,RESUMEN!$D$7)</f>
        <v>-43238</v>
      </c>
      <c r="E107" s="104"/>
      <c r="F107" s="154"/>
      <c r="G107" s="154"/>
      <c r="H107" s="153"/>
      <c r="I107" s="153"/>
      <c r="J107" s="25"/>
      <c r="K107" s="160"/>
      <c r="L107" s="30" t="e">
        <f>WEEKNUM(K107-RESUMEN!$P$7)</f>
        <v>#NUM!</v>
      </c>
      <c r="M107" s="32">
        <f>_xlfn.DAYS(K107,RESUMEN!$P$7)</f>
        <v>-43242</v>
      </c>
      <c r="N107" s="29"/>
      <c r="O107" s="163"/>
      <c r="P107" s="163"/>
      <c r="Q107" s="162"/>
      <c r="R107" s="153"/>
      <c r="S107" s="25"/>
      <c r="T107" s="160"/>
      <c r="U107" s="30" t="e">
        <f>WEEKNUM(T107-RESUMEN!$AB$7)</f>
        <v>#NUM!</v>
      </c>
      <c r="V107" s="30">
        <f>_xlfn.DAYS(T107,RESUMEN!$AB$7)</f>
        <v>-43247</v>
      </c>
      <c r="W107" s="29"/>
      <c r="X107" s="163"/>
      <c r="Y107" s="163"/>
      <c r="Z107" s="162"/>
      <c r="AA107" s="162"/>
      <c r="AB107" s="25"/>
      <c r="AC107" s="160"/>
      <c r="AD107" s="106" t="e">
        <f>WEEKNUM(AC107-RESUMEN!$AN$7)</f>
        <v>#NUM!</v>
      </c>
      <c r="AE107" s="106">
        <f>_xlfn.DAYS(AC107,RESUMEN!$D$7)</f>
        <v>-43238</v>
      </c>
      <c r="AF107" s="104"/>
      <c r="AG107" s="103"/>
      <c r="AH107" s="154"/>
      <c r="AI107" s="153"/>
      <c r="AJ107" s="153"/>
      <c r="AK107" s="25"/>
      <c r="AL107" s="160"/>
      <c r="AM107" s="106" t="e">
        <f>WEEKNUM(AL107-RESUMEN!$D$7)</f>
        <v>#NUM!</v>
      </c>
      <c r="AN107" s="106">
        <f>_xlfn.DAYS(AL107,RESUMEN!$D$7)</f>
        <v>-43238</v>
      </c>
      <c r="AO107" s="104"/>
      <c r="AP107" s="154"/>
      <c r="AQ107" s="154"/>
      <c r="AR107" s="153"/>
      <c r="AS107" s="153"/>
      <c r="AT107" s="25"/>
      <c r="AU107" s="160"/>
      <c r="AV107" s="106" t="e">
        <f>WEEKNUM(AU107-RESUMEN!$D$7)</f>
        <v>#NUM!</v>
      </c>
      <c r="AW107" s="106">
        <f>_xlfn.DAYS(AU107,RESUMEN!$D$7)</f>
        <v>-43238</v>
      </c>
      <c r="AX107" s="104"/>
      <c r="AY107" s="154"/>
      <c r="AZ107" s="154"/>
      <c r="BA107" s="153"/>
      <c r="BB107" s="153"/>
    </row>
    <row r="108" spans="2:54" x14ac:dyDescent="0.25">
      <c r="B108" s="160"/>
      <c r="C108" s="106" t="e">
        <f>WEEKNUM(B108-RESUMEN!$D$7)</f>
        <v>#NUM!</v>
      </c>
      <c r="D108" s="106">
        <f>_xlfn.DAYS(B108,RESUMEN!$D$7)</f>
        <v>-43238</v>
      </c>
      <c r="E108" s="104"/>
      <c r="F108" s="154"/>
      <c r="G108" s="154"/>
      <c r="H108" s="153"/>
      <c r="I108" s="153"/>
      <c r="J108" s="25"/>
      <c r="K108" s="160"/>
      <c r="L108" s="30" t="e">
        <f>WEEKNUM(K108-RESUMEN!$P$7)</f>
        <v>#NUM!</v>
      </c>
      <c r="M108" s="32">
        <f>_xlfn.DAYS(K108,RESUMEN!$P$7)</f>
        <v>-43242</v>
      </c>
      <c r="N108" s="29"/>
      <c r="O108" s="163"/>
      <c r="P108" s="163"/>
      <c r="Q108" s="162"/>
      <c r="R108" s="153"/>
      <c r="S108" s="25"/>
      <c r="T108" s="160"/>
      <c r="U108" s="30" t="e">
        <f>WEEKNUM(T108-RESUMEN!$AB$7)</f>
        <v>#NUM!</v>
      </c>
      <c r="V108" s="30">
        <f>_xlfn.DAYS(T108,RESUMEN!$AB$7)</f>
        <v>-43247</v>
      </c>
      <c r="W108" s="29"/>
      <c r="X108" s="163"/>
      <c r="Y108" s="163"/>
      <c r="Z108" s="162"/>
      <c r="AA108" s="162"/>
      <c r="AB108" s="25"/>
      <c r="AC108" s="160"/>
      <c r="AD108" s="106" t="e">
        <f>WEEKNUM(AC108-RESUMEN!$AN$7)</f>
        <v>#NUM!</v>
      </c>
      <c r="AE108" s="106">
        <f>_xlfn.DAYS(AC108,RESUMEN!$D$7)</f>
        <v>-43238</v>
      </c>
      <c r="AF108" s="104"/>
      <c r="AG108" s="103"/>
      <c r="AH108" s="154"/>
      <c r="AI108" s="153"/>
      <c r="AJ108" s="153"/>
      <c r="AK108" s="25"/>
      <c r="AL108" s="160"/>
      <c r="AM108" s="106" t="e">
        <f>WEEKNUM(AL108-RESUMEN!$D$7)</f>
        <v>#NUM!</v>
      </c>
      <c r="AN108" s="106">
        <f>_xlfn.DAYS(AL108,RESUMEN!$D$7)</f>
        <v>-43238</v>
      </c>
      <c r="AO108" s="104"/>
      <c r="AP108" s="154"/>
      <c r="AQ108" s="154"/>
      <c r="AR108" s="153"/>
      <c r="AS108" s="153"/>
      <c r="AT108" s="25"/>
      <c r="AU108" s="160"/>
      <c r="AV108" s="106" t="e">
        <f>WEEKNUM(AU108-RESUMEN!$D$7)</f>
        <v>#NUM!</v>
      </c>
      <c r="AW108" s="106">
        <f>_xlfn.DAYS(AU108,RESUMEN!$D$7)</f>
        <v>-43238</v>
      </c>
      <c r="AX108" s="104"/>
      <c r="AY108" s="154"/>
      <c r="AZ108" s="154"/>
      <c r="BA108" s="153"/>
      <c r="BB108" s="153"/>
    </row>
    <row r="109" spans="2:54" x14ac:dyDescent="0.25">
      <c r="B109" s="160"/>
      <c r="C109" s="106" t="e">
        <f>WEEKNUM(B109-RESUMEN!$D$7)</f>
        <v>#NUM!</v>
      </c>
      <c r="D109" s="106">
        <f>_xlfn.DAYS(B109,RESUMEN!$D$7)</f>
        <v>-43238</v>
      </c>
      <c r="E109" s="104"/>
      <c r="F109" s="154"/>
      <c r="G109" s="154"/>
      <c r="H109" s="153"/>
      <c r="I109" s="153"/>
      <c r="J109" s="25"/>
      <c r="K109" s="160"/>
      <c r="L109" s="30" t="e">
        <f>WEEKNUM(K109-RESUMEN!$P$7)</f>
        <v>#NUM!</v>
      </c>
      <c r="M109" s="32">
        <f>_xlfn.DAYS(K109,RESUMEN!$P$7)</f>
        <v>-43242</v>
      </c>
      <c r="N109" s="29"/>
      <c r="O109" s="163"/>
      <c r="P109" s="163"/>
      <c r="Q109" s="162"/>
      <c r="R109" s="153"/>
      <c r="S109" s="25"/>
      <c r="T109" s="160"/>
      <c r="U109" s="30" t="e">
        <f>WEEKNUM(T109-RESUMEN!$AB$7)</f>
        <v>#NUM!</v>
      </c>
      <c r="V109" s="30">
        <f>_xlfn.DAYS(T109,RESUMEN!$AB$7)</f>
        <v>-43247</v>
      </c>
      <c r="W109" s="29"/>
      <c r="X109" s="163"/>
      <c r="Y109" s="163"/>
      <c r="Z109" s="162"/>
      <c r="AA109" s="162"/>
      <c r="AB109" s="25"/>
      <c r="AC109" s="160"/>
      <c r="AD109" s="106" t="e">
        <f>WEEKNUM(AC109-RESUMEN!$AN$7)</f>
        <v>#NUM!</v>
      </c>
      <c r="AE109" s="106">
        <f>_xlfn.DAYS(AC109,RESUMEN!$D$7)</f>
        <v>-43238</v>
      </c>
      <c r="AF109" s="104"/>
      <c r="AG109" s="103"/>
      <c r="AH109" s="154"/>
      <c r="AI109" s="153"/>
      <c r="AJ109" s="153"/>
      <c r="AK109" s="25"/>
      <c r="AL109" s="160"/>
      <c r="AM109" s="106" t="e">
        <f>WEEKNUM(AL109-RESUMEN!$D$7)</f>
        <v>#NUM!</v>
      </c>
      <c r="AN109" s="106">
        <f>_xlfn.DAYS(AL109,RESUMEN!$D$7)</f>
        <v>-43238</v>
      </c>
      <c r="AO109" s="104"/>
      <c r="AP109" s="154"/>
      <c r="AQ109" s="154"/>
      <c r="AR109" s="153"/>
      <c r="AS109" s="153"/>
      <c r="AT109" s="25"/>
      <c r="AU109" s="160"/>
      <c r="AV109" s="106" t="e">
        <f>WEEKNUM(AU109-RESUMEN!$D$7)</f>
        <v>#NUM!</v>
      </c>
      <c r="AW109" s="106">
        <f>_xlfn.DAYS(AU109,RESUMEN!$D$7)</f>
        <v>-43238</v>
      </c>
      <c r="AX109" s="104"/>
      <c r="AY109" s="154"/>
      <c r="AZ109" s="154"/>
      <c r="BA109" s="153"/>
      <c r="BB109" s="153"/>
    </row>
    <row r="110" spans="2:54" x14ac:dyDescent="0.25">
      <c r="B110" s="160"/>
      <c r="C110" s="106" t="e">
        <f>WEEKNUM(B110-RESUMEN!$D$7)</f>
        <v>#NUM!</v>
      </c>
      <c r="D110" s="106">
        <f>_xlfn.DAYS(B110,RESUMEN!$D$7)</f>
        <v>-43238</v>
      </c>
      <c r="E110" s="104"/>
      <c r="F110" s="154"/>
      <c r="G110" s="154"/>
      <c r="H110" s="153"/>
      <c r="I110" s="153"/>
      <c r="J110" s="25"/>
      <c r="K110" s="160"/>
      <c r="L110" s="30" t="e">
        <f>WEEKNUM(K110-RESUMEN!$P$7)</f>
        <v>#NUM!</v>
      </c>
      <c r="M110" s="32">
        <f>_xlfn.DAYS(K110,RESUMEN!$P$7)</f>
        <v>-43242</v>
      </c>
      <c r="N110" s="29"/>
      <c r="O110" s="163"/>
      <c r="P110" s="163"/>
      <c r="Q110" s="162"/>
      <c r="R110" s="153"/>
      <c r="S110" s="25"/>
      <c r="T110" s="160"/>
      <c r="U110" s="30" t="e">
        <f>WEEKNUM(T110-RESUMEN!$AB$7)</f>
        <v>#NUM!</v>
      </c>
      <c r="V110" s="30">
        <f>_xlfn.DAYS(T110,RESUMEN!$AB$7)</f>
        <v>-43247</v>
      </c>
      <c r="W110" s="29"/>
      <c r="X110" s="163"/>
      <c r="Y110" s="163"/>
      <c r="Z110" s="162"/>
      <c r="AA110" s="162"/>
      <c r="AB110" s="25"/>
      <c r="AC110" s="160"/>
      <c r="AD110" s="106" t="e">
        <f>WEEKNUM(AC110-RESUMEN!$AN$7)</f>
        <v>#NUM!</v>
      </c>
      <c r="AE110" s="106">
        <f>_xlfn.DAYS(AC110,RESUMEN!$D$7)</f>
        <v>-43238</v>
      </c>
      <c r="AF110" s="104"/>
      <c r="AG110" s="103"/>
      <c r="AH110" s="154"/>
      <c r="AI110" s="153"/>
      <c r="AJ110" s="153"/>
      <c r="AK110" s="25"/>
      <c r="AL110" s="160"/>
      <c r="AM110" s="106" t="e">
        <f>WEEKNUM(AL110-RESUMEN!$D$7)</f>
        <v>#NUM!</v>
      </c>
      <c r="AN110" s="106">
        <f>_xlfn.DAYS(AL110,RESUMEN!$D$7)</f>
        <v>-43238</v>
      </c>
      <c r="AO110" s="104"/>
      <c r="AP110" s="154"/>
      <c r="AQ110" s="154"/>
      <c r="AR110" s="153"/>
      <c r="AS110" s="153"/>
      <c r="AT110" s="25"/>
      <c r="AU110" s="160"/>
      <c r="AV110" s="106" t="e">
        <f>WEEKNUM(AU110-RESUMEN!$D$7)</f>
        <v>#NUM!</v>
      </c>
      <c r="AW110" s="106">
        <f>_xlfn.DAYS(AU110,RESUMEN!$D$7)</f>
        <v>-43238</v>
      </c>
      <c r="AX110" s="104"/>
      <c r="AY110" s="154"/>
      <c r="AZ110" s="154"/>
      <c r="BA110" s="153"/>
      <c r="BB110" s="153"/>
    </row>
    <row r="111" spans="2:54" x14ac:dyDescent="0.25">
      <c r="B111" s="160"/>
      <c r="C111" s="106" t="e">
        <f>WEEKNUM(B111-RESUMEN!$D$7)</f>
        <v>#NUM!</v>
      </c>
      <c r="D111" s="106">
        <f>_xlfn.DAYS(B111,RESUMEN!$D$7)</f>
        <v>-43238</v>
      </c>
      <c r="E111" s="104"/>
      <c r="F111" s="154"/>
      <c r="G111" s="154"/>
      <c r="H111" s="153"/>
      <c r="I111" s="153"/>
      <c r="J111" s="25"/>
      <c r="K111" s="160"/>
      <c r="L111" s="30" t="e">
        <f>WEEKNUM(K111-RESUMEN!$P$7)</f>
        <v>#NUM!</v>
      </c>
      <c r="M111" s="32">
        <f>_xlfn.DAYS(K111,RESUMEN!$P$7)</f>
        <v>-43242</v>
      </c>
      <c r="N111" s="29"/>
      <c r="O111" s="163"/>
      <c r="P111" s="163"/>
      <c r="Q111" s="162"/>
      <c r="R111" s="153"/>
      <c r="S111" s="25"/>
      <c r="T111" s="160"/>
      <c r="U111" s="30" t="e">
        <f>WEEKNUM(T111-RESUMEN!$AB$7)</f>
        <v>#NUM!</v>
      </c>
      <c r="V111" s="30">
        <f>_xlfn.DAYS(T111,RESUMEN!$AB$7)</f>
        <v>-43247</v>
      </c>
      <c r="W111" s="29"/>
      <c r="X111" s="163"/>
      <c r="Y111" s="163"/>
      <c r="Z111" s="162"/>
      <c r="AA111" s="162"/>
      <c r="AB111" s="25"/>
      <c r="AC111" s="160"/>
      <c r="AD111" s="106" t="e">
        <f>WEEKNUM(AC111-RESUMEN!$AN$7)</f>
        <v>#NUM!</v>
      </c>
      <c r="AE111" s="106">
        <f>_xlfn.DAYS(AC111,RESUMEN!$D$7)</f>
        <v>-43238</v>
      </c>
      <c r="AF111" s="104"/>
      <c r="AG111" s="103"/>
      <c r="AH111" s="154"/>
      <c r="AI111" s="153"/>
      <c r="AJ111" s="153"/>
      <c r="AK111" s="25"/>
      <c r="AL111" s="160"/>
      <c r="AM111" s="106" t="e">
        <f>WEEKNUM(AL111-RESUMEN!$D$7)</f>
        <v>#NUM!</v>
      </c>
      <c r="AN111" s="106">
        <f>_xlfn.DAYS(AL111,RESUMEN!$D$7)</f>
        <v>-43238</v>
      </c>
      <c r="AO111" s="104"/>
      <c r="AP111" s="154"/>
      <c r="AQ111" s="154"/>
      <c r="AR111" s="153"/>
      <c r="AS111" s="153"/>
      <c r="AT111" s="25"/>
      <c r="AU111" s="160"/>
      <c r="AV111" s="106" t="e">
        <f>WEEKNUM(AU111-RESUMEN!$D$7)</f>
        <v>#NUM!</v>
      </c>
      <c r="AW111" s="106">
        <f>_xlfn.DAYS(AU111,RESUMEN!$D$7)</f>
        <v>-43238</v>
      </c>
      <c r="AX111" s="104"/>
      <c r="AY111" s="154"/>
      <c r="AZ111" s="154"/>
      <c r="BA111" s="153"/>
      <c r="BB111" s="153"/>
    </row>
    <row r="112" spans="2:54" x14ac:dyDescent="0.25">
      <c r="B112" s="160"/>
      <c r="C112" s="106" t="e">
        <f>WEEKNUM(B112-RESUMEN!$D$7)</f>
        <v>#NUM!</v>
      </c>
      <c r="D112" s="106">
        <f>_xlfn.DAYS(B112,RESUMEN!$D$7)</f>
        <v>-43238</v>
      </c>
      <c r="E112" s="104"/>
      <c r="F112" s="154"/>
      <c r="G112" s="154"/>
      <c r="H112" s="153"/>
      <c r="I112" s="153"/>
      <c r="J112" s="25"/>
      <c r="K112" s="160"/>
      <c r="L112" s="30" t="e">
        <f>WEEKNUM(K112-RESUMEN!$P$7)</f>
        <v>#NUM!</v>
      </c>
      <c r="M112" s="32">
        <f>_xlfn.DAYS(K112,RESUMEN!$P$7)</f>
        <v>-43242</v>
      </c>
      <c r="N112" s="29"/>
      <c r="O112" s="163"/>
      <c r="P112" s="163"/>
      <c r="Q112" s="162"/>
      <c r="R112" s="153"/>
      <c r="S112" s="25"/>
      <c r="T112" s="160"/>
      <c r="U112" s="30" t="e">
        <f>WEEKNUM(T112-RESUMEN!$AB$7)</f>
        <v>#NUM!</v>
      </c>
      <c r="V112" s="30">
        <f>_xlfn.DAYS(T112,RESUMEN!$AB$7)</f>
        <v>-43247</v>
      </c>
      <c r="W112" s="29"/>
      <c r="X112" s="163"/>
      <c r="Y112" s="163"/>
      <c r="Z112" s="162"/>
      <c r="AA112" s="162"/>
      <c r="AB112" s="25"/>
      <c r="AC112" s="160"/>
      <c r="AD112" s="106" t="e">
        <f>WEEKNUM(AC112-RESUMEN!$AN$7)</f>
        <v>#NUM!</v>
      </c>
      <c r="AE112" s="106">
        <f>_xlfn.DAYS(AC112,RESUMEN!$D$7)</f>
        <v>-43238</v>
      </c>
      <c r="AF112" s="104"/>
      <c r="AG112" s="103"/>
      <c r="AH112" s="154"/>
      <c r="AI112" s="153"/>
      <c r="AJ112" s="153"/>
      <c r="AK112" s="25"/>
      <c r="AL112" s="160"/>
      <c r="AM112" s="106" t="e">
        <f>WEEKNUM(AL112-RESUMEN!$D$7)</f>
        <v>#NUM!</v>
      </c>
      <c r="AN112" s="106">
        <f>_xlfn.DAYS(AL112,RESUMEN!$D$7)</f>
        <v>-43238</v>
      </c>
      <c r="AO112" s="104"/>
      <c r="AP112" s="154"/>
      <c r="AQ112" s="154"/>
      <c r="AR112" s="153"/>
      <c r="AS112" s="153"/>
      <c r="AT112" s="25"/>
      <c r="AU112" s="160"/>
      <c r="AV112" s="106" t="e">
        <f>WEEKNUM(AU112-RESUMEN!$D$7)</f>
        <v>#NUM!</v>
      </c>
      <c r="AW112" s="106">
        <f>_xlfn.DAYS(AU112,RESUMEN!$D$7)</f>
        <v>-43238</v>
      </c>
      <c r="AX112" s="104"/>
      <c r="AY112" s="154"/>
      <c r="AZ112" s="154"/>
      <c r="BA112" s="153"/>
      <c r="BB112" s="153"/>
    </row>
    <row r="113" spans="2:54" x14ac:dyDescent="0.25">
      <c r="B113" s="160"/>
      <c r="C113" s="106" t="e">
        <f>WEEKNUM(B113-RESUMEN!$D$7)</f>
        <v>#NUM!</v>
      </c>
      <c r="D113" s="106">
        <f>_xlfn.DAYS(B113,RESUMEN!$D$7)</f>
        <v>-43238</v>
      </c>
      <c r="E113" s="104"/>
      <c r="F113" s="154"/>
      <c r="G113" s="154"/>
      <c r="H113" s="153"/>
      <c r="I113" s="153"/>
      <c r="J113" s="25"/>
      <c r="K113" s="160"/>
      <c r="L113" s="30" t="e">
        <f>WEEKNUM(K113-RESUMEN!$P$7)</f>
        <v>#NUM!</v>
      </c>
      <c r="M113" s="32">
        <f>_xlfn.DAYS(K113,RESUMEN!$P$7)</f>
        <v>-43242</v>
      </c>
      <c r="N113" s="29"/>
      <c r="O113" s="163"/>
      <c r="P113" s="163"/>
      <c r="Q113" s="162"/>
      <c r="R113" s="153"/>
      <c r="S113" s="25"/>
      <c r="T113" s="160"/>
      <c r="U113" s="30" t="e">
        <f>WEEKNUM(T113-RESUMEN!$AB$7)</f>
        <v>#NUM!</v>
      </c>
      <c r="V113" s="30">
        <f>_xlfn.DAYS(T113,RESUMEN!$AB$7)</f>
        <v>-43247</v>
      </c>
      <c r="W113" s="29"/>
      <c r="X113" s="163"/>
      <c r="Y113" s="163"/>
      <c r="Z113" s="162"/>
      <c r="AA113" s="162"/>
      <c r="AB113" s="25"/>
      <c r="AC113" s="160"/>
      <c r="AD113" s="106" t="e">
        <f>WEEKNUM(AC113-RESUMEN!$AN$7)</f>
        <v>#NUM!</v>
      </c>
      <c r="AE113" s="106">
        <f>_xlfn.DAYS(AC113,RESUMEN!$D$7)</f>
        <v>-43238</v>
      </c>
      <c r="AF113" s="104"/>
      <c r="AG113" s="103"/>
      <c r="AH113" s="154"/>
      <c r="AI113" s="153"/>
      <c r="AJ113" s="153"/>
      <c r="AK113" s="25"/>
      <c r="AL113" s="160"/>
      <c r="AM113" s="106" t="e">
        <f>WEEKNUM(AL113-RESUMEN!$D$7)</f>
        <v>#NUM!</v>
      </c>
      <c r="AN113" s="106">
        <f>_xlfn.DAYS(AL113,RESUMEN!$D$7)</f>
        <v>-43238</v>
      </c>
      <c r="AO113" s="104"/>
      <c r="AP113" s="154"/>
      <c r="AQ113" s="154"/>
      <c r="AR113" s="153"/>
      <c r="AS113" s="153"/>
      <c r="AT113" s="25"/>
      <c r="AU113" s="160"/>
      <c r="AV113" s="106" t="e">
        <f>WEEKNUM(AU113-RESUMEN!$D$7)</f>
        <v>#NUM!</v>
      </c>
      <c r="AW113" s="106">
        <f>_xlfn.DAYS(AU113,RESUMEN!$D$7)</f>
        <v>-43238</v>
      </c>
      <c r="AX113" s="104"/>
      <c r="AY113" s="154"/>
      <c r="AZ113" s="154"/>
      <c r="BA113" s="153"/>
      <c r="BB113" s="153"/>
    </row>
    <row r="114" spans="2:54" x14ac:dyDescent="0.25">
      <c r="B114" s="160"/>
      <c r="C114" s="106" t="e">
        <f>WEEKNUM(B114-RESUMEN!$D$7)</f>
        <v>#NUM!</v>
      </c>
      <c r="D114" s="106">
        <f>_xlfn.DAYS(B114,RESUMEN!$D$7)</f>
        <v>-43238</v>
      </c>
      <c r="E114" s="104"/>
      <c r="F114" s="154"/>
      <c r="G114" s="154"/>
      <c r="H114" s="153"/>
      <c r="I114" s="153"/>
      <c r="J114" s="25"/>
      <c r="K114" s="160"/>
      <c r="L114" s="30" t="e">
        <f>WEEKNUM(K114-RESUMEN!$P$7)</f>
        <v>#NUM!</v>
      </c>
      <c r="M114" s="32">
        <f>_xlfn.DAYS(K114,RESUMEN!$P$7)</f>
        <v>-43242</v>
      </c>
      <c r="N114" s="29"/>
      <c r="O114" s="163"/>
      <c r="P114" s="163"/>
      <c r="Q114" s="162"/>
      <c r="R114" s="153"/>
      <c r="S114" s="25"/>
      <c r="T114" s="160"/>
      <c r="U114" s="30" t="e">
        <f>WEEKNUM(T114-RESUMEN!$AB$7)</f>
        <v>#NUM!</v>
      </c>
      <c r="V114" s="30">
        <f>_xlfn.DAYS(T114,RESUMEN!$AB$7)</f>
        <v>-43247</v>
      </c>
      <c r="W114" s="29"/>
      <c r="X114" s="163"/>
      <c r="Y114" s="163"/>
      <c r="Z114" s="162"/>
      <c r="AA114" s="162"/>
      <c r="AB114" s="25"/>
      <c r="AC114" s="160"/>
      <c r="AD114" s="106" t="e">
        <f>WEEKNUM(AC114-RESUMEN!$AN$7)</f>
        <v>#NUM!</v>
      </c>
      <c r="AE114" s="106">
        <f>_xlfn.DAYS(AC114,RESUMEN!$D$7)</f>
        <v>-43238</v>
      </c>
      <c r="AF114" s="104"/>
      <c r="AG114" s="103"/>
      <c r="AH114" s="154"/>
      <c r="AI114" s="153"/>
      <c r="AJ114" s="153"/>
      <c r="AK114" s="25"/>
      <c r="AL114" s="160"/>
      <c r="AM114" s="106" t="e">
        <f>WEEKNUM(AL114-RESUMEN!$D$7)</f>
        <v>#NUM!</v>
      </c>
      <c r="AN114" s="106">
        <f>_xlfn.DAYS(AL114,RESUMEN!$D$7)</f>
        <v>-43238</v>
      </c>
      <c r="AO114" s="104"/>
      <c r="AP114" s="154"/>
      <c r="AQ114" s="154"/>
      <c r="AR114" s="153"/>
      <c r="AS114" s="153"/>
      <c r="AT114" s="25"/>
      <c r="AU114" s="160"/>
      <c r="AV114" s="106" t="e">
        <f>WEEKNUM(AU114-RESUMEN!$D$7)</f>
        <v>#NUM!</v>
      </c>
      <c r="AW114" s="106">
        <f>_xlfn.DAYS(AU114,RESUMEN!$D$7)</f>
        <v>-43238</v>
      </c>
      <c r="AX114" s="104"/>
      <c r="AY114" s="154"/>
      <c r="AZ114" s="154"/>
      <c r="BA114" s="153"/>
      <c r="BB114" s="153"/>
    </row>
    <row r="115" spans="2:54" x14ac:dyDescent="0.25">
      <c r="B115" s="160"/>
      <c r="C115" s="106" t="e">
        <f>WEEKNUM(B115-RESUMEN!$D$7)</f>
        <v>#NUM!</v>
      </c>
      <c r="D115" s="106">
        <f>_xlfn.DAYS(B115,RESUMEN!$D$7)</f>
        <v>-43238</v>
      </c>
      <c r="E115" s="104"/>
      <c r="F115" s="154"/>
      <c r="G115" s="154"/>
      <c r="H115" s="153"/>
      <c r="I115" s="153"/>
      <c r="J115" s="25"/>
      <c r="K115" s="160"/>
      <c r="L115" s="30" t="e">
        <f>WEEKNUM(K115-RESUMEN!$P$7)</f>
        <v>#NUM!</v>
      </c>
      <c r="M115" s="32">
        <f>_xlfn.DAYS(K115,RESUMEN!$P$7)</f>
        <v>-43242</v>
      </c>
      <c r="N115" s="29"/>
      <c r="O115" s="163"/>
      <c r="P115" s="163"/>
      <c r="Q115" s="162"/>
      <c r="R115" s="153"/>
      <c r="S115" s="25"/>
      <c r="T115" s="160"/>
      <c r="U115" s="30" t="e">
        <f>WEEKNUM(T115-RESUMEN!$AB$7)</f>
        <v>#NUM!</v>
      </c>
      <c r="V115" s="30">
        <f>_xlfn.DAYS(T115,RESUMEN!$AB$7)</f>
        <v>-43247</v>
      </c>
      <c r="W115" s="29"/>
      <c r="X115" s="163"/>
      <c r="Y115" s="163"/>
      <c r="Z115" s="162"/>
      <c r="AA115" s="162"/>
      <c r="AB115" s="25"/>
      <c r="AC115" s="160"/>
      <c r="AD115" s="106" t="e">
        <f>WEEKNUM(AC115-RESUMEN!$AN$7)</f>
        <v>#NUM!</v>
      </c>
      <c r="AE115" s="106">
        <f>_xlfn.DAYS(AC115,RESUMEN!$D$7)</f>
        <v>-43238</v>
      </c>
      <c r="AF115" s="104"/>
      <c r="AG115" s="103"/>
      <c r="AH115" s="154"/>
      <c r="AI115" s="153"/>
      <c r="AJ115" s="153"/>
      <c r="AK115" s="25"/>
      <c r="AL115" s="160"/>
      <c r="AM115" s="106" t="e">
        <f>WEEKNUM(AL115-RESUMEN!$D$7)</f>
        <v>#NUM!</v>
      </c>
      <c r="AN115" s="106">
        <f>_xlfn.DAYS(AL115,RESUMEN!$D$7)</f>
        <v>-43238</v>
      </c>
      <c r="AO115" s="104"/>
      <c r="AP115" s="154"/>
      <c r="AQ115" s="154"/>
      <c r="AR115" s="153"/>
      <c r="AS115" s="153"/>
      <c r="AT115" s="25"/>
      <c r="AU115" s="160"/>
      <c r="AV115" s="106" t="e">
        <f>WEEKNUM(AU115-RESUMEN!$D$7)</f>
        <v>#NUM!</v>
      </c>
      <c r="AW115" s="106">
        <f>_xlfn.DAYS(AU115,RESUMEN!$D$7)</f>
        <v>-43238</v>
      </c>
      <c r="AX115" s="104"/>
      <c r="AY115" s="154"/>
      <c r="AZ115" s="154"/>
      <c r="BA115" s="153"/>
      <c r="BB115" s="153"/>
    </row>
    <row r="116" spans="2:54" x14ac:dyDescent="0.25">
      <c r="B116" s="160"/>
      <c r="C116" s="106" t="e">
        <f>WEEKNUM(B116-RESUMEN!$D$7)</f>
        <v>#NUM!</v>
      </c>
      <c r="D116" s="106">
        <f>_xlfn.DAYS(B116,RESUMEN!$D$7)</f>
        <v>-43238</v>
      </c>
      <c r="E116" s="104"/>
      <c r="F116" s="154"/>
      <c r="G116" s="154"/>
      <c r="H116" s="153"/>
      <c r="I116" s="153"/>
      <c r="J116" s="25"/>
      <c r="K116" s="160"/>
      <c r="L116" s="30" t="e">
        <f>WEEKNUM(K116-RESUMEN!$P$7)</f>
        <v>#NUM!</v>
      </c>
      <c r="M116" s="32">
        <f>_xlfn.DAYS(K116,RESUMEN!$P$7)</f>
        <v>-43242</v>
      </c>
      <c r="N116" s="29"/>
      <c r="O116" s="163"/>
      <c r="P116" s="163"/>
      <c r="Q116" s="162"/>
      <c r="R116" s="153"/>
      <c r="S116" s="25"/>
      <c r="T116" s="160"/>
      <c r="U116" s="30" t="e">
        <f>WEEKNUM(T116-RESUMEN!$AB$7)</f>
        <v>#NUM!</v>
      </c>
      <c r="V116" s="30">
        <f>_xlfn.DAYS(T116,RESUMEN!$AB$7)</f>
        <v>-43247</v>
      </c>
      <c r="W116" s="29"/>
      <c r="X116" s="163"/>
      <c r="Y116" s="163"/>
      <c r="Z116" s="162"/>
      <c r="AA116" s="162"/>
      <c r="AB116" s="25"/>
      <c r="AC116" s="160"/>
      <c r="AD116" s="106" t="e">
        <f>WEEKNUM(AC116-RESUMEN!$AN$7)</f>
        <v>#NUM!</v>
      </c>
      <c r="AE116" s="106">
        <f>_xlfn.DAYS(AC116,RESUMEN!$D$7)</f>
        <v>-43238</v>
      </c>
      <c r="AF116" s="104"/>
      <c r="AG116" s="103"/>
      <c r="AH116" s="154"/>
      <c r="AI116" s="153"/>
      <c r="AJ116" s="153"/>
      <c r="AK116" s="25"/>
      <c r="AL116" s="160"/>
      <c r="AM116" s="106" t="e">
        <f>WEEKNUM(AL116-RESUMEN!$D$7)</f>
        <v>#NUM!</v>
      </c>
      <c r="AN116" s="106">
        <f>_xlfn.DAYS(AL116,RESUMEN!$D$7)</f>
        <v>-43238</v>
      </c>
      <c r="AO116" s="104"/>
      <c r="AP116" s="154"/>
      <c r="AQ116" s="154"/>
      <c r="AR116" s="153"/>
      <c r="AS116" s="153"/>
      <c r="AT116" s="25"/>
      <c r="AU116" s="160"/>
      <c r="AV116" s="106" t="e">
        <f>WEEKNUM(AU116-RESUMEN!$D$7)</f>
        <v>#NUM!</v>
      </c>
      <c r="AW116" s="106">
        <f>_xlfn.DAYS(AU116,RESUMEN!$D$7)</f>
        <v>-43238</v>
      </c>
      <c r="AX116" s="104"/>
      <c r="AY116" s="154"/>
      <c r="AZ116" s="154"/>
      <c r="BA116" s="153"/>
      <c r="BB116" s="153"/>
    </row>
    <row r="117" spans="2:54" x14ac:dyDescent="0.25">
      <c r="B117" s="160"/>
      <c r="C117" s="106" t="e">
        <f>WEEKNUM(B117-RESUMEN!$D$7)</f>
        <v>#NUM!</v>
      </c>
      <c r="D117" s="106">
        <f>_xlfn.DAYS(B117,RESUMEN!$D$7)</f>
        <v>-43238</v>
      </c>
      <c r="E117" s="104"/>
      <c r="F117" s="154"/>
      <c r="G117" s="154"/>
      <c r="H117" s="153"/>
      <c r="I117" s="153"/>
      <c r="J117" s="25"/>
      <c r="K117" s="160"/>
      <c r="L117" s="30" t="e">
        <f>WEEKNUM(K117-RESUMEN!$P$7)</f>
        <v>#NUM!</v>
      </c>
      <c r="M117" s="32">
        <f>_xlfn.DAYS(K117,RESUMEN!$P$7)</f>
        <v>-43242</v>
      </c>
      <c r="N117" s="29"/>
      <c r="O117" s="163"/>
      <c r="P117" s="163"/>
      <c r="Q117" s="162"/>
      <c r="R117" s="153"/>
      <c r="S117" s="25"/>
      <c r="T117" s="160"/>
      <c r="U117" s="30" t="e">
        <f>WEEKNUM(T117-RESUMEN!$AB$7)</f>
        <v>#NUM!</v>
      </c>
      <c r="V117" s="30">
        <f>_xlfn.DAYS(T117,RESUMEN!$AB$7)</f>
        <v>-43247</v>
      </c>
      <c r="W117" s="29"/>
      <c r="X117" s="163"/>
      <c r="Y117" s="163"/>
      <c r="Z117" s="162"/>
      <c r="AA117" s="162"/>
      <c r="AB117" s="25"/>
      <c r="AC117" s="160"/>
      <c r="AD117" s="106" t="e">
        <f>WEEKNUM(AC117-RESUMEN!$AN$7)</f>
        <v>#NUM!</v>
      </c>
      <c r="AE117" s="106">
        <f>_xlfn.DAYS(AC117,RESUMEN!$D$7)</f>
        <v>-43238</v>
      </c>
      <c r="AF117" s="104"/>
      <c r="AG117" s="103"/>
      <c r="AH117" s="154"/>
      <c r="AI117" s="153"/>
      <c r="AJ117" s="153"/>
      <c r="AK117" s="25"/>
      <c r="AL117" s="160"/>
      <c r="AM117" s="106" t="e">
        <f>WEEKNUM(AL117-RESUMEN!$D$7)</f>
        <v>#NUM!</v>
      </c>
      <c r="AN117" s="106">
        <f>_xlfn.DAYS(AL117,RESUMEN!$D$7)</f>
        <v>-43238</v>
      </c>
      <c r="AO117" s="104"/>
      <c r="AP117" s="154"/>
      <c r="AQ117" s="154"/>
      <c r="AR117" s="153"/>
      <c r="AS117" s="153"/>
      <c r="AT117" s="25"/>
      <c r="AU117" s="160"/>
      <c r="AV117" s="106" t="e">
        <f>WEEKNUM(AU117-RESUMEN!$D$7)</f>
        <v>#NUM!</v>
      </c>
      <c r="AW117" s="106">
        <f>_xlfn.DAYS(AU117,RESUMEN!$D$7)</f>
        <v>-43238</v>
      </c>
      <c r="AX117" s="104"/>
      <c r="AY117" s="154"/>
      <c r="AZ117" s="154"/>
      <c r="BA117" s="153"/>
      <c r="BB117" s="153"/>
    </row>
    <row r="118" spans="2:54" x14ac:dyDescent="0.25">
      <c r="B118" s="160"/>
      <c r="C118" s="106" t="e">
        <f>WEEKNUM(B118-RESUMEN!$D$7)</f>
        <v>#NUM!</v>
      </c>
      <c r="D118" s="106">
        <f>_xlfn.DAYS(B118,RESUMEN!$D$7)</f>
        <v>-43238</v>
      </c>
      <c r="E118" s="104"/>
      <c r="F118" s="154"/>
      <c r="G118" s="154"/>
      <c r="H118" s="153"/>
      <c r="I118" s="153"/>
      <c r="J118" s="25"/>
      <c r="K118" s="160"/>
      <c r="L118" s="30" t="e">
        <f>WEEKNUM(K118-RESUMEN!$P$7)</f>
        <v>#NUM!</v>
      </c>
      <c r="M118" s="32">
        <f>_xlfn.DAYS(K118,RESUMEN!$P$7)</f>
        <v>-43242</v>
      </c>
      <c r="N118" s="29"/>
      <c r="O118" s="163"/>
      <c r="P118" s="163"/>
      <c r="Q118" s="162"/>
      <c r="R118" s="153"/>
      <c r="S118" s="25"/>
      <c r="T118" s="160"/>
      <c r="U118" s="30" t="e">
        <f>WEEKNUM(T118-RESUMEN!$AB$7)</f>
        <v>#NUM!</v>
      </c>
      <c r="V118" s="30">
        <f>_xlfn.DAYS(T118,RESUMEN!$AB$7)</f>
        <v>-43247</v>
      </c>
      <c r="W118" s="29"/>
      <c r="X118" s="163"/>
      <c r="Y118" s="163"/>
      <c r="Z118" s="162"/>
      <c r="AA118" s="162"/>
      <c r="AB118" s="25"/>
      <c r="AC118" s="160"/>
      <c r="AD118" s="106" t="e">
        <f>WEEKNUM(AC118-RESUMEN!$AN$7)</f>
        <v>#NUM!</v>
      </c>
      <c r="AE118" s="106">
        <f>_xlfn.DAYS(AC118,RESUMEN!$D$7)</f>
        <v>-43238</v>
      </c>
      <c r="AF118" s="104"/>
      <c r="AG118" s="103"/>
      <c r="AH118" s="154"/>
      <c r="AI118" s="153"/>
      <c r="AJ118" s="153"/>
      <c r="AK118" s="25"/>
      <c r="AL118" s="160"/>
      <c r="AM118" s="106" t="e">
        <f>WEEKNUM(AL118-RESUMEN!$D$7)</f>
        <v>#NUM!</v>
      </c>
      <c r="AN118" s="106">
        <f>_xlfn.DAYS(AL118,RESUMEN!$D$7)</f>
        <v>-43238</v>
      </c>
      <c r="AO118" s="104"/>
      <c r="AP118" s="154"/>
      <c r="AQ118" s="154"/>
      <c r="AR118" s="153"/>
      <c r="AS118" s="153"/>
      <c r="AT118" s="25"/>
      <c r="AU118" s="160"/>
      <c r="AV118" s="106" t="e">
        <f>WEEKNUM(AU118-RESUMEN!$D$7)</f>
        <v>#NUM!</v>
      </c>
      <c r="AW118" s="106">
        <f>_xlfn.DAYS(AU118,RESUMEN!$D$7)</f>
        <v>-43238</v>
      </c>
      <c r="AX118" s="104"/>
      <c r="AY118" s="154"/>
      <c r="AZ118" s="154"/>
      <c r="BA118" s="153"/>
      <c r="BB118" s="153"/>
    </row>
    <row r="119" spans="2:54" x14ac:dyDescent="0.25">
      <c r="B119" s="160"/>
      <c r="C119" s="106" t="e">
        <f>WEEKNUM(B119-RESUMEN!$D$7)</f>
        <v>#NUM!</v>
      </c>
      <c r="D119" s="106">
        <f>_xlfn.DAYS(B119,RESUMEN!$D$7)</f>
        <v>-43238</v>
      </c>
      <c r="E119" s="104"/>
      <c r="F119" s="154"/>
      <c r="G119" s="154"/>
      <c r="H119" s="153"/>
      <c r="I119" s="153"/>
      <c r="J119" s="25"/>
      <c r="K119" s="160"/>
      <c r="L119" s="30" t="e">
        <f>WEEKNUM(K119-RESUMEN!$P$7)</f>
        <v>#NUM!</v>
      </c>
      <c r="M119" s="32">
        <f>_xlfn.DAYS(K119,RESUMEN!$P$7)</f>
        <v>-43242</v>
      </c>
      <c r="N119" s="29"/>
      <c r="O119" s="163"/>
      <c r="P119" s="163"/>
      <c r="Q119" s="162"/>
      <c r="R119" s="153"/>
      <c r="S119" s="25"/>
      <c r="T119" s="160"/>
      <c r="U119" s="30" t="e">
        <f>WEEKNUM(T119-RESUMEN!$AB$7)</f>
        <v>#NUM!</v>
      </c>
      <c r="V119" s="30">
        <f>_xlfn.DAYS(T119,RESUMEN!$AB$7)</f>
        <v>-43247</v>
      </c>
      <c r="W119" s="29"/>
      <c r="X119" s="163"/>
      <c r="Y119" s="163"/>
      <c r="Z119" s="162"/>
      <c r="AA119" s="162"/>
      <c r="AB119" s="25"/>
      <c r="AC119" s="160"/>
      <c r="AD119" s="106" t="e">
        <f>WEEKNUM(AC119-RESUMEN!$AN$7)</f>
        <v>#NUM!</v>
      </c>
      <c r="AE119" s="106">
        <f>_xlfn.DAYS(AC119,RESUMEN!$D$7)</f>
        <v>-43238</v>
      </c>
      <c r="AF119" s="104"/>
      <c r="AG119" s="103"/>
      <c r="AH119" s="154"/>
      <c r="AI119" s="153"/>
      <c r="AJ119" s="153"/>
      <c r="AK119" s="25"/>
      <c r="AL119" s="160"/>
      <c r="AM119" s="106" t="e">
        <f>WEEKNUM(AL119-RESUMEN!$D$7)</f>
        <v>#NUM!</v>
      </c>
      <c r="AN119" s="106">
        <f>_xlfn.DAYS(AL119,RESUMEN!$D$7)</f>
        <v>-43238</v>
      </c>
      <c r="AO119" s="104"/>
      <c r="AP119" s="154"/>
      <c r="AQ119" s="154"/>
      <c r="AR119" s="153"/>
      <c r="AS119" s="153"/>
      <c r="AT119" s="25"/>
      <c r="AU119" s="160"/>
      <c r="AV119" s="106" t="e">
        <f>WEEKNUM(AU119-RESUMEN!$D$7)</f>
        <v>#NUM!</v>
      </c>
      <c r="AW119" s="106">
        <f>_xlfn.DAYS(AU119,RESUMEN!$D$7)</f>
        <v>-43238</v>
      </c>
      <c r="AX119" s="104"/>
      <c r="AY119" s="154"/>
      <c r="AZ119" s="154"/>
      <c r="BA119" s="153"/>
      <c r="BB119" s="153"/>
    </row>
    <row r="120" spans="2:54" x14ac:dyDescent="0.25">
      <c r="B120" s="160"/>
      <c r="C120" s="106" t="e">
        <f>WEEKNUM(B120-RESUMEN!$D$7)</f>
        <v>#NUM!</v>
      </c>
      <c r="D120" s="106">
        <f>_xlfn.DAYS(B120,RESUMEN!$D$7)</f>
        <v>-43238</v>
      </c>
      <c r="E120" s="104"/>
      <c r="F120" s="154"/>
      <c r="G120" s="154"/>
      <c r="H120" s="153"/>
      <c r="I120" s="153"/>
      <c r="J120" s="25"/>
      <c r="K120" s="160"/>
      <c r="L120" s="30" t="e">
        <f>WEEKNUM(K120-RESUMEN!$P$7)</f>
        <v>#NUM!</v>
      </c>
      <c r="M120" s="32">
        <f>_xlfn.DAYS(K120,RESUMEN!$P$7)</f>
        <v>-43242</v>
      </c>
      <c r="N120" s="29"/>
      <c r="O120" s="163"/>
      <c r="P120" s="163"/>
      <c r="Q120" s="162"/>
      <c r="R120" s="153"/>
      <c r="S120" s="25"/>
      <c r="T120" s="160"/>
      <c r="U120" s="30" t="e">
        <f>WEEKNUM(T120-RESUMEN!$AB$7)</f>
        <v>#NUM!</v>
      </c>
      <c r="V120" s="30">
        <f>_xlfn.DAYS(T120,RESUMEN!$AB$7)</f>
        <v>-43247</v>
      </c>
      <c r="W120" s="29"/>
      <c r="X120" s="163"/>
      <c r="Y120" s="163"/>
      <c r="Z120" s="162"/>
      <c r="AA120" s="162"/>
      <c r="AB120" s="25"/>
      <c r="AC120" s="160"/>
      <c r="AD120" s="106" t="e">
        <f>WEEKNUM(AC120-RESUMEN!$AN$7)</f>
        <v>#NUM!</v>
      </c>
      <c r="AE120" s="106">
        <f>_xlfn.DAYS(AC120,RESUMEN!$D$7)</f>
        <v>-43238</v>
      </c>
      <c r="AF120" s="104"/>
      <c r="AG120" s="103"/>
      <c r="AH120" s="154"/>
      <c r="AI120" s="153"/>
      <c r="AJ120" s="153"/>
      <c r="AK120" s="25"/>
      <c r="AL120" s="160"/>
      <c r="AM120" s="106" t="e">
        <f>WEEKNUM(AL120-RESUMEN!$D$7)</f>
        <v>#NUM!</v>
      </c>
      <c r="AN120" s="106">
        <f>_xlfn.DAYS(AL120,RESUMEN!$D$7)</f>
        <v>-43238</v>
      </c>
      <c r="AO120" s="104"/>
      <c r="AP120" s="154"/>
      <c r="AQ120" s="154"/>
      <c r="AR120" s="153"/>
      <c r="AS120" s="153"/>
      <c r="AT120" s="25"/>
      <c r="AU120" s="160"/>
      <c r="AV120" s="106" t="e">
        <f>WEEKNUM(AU120-RESUMEN!$D$7)</f>
        <v>#NUM!</v>
      </c>
      <c r="AW120" s="106">
        <f>_xlfn.DAYS(AU120,RESUMEN!$D$7)</f>
        <v>-43238</v>
      </c>
      <c r="AX120" s="104"/>
      <c r="AY120" s="154"/>
      <c r="AZ120" s="154"/>
      <c r="BA120" s="153"/>
      <c r="BB120" s="153"/>
    </row>
    <row r="121" spans="2:54" x14ac:dyDescent="0.25">
      <c r="B121" s="160"/>
      <c r="C121" s="106" t="e">
        <f>WEEKNUM(B121-RESUMEN!$D$7)</f>
        <v>#NUM!</v>
      </c>
      <c r="D121" s="106">
        <f>_xlfn.DAYS(B121,RESUMEN!$D$7)</f>
        <v>-43238</v>
      </c>
      <c r="E121" s="104"/>
      <c r="F121" s="154"/>
      <c r="G121" s="154"/>
      <c r="H121" s="153"/>
      <c r="I121" s="153"/>
      <c r="J121" s="25"/>
      <c r="K121" s="160"/>
      <c r="L121" s="30" t="e">
        <f>WEEKNUM(K121-RESUMEN!$P$7)</f>
        <v>#NUM!</v>
      </c>
      <c r="M121" s="32">
        <f>_xlfn.DAYS(K121,RESUMEN!$P$7)</f>
        <v>-43242</v>
      </c>
      <c r="N121" s="29"/>
      <c r="O121" s="163"/>
      <c r="P121" s="163"/>
      <c r="Q121" s="162"/>
      <c r="R121" s="153"/>
      <c r="S121" s="25"/>
      <c r="T121" s="160"/>
      <c r="U121" s="30" t="e">
        <f>WEEKNUM(T121-RESUMEN!$AB$7)</f>
        <v>#NUM!</v>
      </c>
      <c r="V121" s="30">
        <f>_xlfn.DAYS(T121,RESUMEN!$AB$7)</f>
        <v>-43247</v>
      </c>
      <c r="W121" s="29"/>
      <c r="X121" s="163"/>
      <c r="Y121" s="163"/>
      <c r="Z121" s="162"/>
      <c r="AA121" s="162"/>
      <c r="AB121" s="25"/>
      <c r="AC121" s="160"/>
      <c r="AD121" s="106" t="e">
        <f>WEEKNUM(AC121-RESUMEN!$AN$7)</f>
        <v>#NUM!</v>
      </c>
      <c r="AE121" s="106">
        <f>_xlfn.DAYS(AC121,RESUMEN!$D$7)</f>
        <v>-43238</v>
      </c>
      <c r="AF121" s="104"/>
      <c r="AG121" s="103"/>
      <c r="AH121" s="154"/>
      <c r="AI121" s="153"/>
      <c r="AJ121" s="153"/>
      <c r="AK121" s="25"/>
      <c r="AL121" s="160"/>
      <c r="AM121" s="106" t="e">
        <f>WEEKNUM(AL121-RESUMEN!$D$7)</f>
        <v>#NUM!</v>
      </c>
      <c r="AN121" s="106">
        <f>_xlfn.DAYS(AL121,RESUMEN!$D$7)</f>
        <v>-43238</v>
      </c>
      <c r="AO121" s="104"/>
      <c r="AP121" s="154"/>
      <c r="AQ121" s="154"/>
      <c r="AR121" s="153"/>
      <c r="AS121" s="153"/>
      <c r="AT121" s="25"/>
      <c r="AU121" s="160"/>
      <c r="AV121" s="106" t="e">
        <f>WEEKNUM(AU121-RESUMEN!$D$7)</f>
        <v>#NUM!</v>
      </c>
      <c r="AW121" s="106">
        <f>_xlfn.DAYS(AU121,RESUMEN!$D$7)</f>
        <v>-43238</v>
      </c>
      <c r="AX121" s="104"/>
      <c r="AY121" s="154"/>
      <c r="AZ121" s="154"/>
      <c r="BA121" s="153"/>
      <c r="BB121" s="153"/>
    </row>
    <row r="122" spans="2:54" x14ac:dyDescent="0.25">
      <c r="B122" s="160"/>
      <c r="C122" s="106" t="e">
        <f>WEEKNUM(B122-RESUMEN!$D$7)</f>
        <v>#NUM!</v>
      </c>
      <c r="D122" s="106">
        <f>_xlfn.DAYS(B122,RESUMEN!$D$7)</f>
        <v>-43238</v>
      </c>
      <c r="E122" s="104"/>
      <c r="F122" s="154"/>
      <c r="G122" s="154"/>
      <c r="H122" s="153"/>
      <c r="I122" s="153"/>
      <c r="J122" s="25"/>
      <c r="K122" s="160"/>
      <c r="L122" s="30" t="e">
        <f>WEEKNUM(K122-RESUMEN!$P$7)</f>
        <v>#NUM!</v>
      </c>
      <c r="M122" s="32">
        <f>_xlfn.DAYS(K122,RESUMEN!$P$7)</f>
        <v>-43242</v>
      </c>
      <c r="N122" s="29"/>
      <c r="O122" s="163"/>
      <c r="P122" s="163"/>
      <c r="Q122" s="162"/>
      <c r="R122" s="153"/>
      <c r="S122" s="25"/>
      <c r="T122" s="160"/>
      <c r="U122" s="30" t="e">
        <f>WEEKNUM(T122-RESUMEN!$AB$7)</f>
        <v>#NUM!</v>
      </c>
      <c r="V122" s="30">
        <f>_xlfn.DAYS(T122,RESUMEN!$AB$7)</f>
        <v>-43247</v>
      </c>
      <c r="W122" s="29"/>
      <c r="X122" s="163"/>
      <c r="Y122" s="163"/>
      <c r="Z122" s="162"/>
      <c r="AA122" s="162"/>
      <c r="AB122" s="25"/>
      <c r="AC122" s="160"/>
      <c r="AD122" s="106" t="e">
        <f>WEEKNUM(AC122-RESUMEN!$AN$7)</f>
        <v>#NUM!</v>
      </c>
      <c r="AE122" s="106">
        <f>_xlfn.DAYS(AC122,RESUMEN!$D$7)</f>
        <v>-43238</v>
      </c>
      <c r="AF122" s="104"/>
      <c r="AG122" s="103"/>
      <c r="AH122" s="154"/>
      <c r="AI122" s="153"/>
      <c r="AJ122" s="153"/>
      <c r="AK122" s="25"/>
      <c r="AL122" s="160"/>
      <c r="AM122" s="106" t="e">
        <f>WEEKNUM(AL122-RESUMEN!$D$7)</f>
        <v>#NUM!</v>
      </c>
      <c r="AN122" s="106">
        <f>_xlfn.DAYS(AL122,RESUMEN!$D$7)</f>
        <v>-43238</v>
      </c>
      <c r="AO122" s="104"/>
      <c r="AP122" s="154"/>
      <c r="AQ122" s="154"/>
      <c r="AR122" s="153"/>
      <c r="AS122" s="153"/>
      <c r="AT122" s="25"/>
      <c r="AU122" s="160"/>
      <c r="AV122" s="106" t="e">
        <f>WEEKNUM(AU122-RESUMEN!$D$7)</f>
        <v>#NUM!</v>
      </c>
      <c r="AW122" s="106">
        <f>_xlfn.DAYS(AU122,RESUMEN!$D$7)</f>
        <v>-43238</v>
      </c>
      <c r="AX122" s="104"/>
      <c r="AY122" s="154"/>
      <c r="AZ122" s="154"/>
      <c r="BA122" s="153"/>
      <c r="BB122" s="153"/>
    </row>
    <row r="123" spans="2:54" x14ac:dyDescent="0.25">
      <c r="B123" s="160"/>
      <c r="C123" s="106" t="e">
        <f>WEEKNUM(B123-RESUMEN!$D$7)</f>
        <v>#NUM!</v>
      </c>
      <c r="D123" s="106">
        <f>_xlfn.DAYS(B123,RESUMEN!$D$7)</f>
        <v>-43238</v>
      </c>
      <c r="E123" s="104"/>
      <c r="F123" s="154"/>
      <c r="G123" s="154"/>
      <c r="H123" s="153"/>
      <c r="I123" s="153"/>
      <c r="J123" s="25"/>
      <c r="K123" s="160"/>
      <c r="L123" s="30" t="e">
        <f>WEEKNUM(K123-RESUMEN!$P$7)</f>
        <v>#NUM!</v>
      </c>
      <c r="M123" s="32">
        <f>_xlfn.DAYS(K123,RESUMEN!$P$7)</f>
        <v>-43242</v>
      </c>
      <c r="N123" s="29"/>
      <c r="O123" s="163"/>
      <c r="P123" s="163"/>
      <c r="Q123" s="162"/>
      <c r="R123" s="153"/>
      <c r="S123" s="25"/>
      <c r="T123" s="160"/>
      <c r="U123" s="30" t="e">
        <f>WEEKNUM(T123-RESUMEN!$AB$7)</f>
        <v>#NUM!</v>
      </c>
      <c r="V123" s="30">
        <f>_xlfn.DAYS(T123,RESUMEN!$AB$7)</f>
        <v>-43247</v>
      </c>
      <c r="W123" s="29"/>
      <c r="X123" s="163"/>
      <c r="Y123" s="163"/>
      <c r="Z123" s="162"/>
      <c r="AA123" s="162"/>
      <c r="AB123" s="25"/>
      <c r="AC123" s="160"/>
      <c r="AD123" s="106" t="e">
        <f>WEEKNUM(AC123-RESUMEN!$AN$7)</f>
        <v>#NUM!</v>
      </c>
      <c r="AE123" s="106">
        <f>_xlfn.DAYS(AC123,RESUMEN!$D$7)</f>
        <v>-43238</v>
      </c>
      <c r="AF123" s="104"/>
      <c r="AG123" s="103"/>
      <c r="AH123" s="154"/>
      <c r="AI123" s="153"/>
      <c r="AJ123" s="153"/>
      <c r="AK123" s="25"/>
      <c r="AL123" s="160"/>
      <c r="AM123" s="106" t="e">
        <f>WEEKNUM(AL123-RESUMEN!$D$7)</f>
        <v>#NUM!</v>
      </c>
      <c r="AN123" s="106">
        <f>_xlfn.DAYS(AL123,RESUMEN!$D$7)</f>
        <v>-43238</v>
      </c>
      <c r="AO123" s="104"/>
      <c r="AP123" s="154"/>
      <c r="AQ123" s="154"/>
      <c r="AR123" s="153"/>
      <c r="AS123" s="153"/>
      <c r="AT123" s="25"/>
      <c r="AU123" s="160"/>
      <c r="AV123" s="106" t="e">
        <f>WEEKNUM(AU123-RESUMEN!$D$7)</f>
        <v>#NUM!</v>
      </c>
      <c r="AW123" s="106">
        <f>_xlfn.DAYS(AU123,RESUMEN!$D$7)</f>
        <v>-43238</v>
      </c>
      <c r="AX123" s="104"/>
      <c r="AY123" s="154"/>
      <c r="AZ123" s="154"/>
      <c r="BA123" s="153"/>
      <c r="BB123" s="153"/>
    </row>
    <row r="124" spans="2:54" x14ac:dyDescent="0.25">
      <c r="B124" s="160"/>
      <c r="C124" s="106" t="e">
        <f>WEEKNUM(B124-RESUMEN!$D$7)</f>
        <v>#NUM!</v>
      </c>
      <c r="D124" s="106">
        <f>_xlfn.DAYS(B124,RESUMEN!$D$7)</f>
        <v>-43238</v>
      </c>
      <c r="E124" s="104"/>
      <c r="F124" s="154"/>
      <c r="G124" s="154"/>
      <c r="H124" s="153"/>
      <c r="I124" s="153"/>
      <c r="J124" s="25"/>
      <c r="K124" s="160"/>
      <c r="L124" s="30" t="e">
        <f>WEEKNUM(K124-RESUMEN!$P$7)</f>
        <v>#NUM!</v>
      </c>
      <c r="M124" s="32">
        <f>_xlfn.DAYS(K124,RESUMEN!$P$7)</f>
        <v>-43242</v>
      </c>
      <c r="N124" s="29"/>
      <c r="O124" s="163"/>
      <c r="P124" s="163"/>
      <c r="Q124" s="162"/>
      <c r="R124" s="153"/>
      <c r="S124" s="25"/>
      <c r="T124" s="160"/>
      <c r="U124" s="30" t="e">
        <f>WEEKNUM(T124-RESUMEN!$AB$7)</f>
        <v>#NUM!</v>
      </c>
      <c r="V124" s="30">
        <f>_xlfn.DAYS(T124,RESUMEN!$AB$7)</f>
        <v>-43247</v>
      </c>
      <c r="W124" s="29"/>
      <c r="X124" s="163"/>
      <c r="Y124" s="163"/>
      <c r="Z124" s="162"/>
      <c r="AA124" s="162"/>
      <c r="AB124" s="25"/>
      <c r="AC124" s="160"/>
      <c r="AD124" s="106" t="e">
        <f>WEEKNUM(AC124-RESUMEN!$AN$7)</f>
        <v>#NUM!</v>
      </c>
      <c r="AE124" s="106">
        <f>_xlfn.DAYS(AC124,RESUMEN!$D$7)</f>
        <v>-43238</v>
      </c>
      <c r="AF124" s="104"/>
      <c r="AG124" s="103"/>
      <c r="AH124" s="154"/>
      <c r="AI124" s="153"/>
      <c r="AJ124" s="153"/>
      <c r="AK124" s="25"/>
      <c r="AL124" s="160"/>
      <c r="AM124" s="106" t="e">
        <f>WEEKNUM(AL124-RESUMEN!$D$7)</f>
        <v>#NUM!</v>
      </c>
      <c r="AN124" s="106">
        <f>_xlfn.DAYS(AL124,RESUMEN!$D$7)</f>
        <v>-43238</v>
      </c>
      <c r="AO124" s="104"/>
      <c r="AP124" s="154"/>
      <c r="AQ124" s="154"/>
      <c r="AR124" s="153"/>
      <c r="AS124" s="153"/>
      <c r="AT124" s="25"/>
      <c r="AU124" s="160"/>
      <c r="AV124" s="106" t="e">
        <f>WEEKNUM(AU124-RESUMEN!$D$7)</f>
        <v>#NUM!</v>
      </c>
      <c r="AW124" s="106">
        <f>_xlfn.DAYS(AU124,RESUMEN!$D$7)</f>
        <v>-43238</v>
      </c>
      <c r="AX124" s="104"/>
      <c r="AY124" s="154"/>
      <c r="AZ124" s="154"/>
      <c r="BA124" s="153"/>
      <c r="BB124" s="153"/>
    </row>
    <row r="125" spans="2:54" x14ac:dyDescent="0.25">
      <c r="B125" s="160"/>
      <c r="C125" s="106" t="e">
        <f>WEEKNUM(B125-RESUMEN!$D$7)</f>
        <v>#NUM!</v>
      </c>
      <c r="D125" s="106">
        <f>_xlfn.DAYS(B125,RESUMEN!$D$7)</f>
        <v>-43238</v>
      </c>
      <c r="E125" s="104"/>
      <c r="F125" s="154"/>
      <c r="G125" s="154"/>
      <c r="H125" s="153"/>
      <c r="I125" s="153"/>
      <c r="J125" s="25"/>
      <c r="K125" s="160"/>
      <c r="L125" s="30" t="e">
        <f>WEEKNUM(K125-RESUMEN!$P$7)</f>
        <v>#NUM!</v>
      </c>
      <c r="M125" s="32">
        <f>_xlfn.DAYS(K125,RESUMEN!$P$7)</f>
        <v>-43242</v>
      </c>
      <c r="N125" s="29"/>
      <c r="O125" s="163"/>
      <c r="P125" s="163"/>
      <c r="Q125" s="162"/>
      <c r="R125" s="153"/>
      <c r="S125" s="25"/>
      <c r="T125" s="160"/>
      <c r="U125" s="30" t="e">
        <f>WEEKNUM(T125-RESUMEN!$AB$7)</f>
        <v>#NUM!</v>
      </c>
      <c r="V125" s="30">
        <f>_xlfn.DAYS(T125,RESUMEN!$AB$7)</f>
        <v>-43247</v>
      </c>
      <c r="W125" s="29"/>
      <c r="X125" s="163"/>
      <c r="Y125" s="163"/>
      <c r="Z125" s="162"/>
      <c r="AA125" s="162"/>
      <c r="AB125" s="25"/>
      <c r="AC125" s="160"/>
      <c r="AD125" s="106" t="e">
        <f>WEEKNUM(AC125-RESUMEN!$AN$7)</f>
        <v>#NUM!</v>
      </c>
      <c r="AE125" s="106">
        <f>_xlfn.DAYS(AC125,RESUMEN!$D$7)</f>
        <v>-43238</v>
      </c>
      <c r="AF125" s="104"/>
      <c r="AG125" s="103"/>
      <c r="AH125" s="154"/>
      <c r="AI125" s="153"/>
      <c r="AJ125" s="153"/>
      <c r="AK125" s="25"/>
      <c r="AL125" s="160"/>
      <c r="AM125" s="106" t="e">
        <f>WEEKNUM(AL125-RESUMEN!$D$7)</f>
        <v>#NUM!</v>
      </c>
      <c r="AN125" s="106">
        <f>_xlfn.DAYS(AL125,RESUMEN!$D$7)</f>
        <v>-43238</v>
      </c>
      <c r="AO125" s="104"/>
      <c r="AP125" s="154"/>
      <c r="AQ125" s="154"/>
      <c r="AR125" s="153"/>
      <c r="AS125" s="153"/>
      <c r="AT125" s="25"/>
      <c r="AU125" s="160"/>
      <c r="AV125" s="106" t="e">
        <f>WEEKNUM(AU125-RESUMEN!$D$7)</f>
        <v>#NUM!</v>
      </c>
      <c r="AW125" s="106">
        <f>_xlfn.DAYS(AU125,RESUMEN!$D$7)</f>
        <v>-43238</v>
      </c>
      <c r="AX125" s="104"/>
      <c r="AY125" s="154"/>
      <c r="AZ125" s="154"/>
      <c r="BA125" s="153"/>
      <c r="BB125" s="153"/>
    </row>
    <row r="126" spans="2:54" x14ac:dyDescent="0.25">
      <c r="B126" s="160"/>
      <c r="C126" s="106" t="e">
        <f>WEEKNUM(B126-RESUMEN!$D$7)</f>
        <v>#NUM!</v>
      </c>
      <c r="D126" s="106">
        <f>_xlfn.DAYS(B126,RESUMEN!$D$7)</f>
        <v>-43238</v>
      </c>
      <c r="E126" s="104"/>
      <c r="F126" s="154"/>
      <c r="G126" s="154"/>
      <c r="H126" s="153"/>
      <c r="I126" s="153"/>
      <c r="J126" s="25"/>
      <c r="K126" s="160"/>
      <c r="L126" s="30" t="e">
        <f>WEEKNUM(K126-RESUMEN!$P$7)</f>
        <v>#NUM!</v>
      </c>
      <c r="M126" s="32">
        <f>_xlfn.DAYS(K126,RESUMEN!$P$7)</f>
        <v>-43242</v>
      </c>
      <c r="N126" s="29"/>
      <c r="O126" s="163"/>
      <c r="P126" s="163"/>
      <c r="Q126" s="162"/>
      <c r="R126" s="153"/>
      <c r="S126" s="25"/>
      <c r="T126" s="160"/>
      <c r="U126" s="30" t="e">
        <f>WEEKNUM(T126-RESUMEN!$AB$7)</f>
        <v>#NUM!</v>
      </c>
      <c r="V126" s="30">
        <f>_xlfn.DAYS(T126,RESUMEN!$AB$7)</f>
        <v>-43247</v>
      </c>
      <c r="W126" s="29"/>
      <c r="X126" s="163"/>
      <c r="Y126" s="163"/>
      <c r="Z126" s="162"/>
      <c r="AA126" s="162"/>
      <c r="AB126" s="25"/>
      <c r="AC126" s="160"/>
      <c r="AD126" s="106" t="e">
        <f>WEEKNUM(AC126-RESUMEN!$AN$7)</f>
        <v>#NUM!</v>
      </c>
      <c r="AE126" s="106">
        <f>_xlfn.DAYS(AC126,RESUMEN!$D$7)</f>
        <v>-43238</v>
      </c>
      <c r="AF126" s="104"/>
      <c r="AG126" s="103"/>
      <c r="AH126" s="154"/>
      <c r="AI126" s="153"/>
      <c r="AJ126" s="153"/>
      <c r="AK126" s="25"/>
      <c r="AL126" s="160"/>
      <c r="AM126" s="106" t="e">
        <f>WEEKNUM(AL126-RESUMEN!$D$7)</f>
        <v>#NUM!</v>
      </c>
      <c r="AN126" s="106">
        <f>_xlfn.DAYS(AL126,RESUMEN!$D$7)</f>
        <v>-43238</v>
      </c>
      <c r="AO126" s="104"/>
      <c r="AP126" s="154"/>
      <c r="AQ126" s="154"/>
      <c r="AR126" s="153"/>
      <c r="AS126" s="153"/>
      <c r="AT126" s="25"/>
      <c r="AU126" s="160"/>
      <c r="AV126" s="106" t="e">
        <f>WEEKNUM(AU126-RESUMEN!$D$7)</f>
        <v>#NUM!</v>
      </c>
      <c r="AW126" s="106">
        <f>_xlfn.DAYS(AU126,RESUMEN!$D$7)</f>
        <v>-43238</v>
      </c>
      <c r="AX126" s="104"/>
      <c r="AY126" s="154"/>
      <c r="AZ126" s="154"/>
      <c r="BA126" s="153"/>
      <c r="BB126" s="153"/>
    </row>
    <row r="127" spans="2:54" x14ac:dyDescent="0.25">
      <c r="B127" s="160"/>
      <c r="C127" s="106" t="e">
        <f>WEEKNUM(B127-RESUMEN!$D$7)</f>
        <v>#NUM!</v>
      </c>
      <c r="D127" s="106">
        <f>_xlfn.DAYS(B127,RESUMEN!$D$7)</f>
        <v>-43238</v>
      </c>
      <c r="E127" s="104"/>
      <c r="F127" s="154"/>
      <c r="G127" s="154"/>
      <c r="H127" s="153"/>
      <c r="I127" s="153"/>
      <c r="J127" s="25"/>
      <c r="K127" s="160"/>
      <c r="L127" s="30" t="e">
        <f>WEEKNUM(K127-RESUMEN!$P$7)</f>
        <v>#NUM!</v>
      </c>
      <c r="M127" s="32">
        <f>_xlfn.DAYS(K127,RESUMEN!$P$7)</f>
        <v>-43242</v>
      </c>
      <c r="N127" s="29"/>
      <c r="O127" s="163"/>
      <c r="P127" s="163"/>
      <c r="Q127" s="162"/>
      <c r="R127" s="153"/>
      <c r="S127" s="25"/>
      <c r="T127" s="160"/>
      <c r="U127" s="30" t="e">
        <f>WEEKNUM(T127-RESUMEN!$AB$7)</f>
        <v>#NUM!</v>
      </c>
      <c r="V127" s="30">
        <f>_xlfn.DAYS(T127,RESUMEN!$AB$7)</f>
        <v>-43247</v>
      </c>
      <c r="W127" s="29"/>
      <c r="X127" s="163"/>
      <c r="Y127" s="163"/>
      <c r="Z127" s="162"/>
      <c r="AA127" s="162"/>
      <c r="AB127" s="25"/>
      <c r="AC127" s="160"/>
      <c r="AD127" s="106" t="e">
        <f>WEEKNUM(AC127-RESUMEN!$AN$7)</f>
        <v>#NUM!</v>
      </c>
      <c r="AE127" s="106">
        <f>_xlfn.DAYS(AC127,RESUMEN!$D$7)</f>
        <v>-43238</v>
      </c>
      <c r="AF127" s="104"/>
      <c r="AG127" s="103"/>
      <c r="AH127" s="154"/>
      <c r="AI127" s="153"/>
      <c r="AJ127" s="153"/>
      <c r="AK127" s="25"/>
      <c r="AL127" s="160"/>
      <c r="AM127" s="106" t="e">
        <f>WEEKNUM(AL127-RESUMEN!$D$7)</f>
        <v>#NUM!</v>
      </c>
      <c r="AN127" s="106">
        <f>_xlfn.DAYS(AL127,RESUMEN!$D$7)</f>
        <v>-43238</v>
      </c>
      <c r="AO127" s="104"/>
      <c r="AP127" s="154"/>
      <c r="AQ127" s="154"/>
      <c r="AR127" s="153"/>
      <c r="AS127" s="153"/>
      <c r="AT127" s="25"/>
      <c r="AU127" s="160"/>
      <c r="AV127" s="106" t="e">
        <f>WEEKNUM(AU127-RESUMEN!$D$7)</f>
        <v>#NUM!</v>
      </c>
      <c r="AW127" s="106">
        <f>_xlfn.DAYS(AU127,RESUMEN!$D$7)</f>
        <v>-43238</v>
      </c>
      <c r="AX127" s="104"/>
      <c r="AY127" s="154"/>
      <c r="AZ127" s="154"/>
      <c r="BA127" s="153"/>
      <c r="BB127" s="153"/>
    </row>
    <row r="128" spans="2:54" x14ac:dyDescent="0.25">
      <c r="B128" s="160"/>
      <c r="C128" s="106" t="e">
        <f>WEEKNUM(B128-RESUMEN!$D$7)</f>
        <v>#NUM!</v>
      </c>
      <c r="D128" s="106">
        <f>_xlfn.DAYS(B128,RESUMEN!$D$7)</f>
        <v>-43238</v>
      </c>
      <c r="E128" s="104"/>
      <c r="F128" s="154"/>
      <c r="G128" s="154"/>
      <c r="H128" s="153"/>
      <c r="I128" s="153"/>
      <c r="J128" s="25"/>
      <c r="K128" s="160"/>
      <c r="L128" s="30" t="e">
        <f>WEEKNUM(K128-RESUMEN!$P$7)</f>
        <v>#NUM!</v>
      </c>
      <c r="M128" s="32">
        <f>_xlfn.DAYS(K128,RESUMEN!$P$7)</f>
        <v>-43242</v>
      </c>
      <c r="N128" s="29"/>
      <c r="O128" s="163"/>
      <c r="P128" s="163"/>
      <c r="Q128" s="162"/>
      <c r="R128" s="153"/>
      <c r="S128" s="25"/>
      <c r="T128" s="160"/>
      <c r="U128" s="30" t="e">
        <f>WEEKNUM(T128-RESUMEN!$AB$7)</f>
        <v>#NUM!</v>
      </c>
      <c r="V128" s="30">
        <f>_xlfn.DAYS(T128,RESUMEN!$AB$7)</f>
        <v>-43247</v>
      </c>
      <c r="W128" s="29"/>
      <c r="X128" s="163"/>
      <c r="Y128" s="163"/>
      <c r="Z128" s="162"/>
      <c r="AA128" s="162"/>
      <c r="AB128" s="25"/>
      <c r="AC128" s="160"/>
      <c r="AD128" s="106" t="e">
        <f>WEEKNUM(AC128-RESUMEN!$AN$7)</f>
        <v>#NUM!</v>
      </c>
      <c r="AE128" s="106">
        <f>_xlfn.DAYS(AC128,RESUMEN!$D$7)</f>
        <v>-43238</v>
      </c>
      <c r="AF128" s="104"/>
      <c r="AG128" s="103"/>
      <c r="AH128" s="154"/>
      <c r="AI128" s="153"/>
      <c r="AJ128" s="153"/>
      <c r="AK128" s="25"/>
      <c r="AL128" s="160"/>
      <c r="AM128" s="106" t="e">
        <f>WEEKNUM(AL128-RESUMEN!$D$7)</f>
        <v>#NUM!</v>
      </c>
      <c r="AN128" s="106">
        <f>_xlfn.DAYS(AL128,RESUMEN!$D$7)</f>
        <v>-43238</v>
      </c>
      <c r="AO128" s="104"/>
      <c r="AP128" s="154"/>
      <c r="AQ128" s="154"/>
      <c r="AR128" s="153"/>
      <c r="AS128" s="153"/>
      <c r="AT128" s="25"/>
      <c r="AU128" s="160"/>
      <c r="AV128" s="106" t="e">
        <f>WEEKNUM(AU128-RESUMEN!$D$7)</f>
        <v>#NUM!</v>
      </c>
      <c r="AW128" s="106">
        <f>_xlfn.DAYS(AU128,RESUMEN!$D$7)</f>
        <v>-43238</v>
      </c>
      <c r="AX128" s="104"/>
      <c r="AY128" s="154"/>
      <c r="AZ128" s="154"/>
      <c r="BA128" s="153"/>
      <c r="BB128" s="153"/>
    </row>
    <row r="129" spans="2:54" x14ac:dyDescent="0.25">
      <c r="B129" s="160"/>
      <c r="C129" s="106" t="e">
        <f>WEEKNUM(B129-RESUMEN!$D$7)</f>
        <v>#NUM!</v>
      </c>
      <c r="D129" s="106">
        <f>_xlfn.DAYS(B129,RESUMEN!$D$7)</f>
        <v>-43238</v>
      </c>
      <c r="E129" s="104"/>
      <c r="F129" s="154"/>
      <c r="G129" s="154"/>
      <c r="H129" s="153"/>
      <c r="I129" s="153"/>
      <c r="J129" s="25"/>
      <c r="K129" s="160"/>
      <c r="L129" s="30" t="e">
        <f>WEEKNUM(K129-RESUMEN!$P$7)</f>
        <v>#NUM!</v>
      </c>
      <c r="M129" s="32">
        <f>_xlfn.DAYS(K129,RESUMEN!$P$7)</f>
        <v>-43242</v>
      </c>
      <c r="N129" s="29"/>
      <c r="O129" s="163"/>
      <c r="P129" s="163"/>
      <c r="Q129" s="162"/>
      <c r="R129" s="153"/>
      <c r="S129" s="25"/>
      <c r="T129" s="160"/>
      <c r="U129" s="30" t="e">
        <f>WEEKNUM(T129-RESUMEN!$AB$7)</f>
        <v>#NUM!</v>
      </c>
      <c r="V129" s="30">
        <f>_xlfn.DAYS(T129,RESUMEN!$AB$7)</f>
        <v>-43247</v>
      </c>
      <c r="W129" s="29"/>
      <c r="X129" s="163"/>
      <c r="Y129" s="163"/>
      <c r="Z129" s="162"/>
      <c r="AA129" s="162"/>
      <c r="AB129" s="25"/>
      <c r="AC129" s="160"/>
      <c r="AD129" s="106" t="e">
        <f>WEEKNUM(AC129-RESUMEN!$AN$7)</f>
        <v>#NUM!</v>
      </c>
      <c r="AE129" s="106">
        <f>_xlfn.DAYS(AC129,RESUMEN!$D$7)</f>
        <v>-43238</v>
      </c>
      <c r="AF129" s="104"/>
      <c r="AG129" s="103"/>
      <c r="AH129" s="154"/>
      <c r="AI129" s="153"/>
      <c r="AJ129" s="153"/>
      <c r="AK129" s="25"/>
      <c r="AL129" s="160"/>
      <c r="AM129" s="106" t="e">
        <f>WEEKNUM(AL129-RESUMEN!$D$7)</f>
        <v>#NUM!</v>
      </c>
      <c r="AN129" s="106">
        <f>_xlfn.DAYS(AL129,RESUMEN!$D$7)</f>
        <v>-43238</v>
      </c>
      <c r="AO129" s="104"/>
      <c r="AP129" s="154"/>
      <c r="AQ129" s="154"/>
      <c r="AR129" s="153"/>
      <c r="AS129" s="153"/>
      <c r="AT129" s="25"/>
      <c r="AU129" s="160"/>
      <c r="AV129" s="106" t="e">
        <f>WEEKNUM(AU129-RESUMEN!$D$7)</f>
        <v>#NUM!</v>
      </c>
      <c r="AW129" s="106">
        <f>_xlfn.DAYS(AU129,RESUMEN!$D$7)</f>
        <v>-43238</v>
      </c>
      <c r="AX129" s="104"/>
      <c r="AY129" s="154"/>
      <c r="AZ129" s="154"/>
      <c r="BA129" s="153"/>
      <c r="BB129" s="153"/>
    </row>
    <row r="130" spans="2:54" x14ac:dyDescent="0.25">
      <c r="B130" s="160"/>
      <c r="C130" s="106" t="e">
        <f>WEEKNUM(B130-RESUMEN!$D$7)</f>
        <v>#NUM!</v>
      </c>
      <c r="D130" s="106">
        <f>_xlfn.DAYS(B130,RESUMEN!$D$7)</f>
        <v>-43238</v>
      </c>
      <c r="E130" s="104"/>
      <c r="F130" s="154"/>
      <c r="G130" s="154"/>
      <c r="H130" s="153"/>
      <c r="I130" s="153"/>
      <c r="J130" s="25"/>
      <c r="K130" s="160"/>
      <c r="L130" s="30" t="e">
        <f>WEEKNUM(K130-RESUMEN!$P$7)</f>
        <v>#NUM!</v>
      </c>
      <c r="M130" s="32">
        <f>_xlfn.DAYS(K130,RESUMEN!$P$7)</f>
        <v>-43242</v>
      </c>
      <c r="N130" s="29"/>
      <c r="O130" s="163"/>
      <c r="P130" s="163"/>
      <c r="Q130" s="162"/>
      <c r="R130" s="153"/>
      <c r="S130" s="25"/>
      <c r="T130" s="160"/>
      <c r="U130" s="30" t="e">
        <f>WEEKNUM(T130-RESUMEN!$AB$7)</f>
        <v>#NUM!</v>
      </c>
      <c r="V130" s="30">
        <f>_xlfn.DAYS(T130,RESUMEN!$AB$7)</f>
        <v>-43247</v>
      </c>
      <c r="W130" s="29"/>
      <c r="X130" s="163"/>
      <c r="Y130" s="163"/>
      <c r="Z130" s="162"/>
      <c r="AA130" s="162"/>
      <c r="AB130" s="25"/>
      <c r="AC130" s="160"/>
      <c r="AD130" s="106" t="e">
        <f>WEEKNUM(AC130-RESUMEN!$AN$7)</f>
        <v>#NUM!</v>
      </c>
      <c r="AE130" s="106">
        <f>_xlfn.DAYS(AC130,RESUMEN!$D$7)</f>
        <v>-43238</v>
      </c>
      <c r="AF130" s="104"/>
      <c r="AG130" s="103"/>
      <c r="AH130" s="154"/>
      <c r="AI130" s="153"/>
      <c r="AJ130" s="153"/>
      <c r="AK130" s="25"/>
      <c r="AL130" s="160"/>
      <c r="AM130" s="106" t="e">
        <f>WEEKNUM(AL130-RESUMEN!$D$7)</f>
        <v>#NUM!</v>
      </c>
      <c r="AN130" s="106">
        <f>_xlfn.DAYS(AL130,RESUMEN!$D$7)</f>
        <v>-43238</v>
      </c>
      <c r="AO130" s="104"/>
      <c r="AP130" s="154"/>
      <c r="AQ130" s="154"/>
      <c r="AR130" s="153"/>
      <c r="AS130" s="153"/>
      <c r="AT130" s="25"/>
      <c r="AU130" s="160"/>
      <c r="AV130" s="106" t="e">
        <f>WEEKNUM(AU130-RESUMEN!$D$7)</f>
        <v>#NUM!</v>
      </c>
      <c r="AW130" s="106">
        <f>_xlfn.DAYS(AU130,RESUMEN!$D$7)</f>
        <v>-43238</v>
      </c>
      <c r="AX130" s="104"/>
      <c r="AY130" s="154"/>
      <c r="AZ130" s="154"/>
      <c r="BA130" s="153"/>
      <c r="BB130" s="153"/>
    </row>
    <row r="131" spans="2:54" x14ac:dyDescent="0.25">
      <c r="B131" s="160"/>
      <c r="C131" s="106" t="e">
        <f>WEEKNUM(B131-RESUMEN!$D$7)</f>
        <v>#NUM!</v>
      </c>
      <c r="D131" s="106">
        <f>_xlfn.DAYS(B131,RESUMEN!$D$7)</f>
        <v>-43238</v>
      </c>
      <c r="E131" s="104"/>
      <c r="F131" s="154"/>
      <c r="G131" s="154"/>
      <c r="H131" s="153"/>
      <c r="I131" s="153"/>
      <c r="J131" s="25"/>
      <c r="K131" s="160"/>
      <c r="L131" s="30" t="e">
        <f>WEEKNUM(K131-RESUMEN!$P$7)</f>
        <v>#NUM!</v>
      </c>
      <c r="M131" s="32">
        <f>_xlfn.DAYS(K131,RESUMEN!$P$7)</f>
        <v>-43242</v>
      </c>
      <c r="N131" s="29"/>
      <c r="O131" s="163"/>
      <c r="P131" s="163"/>
      <c r="Q131" s="162"/>
      <c r="R131" s="153"/>
      <c r="S131" s="25"/>
      <c r="T131" s="160"/>
      <c r="U131" s="30" t="e">
        <f>WEEKNUM(T131-RESUMEN!$AB$7)</f>
        <v>#NUM!</v>
      </c>
      <c r="V131" s="30">
        <f>_xlfn.DAYS(T131,RESUMEN!$AB$7)</f>
        <v>-43247</v>
      </c>
      <c r="W131" s="29"/>
      <c r="X131" s="163"/>
      <c r="Y131" s="163"/>
      <c r="Z131" s="162"/>
      <c r="AA131" s="162"/>
      <c r="AB131" s="25"/>
      <c r="AC131" s="160"/>
      <c r="AD131" s="106" t="e">
        <f>WEEKNUM(AC131-RESUMEN!$AN$7)</f>
        <v>#NUM!</v>
      </c>
      <c r="AE131" s="106">
        <f>_xlfn.DAYS(AC131,RESUMEN!$D$7)</f>
        <v>-43238</v>
      </c>
      <c r="AF131" s="104"/>
      <c r="AG131" s="103"/>
      <c r="AH131" s="154"/>
      <c r="AI131" s="153"/>
      <c r="AJ131" s="153"/>
      <c r="AK131" s="25"/>
      <c r="AL131" s="160"/>
      <c r="AM131" s="106" t="e">
        <f>WEEKNUM(AL131-RESUMEN!$D$7)</f>
        <v>#NUM!</v>
      </c>
      <c r="AN131" s="106">
        <f>_xlfn.DAYS(AL131,RESUMEN!$D$7)</f>
        <v>-43238</v>
      </c>
      <c r="AO131" s="104"/>
      <c r="AP131" s="154"/>
      <c r="AQ131" s="154"/>
      <c r="AR131" s="153"/>
      <c r="AS131" s="153"/>
      <c r="AT131" s="25"/>
      <c r="AU131" s="160"/>
      <c r="AV131" s="106" t="e">
        <f>WEEKNUM(AU131-RESUMEN!$D$7)</f>
        <v>#NUM!</v>
      </c>
      <c r="AW131" s="106">
        <f>_xlfn.DAYS(AU131,RESUMEN!$D$7)</f>
        <v>-43238</v>
      </c>
      <c r="AX131" s="104"/>
      <c r="AY131" s="154"/>
      <c r="AZ131" s="154"/>
      <c r="BA131" s="153"/>
      <c r="BB131" s="153"/>
    </row>
    <row r="132" spans="2:54" x14ac:dyDescent="0.25">
      <c r="B132" s="160"/>
      <c r="C132" s="106" t="e">
        <f>WEEKNUM(B132-RESUMEN!$D$7)</f>
        <v>#NUM!</v>
      </c>
      <c r="D132" s="106">
        <f>_xlfn.DAYS(B132,RESUMEN!$D$7)</f>
        <v>-43238</v>
      </c>
      <c r="E132" s="104"/>
      <c r="F132" s="154"/>
      <c r="G132" s="154"/>
      <c r="H132" s="153"/>
      <c r="I132" s="153"/>
      <c r="J132" s="25"/>
      <c r="K132" s="160"/>
      <c r="L132" s="30" t="e">
        <f>WEEKNUM(K132-RESUMEN!$P$7)</f>
        <v>#NUM!</v>
      </c>
      <c r="M132" s="32">
        <f>_xlfn.DAYS(K132,RESUMEN!$P$7)</f>
        <v>-43242</v>
      </c>
      <c r="N132" s="29"/>
      <c r="O132" s="163"/>
      <c r="P132" s="163"/>
      <c r="Q132" s="162"/>
      <c r="R132" s="153"/>
      <c r="S132" s="25"/>
      <c r="T132" s="160"/>
      <c r="U132" s="30" t="e">
        <f>WEEKNUM(T132-RESUMEN!$AB$7)</f>
        <v>#NUM!</v>
      </c>
      <c r="V132" s="30">
        <f>_xlfn.DAYS(T132,RESUMEN!$AB$7)</f>
        <v>-43247</v>
      </c>
      <c r="W132" s="29"/>
      <c r="X132" s="163"/>
      <c r="Y132" s="163"/>
      <c r="Z132" s="162"/>
      <c r="AA132" s="162"/>
      <c r="AB132" s="25"/>
      <c r="AC132" s="160"/>
      <c r="AD132" s="106" t="e">
        <f>WEEKNUM(AC132-RESUMEN!$AN$7)</f>
        <v>#NUM!</v>
      </c>
      <c r="AE132" s="106">
        <f>_xlfn.DAYS(AC132,RESUMEN!$D$7)</f>
        <v>-43238</v>
      </c>
      <c r="AF132" s="104"/>
      <c r="AG132" s="103"/>
      <c r="AH132" s="154"/>
      <c r="AI132" s="153"/>
      <c r="AJ132" s="153"/>
      <c r="AK132" s="25"/>
      <c r="AL132" s="160"/>
      <c r="AM132" s="106" t="e">
        <f>WEEKNUM(AL132-RESUMEN!$D$7)</f>
        <v>#NUM!</v>
      </c>
      <c r="AN132" s="106">
        <f>_xlfn.DAYS(AL132,RESUMEN!$D$7)</f>
        <v>-43238</v>
      </c>
      <c r="AO132" s="104"/>
      <c r="AP132" s="154"/>
      <c r="AQ132" s="154"/>
      <c r="AR132" s="153"/>
      <c r="AS132" s="153"/>
      <c r="AT132" s="25"/>
      <c r="AU132" s="160"/>
      <c r="AV132" s="106" t="e">
        <f>WEEKNUM(AU132-RESUMEN!$D$7)</f>
        <v>#NUM!</v>
      </c>
      <c r="AW132" s="106">
        <f>_xlfn.DAYS(AU132,RESUMEN!$D$7)</f>
        <v>-43238</v>
      </c>
      <c r="AX132" s="104"/>
      <c r="AY132" s="154"/>
      <c r="AZ132" s="154"/>
      <c r="BA132" s="153"/>
      <c r="BB132" s="153"/>
    </row>
    <row r="133" spans="2:54" x14ac:dyDescent="0.25">
      <c r="B133" s="160"/>
      <c r="C133" s="106" t="e">
        <f>WEEKNUM(B133-RESUMEN!$D$7)</f>
        <v>#NUM!</v>
      </c>
      <c r="D133" s="106">
        <f>_xlfn.DAYS(B133,RESUMEN!$D$7)</f>
        <v>-43238</v>
      </c>
      <c r="E133" s="104"/>
      <c r="F133" s="154"/>
      <c r="G133" s="154"/>
      <c r="H133" s="153"/>
      <c r="I133" s="153"/>
      <c r="J133" s="25"/>
      <c r="K133" s="160"/>
      <c r="L133" s="30" t="e">
        <f>WEEKNUM(K133-RESUMEN!$P$7)</f>
        <v>#NUM!</v>
      </c>
      <c r="M133" s="32">
        <f>_xlfn.DAYS(K133,RESUMEN!$P$7)</f>
        <v>-43242</v>
      </c>
      <c r="N133" s="29"/>
      <c r="O133" s="163"/>
      <c r="P133" s="163"/>
      <c r="Q133" s="162"/>
      <c r="R133" s="153"/>
      <c r="S133" s="25"/>
      <c r="T133" s="160"/>
      <c r="U133" s="30" t="e">
        <f>WEEKNUM(T133-RESUMEN!$AB$7)</f>
        <v>#NUM!</v>
      </c>
      <c r="V133" s="30">
        <f>_xlfn.DAYS(T133,RESUMEN!$AB$7)</f>
        <v>-43247</v>
      </c>
      <c r="W133" s="29"/>
      <c r="X133" s="163"/>
      <c r="Y133" s="163"/>
      <c r="Z133" s="162"/>
      <c r="AA133" s="162"/>
      <c r="AB133" s="25"/>
      <c r="AC133" s="160"/>
      <c r="AD133" s="106" t="e">
        <f>WEEKNUM(AC133-RESUMEN!$AN$7)</f>
        <v>#NUM!</v>
      </c>
      <c r="AE133" s="106">
        <f>_xlfn.DAYS(AC133,RESUMEN!$D$7)</f>
        <v>-43238</v>
      </c>
      <c r="AF133" s="104"/>
      <c r="AG133" s="103"/>
      <c r="AH133" s="154"/>
      <c r="AI133" s="153"/>
      <c r="AJ133" s="153"/>
      <c r="AK133" s="25"/>
      <c r="AL133" s="160"/>
      <c r="AM133" s="106" t="e">
        <f>WEEKNUM(AL133-RESUMEN!$D$7)</f>
        <v>#NUM!</v>
      </c>
      <c r="AN133" s="106">
        <f>_xlfn.DAYS(AL133,RESUMEN!$D$7)</f>
        <v>-43238</v>
      </c>
      <c r="AO133" s="104"/>
      <c r="AP133" s="154"/>
      <c r="AQ133" s="154"/>
      <c r="AR133" s="153"/>
      <c r="AS133" s="153"/>
      <c r="AT133" s="25"/>
      <c r="AU133" s="160"/>
      <c r="AV133" s="106" t="e">
        <f>WEEKNUM(AU133-RESUMEN!$D$7)</f>
        <v>#NUM!</v>
      </c>
      <c r="AW133" s="106">
        <f>_xlfn.DAYS(AU133,RESUMEN!$D$7)</f>
        <v>-43238</v>
      </c>
      <c r="AX133" s="104"/>
      <c r="AY133" s="154"/>
      <c r="AZ133" s="154"/>
      <c r="BA133" s="153"/>
      <c r="BB133" s="153"/>
    </row>
    <row r="134" spans="2:54" x14ac:dyDescent="0.25">
      <c r="B134" s="160"/>
      <c r="C134" s="106" t="e">
        <f>WEEKNUM(B134-RESUMEN!$D$7)</f>
        <v>#NUM!</v>
      </c>
      <c r="D134" s="106">
        <f>_xlfn.DAYS(B134,RESUMEN!$D$7)</f>
        <v>-43238</v>
      </c>
      <c r="E134" s="104"/>
      <c r="F134" s="154"/>
      <c r="G134" s="154"/>
      <c r="H134" s="153"/>
      <c r="I134" s="153"/>
      <c r="J134" s="25"/>
      <c r="K134" s="160"/>
      <c r="L134" s="30" t="e">
        <f>WEEKNUM(K134-RESUMEN!$P$7)</f>
        <v>#NUM!</v>
      </c>
      <c r="M134" s="32">
        <f>_xlfn.DAYS(K134,RESUMEN!$P$7)</f>
        <v>-43242</v>
      </c>
      <c r="N134" s="29"/>
      <c r="O134" s="163"/>
      <c r="P134" s="163"/>
      <c r="Q134" s="162"/>
      <c r="R134" s="153"/>
      <c r="S134" s="25"/>
      <c r="T134" s="160"/>
      <c r="U134" s="30" t="e">
        <f>WEEKNUM(T134-RESUMEN!$AB$7)</f>
        <v>#NUM!</v>
      </c>
      <c r="V134" s="30">
        <f>_xlfn.DAYS(T134,RESUMEN!$AB$7)</f>
        <v>-43247</v>
      </c>
      <c r="W134" s="29"/>
      <c r="X134" s="163"/>
      <c r="Y134" s="163"/>
      <c r="Z134" s="162"/>
      <c r="AA134" s="162"/>
      <c r="AB134" s="25"/>
      <c r="AC134" s="160"/>
      <c r="AD134" s="106" t="e">
        <f>WEEKNUM(AC134-RESUMEN!$AN$7)</f>
        <v>#NUM!</v>
      </c>
      <c r="AE134" s="106">
        <f>_xlfn.DAYS(AC134,RESUMEN!$D$7)</f>
        <v>-43238</v>
      </c>
      <c r="AF134" s="104"/>
      <c r="AG134" s="103"/>
      <c r="AH134" s="154"/>
      <c r="AI134" s="153"/>
      <c r="AJ134" s="153"/>
      <c r="AK134" s="25"/>
      <c r="AL134" s="160"/>
      <c r="AM134" s="106" t="e">
        <f>WEEKNUM(AL134-RESUMEN!$D$7)</f>
        <v>#NUM!</v>
      </c>
      <c r="AN134" s="106">
        <f>_xlfn.DAYS(AL134,RESUMEN!$D$7)</f>
        <v>-43238</v>
      </c>
      <c r="AO134" s="104"/>
      <c r="AP134" s="154"/>
      <c r="AQ134" s="154"/>
      <c r="AR134" s="153"/>
      <c r="AS134" s="153"/>
      <c r="AT134" s="25"/>
      <c r="AU134" s="160"/>
      <c r="AV134" s="106" t="e">
        <f>WEEKNUM(AU134-RESUMEN!$D$7)</f>
        <v>#NUM!</v>
      </c>
      <c r="AW134" s="106">
        <f>_xlfn.DAYS(AU134,RESUMEN!$D$7)</f>
        <v>-43238</v>
      </c>
      <c r="AX134" s="104"/>
      <c r="AY134" s="154"/>
      <c r="AZ134" s="154"/>
      <c r="BA134" s="153"/>
      <c r="BB134" s="153"/>
    </row>
    <row r="135" spans="2:54" x14ac:dyDescent="0.25">
      <c r="B135" s="160"/>
      <c r="C135" s="106" t="e">
        <f>WEEKNUM(B135-RESUMEN!$D$7)</f>
        <v>#NUM!</v>
      </c>
      <c r="D135" s="106">
        <f>_xlfn.DAYS(B135,RESUMEN!$D$7)</f>
        <v>-43238</v>
      </c>
      <c r="E135" s="104"/>
      <c r="F135" s="154"/>
      <c r="G135" s="154"/>
      <c r="H135" s="153"/>
      <c r="I135" s="153"/>
      <c r="J135" s="25"/>
      <c r="K135" s="160"/>
      <c r="L135" s="30" t="e">
        <f>WEEKNUM(K135-RESUMEN!$P$7)</f>
        <v>#NUM!</v>
      </c>
      <c r="M135" s="32">
        <f>_xlfn.DAYS(K135,RESUMEN!$P$7)</f>
        <v>-43242</v>
      </c>
      <c r="N135" s="29"/>
      <c r="O135" s="163"/>
      <c r="P135" s="163"/>
      <c r="Q135" s="162"/>
      <c r="R135" s="153"/>
      <c r="S135" s="25"/>
      <c r="T135" s="160"/>
      <c r="U135" s="30" t="e">
        <f>WEEKNUM(T135-RESUMEN!$AB$7)</f>
        <v>#NUM!</v>
      </c>
      <c r="V135" s="30">
        <f>_xlfn.DAYS(T135,RESUMEN!$AB$7)</f>
        <v>-43247</v>
      </c>
      <c r="W135" s="29"/>
      <c r="X135" s="163"/>
      <c r="Y135" s="163"/>
      <c r="Z135" s="162"/>
      <c r="AA135" s="162"/>
      <c r="AB135" s="25"/>
      <c r="AC135" s="160"/>
      <c r="AD135" s="106" t="e">
        <f>WEEKNUM(AC135-RESUMEN!$AN$7)</f>
        <v>#NUM!</v>
      </c>
      <c r="AE135" s="106">
        <f>_xlfn.DAYS(AC135,RESUMEN!$D$7)</f>
        <v>-43238</v>
      </c>
      <c r="AF135" s="104"/>
      <c r="AG135" s="103"/>
      <c r="AH135" s="154"/>
      <c r="AI135" s="153"/>
      <c r="AJ135" s="153"/>
      <c r="AK135" s="25"/>
      <c r="AL135" s="160"/>
      <c r="AM135" s="106" t="e">
        <f>WEEKNUM(AL135-RESUMEN!$D$7)</f>
        <v>#NUM!</v>
      </c>
      <c r="AN135" s="106">
        <f>_xlfn.DAYS(AL135,RESUMEN!$D$7)</f>
        <v>-43238</v>
      </c>
      <c r="AO135" s="104"/>
      <c r="AP135" s="154"/>
      <c r="AQ135" s="154"/>
      <c r="AR135" s="153"/>
      <c r="AS135" s="153"/>
      <c r="AT135" s="25"/>
      <c r="AU135" s="160"/>
      <c r="AV135" s="106" t="e">
        <f>WEEKNUM(AU135-RESUMEN!$D$7)</f>
        <v>#NUM!</v>
      </c>
      <c r="AW135" s="106">
        <f>_xlfn.DAYS(AU135,RESUMEN!$D$7)</f>
        <v>-43238</v>
      </c>
      <c r="AX135" s="104"/>
      <c r="AY135" s="154"/>
      <c r="AZ135" s="154"/>
      <c r="BA135" s="153"/>
      <c r="BB135" s="153"/>
    </row>
    <row r="136" spans="2:54" x14ac:dyDescent="0.25">
      <c r="B136" s="160"/>
      <c r="C136" s="106" t="e">
        <f>WEEKNUM(B136-RESUMEN!$D$7)</f>
        <v>#NUM!</v>
      </c>
      <c r="D136" s="106">
        <f>_xlfn.DAYS(B136,RESUMEN!$D$7)</f>
        <v>-43238</v>
      </c>
      <c r="E136" s="104"/>
      <c r="F136" s="154"/>
      <c r="G136" s="154"/>
      <c r="H136" s="153"/>
      <c r="I136" s="153"/>
      <c r="J136" s="25"/>
      <c r="K136" s="160"/>
      <c r="L136" s="30" t="e">
        <f>WEEKNUM(K136-RESUMEN!$P$7)</f>
        <v>#NUM!</v>
      </c>
      <c r="M136" s="32">
        <f>_xlfn.DAYS(K136,RESUMEN!$P$7)</f>
        <v>-43242</v>
      </c>
      <c r="N136" s="29"/>
      <c r="O136" s="163"/>
      <c r="P136" s="163"/>
      <c r="Q136" s="162"/>
      <c r="R136" s="153"/>
      <c r="S136" s="25"/>
      <c r="T136" s="160"/>
      <c r="U136" s="30" t="e">
        <f>WEEKNUM(T136-RESUMEN!$AB$7)</f>
        <v>#NUM!</v>
      </c>
      <c r="V136" s="30">
        <f>_xlfn.DAYS(T136,RESUMEN!$AB$7)</f>
        <v>-43247</v>
      </c>
      <c r="W136" s="29"/>
      <c r="X136" s="163"/>
      <c r="Y136" s="163"/>
      <c r="Z136" s="162"/>
      <c r="AA136" s="162"/>
      <c r="AB136" s="25"/>
      <c r="AC136" s="160"/>
      <c r="AD136" s="106" t="e">
        <f>WEEKNUM(AC136-RESUMEN!$AN$7)</f>
        <v>#NUM!</v>
      </c>
      <c r="AE136" s="106">
        <f>_xlfn.DAYS(AC136,RESUMEN!$D$7)</f>
        <v>-43238</v>
      </c>
      <c r="AF136" s="104"/>
      <c r="AG136" s="103"/>
      <c r="AH136" s="154"/>
      <c r="AI136" s="153"/>
      <c r="AJ136" s="153"/>
      <c r="AK136" s="25"/>
      <c r="AL136" s="160"/>
      <c r="AM136" s="106" t="e">
        <f>WEEKNUM(AL136-RESUMEN!$D$7)</f>
        <v>#NUM!</v>
      </c>
      <c r="AN136" s="106">
        <f>_xlfn.DAYS(AL136,RESUMEN!$D$7)</f>
        <v>-43238</v>
      </c>
      <c r="AO136" s="104"/>
      <c r="AP136" s="154"/>
      <c r="AQ136" s="154"/>
      <c r="AR136" s="153"/>
      <c r="AS136" s="153"/>
      <c r="AT136" s="25"/>
      <c r="AU136" s="160"/>
      <c r="AV136" s="106" t="e">
        <f>WEEKNUM(AU136-RESUMEN!$D$7)</f>
        <v>#NUM!</v>
      </c>
      <c r="AW136" s="106">
        <f>_xlfn.DAYS(AU136,RESUMEN!$D$7)</f>
        <v>-43238</v>
      </c>
      <c r="AX136" s="104"/>
      <c r="AY136" s="154"/>
      <c r="AZ136" s="154"/>
      <c r="BA136" s="153"/>
      <c r="BB136" s="153"/>
    </row>
    <row r="137" spans="2:54" x14ac:dyDescent="0.25">
      <c r="B137" s="160"/>
      <c r="C137" s="106" t="e">
        <f>WEEKNUM(B137-RESUMEN!$D$7)</f>
        <v>#NUM!</v>
      </c>
      <c r="D137" s="106">
        <f>_xlfn.DAYS(B137,RESUMEN!$D$7)</f>
        <v>-43238</v>
      </c>
      <c r="E137" s="104"/>
      <c r="F137" s="154"/>
      <c r="G137" s="154"/>
      <c r="H137" s="153"/>
      <c r="I137" s="153"/>
      <c r="J137" s="25"/>
      <c r="K137" s="160"/>
      <c r="L137" s="30" t="e">
        <f>WEEKNUM(K137-RESUMEN!$P$7)</f>
        <v>#NUM!</v>
      </c>
      <c r="M137" s="32">
        <f>_xlfn.DAYS(K137,RESUMEN!$P$7)</f>
        <v>-43242</v>
      </c>
      <c r="N137" s="29"/>
      <c r="O137" s="163"/>
      <c r="P137" s="163"/>
      <c r="Q137" s="162"/>
      <c r="R137" s="153"/>
      <c r="S137" s="25"/>
      <c r="T137" s="160"/>
      <c r="U137" s="30" t="e">
        <f>WEEKNUM(T137-RESUMEN!$AB$7)</f>
        <v>#NUM!</v>
      </c>
      <c r="V137" s="30">
        <f>_xlfn.DAYS(T137,RESUMEN!$AB$7)</f>
        <v>-43247</v>
      </c>
      <c r="W137" s="29"/>
      <c r="X137" s="163"/>
      <c r="Y137" s="163"/>
      <c r="Z137" s="162"/>
      <c r="AA137" s="162"/>
      <c r="AB137" s="25"/>
      <c r="AC137" s="160"/>
      <c r="AD137" s="106" t="e">
        <f>WEEKNUM(AC137-RESUMEN!$AN$7)</f>
        <v>#NUM!</v>
      </c>
      <c r="AE137" s="106">
        <f>_xlfn.DAYS(AC137,RESUMEN!$D$7)</f>
        <v>-43238</v>
      </c>
      <c r="AF137" s="104"/>
      <c r="AG137" s="103"/>
      <c r="AH137" s="154"/>
      <c r="AI137" s="153"/>
      <c r="AJ137" s="153"/>
      <c r="AK137" s="25"/>
      <c r="AL137" s="160"/>
      <c r="AM137" s="106" t="e">
        <f>WEEKNUM(AL137-RESUMEN!$D$7)</f>
        <v>#NUM!</v>
      </c>
      <c r="AN137" s="106">
        <f>_xlfn.DAYS(AL137,RESUMEN!$D$7)</f>
        <v>-43238</v>
      </c>
      <c r="AO137" s="104"/>
      <c r="AP137" s="154"/>
      <c r="AQ137" s="154"/>
      <c r="AR137" s="153"/>
      <c r="AS137" s="153"/>
      <c r="AT137" s="25"/>
      <c r="AU137" s="160"/>
      <c r="AV137" s="106" t="e">
        <f>WEEKNUM(AU137-RESUMEN!$D$7)</f>
        <v>#NUM!</v>
      </c>
      <c r="AW137" s="106">
        <f>_xlfn.DAYS(AU137,RESUMEN!$D$7)</f>
        <v>-43238</v>
      </c>
      <c r="AX137" s="104"/>
      <c r="AY137" s="154"/>
      <c r="AZ137" s="154"/>
      <c r="BA137" s="153"/>
      <c r="BB137" s="153"/>
    </row>
    <row r="138" spans="2:54" x14ac:dyDescent="0.25">
      <c r="B138" s="160"/>
      <c r="C138" s="106" t="e">
        <f>WEEKNUM(B138-RESUMEN!$D$7)</f>
        <v>#NUM!</v>
      </c>
      <c r="D138" s="106">
        <f>_xlfn.DAYS(B138,RESUMEN!$D$7)</f>
        <v>-43238</v>
      </c>
      <c r="E138" s="104"/>
      <c r="F138" s="154"/>
      <c r="G138" s="154"/>
      <c r="H138" s="153"/>
      <c r="I138" s="153"/>
      <c r="J138" s="25"/>
      <c r="K138" s="160"/>
      <c r="L138" s="30" t="e">
        <f>WEEKNUM(K138-RESUMEN!$P$7)</f>
        <v>#NUM!</v>
      </c>
      <c r="M138" s="32">
        <f>_xlfn.DAYS(K138,RESUMEN!$P$7)</f>
        <v>-43242</v>
      </c>
      <c r="N138" s="29"/>
      <c r="O138" s="163"/>
      <c r="P138" s="163"/>
      <c r="Q138" s="162"/>
      <c r="R138" s="153"/>
      <c r="S138" s="25"/>
      <c r="T138" s="160"/>
      <c r="U138" s="30" t="e">
        <f>WEEKNUM(T138-RESUMEN!$AB$7)</f>
        <v>#NUM!</v>
      </c>
      <c r="V138" s="30">
        <f>_xlfn.DAYS(T138,RESUMEN!$AB$7)</f>
        <v>-43247</v>
      </c>
      <c r="W138" s="29"/>
      <c r="X138" s="163"/>
      <c r="Y138" s="163"/>
      <c r="Z138" s="162"/>
      <c r="AA138" s="162"/>
      <c r="AB138" s="25"/>
      <c r="AC138" s="160"/>
      <c r="AD138" s="106" t="e">
        <f>WEEKNUM(AC138-RESUMEN!$AN$7)</f>
        <v>#NUM!</v>
      </c>
      <c r="AE138" s="106">
        <f>_xlfn.DAYS(AC138,RESUMEN!$D$7)</f>
        <v>-43238</v>
      </c>
      <c r="AF138" s="104"/>
      <c r="AG138" s="103"/>
      <c r="AH138" s="154"/>
      <c r="AI138" s="153"/>
      <c r="AJ138" s="153"/>
      <c r="AK138" s="25"/>
      <c r="AL138" s="160"/>
      <c r="AM138" s="106" t="e">
        <f>WEEKNUM(AL138-RESUMEN!$D$7)</f>
        <v>#NUM!</v>
      </c>
      <c r="AN138" s="106">
        <f>_xlfn.DAYS(AL138,RESUMEN!$D$7)</f>
        <v>-43238</v>
      </c>
      <c r="AO138" s="104"/>
      <c r="AP138" s="154"/>
      <c r="AQ138" s="154"/>
      <c r="AR138" s="153"/>
      <c r="AS138" s="153"/>
      <c r="AT138" s="25"/>
      <c r="AU138" s="160"/>
      <c r="AV138" s="106" t="e">
        <f>WEEKNUM(AU138-RESUMEN!$D$7)</f>
        <v>#NUM!</v>
      </c>
      <c r="AW138" s="106">
        <f>_xlfn.DAYS(AU138,RESUMEN!$D$7)</f>
        <v>-43238</v>
      </c>
      <c r="AX138" s="104"/>
      <c r="AY138" s="154"/>
      <c r="AZ138" s="154"/>
      <c r="BA138" s="153"/>
      <c r="BB138" s="153"/>
    </row>
    <row r="139" spans="2:54" x14ac:dyDescent="0.25">
      <c r="B139" s="160"/>
      <c r="C139" s="106" t="e">
        <f>WEEKNUM(B139-RESUMEN!$D$7)</f>
        <v>#NUM!</v>
      </c>
      <c r="D139" s="106">
        <f>_xlfn.DAYS(B139,RESUMEN!$D$7)</f>
        <v>-43238</v>
      </c>
      <c r="E139" s="104"/>
      <c r="F139" s="154"/>
      <c r="G139" s="154"/>
      <c r="H139" s="153"/>
      <c r="I139" s="153"/>
      <c r="J139" s="25"/>
      <c r="K139" s="160"/>
      <c r="L139" s="30" t="e">
        <f>WEEKNUM(K139-RESUMEN!$P$7)</f>
        <v>#NUM!</v>
      </c>
      <c r="M139" s="32">
        <f>_xlfn.DAYS(K139,RESUMEN!$P$7)</f>
        <v>-43242</v>
      </c>
      <c r="N139" s="29"/>
      <c r="O139" s="163"/>
      <c r="P139" s="163"/>
      <c r="Q139" s="162"/>
      <c r="R139" s="153"/>
      <c r="S139" s="25"/>
      <c r="T139" s="160"/>
      <c r="U139" s="30" t="e">
        <f>WEEKNUM(T139-RESUMEN!$AB$7)</f>
        <v>#NUM!</v>
      </c>
      <c r="V139" s="30">
        <f>_xlfn.DAYS(T139,RESUMEN!$AB$7)</f>
        <v>-43247</v>
      </c>
      <c r="W139" s="29"/>
      <c r="X139" s="163"/>
      <c r="Y139" s="163"/>
      <c r="Z139" s="162"/>
      <c r="AA139" s="162"/>
      <c r="AB139" s="25"/>
      <c r="AC139" s="160"/>
      <c r="AD139" s="106" t="e">
        <f>WEEKNUM(AC139-RESUMEN!$AN$7)</f>
        <v>#NUM!</v>
      </c>
      <c r="AE139" s="106">
        <f>_xlfn.DAYS(AC139,RESUMEN!$D$7)</f>
        <v>-43238</v>
      </c>
      <c r="AF139" s="104"/>
      <c r="AG139" s="103"/>
      <c r="AH139" s="154"/>
      <c r="AI139" s="153"/>
      <c r="AJ139" s="153"/>
      <c r="AK139" s="25"/>
      <c r="AL139" s="160"/>
      <c r="AM139" s="106" t="e">
        <f>WEEKNUM(AL139-RESUMEN!$D$7)</f>
        <v>#NUM!</v>
      </c>
      <c r="AN139" s="106">
        <f>_xlfn.DAYS(AL139,RESUMEN!$D$7)</f>
        <v>-43238</v>
      </c>
      <c r="AO139" s="104"/>
      <c r="AP139" s="154"/>
      <c r="AQ139" s="154"/>
      <c r="AR139" s="153"/>
      <c r="AS139" s="153"/>
      <c r="AT139" s="25"/>
      <c r="AU139" s="160"/>
      <c r="AV139" s="106" t="e">
        <f>WEEKNUM(AU139-RESUMEN!$D$7)</f>
        <v>#NUM!</v>
      </c>
      <c r="AW139" s="106">
        <f>_xlfn.DAYS(AU139,RESUMEN!$D$7)</f>
        <v>-43238</v>
      </c>
      <c r="AX139" s="104"/>
      <c r="AY139" s="154"/>
      <c r="AZ139" s="154"/>
      <c r="BA139" s="153"/>
      <c r="BB139" s="153"/>
    </row>
    <row r="140" spans="2:54" x14ac:dyDescent="0.25">
      <c r="B140" s="160"/>
      <c r="C140" s="106" t="e">
        <f>WEEKNUM(B140-RESUMEN!$D$7)</f>
        <v>#NUM!</v>
      </c>
      <c r="D140" s="106">
        <f>_xlfn.DAYS(B140,RESUMEN!$D$7)</f>
        <v>-43238</v>
      </c>
      <c r="E140" s="104"/>
      <c r="F140" s="154"/>
      <c r="G140" s="154"/>
      <c r="H140" s="153"/>
      <c r="I140" s="153"/>
      <c r="J140" s="25"/>
      <c r="K140" s="160"/>
      <c r="L140" s="30" t="e">
        <f>WEEKNUM(K140-RESUMEN!$P$7)</f>
        <v>#NUM!</v>
      </c>
      <c r="M140" s="32">
        <f>_xlfn.DAYS(K140,RESUMEN!$P$7)</f>
        <v>-43242</v>
      </c>
      <c r="N140" s="29"/>
      <c r="O140" s="163"/>
      <c r="P140" s="163"/>
      <c r="Q140" s="162"/>
      <c r="R140" s="153"/>
      <c r="S140" s="25"/>
      <c r="T140" s="160"/>
      <c r="U140" s="30" t="e">
        <f>WEEKNUM(T140-RESUMEN!$AB$7)</f>
        <v>#NUM!</v>
      </c>
      <c r="V140" s="30">
        <f>_xlfn.DAYS(T140,RESUMEN!$AB$7)</f>
        <v>-43247</v>
      </c>
      <c r="W140" s="29"/>
      <c r="X140" s="163"/>
      <c r="Y140" s="163"/>
      <c r="Z140" s="162"/>
      <c r="AA140" s="162"/>
      <c r="AB140" s="25"/>
      <c r="AC140" s="160"/>
      <c r="AD140" s="106" t="e">
        <f>WEEKNUM(AC140-RESUMEN!$AN$7)</f>
        <v>#NUM!</v>
      </c>
      <c r="AE140" s="106">
        <f>_xlfn.DAYS(AC140,RESUMEN!$D$7)</f>
        <v>-43238</v>
      </c>
      <c r="AF140" s="104"/>
      <c r="AG140" s="103"/>
      <c r="AH140" s="154"/>
      <c r="AI140" s="153"/>
      <c r="AJ140" s="153"/>
      <c r="AK140" s="25"/>
      <c r="AL140" s="160"/>
      <c r="AM140" s="106" t="e">
        <f>WEEKNUM(AL140-RESUMEN!$D$7)</f>
        <v>#NUM!</v>
      </c>
      <c r="AN140" s="106">
        <f>_xlfn.DAYS(AL140,RESUMEN!$D$7)</f>
        <v>-43238</v>
      </c>
      <c r="AO140" s="104"/>
      <c r="AP140" s="154"/>
      <c r="AQ140" s="154"/>
      <c r="AR140" s="153"/>
      <c r="AS140" s="153"/>
      <c r="AT140" s="25"/>
      <c r="AU140" s="160"/>
      <c r="AV140" s="106" t="e">
        <f>WEEKNUM(AU140-RESUMEN!$D$7)</f>
        <v>#NUM!</v>
      </c>
      <c r="AW140" s="106">
        <f>_xlfn.DAYS(AU140,RESUMEN!$D$7)</f>
        <v>-43238</v>
      </c>
      <c r="AX140" s="104"/>
      <c r="AY140" s="154"/>
      <c r="AZ140" s="154"/>
      <c r="BA140" s="153"/>
      <c r="BB140" s="153"/>
    </row>
    <row r="141" spans="2:54" x14ac:dyDescent="0.25">
      <c r="B141" s="160"/>
      <c r="C141" s="106" t="e">
        <f>WEEKNUM(B141-RESUMEN!$D$7)</f>
        <v>#NUM!</v>
      </c>
      <c r="D141" s="106">
        <f>_xlfn.DAYS(B141,RESUMEN!$D$7)</f>
        <v>-43238</v>
      </c>
      <c r="E141" s="104"/>
      <c r="F141" s="154"/>
      <c r="G141" s="154"/>
      <c r="H141" s="153"/>
      <c r="I141" s="153"/>
      <c r="J141" s="25"/>
      <c r="K141" s="160"/>
      <c r="L141" s="30" t="e">
        <f>WEEKNUM(K141-RESUMEN!$P$7)</f>
        <v>#NUM!</v>
      </c>
      <c r="M141" s="32">
        <f>_xlfn.DAYS(K141,RESUMEN!$P$7)</f>
        <v>-43242</v>
      </c>
      <c r="N141" s="29"/>
      <c r="O141" s="163"/>
      <c r="P141" s="163"/>
      <c r="Q141" s="162"/>
      <c r="R141" s="153"/>
      <c r="S141" s="25"/>
      <c r="T141" s="160"/>
      <c r="U141" s="30" t="e">
        <f>WEEKNUM(T141-RESUMEN!$AB$7)</f>
        <v>#NUM!</v>
      </c>
      <c r="V141" s="30">
        <f>_xlfn.DAYS(T141,RESUMEN!$AB$7)</f>
        <v>-43247</v>
      </c>
      <c r="W141" s="29"/>
      <c r="X141" s="163"/>
      <c r="Y141" s="163"/>
      <c r="Z141" s="162"/>
      <c r="AA141" s="162"/>
      <c r="AB141" s="25"/>
      <c r="AC141" s="160"/>
      <c r="AD141" s="106" t="e">
        <f>WEEKNUM(AC141-RESUMEN!$AN$7)</f>
        <v>#NUM!</v>
      </c>
      <c r="AE141" s="106">
        <f>_xlfn.DAYS(AC141,RESUMEN!$D$7)</f>
        <v>-43238</v>
      </c>
      <c r="AF141" s="104"/>
      <c r="AG141" s="103"/>
      <c r="AH141" s="154"/>
      <c r="AI141" s="153"/>
      <c r="AJ141" s="153"/>
      <c r="AK141" s="25"/>
      <c r="AL141" s="160"/>
      <c r="AM141" s="106" t="e">
        <f>WEEKNUM(AL141-RESUMEN!$D$7)</f>
        <v>#NUM!</v>
      </c>
      <c r="AN141" s="106">
        <f>_xlfn.DAYS(AL141,RESUMEN!$D$7)</f>
        <v>-43238</v>
      </c>
      <c r="AO141" s="104"/>
      <c r="AP141" s="154"/>
      <c r="AQ141" s="154"/>
      <c r="AR141" s="153"/>
      <c r="AS141" s="153"/>
      <c r="AT141" s="25"/>
      <c r="AU141" s="160"/>
      <c r="AV141" s="106" t="e">
        <f>WEEKNUM(AU141-RESUMEN!$D$7)</f>
        <v>#NUM!</v>
      </c>
      <c r="AW141" s="106">
        <f>_xlfn.DAYS(AU141,RESUMEN!$D$7)</f>
        <v>-43238</v>
      </c>
      <c r="AX141" s="104"/>
      <c r="AY141" s="154"/>
      <c r="AZ141" s="154"/>
      <c r="BA141" s="153"/>
      <c r="BB141" s="153"/>
    </row>
    <row r="142" spans="2:54" x14ac:dyDescent="0.25">
      <c r="B142" s="160"/>
      <c r="C142" s="106" t="e">
        <f>WEEKNUM(B142-RESUMEN!$D$7)</f>
        <v>#NUM!</v>
      </c>
      <c r="D142" s="106">
        <f>_xlfn.DAYS(B142,RESUMEN!$D$7)</f>
        <v>-43238</v>
      </c>
      <c r="E142" s="104"/>
      <c r="F142" s="154"/>
      <c r="G142" s="154"/>
      <c r="H142" s="153"/>
      <c r="I142" s="153"/>
      <c r="J142" s="25"/>
      <c r="K142" s="160"/>
      <c r="L142" s="30" t="e">
        <f>WEEKNUM(K142-RESUMEN!$P$7)</f>
        <v>#NUM!</v>
      </c>
      <c r="M142" s="32">
        <f>_xlfn.DAYS(K142,RESUMEN!$P$7)</f>
        <v>-43242</v>
      </c>
      <c r="N142" s="29"/>
      <c r="O142" s="163"/>
      <c r="P142" s="163"/>
      <c r="Q142" s="162"/>
      <c r="R142" s="153"/>
      <c r="S142" s="25"/>
      <c r="T142" s="160"/>
      <c r="U142" s="30" t="e">
        <f>WEEKNUM(T142-RESUMEN!$AB$7)</f>
        <v>#NUM!</v>
      </c>
      <c r="V142" s="30">
        <f>_xlfn.DAYS(T142,RESUMEN!$AB$7)</f>
        <v>-43247</v>
      </c>
      <c r="W142" s="29"/>
      <c r="X142" s="163"/>
      <c r="Y142" s="163"/>
      <c r="Z142" s="162"/>
      <c r="AA142" s="162"/>
      <c r="AB142" s="25"/>
      <c r="AC142" s="160"/>
      <c r="AD142" s="106" t="e">
        <f>WEEKNUM(AC142-RESUMEN!$AN$7)</f>
        <v>#NUM!</v>
      </c>
      <c r="AE142" s="106">
        <f>_xlfn.DAYS(AC142,RESUMEN!$D$7)</f>
        <v>-43238</v>
      </c>
      <c r="AF142" s="104"/>
      <c r="AG142" s="103"/>
      <c r="AH142" s="154"/>
      <c r="AI142" s="153"/>
      <c r="AJ142" s="153"/>
      <c r="AK142" s="25"/>
      <c r="AL142" s="160"/>
      <c r="AM142" s="106" t="e">
        <f>WEEKNUM(AL142-RESUMEN!$D$7)</f>
        <v>#NUM!</v>
      </c>
      <c r="AN142" s="106">
        <f>_xlfn.DAYS(AL142,RESUMEN!$D$7)</f>
        <v>-43238</v>
      </c>
      <c r="AO142" s="104"/>
      <c r="AP142" s="154"/>
      <c r="AQ142" s="154"/>
      <c r="AR142" s="153"/>
      <c r="AS142" s="153"/>
      <c r="AT142" s="25"/>
      <c r="AU142" s="160"/>
      <c r="AV142" s="106" t="e">
        <f>WEEKNUM(AU142-RESUMEN!$D$7)</f>
        <v>#NUM!</v>
      </c>
      <c r="AW142" s="106">
        <f>_xlfn.DAYS(AU142,RESUMEN!$D$7)</f>
        <v>-43238</v>
      </c>
      <c r="AX142" s="104"/>
      <c r="AY142" s="154"/>
      <c r="AZ142" s="154"/>
      <c r="BA142" s="153"/>
      <c r="BB142" s="153"/>
    </row>
    <row r="143" spans="2:54" x14ac:dyDescent="0.25">
      <c r="B143" s="160"/>
      <c r="C143" s="106" t="e">
        <f>WEEKNUM(B143-RESUMEN!$D$7)</f>
        <v>#NUM!</v>
      </c>
      <c r="D143" s="106">
        <f>_xlfn.DAYS(B143,RESUMEN!$D$7)</f>
        <v>-43238</v>
      </c>
      <c r="E143" s="104"/>
      <c r="F143" s="154"/>
      <c r="G143" s="154"/>
      <c r="H143" s="153"/>
      <c r="I143" s="153"/>
      <c r="J143" s="25"/>
      <c r="K143" s="160"/>
      <c r="L143" s="30" t="e">
        <f>WEEKNUM(K143-RESUMEN!$P$7)</f>
        <v>#NUM!</v>
      </c>
      <c r="M143" s="32">
        <f>_xlfn.DAYS(K143,RESUMEN!$P$7)</f>
        <v>-43242</v>
      </c>
      <c r="N143" s="29"/>
      <c r="O143" s="163"/>
      <c r="P143" s="163"/>
      <c r="Q143" s="162"/>
      <c r="R143" s="153"/>
      <c r="S143" s="25"/>
      <c r="T143" s="160"/>
      <c r="U143" s="30" t="e">
        <f>WEEKNUM(T143-RESUMEN!$AB$7)</f>
        <v>#NUM!</v>
      </c>
      <c r="V143" s="30">
        <f>_xlfn.DAYS(T143,RESUMEN!$AB$7)</f>
        <v>-43247</v>
      </c>
      <c r="W143" s="29"/>
      <c r="X143" s="163"/>
      <c r="Y143" s="163"/>
      <c r="Z143" s="162"/>
      <c r="AA143" s="162"/>
      <c r="AB143" s="25"/>
      <c r="AC143" s="160"/>
      <c r="AD143" s="106" t="e">
        <f>WEEKNUM(AC143-RESUMEN!$AN$7)</f>
        <v>#NUM!</v>
      </c>
      <c r="AE143" s="106">
        <f>_xlfn.DAYS(AC143,RESUMEN!$D$7)</f>
        <v>-43238</v>
      </c>
      <c r="AF143" s="104"/>
      <c r="AG143" s="103"/>
      <c r="AH143" s="154"/>
      <c r="AI143" s="153"/>
      <c r="AJ143" s="153"/>
      <c r="AK143" s="25"/>
      <c r="AL143" s="160"/>
      <c r="AM143" s="106" t="e">
        <f>WEEKNUM(AL143-RESUMEN!$D$7)</f>
        <v>#NUM!</v>
      </c>
      <c r="AN143" s="106">
        <f>_xlfn.DAYS(AL143,RESUMEN!$D$7)</f>
        <v>-43238</v>
      </c>
      <c r="AO143" s="104"/>
      <c r="AP143" s="154"/>
      <c r="AQ143" s="154"/>
      <c r="AR143" s="153"/>
      <c r="AS143" s="153"/>
      <c r="AT143" s="25"/>
      <c r="AU143" s="160"/>
      <c r="AV143" s="106" t="e">
        <f>WEEKNUM(AU143-RESUMEN!$D$7)</f>
        <v>#NUM!</v>
      </c>
      <c r="AW143" s="106">
        <f>_xlfn.DAYS(AU143,RESUMEN!$D$7)</f>
        <v>-43238</v>
      </c>
      <c r="AX143" s="104"/>
      <c r="AY143" s="154"/>
      <c r="AZ143" s="154"/>
      <c r="BA143" s="153"/>
      <c r="BB143" s="153"/>
    </row>
    <row r="144" spans="2:54" x14ac:dyDescent="0.25">
      <c r="B144" s="160"/>
      <c r="C144" s="106" t="e">
        <f>WEEKNUM(B144-RESUMEN!$D$7)</f>
        <v>#NUM!</v>
      </c>
      <c r="D144" s="106">
        <f>_xlfn.DAYS(B144,RESUMEN!$D$7)</f>
        <v>-43238</v>
      </c>
      <c r="E144" s="104"/>
      <c r="F144" s="154"/>
      <c r="G144" s="154"/>
      <c r="H144" s="153"/>
      <c r="I144" s="153"/>
      <c r="J144" s="25"/>
      <c r="K144" s="160"/>
      <c r="L144" s="30" t="e">
        <f>WEEKNUM(K144-RESUMEN!$P$7)</f>
        <v>#NUM!</v>
      </c>
      <c r="M144" s="32">
        <f>_xlfn.DAYS(K144,RESUMEN!$P$7)</f>
        <v>-43242</v>
      </c>
      <c r="N144" s="29"/>
      <c r="O144" s="163"/>
      <c r="P144" s="163"/>
      <c r="Q144" s="162"/>
      <c r="R144" s="153"/>
      <c r="S144" s="25"/>
      <c r="T144" s="160"/>
      <c r="U144" s="30" t="e">
        <f>WEEKNUM(T144-RESUMEN!$AB$7)</f>
        <v>#NUM!</v>
      </c>
      <c r="V144" s="30">
        <f>_xlfn.DAYS(T144,RESUMEN!$AB$7)</f>
        <v>-43247</v>
      </c>
      <c r="W144" s="29"/>
      <c r="X144" s="163"/>
      <c r="Y144" s="163"/>
      <c r="Z144" s="162"/>
      <c r="AA144" s="162"/>
      <c r="AB144" s="25"/>
      <c r="AC144" s="160"/>
      <c r="AD144" s="106" t="e">
        <f>WEEKNUM(AC144-RESUMEN!$AN$7)</f>
        <v>#NUM!</v>
      </c>
      <c r="AE144" s="106">
        <f>_xlfn.DAYS(AC144,RESUMEN!$D$7)</f>
        <v>-43238</v>
      </c>
      <c r="AF144" s="104"/>
      <c r="AG144" s="103"/>
      <c r="AH144" s="154"/>
      <c r="AI144" s="153"/>
      <c r="AJ144" s="153"/>
      <c r="AK144" s="25"/>
      <c r="AL144" s="160"/>
      <c r="AM144" s="106" t="e">
        <f>WEEKNUM(AL144-RESUMEN!$D$7)</f>
        <v>#NUM!</v>
      </c>
      <c r="AN144" s="106">
        <f>_xlfn.DAYS(AL144,RESUMEN!$D$7)</f>
        <v>-43238</v>
      </c>
      <c r="AO144" s="104"/>
      <c r="AP144" s="154"/>
      <c r="AQ144" s="154"/>
      <c r="AR144" s="153"/>
      <c r="AS144" s="153"/>
      <c r="AT144" s="25"/>
      <c r="AU144" s="160"/>
      <c r="AV144" s="106" t="e">
        <f>WEEKNUM(AU144-RESUMEN!$D$7)</f>
        <v>#NUM!</v>
      </c>
      <c r="AW144" s="106">
        <f>_xlfn.DAYS(AU144,RESUMEN!$D$7)</f>
        <v>-43238</v>
      </c>
      <c r="AX144" s="104"/>
      <c r="AY144" s="154"/>
      <c r="AZ144" s="154"/>
      <c r="BA144" s="153"/>
      <c r="BB144" s="153"/>
    </row>
    <row r="145" spans="2:54" x14ac:dyDescent="0.25">
      <c r="B145" s="160"/>
      <c r="C145" s="106" t="e">
        <f>WEEKNUM(B145-RESUMEN!$D$7)</f>
        <v>#NUM!</v>
      </c>
      <c r="D145" s="106">
        <f>_xlfn.DAYS(B145,RESUMEN!$D$7)</f>
        <v>-43238</v>
      </c>
      <c r="E145" s="104"/>
      <c r="F145" s="154"/>
      <c r="G145" s="154"/>
      <c r="H145" s="153"/>
      <c r="I145" s="153"/>
      <c r="J145" s="25"/>
      <c r="K145" s="160"/>
      <c r="L145" s="30" t="e">
        <f>WEEKNUM(K145-RESUMEN!$P$7)</f>
        <v>#NUM!</v>
      </c>
      <c r="M145" s="32">
        <f>_xlfn.DAYS(K145,RESUMEN!$P$7)</f>
        <v>-43242</v>
      </c>
      <c r="N145" s="29"/>
      <c r="O145" s="163"/>
      <c r="P145" s="163"/>
      <c r="Q145" s="162"/>
      <c r="R145" s="153"/>
      <c r="S145" s="25"/>
      <c r="T145" s="160"/>
      <c r="U145" s="30" t="e">
        <f>WEEKNUM(T145-RESUMEN!$AB$7)</f>
        <v>#NUM!</v>
      </c>
      <c r="V145" s="30">
        <f>_xlfn.DAYS(T145,RESUMEN!$AB$7)</f>
        <v>-43247</v>
      </c>
      <c r="W145" s="29"/>
      <c r="X145" s="163"/>
      <c r="Y145" s="163"/>
      <c r="Z145" s="162"/>
      <c r="AA145" s="162"/>
      <c r="AB145" s="25"/>
      <c r="AC145" s="160"/>
      <c r="AD145" s="106" t="e">
        <f>WEEKNUM(AC145-RESUMEN!$AN$7)</f>
        <v>#NUM!</v>
      </c>
      <c r="AE145" s="106">
        <f>_xlfn.DAYS(AC145,RESUMEN!$D$7)</f>
        <v>-43238</v>
      </c>
      <c r="AF145" s="104"/>
      <c r="AG145" s="103"/>
      <c r="AH145" s="154"/>
      <c r="AI145" s="153"/>
      <c r="AJ145" s="153"/>
      <c r="AK145" s="25"/>
      <c r="AL145" s="160"/>
      <c r="AM145" s="106" t="e">
        <f>WEEKNUM(AL145-RESUMEN!$D$7)</f>
        <v>#NUM!</v>
      </c>
      <c r="AN145" s="106">
        <f>_xlfn.DAYS(AL145,RESUMEN!$D$7)</f>
        <v>-43238</v>
      </c>
      <c r="AO145" s="104"/>
      <c r="AP145" s="154"/>
      <c r="AQ145" s="154"/>
      <c r="AR145" s="153"/>
      <c r="AS145" s="153"/>
      <c r="AT145" s="25"/>
      <c r="AU145" s="160"/>
      <c r="AV145" s="106" t="e">
        <f>WEEKNUM(AU145-RESUMEN!$D$7)</f>
        <v>#NUM!</v>
      </c>
      <c r="AW145" s="106">
        <f>_xlfn.DAYS(AU145,RESUMEN!$D$7)</f>
        <v>-43238</v>
      </c>
      <c r="AX145" s="104"/>
      <c r="AY145" s="154"/>
      <c r="AZ145" s="154"/>
      <c r="BA145" s="153"/>
      <c r="BB145" s="153"/>
    </row>
    <row r="146" spans="2:54" x14ac:dyDescent="0.25">
      <c r="B146" s="160"/>
      <c r="C146" s="106" t="e">
        <f>WEEKNUM(B146-RESUMEN!$D$7)</f>
        <v>#NUM!</v>
      </c>
      <c r="D146" s="106">
        <f>_xlfn.DAYS(B146,RESUMEN!$D$7)</f>
        <v>-43238</v>
      </c>
      <c r="E146" s="104"/>
      <c r="F146" s="154"/>
      <c r="G146" s="154"/>
      <c r="H146" s="153"/>
      <c r="I146" s="153"/>
      <c r="J146" s="25"/>
      <c r="K146" s="160"/>
      <c r="L146" s="30" t="e">
        <f>WEEKNUM(K146-RESUMEN!$P$7)</f>
        <v>#NUM!</v>
      </c>
      <c r="M146" s="32">
        <f>_xlfn.DAYS(K146,RESUMEN!$P$7)</f>
        <v>-43242</v>
      </c>
      <c r="N146" s="29"/>
      <c r="O146" s="163"/>
      <c r="P146" s="163"/>
      <c r="Q146" s="162"/>
      <c r="R146" s="153"/>
      <c r="S146" s="25"/>
      <c r="T146" s="160"/>
      <c r="U146" s="30" t="e">
        <f>WEEKNUM(T146-RESUMEN!$AB$7)</f>
        <v>#NUM!</v>
      </c>
      <c r="V146" s="30">
        <f>_xlfn.DAYS(T146,RESUMEN!$AB$7)</f>
        <v>-43247</v>
      </c>
      <c r="W146" s="29"/>
      <c r="X146" s="163"/>
      <c r="Y146" s="163"/>
      <c r="Z146" s="162"/>
      <c r="AA146" s="162"/>
      <c r="AB146" s="25"/>
      <c r="AC146" s="160"/>
      <c r="AD146" s="106" t="e">
        <f>WEEKNUM(AC146-RESUMEN!$AN$7)</f>
        <v>#NUM!</v>
      </c>
      <c r="AE146" s="106">
        <f>_xlfn.DAYS(AC146,RESUMEN!$D$7)</f>
        <v>-43238</v>
      </c>
      <c r="AF146" s="104"/>
      <c r="AG146" s="103"/>
      <c r="AH146" s="154"/>
      <c r="AI146" s="153"/>
      <c r="AJ146" s="153"/>
      <c r="AK146" s="25"/>
      <c r="AL146" s="160"/>
      <c r="AM146" s="106" t="e">
        <f>WEEKNUM(AL146-RESUMEN!$D$7)</f>
        <v>#NUM!</v>
      </c>
      <c r="AN146" s="106">
        <f>_xlfn.DAYS(AL146,RESUMEN!$D$7)</f>
        <v>-43238</v>
      </c>
      <c r="AO146" s="104"/>
      <c r="AP146" s="154"/>
      <c r="AQ146" s="154"/>
      <c r="AR146" s="153"/>
      <c r="AS146" s="153"/>
      <c r="AT146" s="25"/>
      <c r="AU146" s="160"/>
      <c r="AV146" s="106" t="e">
        <f>WEEKNUM(AU146-RESUMEN!$D$7)</f>
        <v>#NUM!</v>
      </c>
      <c r="AW146" s="106">
        <f>_xlfn.DAYS(AU146,RESUMEN!$D$7)</f>
        <v>-43238</v>
      </c>
      <c r="AX146" s="104"/>
      <c r="AY146" s="154"/>
      <c r="AZ146" s="154"/>
      <c r="BA146" s="153"/>
      <c r="BB146" s="153"/>
    </row>
    <row r="147" spans="2:54" x14ac:dyDescent="0.25">
      <c r="B147" s="160"/>
      <c r="C147" s="106" t="e">
        <f>WEEKNUM(B147-RESUMEN!$D$7)</f>
        <v>#NUM!</v>
      </c>
      <c r="D147" s="106">
        <f>_xlfn.DAYS(B147,RESUMEN!$D$7)</f>
        <v>-43238</v>
      </c>
      <c r="E147" s="104"/>
      <c r="F147" s="154"/>
      <c r="G147" s="154"/>
      <c r="H147" s="153"/>
      <c r="I147" s="153"/>
      <c r="J147" s="25"/>
      <c r="K147" s="160"/>
      <c r="L147" s="30" t="e">
        <f>WEEKNUM(K147-RESUMEN!$P$7)</f>
        <v>#NUM!</v>
      </c>
      <c r="M147" s="32">
        <f>_xlfn.DAYS(K147,RESUMEN!$P$7)</f>
        <v>-43242</v>
      </c>
      <c r="N147" s="29"/>
      <c r="O147" s="163"/>
      <c r="P147" s="163"/>
      <c r="Q147" s="162"/>
      <c r="R147" s="153"/>
      <c r="S147" s="25"/>
      <c r="T147" s="160"/>
      <c r="U147" s="30" t="e">
        <f>WEEKNUM(T147-RESUMEN!$AB$7)</f>
        <v>#NUM!</v>
      </c>
      <c r="V147" s="30">
        <f>_xlfn.DAYS(T147,RESUMEN!$AB$7)</f>
        <v>-43247</v>
      </c>
      <c r="W147" s="29"/>
      <c r="X147" s="163"/>
      <c r="Y147" s="163"/>
      <c r="Z147" s="162"/>
      <c r="AA147" s="162"/>
      <c r="AB147" s="25"/>
      <c r="AC147" s="160"/>
      <c r="AD147" s="106" t="e">
        <f>WEEKNUM(AC147-RESUMEN!$AN$7)</f>
        <v>#NUM!</v>
      </c>
      <c r="AE147" s="106">
        <f>_xlfn.DAYS(AC147,RESUMEN!$D$7)</f>
        <v>-43238</v>
      </c>
      <c r="AF147" s="104"/>
      <c r="AG147" s="103"/>
      <c r="AH147" s="154"/>
      <c r="AI147" s="153"/>
      <c r="AJ147" s="153"/>
      <c r="AK147" s="25"/>
      <c r="AL147" s="160"/>
      <c r="AM147" s="106" t="e">
        <f>WEEKNUM(AL147-RESUMEN!$D$7)</f>
        <v>#NUM!</v>
      </c>
      <c r="AN147" s="106">
        <f>_xlfn.DAYS(AL147,RESUMEN!$D$7)</f>
        <v>-43238</v>
      </c>
      <c r="AO147" s="104"/>
      <c r="AP147" s="154"/>
      <c r="AQ147" s="154"/>
      <c r="AR147" s="153"/>
      <c r="AS147" s="153"/>
      <c r="AT147" s="25"/>
      <c r="AU147" s="160"/>
      <c r="AV147" s="106" t="e">
        <f>WEEKNUM(AU147-RESUMEN!$D$7)</f>
        <v>#NUM!</v>
      </c>
      <c r="AW147" s="106">
        <f>_xlfn.DAYS(AU147,RESUMEN!$D$7)</f>
        <v>-43238</v>
      </c>
      <c r="AX147" s="104"/>
      <c r="AY147" s="154"/>
      <c r="AZ147" s="154"/>
      <c r="BA147" s="153"/>
      <c r="BB147" s="153"/>
    </row>
    <row r="148" spans="2:54" x14ac:dyDescent="0.25">
      <c r="B148" s="160"/>
      <c r="C148" s="106" t="e">
        <f>WEEKNUM(B148-RESUMEN!$D$7)</f>
        <v>#NUM!</v>
      </c>
      <c r="D148" s="106">
        <f>_xlfn.DAYS(B148,RESUMEN!$D$7)</f>
        <v>-43238</v>
      </c>
      <c r="E148" s="104"/>
      <c r="F148" s="154"/>
      <c r="G148" s="154"/>
      <c r="H148" s="153"/>
      <c r="I148" s="153"/>
      <c r="J148" s="25"/>
      <c r="K148" s="160"/>
      <c r="L148" s="30" t="e">
        <f>WEEKNUM(K148-RESUMEN!$P$7)</f>
        <v>#NUM!</v>
      </c>
      <c r="M148" s="32">
        <f>_xlfn.DAYS(K148,RESUMEN!$P$7)</f>
        <v>-43242</v>
      </c>
      <c r="N148" s="29"/>
      <c r="O148" s="163"/>
      <c r="P148" s="163"/>
      <c r="Q148" s="162"/>
      <c r="R148" s="153"/>
      <c r="S148" s="25"/>
      <c r="T148" s="160"/>
      <c r="U148" s="30" t="e">
        <f>WEEKNUM(T148-RESUMEN!$AB$7)</f>
        <v>#NUM!</v>
      </c>
      <c r="V148" s="30">
        <f>_xlfn.DAYS(T148,RESUMEN!$AB$7)</f>
        <v>-43247</v>
      </c>
      <c r="W148" s="29"/>
      <c r="X148" s="163"/>
      <c r="Y148" s="163"/>
      <c r="Z148" s="162"/>
      <c r="AA148" s="162"/>
      <c r="AB148" s="25"/>
      <c r="AC148" s="160"/>
      <c r="AD148" s="106" t="e">
        <f>WEEKNUM(AC148-RESUMEN!$AN$7)</f>
        <v>#NUM!</v>
      </c>
      <c r="AE148" s="106">
        <f>_xlfn.DAYS(AC148,RESUMEN!$D$7)</f>
        <v>-43238</v>
      </c>
      <c r="AF148" s="104"/>
      <c r="AG148" s="103"/>
      <c r="AH148" s="154"/>
      <c r="AI148" s="153"/>
      <c r="AJ148" s="153"/>
      <c r="AK148" s="25"/>
      <c r="AL148" s="160"/>
      <c r="AM148" s="106" t="e">
        <f>WEEKNUM(AL148-RESUMEN!$D$7)</f>
        <v>#NUM!</v>
      </c>
      <c r="AN148" s="106">
        <f>_xlfn.DAYS(AL148,RESUMEN!$D$7)</f>
        <v>-43238</v>
      </c>
      <c r="AO148" s="104"/>
      <c r="AP148" s="154"/>
      <c r="AQ148" s="154"/>
      <c r="AR148" s="153"/>
      <c r="AS148" s="153"/>
      <c r="AT148" s="25"/>
      <c r="AU148" s="160"/>
      <c r="AV148" s="106" t="e">
        <f>WEEKNUM(AU148-RESUMEN!$D$7)</f>
        <v>#NUM!</v>
      </c>
      <c r="AW148" s="106">
        <f>_xlfn.DAYS(AU148,RESUMEN!$D$7)</f>
        <v>-43238</v>
      </c>
      <c r="AX148" s="104"/>
      <c r="AY148" s="154"/>
      <c r="AZ148" s="154"/>
      <c r="BA148" s="153"/>
      <c r="BB148" s="153"/>
    </row>
    <row r="149" spans="2:54" x14ac:dyDescent="0.25">
      <c r="B149" s="160"/>
      <c r="C149" s="106" t="e">
        <f>WEEKNUM(B149-RESUMEN!$D$7)</f>
        <v>#NUM!</v>
      </c>
      <c r="D149" s="106">
        <f>_xlfn.DAYS(B149,RESUMEN!$D$7)</f>
        <v>-43238</v>
      </c>
      <c r="E149" s="104"/>
      <c r="F149" s="154"/>
      <c r="G149" s="154"/>
      <c r="H149" s="153"/>
      <c r="I149" s="153"/>
      <c r="J149" s="25"/>
      <c r="K149" s="160"/>
      <c r="L149" s="30" t="e">
        <f>WEEKNUM(K149-RESUMEN!$P$7)</f>
        <v>#NUM!</v>
      </c>
      <c r="M149" s="32">
        <f>_xlfn.DAYS(K149,RESUMEN!$P$7)</f>
        <v>-43242</v>
      </c>
      <c r="N149" s="29"/>
      <c r="O149" s="163"/>
      <c r="P149" s="163"/>
      <c r="Q149" s="162"/>
      <c r="R149" s="153"/>
      <c r="S149" s="25"/>
      <c r="T149" s="160"/>
      <c r="U149" s="30" t="e">
        <f>WEEKNUM(T149-RESUMEN!$AB$7)</f>
        <v>#NUM!</v>
      </c>
      <c r="V149" s="30">
        <f>_xlfn.DAYS(T149,RESUMEN!$AB$7)</f>
        <v>-43247</v>
      </c>
      <c r="W149" s="29"/>
      <c r="X149" s="163"/>
      <c r="Y149" s="163"/>
      <c r="Z149" s="162"/>
      <c r="AA149" s="162"/>
      <c r="AB149" s="25"/>
      <c r="AC149" s="160"/>
      <c r="AD149" s="106" t="e">
        <f>WEEKNUM(AC149-RESUMEN!$AN$7)</f>
        <v>#NUM!</v>
      </c>
      <c r="AE149" s="106">
        <f>_xlfn.DAYS(AC149,RESUMEN!$D$7)</f>
        <v>-43238</v>
      </c>
      <c r="AF149" s="104"/>
      <c r="AG149" s="103"/>
      <c r="AH149" s="154"/>
      <c r="AI149" s="153"/>
      <c r="AJ149" s="153"/>
      <c r="AK149" s="25"/>
      <c r="AL149" s="160"/>
      <c r="AM149" s="106" t="e">
        <f>WEEKNUM(AL149-RESUMEN!$D$7)</f>
        <v>#NUM!</v>
      </c>
      <c r="AN149" s="106">
        <f>_xlfn.DAYS(AL149,RESUMEN!$D$7)</f>
        <v>-43238</v>
      </c>
      <c r="AO149" s="104"/>
      <c r="AP149" s="154"/>
      <c r="AQ149" s="154"/>
      <c r="AR149" s="153"/>
      <c r="AS149" s="153"/>
      <c r="AT149" s="25"/>
      <c r="AU149" s="160"/>
      <c r="AV149" s="106" t="e">
        <f>WEEKNUM(AU149-RESUMEN!$D$7)</f>
        <v>#NUM!</v>
      </c>
      <c r="AW149" s="106">
        <f>_xlfn.DAYS(AU149,RESUMEN!$D$7)</f>
        <v>-43238</v>
      </c>
      <c r="AX149" s="104"/>
      <c r="AY149" s="154"/>
      <c r="AZ149" s="154"/>
      <c r="BA149" s="153"/>
      <c r="BB149" s="153"/>
    </row>
    <row r="150" spans="2:54" x14ac:dyDescent="0.25">
      <c r="B150" s="160"/>
      <c r="C150" s="106" t="e">
        <f>WEEKNUM(B150-RESUMEN!$D$7)</f>
        <v>#NUM!</v>
      </c>
      <c r="D150" s="106">
        <f>_xlfn.DAYS(B150,RESUMEN!$D$7)</f>
        <v>-43238</v>
      </c>
      <c r="E150" s="104"/>
      <c r="F150" s="154"/>
      <c r="G150" s="154"/>
      <c r="H150" s="153"/>
      <c r="I150" s="153"/>
      <c r="J150" s="25"/>
      <c r="K150" s="160"/>
      <c r="L150" s="30" t="e">
        <f>WEEKNUM(K150-RESUMEN!$P$7)</f>
        <v>#NUM!</v>
      </c>
      <c r="M150" s="32">
        <f>_xlfn.DAYS(K150,RESUMEN!$P$7)</f>
        <v>-43242</v>
      </c>
      <c r="N150" s="29"/>
      <c r="O150" s="163"/>
      <c r="P150" s="163"/>
      <c r="Q150" s="162"/>
      <c r="R150" s="153"/>
      <c r="S150" s="25"/>
      <c r="T150" s="160"/>
      <c r="U150" s="30" t="e">
        <f>WEEKNUM(T150-RESUMEN!$AB$7)</f>
        <v>#NUM!</v>
      </c>
      <c r="V150" s="30">
        <f>_xlfn.DAYS(T150,RESUMEN!$AB$7)</f>
        <v>-43247</v>
      </c>
      <c r="W150" s="29"/>
      <c r="X150" s="163"/>
      <c r="Y150" s="163"/>
      <c r="Z150" s="162"/>
      <c r="AA150" s="162"/>
      <c r="AB150" s="25"/>
      <c r="AC150" s="160"/>
      <c r="AD150" s="106" t="e">
        <f>WEEKNUM(AC150-RESUMEN!$AN$7)</f>
        <v>#NUM!</v>
      </c>
      <c r="AE150" s="106">
        <f>_xlfn.DAYS(AC150,RESUMEN!$D$7)</f>
        <v>-43238</v>
      </c>
      <c r="AF150" s="104"/>
      <c r="AG150" s="103"/>
      <c r="AH150" s="154"/>
      <c r="AI150" s="153"/>
      <c r="AJ150" s="153"/>
      <c r="AK150" s="25"/>
      <c r="AL150" s="160"/>
      <c r="AM150" s="106" t="e">
        <f>WEEKNUM(AL150-RESUMEN!$D$7)</f>
        <v>#NUM!</v>
      </c>
      <c r="AN150" s="106">
        <f>_xlfn.DAYS(AL150,RESUMEN!$D$7)</f>
        <v>-43238</v>
      </c>
      <c r="AO150" s="104"/>
      <c r="AP150" s="154"/>
      <c r="AQ150" s="154"/>
      <c r="AR150" s="153"/>
      <c r="AS150" s="153"/>
      <c r="AT150" s="25"/>
      <c r="AU150" s="160"/>
      <c r="AV150" s="106" t="e">
        <f>WEEKNUM(AU150-RESUMEN!$D$7)</f>
        <v>#NUM!</v>
      </c>
      <c r="AW150" s="106">
        <f>_xlfn.DAYS(AU150,RESUMEN!$D$7)</f>
        <v>-43238</v>
      </c>
      <c r="AX150" s="104"/>
      <c r="AY150" s="154"/>
      <c r="AZ150" s="154"/>
      <c r="BA150" s="153"/>
      <c r="BB150" s="153"/>
    </row>
    <row r="151" spans="2:54" x14ac:dyDescent="0.25">
      <c r="B151" s="160"/>
      <c r="C151" s="106" t="e">
        <f>WEEKNUM(B151-RESUMEN!$D$7)</f>
        <v>#NUM!</v>
      </c>
      <c r="D151" s="106">
        <f>_xlfn.DAYS(B151,RESUMEN!$D$7)</f>
        <v>-43238</v>
      </c>
      <c r="E151" s="104"/>
      <c r="F151" s="154"/>
      <c r="G151" s="154"/>
      <c r="H151" s="153"/>
      <c r="I151" s="153"/>
      <c r="J151" s="25"/>
      <c r="K151" s="160"/>
      <c r="L151" s="30" t="e">
        <f>WEEKNUM(K151-RESUMEN!$P$7)</f>
        <v>#NUM!</v>
      </c>
      <c r="M151" s="32">
        <f>_xlfn.DAYS(K151,RESUMEN!$P$7)</f>
        <v>-43242</v>
      </c>
      <c r="N151" s="29"/>
      <c r="O151" s="163"/>
      <c r="P151" s="163"/>
      <c r="Q151" s="162"/>
      <c r="R151" s="153"/>
      <c r="S151" s="25"/>
      <c r="T151" s="160"/>
      <c r="U151" s="30" t="e">
        <f>WEEKNUM(T151-RESUMEN!$AB$7)</f>
        <v>#NUM!</v>
      </c>
      <c r="V151" s="30">
        <f>_xlfn.DAYS(T151,RESUMEN!$AB$7)</f>
        <v>-43247</v>
      </c>
      <c r="W151" s="29"/>
      <c r="X151" s="163"/>
      <c r="Y151" s="163"/>
      <c r="Z151" s="162"/>
      <c r="AA151" s="162"/>
      <c r="AB151" s="25"/>
      <c r="AC151" s="160"/>
      <c r="AD151" s="106" t="e">
        <f>WEEKNUM(AC151-RESUMEN!$AN$7)</f>
        <v>#NUM!</v>
      </c>
      <c r="AE151" s="106">
        <f>_xlfn.DAYS(AC151,RESUMEN!$D$7)</f>
        <v>-43238</v>
      </c>
      <c r="AF151" s="104"/>
      <c r="AG151" s="103"/>
      <c r="AH151" s="154"/>
      <c r="AI151" s="153"/>
      <c r="AJ151" s="153"/>
      <c r="AK151" s="25"/>
      <c r="AL151" s="160"/>
      <c r="AM151" s="106" t="e">
        <f>WEEKNUM(AL151-RESUMEN!$D$7)</f>
        <v>#NUM!</v>
      </c>
      <c r="AN151" s="106">
        <f>_xlfn.DAYS(AL151,RESUMEN!$D$7)</f>
        <v>-43238</v>
      </c>
      <c r="AO151" s="104"/>
      <c r="AP151" s="154"/>
      <c r="AQ151" s="154"/>
      <c r="AR151" s="153"/>
      <c r="AS151" s="153"/>
      <c r="AT151" s="25"/>
      <c r="AU151" s="160"/>
      <c r="AV151" s="106" t="e">
        <f>WEEKNUM(AU151-RESUMEN!$D$7)</f>
        <v>#NUM!</v>
      </c>
      <c r="AW151" s="106">
        <f>_xlfn.DAYS(AU151,RESUMEN!$D$7)</f>
        <v>-43238</v>
      </c>
      <c r="AX151" s="104"/>
      <c r="AY151" s="154"/>
      <c r="AZ151" s="154"/>
      <c r="BA151" s="153"/>
      <c r="BB151" s="153"/>
    </row>
    <row r="152" spans="2:54" x14ac:dyDescent="0.25">
      <c r="B152" s="160"/>
      <c r="C152" s="106" t="e">
        <f>WEEKNUM(B152-RESUMEN!$D$7)</f>
        <v>#NUM!</v>
      </c>
      <c r="D152" s="106">
        <f>_xlfn.DAYS(B152,RESUMEN!$D$7)</f>
        <v>-43238</v>
      </c>
      <c r="E152" s="104"/>
      <c r="F152" s="154"/>
      <c r="G152" s="154"/>
      <c r="H152" s="153"/>
      <c r="I152" s="153"/>
      <c r="J152" s="25"/>
      <c r="K152" s="160"/>
      <c r="L152" s="30" t="e">
        <f>WEEKNUM(K152-RESUMEN!$P$7)</f>
        <v>#NUM!</v>
      </c>
      <c r="M152" s="32">
        <f>_xlfn.DAYS(K152,RESUMEN!$P$7)</f>
        <v>-43242</v>
      </c>
      <c r="N152" s="29"/>
      <c r="O152" s="163"/>
      <c r="P152" s="163"/>
      <c r="Q152" s="162"/>
      <c r="R152" s="153"/>
      <c r="S152" s="25"/>
      <c r="T152" s="160"/>
      <c r="U152" s="30" t="e">
        <f>WEEKNUM(T152-RESUMEN!$AB$7)</f>
        <v>#NUM!</v>
      </c>
      <c r="V152" s="30">
        <f>_xlfn.DAYS(T152,RESUMEN!$AB$7)</f>
        <v>-43247</v>
      </c>
      <c r="W152" s="29"/>
      <c r="X152" s="163"/>
      <c r="Y152" s="163"/>
      <c r="Z152" s="162"/>
      <c r="AA152" s="162"/>
      <c r="AB152" s="25"/>
      <c r="AC152" s="160"/>
      <c r="AD152" s="106" t="e">
        <f>WEEKNUM(AC152-RESUMEN!$AN$7)</f>
        <v>#NUM!</v>
      </c>
      <c r="AE152" s="106">
        <f>_xlfn.DAYS(AC152,RESUMEN!$D$7)</f>
        <v>-43238</v>
      </c>
      <c r="AF152" s="104"/>
      <c r="AG152" s="103"/>
      <c r="AH152" s="154"/>
      <c r="AI152" s="153"/>
      <c r="AJ152" s="153"/>
      <c r="AK152" s="25"/>
      <c r="AL152" s="160"/>
      <c r="AM152" s="106" t="e">
        <f>WEEKNUM(AL152-RESUMEN!$D$7)</f>
        <v>#NUM!</v>
      </c>
      <c r="AN152" s="106">
        <f>_xlfn.DAYS(AL152,RESUMEN!$D$7)</f>
        <v>-43238</v>
      </c>
      <c r="AO152" s="104"/>
      <c r="AP152" s="154"/>
      <c r="AQ152" s="154"/>
      <c r="AR152" s="153"/>
      <c r="AS152" s="153"/>
      <c r="AT152" s="25"/>
      <c r="AU152" s="160"/>
      <c r="AV152" s="106" t="e">
        <f>WEEKNUM(AU152-RESUMEN!$D$7)</f>
        <v>#NUM!</v>
      </c>
      <c r="AW152" s="106">
        <f>_xlfn.DAYS(AU152,RESUMEN!$D$7)</f>
        <v>-43238</v>
      </c>
      <c r="AX152" s="104"/>
      <c r="AY152" s="154"/>
      <c r="AZ152" s="154"/>
      <c r="BA152" s="153"/>
      <c r="BB152" s="153"/>
    </row>
    <row r="153" spans="2:54" x14ac:dyDescent="0.25">
      <c r="B153" s="160"/>
      <c r="C153" s="106" t="e">
        <f>WEEKNUM(B153-RESUMEN!$D$7)</f>
        <v>#NUM!</v>
      </c>
      <c r="D153" s="106">
        <f>_xlfn.DAYS(B153,RESUMEN!$D$7)</f>
        <v>-43238</v>
      </c>
      <c r="E153" s="104"/>
      <c r="F153" s="154"/>
      <c r="G153" s="154"/>
      <c r="H153" s="153"/>
      <c r="I153" s="153"/>
      <c r="J153" s="25"/>
      <c r="K153" s="160"/>
      <c r="L153" s="30" t="e">
        <f>WEEKNUM(K153-RESUMEN!$P$7)</f>
        <v>#NUM!</v>
      </c>
      <c r="M153" s="32">
        <f>_xlfn.DAYS(K153,RESUMEN!$P$7)</f>
        <v>-43242</v>
      </c>
      <c r="N153" s="29"/>
      <c r="O153" s="163"/>
      <c r="P153" s="163"/>
      <c r="Q153" s="162"/>
      <c r="R153" s="153"/>
      <c r="S153" s="25"/>
      <c r="T153" s="160"/>
      <c r="U153" s="30" t="e">
        <f>WEEKNUM(T153-RESUMEN!$AB$7)</f>
        <v>#NUM!</v>
      </c>
      <c r="V153" s="30">
        <f>_xlfn.DAYS(T153,RESUMEN!$AB$7)</f>
        <v>-43247</v>
      </c>
      <c r="W153" s="29"/>
      <c r="X153" s="163"/>
      <c r="Y153" s="163"/>
      <c r="Z153" s="162"/>
      <c r="AA153" s="162"/>
      <c r="AB153" s="25"/>
      <c r="AC153" s="160"/>
      <c r="AD153" s="106" t="e">
        <f>WEEKNUM(AC153-RESUMEN!$AN$7)</f>
        <v>#NUM!</v>
      </c>
      <c r="AE153" s="106">
        <f>_xlfn.DAYS(AC153,RESUMEN!$D$7)</f>
        <v>-43238</v>
      </c>
      <c r="AF153" s="104"/>
      <c r="AG153" s="103"/>
      <c r="AH153" s="154"/>
      <c r="AI153" s="153"/>
      <c r="AJ153" s="153"/>
      <c r="AK153" s="25"/>
      <c r="AL153" s="160"/>
      <c r="AM153" s="106" t="e">
        <f>WEEKNUM(AL153-RESUMEN!$D$7)</f>
        <v>#NUM!</v>
      </c>
      <c r="AN153" s="106">
        <f>_xlfn.DAYS(AL153,RESUMEN!$D$7)</f>
        <v>-43238</v>
      </c>
      <c r="AO153" s="104"/>
      <c r="AP153" s="154"/>
      <c r="AQ153" s="154"/>
      <c r="AR153" s="153"/>
      <c r="AS153" s="153"/>
      <c r="AT153" s="25"/>
      <c r="AU153" s="160"/>
      <c r="AV153" s="106" t="e">
        <f>WEEKNUM(AU153-RESUMEN!$D$7)</f>
        <v>#NUM!</v>
      </c>
      <c r="AW153" s="106">
        <f>_xlfn.DAYS(AU153,RESUMEN!$D$7)</f>
        <v>-43238</v>
      </c>
      <c r="AX153" s="104"/>
      <c r="AY153" s="154"/>
      <c r="AZ153" s="154"/>
      <c r="BA153" s="153"/>
      <c r="BB153" s="153"/>
    </row>
    <row r="154" spans="2:54" x14ac:dyDescent="0.25">
      <c r="B154" s="160"/>
      <c r="C154" s="106" t="e">
        <f>WEEKNUM(B154-RESUMEN!$D$7)</f>
        <v>#NUM!</v>
      </c>
      <c r="D154" s="106">
        <f>_xlfn.DAYS(B154,RESUMEN!$D$7)</f>
        <v>-43238</v>
      </c>
      <c r="E154" s="104"/>
      <c r="F154" s="154"/>
      <c r="G154" s="154"/>
      <c r="H154" s="153"/>
      <c r="I154" s="153"/>
      <c r="J154" s="25"/>
      <c r="K154" s="160"/>
      <c r="L154" s="30" t="e">
        <f>WEEKNUM(K154-RESUMEN!$P$7)</f>
        <v>#NUM!</v>
      </c>
      <c r="M154" s="32">
        <f>_xlfn.DAYS(K154,RESUMEN!$P$7)</f>
        <v>-43242</v>
      </c>
      <c r="N154" s="29"/>
      <c r="O154" s="163"/>
      <c r="P154" s="163"/>
      <c r="Q154" s="162"/>
      <c r="R154" s="153"/>
      <c r="S154" s="25"/>
      <c r="T154" s="160"/>
      <c r="U154" s="30" t="e">
        <f>WEEKNUM(T154-RESUMEN!$AB$7)</f>
        <v>#NUM!</v>
      </c>
      <c r="V154" s="30">
        <f>_xlfn.DAYS(T154,RESUMEN!$AB$7)</f>
        <v>-43247</v>
      </c>
      <c r="W154" s="29"/>
      <c r="X154" s="163"/>
      <c r="Y154" s="163"/>
      <c r="Z154" s="162"/>
      <c r="AA154" s="162"/>
      <c r="AB154" s="25"/>
      <c r="AC154" s="160"/>
      <c r="AD154" s="106" t="e">
        <f>WEEKNUM(AC154-RESUMEN!$AN$7)</f>
        <v>#NUM!</v>
      </c>
      <c r="AE154" s="106">
        <f>_xlfn.DAYS(AC154,RESUMEN!$D$7)</f>
        <v>-43238</v>
      </c>
      <c r="AF154" s="104"/>
      <c r="AG154" s="103"/>
      <c r="AH154" s="154"/>
      <c r="AI154" s="153"/>
      <c r="AJ154" s="153"/>
      <c r="AK154" s="25"/>
      <c r="AL154" s="160"/>
      <c r="AM154" s="106" t="e">
        <f>WEEKNUM(AL154-RESUMEN!$D$7)</f>
        <v>#NUM!</v>
      </c>
      <c r="AN154" s="106">
        <f>_xlfn.DAYS(AL154,RESUMEN!$D$7)</f>
        <v>-43238</v>
      </c>
      <c r="AO154" s="104"/>
      <c r="AP154" s="154"/>
      <c r="AQ154" s="154"/>
      <c r="AR154" s="153"/>
      <c r="AS154" s="153"/>
      <c r="AT154" s="25"/>
      <c r="AU154" s="160"/>
      <c r="AV154" s="106" t="e">
        <f>WEEKNUM(AU154-RESUMEN!$D$7)</f>
        <v>#NUM!</v>
      </c>
      <c r="AW154" s="106">
        <f>_xlfn.DAYS(AU154,RESUMEN!$D$7)</f>
        <v>-43238</v>
      </c>
      <c r="AX154" s="104"/>
      <c r="AY154" s="154"/>
      <c r="AZ154" s="154"/>
      <c r="BA154" s="153"/>
      <c r="BB154" s="153"/>
    </row>
    <row r="155" spans="2:54" x14ac:dyDescent="0.25">
      <c r="B155" s="160"/>
      <c r="C155" s="106" t="e">
        <f>WEEKNUM(B155-RESUMEN!$D$7)</f>
        <v>#NUM!</v>
      </c>
      <c r="D155" s="106">
        <f>_xlfn.DAYS(B155,RESUMEN!$D$7)</f>
        <v>-43238</v>
      </c>
      <c r="E155" s="104"/>
      <c r="F155" s="154"/>
      <c r="G155" s="154"/>
      <c r="H155" s="153"/>
      <c r="I155" s="153"/>
      <c r="J155" s="25"/>
      <c r="K155" s="160"/>
      <c r="L155" s="30" t="e">
        <f>WEEKNUM(K155-RESUMEN!$P$7)</f>
        <v>#NUM!</v>
      </c>
      <c r="M155" s="32">
        <f>_xlfn.DAYS(K155,RESUMEN!$P$7)</f>
        <v>-43242</v>
      </c>
      <c r="N155" s="29"/>
      <c r="O155" s="163"/>
      <c r="P155" s="163"/>
      <c r="Q155" s="162"/>
      <c r="R155" s="153"/>
      <c r="S155" s="25"/>
      <c r="T155" s="160"/>
      <c r="U155" s="30" t="e">
        <f>WEEKNUM(T155-RESUMEN!$AB$7)</f>
        <v>#NUM!</v>
      </c>
      <c r="V155" s="30">
        <f>_xlfn.DAYS(T155,RESUMEN!$AB$7)</f>
        <v>-43247</v>
      </c>
      <c r="W155" s="29"/>
      <c r="X155" s="163"/>
      <c r="Y155" s="163"/>
      <c r="Z155" s="162"/>
      <c r="AA155" s="162"/>
      <c r="AB155" s="25"/>
      <c r="AC155" s="160"/>
      <c r="AD155" s="106" t="e">
        <f>WEEKNUM(AC155-RESUMEN!$AN$7)</f>
        <v>#NUM!</v>
      </c>
      <c r="AE155" s="106">
        <f>_xlfn.DAYS(AC155,RESUMEN!$D$7)</f>
        <v>-43238</v>
      </c>
      <c r="AF155" s="104"/>
      <c r="AG155" s="103"/>
      <c r="AH155" s="154"/>
      <c r="AI155" s="153"/>
      <c r="AJ155" s="153"/>
      <c r="AK155" s="25"/>
      <c r="AL155" s="160"/>
      <c r="AM155" s="106" t="e">
        <f>WEEKNUM(AL155-RESUMEN!$D$7)</f>
        <v>#NUM!</v>
      </c>
      <c r="AN155" s="106">
        <f>_xlfn.DAYS(AL155,RESUMEN!$D$7)</f>
        <v>-43238</v>
      </c>
      <c r="AO155" s="104"/>
      <c r="AP155" s="154"/>
      <c r="AQ155" s="154"/>
      <c r="AR155" s="153"/>
      <c r="AS155" s="153"/>
      <c r="AT155" s="25"/>
      <c r="AU155" s="160"/>
      <c r="AV155" s="106" t="e">
        <f>WEEKNUM(AU155-RESUMEN!$D$7)</f>
        <v>#NUM!</v>
      </c>
      <c r="AW155" s="106">
        <f>_xlfn.DAYS(AU155,RESUMEN!$D$7)</f>
        <v>-43238</v>
      </c>
      <c r="AX155" s="104"/>
      <c r="AY155" s="154"/>
      <c r="AZ155" s="154"/>
      <c r="BA155" s="153"/>
      <c r="BB155" s="153"/>
    </row>
    <row r="156" spans="2:54" x14ac:dyDescent="0.25">
      <c r="B156" s="160"/>
      <c r="C156" s="106" t="e">
        <f>WEEKNUM(B156-RESUMEN!$D$7)</f>
        <v>#NUM!</v>
      </c>
      <c r="D156" s="106">
        <f>_xlfn.DAYS(B156,RESUMEN!$D$7)</f>
        <v>-43238</v>
      </c>
      <c r="E156" s="104"/>
      <c r="F156" s="154"/>
      <c r="G156" s="154"/>
      <c r="H156" s="153"/>
      <c r="I156" s="153"/>
      <c r="J156" s="25"/>
      <c r="K156" s="160"/>
      <c r="L156" s="30" t="e">
        <f>WEEKNUM(K156-RESUMEN!$P$7)</f>
        <v>#NUM!</v>
      </c>
      <c r="M156" s="32">
        <f>_xlfn.DAYS(K156,RESUMEN!$P$7)</f>
        <v>-43242</v>
      </c>
      <c r="N156" s="29"/>
      <c r="O156" s="163"/>
      <c r="P156" s="163"/>
      <c r="Q156" s="162"/>
      <c r="R156" s="153"/>
      <c r="S156" s="25"/>
      <c r="T156" s="160"/>
      <c r="U156" s="30" t="e">
        <f>WEEKNUM(T156-RESUMEN!$AB$7)</f>
        <v>#NUM!</v>
      </c>
      <c r="V156" s="30">
        <f>_xlfn.DAYS(T156,RESUMEN!$AB$7)</f>
        <v>-43247</v>
      </c>
      <c r="W156" s="29"/>
      <c r="X156" s="163"/>
      <c r="Y156" s="163"/>
      <c r="Z156" s="162"/>
      <c r="AA156" s="162"/>
      <c r="AB156" s="25"/>
      <c r="AC156" s="160"/>
      <c r="AD156" s="106" t="e">
        <f>WEEKNUM(AC156-RESUMEN!$AN$7)</f>
        <v>#NUM!</v>
      </c>
      <c r="AE156" s="106">
        <f>_xlfn.DAYS(AC156,RESUMEN!$D$7)</f>
        <v>-43238</v>
      </c>
      <c r="AF156" s="104"/>
      <c r="AG156" s="103"/>
      <c r="AH156" s="154"/>
      <c r="AI156" s="153"/>
      <c r="AJ156" s="153"/>
      <c r="AK156" s="25"/>
      <c r="AL156" s="160"/>
      <c r="AM156" s="106" t="e">
        <f>WEEKNUM(AL156-RESUMEN!$D$7)</f>
        <v>#NUM!</v>
      </c>
      <c r="AN156" s="106">
        <f>_xlfn.DAYS(AL156,RESUMEN!$D$7)</f>
        <v>-43238</v>
      </c>
      <c r="AO156" s="104"/>
      <c r="AP156" s="154"/>
      <c r="AQ156" s="154"/>
      <c r="AR156" s="153"/>
      <c r="AS156" s="153"/>
      <c r="AT156" s="25"/>
      <c r="AU156" s="160"/>
      <c r="AV156" s="106" t="e">
        <f>WEEKNUM(AU156-RESUMEN!$D$7)</f>
        <v>#NUM!</v>
      </c>
      <c r="AW156" s="106">
        <f>_xlfn.DAYS(AU156,RESUMEN!$D$7)</f>
        <v>-43238</v>
      </c>
      <c r="AX156" s="104"/>
      <c r="AY156" s="154"/>
      <c r="AZ156" s="154"/>
      <c r="BA156" s="153"/>
      <c r="BB156" s="153"/>
    </row>
    <row r="157" spans="2:54" x14ac:dyDescent="0.25">
      <c r="B157" s="160"/>
      <c r="C157" s="106" t="e">
        <f>WEEKNUM(B157-RESUMEN!$D$7)</f>
        <v>#NUM!</v>
      </c>
      <c r="D157" s="106">
        <f>_xlfn.DAYS(B157,RESUMEN!$D$7)</f>
        <v>-43238</v>
      </c>
      <c r="E157" s="104"/>
      <c r="F157" s="154"/>
      <c r="G157" s="154"/>
      <c r="H157" s="153"/>
      <c r="I157" s="153"/>
      <c r="J157" s="25"/>
      <c r="K157" s="160"/>
      <c r="L157" s="30" t="e">
        <f>WEEKNUM(K157-RESUMEN!$P$7)</f>
        <v>#NUM!</v>
      </c>
      <c r="M157" s="32">
        <f>_xlfn.DAYS(K157,RESUMEN!$P$7)</f>
        <v>-43242</v>
      </c>
      <c r="N157" s="29"/>
      <c r="O157" s="163"/>
      <c r="P157" s="163"/>
      <c r="Q157" s="162"/>
      <c r="R157" s="153"/>
      <c r="S157" s="25"/>
      <c r="T157" s="160"/>
      <c r="U157" s="30" t="e">
        <f>WEEKNUM(T157-RESUMEN!$AB$7)</f>
        <v>#NUM!</v>
      </c>
      <c r="V157" s="30">
        <f>_xlfn.DAYS(T157,RESUMEN!$AB$7)</f>
        <v>-43247</v>
      </c>
      <c r="W157" s="29"/>
      <c r="X157" s="163"/>
      <c r="Y157" s="163"/>
      <c r="Z157" s="162"/>
      <c r="AA157" s="162"/>
      <c r="AB157" s="25"/>
      <c r="AC157" s="160"/>
      <c r="AD157" s="106" t="e">
        <f>WEEKNUM(AC157-RESUMEN!$AN$7)</f>
        <v>#NUM!</v>
      </c>
      <c r="AE157" s="106">
        <f>_xlfn.DAYS(AC157,RESUMEN!$D$7)</f>
        <v>-43238</v>
      </c>
      <c r="AF157" s="104"/>
      <c r="AG157" s="103"/>
      <c r="AH157" s="154"/>
      <c r="AI157" s="153"/>
      <c r="AJ157" s="153"/>
      <c r="AK157" s="25"/>
      <c r="AL157" s="160"/>
      <c r="AM157" s="106" t="e">
        <f>WEEKNUM(AL157-RESUMEN!$D$7)</f>
        <v>#NUM!</v>
      </c>
      <c r="AN157" s="106">
        <f>_xlfn.DAYS(AL157,RESUMEN!$D$7)</f>
        <v>-43238</v>
      </c>
      <c r="AO157" s="104"/>
      <c r="AP157" s="154"/>
      <c r="AQ157" s="154"/>
      <c r="AR157" s="153"/>
      <c r="AS157" s="153"/>
      <c r="AT157" s="25"/>
      <c r="AU157" s="160"/>
      <c r="AV157" s="106" t="e">
        <f>WEEKNUM(AU157-RESUMEN!$D$7)</f>
        <v>#NUM!</v>
      </c>
      <c r="AW157" s="106">
        <f>_xlfn.DAYS(AU157,RESUMEN!$D$7)</f>
        <v>-43238</v>
      </c>
      <c r="AX157" s="104"/>
      <c r="AY157" s="154"/>
      <c r="AZ157" s="154"/>
      <c r="BA157" s="153"/>
      <c r="BB157" s="153"/>
    </row>
    <row r="158" spans="2:54" x14ac:dyDescent="0.25">
      <c r="B158" s="160"/>
      <c r="C158" s="106" t="e">
        <f>WEEKNUM(B158-RESUMEN!$D$7)</f>
        <v>#NUM!</v>
      </c>
      <c r="D158" s="106">
        <f>_xlfn.DAYS(B158,RESUMEN!$D$7)</f>
        <v>-43238</v>
      </c>
      <c r="E158" s="104"/>
      <c r="F158" s="154"/>
      <c r="G158" s="154"/>
      <c r="H158" s="153"/>
      <c r="I158" s="153"/>
      <c r="J158" s="25"/>
      <c r="K158" s="160"/>
      <c r="L158" s="30" t="e">
        <f>WEEKNUM(K158-RESUMEN!$P$7)</f>
        <v>#NUM!</v>
      </c>
      <c r="M158" s="32">
        <f>_xlfn.DAYS(K158,RESUMEN!$P$7)</f>
        <v>-43242</v>
      </c>
      <c r="N158" s="29"/>
      <c r="O158" s="163"/>
      <c r="P158" s="163"/>
      <c r="Q158" s="162"/>
      <c r="R158" s="153"/>
      <c r="S158" s="25"/>
      <c r="T158" s="160"/>
      <c r="U158" s="30" t="e">
        <f>WEEKNUM(T158-RESUMEN!$AB$7)</f>
        <v>#NUM!</v>
      </c>
      <c r="V158" s="30">
        <f>_xlfn.DAYS(T158,RESUMEN!$AB$7)</f>
        <v>-43247</v>
      </c>
      <c r="W158" s="29"/>
      <c r="X158" s="163"/>
      <c r="Y158" s="163"/>
      <c r="Z158" s="162"/>
      <c r="AA158" s="162"/>
      <c r="AB158" s="25"/>
      <c r="AC158" s="160"/>
      <c r="AD158" s="106" t="e">
        <f>WEEKNUM(AC158-RESUMEN!$AN$7)</f>
        <v>#NUM!</v>
      </c>
      <c r="AE158" s="106">
        <f>_xlfn.DAYS(AC158,RESUMEN!$D$7)</f>
        <v>-43238</v>
      </c>
      <c r="AF158" s="104"/>
      <c r="AG158" s="103"/>
      <c r="AH158" s="154"/>
      <c r="AI158" s="153"/>
      <c r="AJ158" s="153"/>
      <c r="AK158" s="25"/>
      <c r="AL158" s="160"/>
      <c r="AM158" s="106" t="e">
        <f>WEEKNUM(AL158-RESUMEN!$D$7)</f>
        <v>#NUM!</v>
      </c>
      <c r="AN158" s="106">
        <f>_xlfn.DAYS(AL158,RESUMEN!$D$7)</f>
        <v>-43238</v>
      </c>
      <c r="AO158" s="104"/>
      <c r="AP158" s="154"/>
      <c r="AQ158" s="154"/>
      <c r="AR158" s="153"/>
      <c r="AS158" s="153"/>
      <c r="AT158" s="25"/>
      <c r="AU158" s="160"/>
      <c r="AV158" s="106" t="e">
        <f>WEEKNUM(AU158-RESUMEN!$D$7)</f>
        <v>#NUM!</v>
      </c>
      <c r="AW158" s="106">
        <f>_xlfn.DAYS(AU158,RESUMEN!$D$7)</f>
        <v>-43238</v>
      </c>
      <c r="AX158" s="104"/>
      <c r="AY158" s="154"/>
      <c r="AZ158" s="154"/>
      <c r="BA158" s="153"/>
      <c r="BB158" s="153"/>
    </row>
    <row r="159" spans="2:54" x14ac:dyDescent="0.25">
      <c r="B159" s="160"/>
      <c r="C159" s="106" t="e">
        <f>WEEKNUM(B159-RESUMEN!$D$7)</f>
        <v>#NUM!</v>
      </c>
      <c r="D159" s="106">
        <f>_xlfn.DAYS(B159,RESUMEN!$D$7)</f>
        <v>-43238</v>
      </c>
      <c r="E159" s="104"/>
      <c r="F159" s="154"/>
      <c r="G159" s="154"/>
      <c r="H159" s="153"/>
      <c r="I159" s="153"/>
      <c r="J159" s="25"/>
      <c r="K159" s="160"/>
      <c r="L159" s="30" t="e">
        <f>WEEKNUM(K159-RESUMEN!$P$7)</f>
        <v>#NUM!</v>
      </c>
      <c r="M159" s="32">
        <f>_xlfn.DAYS(K159,RESUMEN!$P$7)</f>
        <v>-43242</v>
      </c>
      <c r="N159" s="29"/>
      <c r="O159" s="163"/>
      <c r="P159" s="163"/>
      <c r="Q159" s="162"/>
      <c r="R159" s="153"/>
      <c r="S159" s="25"/>
      <c r="T159" s="160"/>
      <c r="U159" s="30" t="e">
        <f>WEEKNUM(T159-RESUMEN!$AB$7)</f>
        <v>#NUM!</v>
      </c>
      <c r="V159" s="30">
        <f>_xlfn.DAYS(T159,RESUMEN!$AB$7)</f>
        <v>-43247</v>
      </c>
      <c r="W159" s="29"/>
      <c r="X159" s="163"/>
      <c r="Y159" s="163"/>
      <c r="Z159" s="162"/>
      <c r="AA159" s="162"/>
      <c r="AB159" s="25"/>
      <c r="AC159" s="160"/>
      <c r="AD159" s="106" t="e">
        <f>WEEKNUM(AC159-RESUMEN!$AN$7)</f>
        <v>#NUM!</v>
      </c>
      <c r="AE159" s="106">
        <f>_xlfn.DAYS(AC159,RESUMEN!$D$7)</f>
        <v>-43238</v>
      </c>
      <c r="AF159" s="104"/>
      <c r="AG159" s="103"/>
      <c r="AH159" s="154"/>
      <c r="AI159" s="153"/>
      <c r="AJ159" s="153"/>
      <c r="AK159" s="25"/>
      <c r="AL159" s="160"/>
      <c r="AM159" s="106" t="e">
        <f>WEEKNUM(AL159-RESUMEN!$D$7)</f>
        <v>#NUM!</v>
      </c>
      <c r="AN159" s="106">
        <f>_xlfn.DAYS(AL159,RESUMEN!$D$7)</f>
        <v>-43238</v>
      </c>
      <c r="AO159" s="104"/>
      <c r="AP159" s="154"/>
      <c r="AQ159" s="154"/>
      <c r="AR159" s="153"/>
      <c r="AS159" s="153"/>
      <c r="AT159" s="25"/>
      <c r="AU159" s="160"/>
      <c r="AV159" s="106" t="e">
        <f>WEEKNUM(AU159-RESUMEN!$D$7)</f>
        <v>#NUM!</v>
      </c>
      <c r="AW159" s="106">
        <f>_xlfn.DAYS(AU159,RESUMEN!$D$7)</f>
        <v>-43238</v>
      </c>
      <c r="AX159" s="104"/>
      <c r="AY159" s="154"/>
      <c r="AZ159" s="154"/>
      <c r="BA159" s="153"/>
      <c r="BB159" s="153"/>
    </row>
    <row r="160" spans="2:54" x14ac:dyDescent="0.25">
      <c r="B160" s="160"/>
      <c r="C160" s="106" t="e">
        <f>WEEKNUM(B160-RESUMEN!$D$7)</f>
        <v>#NUM!</v>
      </c>
      <c r="D160" s="106">
        <f>_xlfn.DAYS(B160,RESUMEN!$D$7)</f>
        <v>-43238</v>
      </c>
      <c r="E160" s="104"/>
      <c r="F160" s="154"/>
      <c r="G160" s="154"/>
      <c r="H160" s="153"/>
      <c r="I160" s="153"/>
      <c r="J160" s="25"/>
      <c r="K160" s="160"/>
      <c r="L160" s="30" t="e">
        <f>WEEKNUM(K160-RESUMEN!$P$7)</f>
        <v>#NUM!</v>
      </c>
      <c r="M160" s="32">
        <f>_xlfn.DAYS(K160,RESUMEN!$P$7)</f>
        <v>-43242</v>
      </c>
      <c r="N160" s="29"/>
      <c r="O160" s="163"/>
      <c r="P160" s="163"/>
      <c r="Q160" s="162"/>
      <c r="R160" s="153"/>
      <c r="S160" s="25"/>
      <c r="T160" s="160"/>
      <c r="U160" s="30" t="e">
        <f>WEEKNUM(T160-RESUMEN!$AB$7)</f>
        <v>#NUM!</v>
      </c>
      <c r="V160" s="30">
        <f>_xlfn.DAYS(T160,RESUMEN!$AB$7)</f>
        <v>-43247</v>
      </c>
      <c r="W160" s="29"/>
      <c r="X160" s="163"/>
      <c r="Y160" s="163"/>
      <c r="Z160" s="162"/>
      <c r="AA160" s="162"/>
      <c r="AB160" s="25"/>
      <c r="AC160" s="160"/>
      <c r="AD160" s="106" t="e">
        <f>WEEKNUM(AC160-RESUMEN!$AN$7)</f>
        <v>#NUM!</v>
      </c>
      <c r="AE160" s="106">
        <f>_xlfn.DAYS(AC160,RESUMEN!$D$7)</f>
        <v>-43238</v>
      </c>
      <c r="AF160" s="104"/>
      <c r="AG160" s="103"/>
      <c r="AH160" s="154"/>
      <c r="AI160" s="153"/>
      <c r="AJ160" s="153"/>
      <c r="AK160" s="25"/>
      <c r="AL160" s="160"/>
      <c r="AM160" s="106" t="e">
        <f>WEEKNUM(AL160-RESUMEN!$D$7)</f>
        <v>#NUM!</v>
      </c>
      <c r="AN160" s="106">
        <f>_xlfn.DAYS(AL160,RESUMEN!$D$7)</f>
        <v>-43238</v>
      </c>
      <c r="AO160" s="104"/>
      <c r="AP160" s="154"/>
      <c r="AQ160" s="154"/>
      <c r="AR160" s="153"/>
      <c r="AS160" s="153"/>
      <c r="AT160" s="25"/>
      <c r="AU160" s="160"/>
      <c r="AV160" s="106" t="e">
        <f>WEEKNUM(AU160-RESUMEN!$D$7)</f>
        <v>#NUM!</v>
      </c>
      <c r="AW160" s="106">
        <f>_xlfn.DAYS(AU160,RESUMEN!$D$7)</f>
        <v>-43238</v>
      </c>
      <c r="AX160" s="104"/>
      <c r="AY160" s="154"/>
      <c r="AZ160" s="154"/>
      <c r="BA160" s="153"/>
      <c r="BB160" s="153"/>
    </row>
    <row r="161" spans="2:54" x14ac:dyDescent="0.25">
      <c r="B161" s="160"/>
      <c r="C161" s="106" t="e">
        <f>WEEKNUM(B161-RESUMEN!$D$7)</f>
        <v>#NUM!</v>
      </c>
      <c r="D161" s="106">
        <f>_xlfn.DAYS(B161,RESUMEN!$D$7)</f>
        <v>-43238</v>
      </c>
      <c r="E161" s="104"/>
      <c r="F161" s="154"/>
      <c r="G161" s="154"/>
      <c r="H161" s="153"/>
      <c r="I161" s="153"/>
      <c r="J161" s="25"/>
      <c r="K161" s="160"/>
      <c r="L161" s="30" t="e">
        <f>WEEKNUM(K161-RESUMEN!$P$7)</f>
        <v>#NUM!</v>
      </c>
      <c r="M161" s="32">
        <f>_xlfn.DAYS(K161,RESUMEN!$P$7)</f>
        <v>-43242</v>
      </c>
      <c r="N161" s="29"/>
      <c r="O161" s="163"/>
      <c r="P161" s="163"/>
      <c r="Q161" s="162"/>
      <c r="R161" s="153"/>
      <c r="S161" s="25"/>
      <c r="T161" s="160"/>
      <c r="U161" s="30" t="e">
        <f>WEEKNUM(T161-RESUMEN!$AB$7)</f>
        <v>#NUM!</v>
      </c>
      <c r="V161" s="30">
        <f>_xlfn.DAYS(T161,RESUMEN!$AB$7)</f>
        <v>-43247</v>
      </c>
      <c r="W161" s="29"/>
      <c r="X161" s="163"/>
      <c r="Y161" s="163"/>
      <c r="Z161" s="162"/>
      <c r="AA161" s="162"/>
      <c r="AB161" s="25"/>
      <c r="AC161" s="160"/>
      <c r="AD161" s="106" t="e">
        <f>WEEKNUM(AC161-RESUMEN!$AN$7)</f>
        <v>#NUM!</v>
      </c>
      <c r="AE161" s="106">
        <f>_xlfn.DAYS(AC161,RESUMEN!$D$7)</f>
        <v>-43238</v>
      </c>
      <c r="AF161" s="104"/>
      <c r="AG161" s="103"/>
      <c r="AH161" s="154"/>
      <c r="AI161" s="153"/>
      <c r="AJ161" s="153"/>
      <c r="AK161" s="25"/>
      <c r="AL161" s="160"/>
      <c r="AM161" s="106" t="e">
        <f>WEEKNUM(AL161-RESUMEN!$D$7)</f>
        <v>#NUM!</v>
      </c>
      <c r="AN161" s="106">
        <f>_xlfn.DAYS(AL161,RESUMEN!$D$7)</f>
        <v>-43238</v>
      </c>
      <c r="AO161" s="104"/>
      <c r="AP161" s="154"/>
      <c r="AQ161" s="154"/>
      <c r="AR161" s="153"/>
      <c r="AS161" s="153"/>
      <c r="AT161" s="25"/>
      <c r="AU161" s="160"/>
      <c r="AV161" s="106" t="e">
        <f>WEEKNUM(AU161-RESUMEN!$D$7)</f>
        <v>#NUM!</v>
      </c>
      <c r="AW161" s="106">
        <f>_xlfn.DAYS(AU161,RESUMEN!$D$7)</f>
        <v>-43238</v>
      </c>
      <c r="AX161" s="104"/>
      <c r="AY161" s="154"/>
      <c r="AZ161" s="154"/>
      <c r="BA161" s="153"/>
      <c r="BB161" s="153"/>
    </row>
    <row r="162" spans="2:54" x14ac:dyDescent="0.25">
      <c r="B162" s="160"/>
      <c r="C162" s="106" t="e">
        <f>WEEKNUM(B162-RESUMEN!$D$7)</f>
        <v>#NUM!</v>
      </c>
      <c r="D162" s="106">
        <f>_xlfn.DAYS(B162,RESUMEN!$D$7)</f>
        <v>-43238</v>
      </c>
      <c r="E162" s="104"/>
      <c r="F162" s="154"/>
      <c r="G162" s="154"/>
      <c r="H162" s="153"/>
      <c r="I162" s="153"/>
      <c r="J162" s="25"/>
      <c r="K162" s="160"/>
      <c r="L162" s="30" t="e">
        <f>WEEKNUM(K162-RESUMEN!$P$7)</f>
        <v>#NUM!</v>
      </c>
      <c r="M162" s="32">
        <f>_xlfn.DAYS(K162,RESUMEN!$P$7)</f>
        <v>-43242</v>
      </c>
      <c r="N162" s="29"/>
      <c r="O162" s="163"/>
      <c r="P162" s="163"/>
      <c r="Q162" s="162"/>
      <c r="R162" s="153"/>
      <c r="S162" s="25"/>
      <c r="T162" s="160"/>
      <c r="U162" s="30" t="e">
        <f>WEEKNUM(T162-RESUMEN!$AB$7)</f>
        <v>#NUM!</v>
      </c>
      <c r="V162" s="30">
        <f>_xlfn.DAYS(T162,RESUMEN!$AB$7)</f>
        <v>-43247</v>
      </c>
      <c r="W162" s="29"/>
      <c r="X162" s="163"/>
      <c r="Y162" s="163"/>
      <c r="Z162" s="162"/>
      <c r="AA162" s="162"/>
      <c r="AB162" s="25"/>
      <c r="AC162" s="160"/>
      <c r="AD162" s="106" t="e">
        <f>WEEKNUM(AC162-RESUMEN!$AN$7)</f>
        <v>#NUM!</v>
      </c>
      <c r="AE162" s="106">
        <f>_xlfn.DAYS(AC162,RESUMEN!$D$7)</f>
        <v>-43238</v>
      </c>
      <c r="AF162" s="104"/>
      <c r="AG162" s="103"/>
      <c r="AH162" s="154"/>
      <c r="AI162" s="153"/>
      <c r="AJ162" s="153"/>
      <c r="AK162" s="25"/>
      <c r="AL162" s="160"/>
      <c r="AM162" s="106" t="e">
        <f>WEEKNUM(AL162-RESUMEN!$D$7)</f>
        <v>#NUM!</v>
      </c>
      <c r="AN162" s="106">
        <f>_xlfn.DAYS(AL162,RESUMEN!$D$7)</f>
        <v>-43238</v>
      </c>
      <c r="AO162" s="104"/>
      <c r="AP162" s="154"/>
      <c r="AQ162" s="154"/>
      <c r="AR162" s="153"/>
      <c r="AS162" s="153"/>
      <c r="AT162" s="25"/>
      <c r="AU162" s="160"/>
      <c r="AV162" s="106" t="e">
        <f>WEEKNUM(AU162-RESUMEN!$D$7)</f>
        <v>#NUM!</v>
      </c>
      <c r="AW162" s="106">
        <f>_xlfn.DAYS(AU162,RESUMEN!$D$7)</f>
        <v>-43238</v>
      </c>
      <c r="AX162" s="104"/>
      <c r="AY162" s="154"/>
      <c r="AZ162" s="154"/>
      <c r="BA162" s="153"/>
      <c r="BB162" s="153"/>
    </row>
    <row r="163" spans="2:54" x14ac:dyDescent="0.25">
      <c r="B163" s="160"/>
      <c r="C163" s="106" t="e">
        <f>WEEKNUM(B163-RESUMEN!$D$7)</f>
        <v>#NUM!</v>
      </c>
      <c r="D163" s="106">
        <f>_xlfn.DAYS(B163,RESUMEN!$D$7)</f>
        <v>-43238</v>
      </c>
      <c r="E163" s="104"/>
      <c r="F163" s="154"/>
      <c r="G163" s="154"/>
      <c r="H163" s="153"/>
      <c r="I163" s="153"/>
      <c r="J163" s="25"/>
      <c r="K163" s="160"/>
      <c r="L163" s="30" t="e">
        <f>WEEKNUM(K163-RESUMEN!$P$7)</f>
        <v>#NUM!</v>
      </c>
      <c r="M163" s="32">
        <f>_xlfn.DAYS(K163,RESUMEN!$P$7)</f>
        <v>-43242</v>
      </c>
      <c r="N163" s="29"/>
      <c r="O163" s="163"/>
      <c r="P163" s="163"/>
      <c r="Q163" s="162"/>
      <c r="R163" s="153"/>
      <c r="S163" s="25"/>
      <c r="T163" s="160"/>
      <c r="U163" s="30" t="e">
        <f>WEEKNUM(T163-RESUMEN!$AB$7)</f>
        <v>#NUM!</v>
      </c>
      <c r="V163" s="30">
        <f>_xlfn.DAYS(T163,RESUMEN!$AB$7)</f>
        <v>-43247</v>
      </c>
      <c r="W163" s="29"/>
      <c r="X163" s="163"/>
      <c r="Y163" s="163"/>
      <c r="Z163" s="162"/>
      <c r="AA163" s="162"/>
      <c r="AB163" s="25"/>
      <c r="AC163" s="160"/>
      <c r="AD163" s="106" t="e">
        <f>WEEKNUM(AC163-RESUMEN!$AN$7)</f>
        <v>#NUM!</v>
      </c>
      <c r="AE163" s="106">
        <f>_xlfn.DAYS(AC163,RESUMEN!$D$7)</f>
        <v>-43238</v>
      </c>
      <c r="AF163" s="104"/>
      <c r="AG163" s="103"/>
      <c r="AH163" s="154"/>
      <c r="AI163" s="153"/>
      <c r="AJ163" s="153"/>
      <c r="AK163" s="25"/>
      <c r="AL163" s="160"/>
      <c r="AM163" s="106" t="e">
        <f>WEEKNUM(AL163-RESUMEN!$D$7)</f>
        <v>#NUM!</v>
      </c>
      <c r="AN163" s="106">
        <f>_xlfn.DAYS(AL163,RESUMEN!$D$7)</f>
        <v>-43238</v>
      </c>
      <c r="AO163" s="104"/>
      <c r="AP163" s="154"/>
      <c r="AQ163" s="154"/>
      <c r="AR163" s="153"/>
      <c r="AS163" s="153"/>
      <c r="AT163" s="25"/>
      <c r="AU163" s="160"/>
      <c r="AV163" s="106" t="e">
        <f>WEEKNUM(AU163-RESUMEN!$D$7)</f>
        <v>#NUM!</v>
      </c>
      <c r="AW163" s="106">
        <f>_xlfn.DAYS(AU163,RESUMEN!$D$7)</f>
        <v>-43238</v>
      </c>
      <c r="AX163" s="104"/>
      <c r="AY163" s="154"/>
      <c r="AZ163" s="154"/>
      <c r="BA163" s="153"/>
      <c r="BB163" s="153"/>
    </row>
    <row r="164" spans="2:54" x14ac:dyDescent="0.25">
      <c r="B164" s="160"/>
      <c r="C164" s="106" t="e">
        <f>WEEKNUM(B164-RESUMEN!$D$7)</f>
        <v>#NUM!</v>
      </c>
      <c r="D164" s="106">
        <f>_xlfn.DAYS(B164,RESUMEN!$D$7)</f>
        <v>-43238</v>
      </c>
      <c r="E164" s="104"/>
      <c r="F164" s="154"/>
      <c r="G164" s="154"/>
      <c r="H164" s="153"/>
      <c r="I164" s="153"/>
      <c r="J164" s="25"/>
      <c r="K164" s="160"/>
      <c r="L164" s="30" t="e">
        <f>WEEKNUM(K164-RESUMEN!$P$7)</f>
        <v>#NUM!</v>
      </c>
      <c r="M164" s="32">
        <f>_xlfn.DAYS(K164,RESUMEN!$P$7)</f>
        <v>-43242</v>
      </c>
      <c r="N164" s="29"/>
      <c r="O164" s="163"/>
      <c r="P164" s="163"/>
      <c r="Q164" s="162"/>
      <c r="R164" s="153"/>
      <c r="S164" s="25"/>
      <c r="T164" s="160"/>
      <c r="U164" s="30" t="e">
        <f>WEEKNUM(T164-RESUMEN!$AB$7)</f>
        <v>#NUM!</v>
      </c>
      <c r="V164" s="30">
        <f>_xlfn.DAYS(T164,RESUMEN!$AB$7)</f>
        <v>-43247</v>
      </c>
      <c r="W164" s="29"/>
      <c r="X164" s="163"/>
      <c r="Y164" s="163"/>
      <c r="Z164" s="162"/>
      <c r="AA164" s="162"/>
      <c r="AB164" s="25"/>
      <c r="AC164" s="160"/>
      <c r="AD164" s="106" t="e">
        <f>WEEKNUM(AC164-RESUMEN!$AN$7)</f>
        <v>#NUM!</v>
      </c>
      <c r="AE164" s="106">
        <f>_xlfn.DAYS(AC164,RESUMEN!$D$7)</f>
        <v>-43238</v>
      </c>
      <c r="AF164" s="104"/>
      <c r="AG164" s="103"/>
      <c r="AH164" s="154"/>
      <c r="AI164" s="153"/>
      <c r="AJ164" s="153"/>
      <c r="AK164" s="25"/>
      <c r="AL164" s="160"/>
      <c r="AM164" s="106" t="e">
        <f>WEEKNUM(AL164-RESUMEN!$D$7)</f>
        <v>#NUM!</v>
      </c>
      <c r="AN164" s="106">
        <f>_xlfn.DAYS(AL164,RESUMEN!$D$7)</f>
        <v>-43238</v>
      </c>
      <c r="AO164" s="104"/>
      <c r="AP164" s="154"/>
      <c r="AQ164" s="154"/>
      <c r="AR164" s="153"/>
      <c r="AS164" s="153"/>
      <c r="AT164" s="25"/>
      <c r="AU164" s="160"/>
      <c r="AV164" s="106" t="e">
        <f>WEEKNUM(AU164-RESUMEN!$D$7)</f>
        <v>#NUM!</v>
      </c>
      <c r="AW164" s="106">
        <f>_xlfn.DAYS(AU164,RESUMEN!$D$7)</f>
        <v>-43238</v>
      </c>
      <c r="AX164" s="104"/>
      <c r="AY164" s="154"/>
      <c r="AZ164" s="154"/>
      <c r="BA164" s="153"/>
      <c r="BB164" s="153"/>
    </row>
    <row r="165" spans="2:54" x14ac:dyDescent="0.25">
      <c r="B165" s="160"/>
      <c r="C165" s="106" t="e">
        <f>WEEKNUM(B165-RESUMEN!$D$7)</f>
        <v>#NUM!</v>
      </c>
      <c r="D165" s="106">
        <f>_xlfn.DAYS(B165,RESUMEN!$D$7)</f>
        <v>-43238</v>
      </c>
      <c r="E165" s="104"/>
      <c r="F165" s="154"/>
      <c r="G165" s="154"/>
      <c r="H165" s="153"/>
      <c r="I165" s="153"/>
      <c r="J165" s="25"/>
      <c r="K165" s="160"/>
      <c r="L165" s="30" t="e">
        <f>WEEKNUM(K165-RESUMEN!$P$7)</f>
        <v>#NUM!</v>
      </c>
      <c r="M165" s="32">
        <f>_xlfn.DAYS(K165,RESUMEN!$P$7)</f>
        <v>-43242</v>
      </c>
      <c r="N165" s="29"/>
      <c r="O165" s="163"/>
      <c r="P165" s="163"/>
      <c r="Q165" s="162"/>
      <c r="R165" s="153"/>
      <c r="S165" s="25"/>
      <c r="T165" s="160"/>
      <c r="U165" s="30" t="e">
        <f>WEEKNUM(T165-RESUMEN!$AB$7)</f>
        <v>#NUM!</v>
      </c>
      <c r="V165" s="30">
        <f>_xlfn.DAYS(T165,RESUMEN!$AB$7)</f>
        <v>-43247</v>
      </c>
      <c r="W165" s="29"/>
      <c r="X165" s="163"/>
      <c r="Y165" s="163"/>
      <c r="Z165" s="162"/>
      <c r="AA165" s="162"/>
      <c r="AB165" s="25"/>
      <c r="AC165" s="160"/>
      <c r="AD165" s="106" t="e">
        <f>WEEKNUM(AC165-RESUMEN!$AN$7)</f>
        <v>#NUM!</v>
      </c>
      <c r="AE165" s="106">
        <f>_xlfn.DAYS(AC165,RESUMEN!$D$7)</f>
        <v>-43238</v>
      </c>
      <c r="AF165" s="104"/>
      <c r="AG165" s="103"/>
      <c r="AH165" s="154"/>
      <c r="AI165" s="153"/>
      <c r="AJ165" s="153"/>
      <c r="AK165" s="25"/>
      <c r="AL165" s="160"/>
      <c r="AM165" s="106" t="e">
        <f>WEEKNUM(AL165-RESUMEN!$D$7)</f>
        <v>#NUM!</v>
      </c>
      <c r="AN165" s="106">
        <f>_xlfn.DAYS(AL165,RESUMEN!$D$7)</f>
        <v>-43238</v>
      </c>
      <c r="AO165" s="104"/>
      <c r="AP165" s="154"/>
      <c r="AQ165" s="154"/>
      <c r="AR165" s="153"/>
      <c r="AS165" s="153"/>
      <c r="AT165" s="25"/>
      <c r="AU165" s="160"/>
      <c r="AV165" s="106" t="e">
        <f>WEEKNUM(AU165-RESUMEN!$D$7)</f>
        <v>#NUM!</v>
      </c>
      <c r="AW165" s="106">
        <f>_xlfn.DAYS(AU165,RESUMEN!$D$7)</f>
        <v>-43238</v>
      </c>
      <c r="AX165" s="104"/>
      <c r="AY165" s="154"/>
      <c r="AZ165" s="154"/>
      <c r="BA165" s="153"/>
      <c r="BB165" s="153"/>
    </row>
    <row r="166" spans="2:54" x14ac:dyDescent="0.25">
      <c r="B166" s="160"/>
      <c r="C166" s="106" t="e">
        <f>WEEKNUM(B166-RESUMEN!$D$7)</f>
        <v>#NUM!</v>
      </c>
      <c r="D166" s="106">
        <f>_xlfn.DAYS(B166,RESUMEN!$D$7)</f>
        <v>-43238</v>
      </c>
      <c r="E166" s="104"/>
      <c r="F166" s="154"/>
      <c r="G166" s="154"/>
      <c r="H166" s="153"/>
      <c r="I166" s="153"/>
      <c r="J166" s="25"/>
      <c r="K166" s="160"/>
      <c r="L166" s="30" t="e">
        <f>WEEKNUM(K166-RESUMEN!$P$7)</f>
        <v>#NUM!</v>
      </c>
      <c r="M166" s="32">
        <f>_xlfn.DAYS(K166,RESUMEN!$P$7)</f>
        <v>-43242</v>
      </c>
      <c r="N166" s="29"/>
      <c r="O166" s="163"/>
      <c r="P166" s="163"/>
      <c r="Q166" s="162"/>
      <c r="R166" s="153"/>
      <c r="S166" s="25"/>
      <c r="T166" s="160"/>
      <c r="U166" s="30" t="e">
        <f>WEEKNUM(T166-RESUMEN!$AB$7)</f>
        <v>#NUM!</v>
      </c>
      <c r="V166" s="30">
        <f>_xlfn.DAYS(T166,RESUMEN!$AB$7)</f>
        <v>-43247</v>
      </c>
      <c r="W166" s="29"/>
      <c r="X166" s="163"/>
      <c r="Y166" s="163"/>
      <c r="Z166" s="162"/>
      <c r="AA166" s="162"/>
      <c r="AB166" s="25"/>
      <c r="AC166" s="160"/>
      <c r="AD166" s="106" t="e">
        <f>WEEKNUM(AC166-RESUMEN!$AN$7)</f>
        <v>#NUM!</v>
      </c>
      <c r="AE166" s="106">
        <f>_xlfn.DAYS(AC166,RESUMEN!$D$7)</f>
        <v>-43238</v>
      </c>
      <c r="AF166" s="104"/>
      <c r="AG166" s="103"/>
      <c r="AH166" s="154"/>
      <c r="AI166" s="153"/>
      <c r="AJ166" s="153"/>
      <c r="AK166" s="25"/>
      <c r="AL166" s="160"/>
      <c r="AM166" s="106" t="e">
        <f>WEEKNUM(AL166-RESUMEN!$D$7)</f>
        <v>#NUM!</v>
      </c>
      <c r="AN166" s="106">
        <f>_xlfn.DAYS(AL166,RESUMEN!$D$7)</f>
        <v>-43238</v>
      </c>
      <c r="AO166" s="104"/>
      <c r="AP166" s="154"/>
      <c r="AQ166" s="154"/>
      <c r="AR166" s="153"/>
      <c r="AS166" s="153"/>
      <c r="AT166" s="25"/>
      <c r="AU166" s="160"/>
      <c r="AV166" s="106" t="e">
        <f>WEEKNUM(AU166-RESUMEN!$D$7)</f>
        <v>#NUM!</v>
      </c>
      <c r="AW166" s="106">
        <f>_xlfn.DAYS(AU166,RESUMEN!$D$7)</f>
        <v>-43238</v>
      </c>
      <c r="AX166" s="104"/>
      <c r="AY166" s="154"/>
      <c r="AZ166" s="154"/>
      <c r="BA166" s="153"/>
      <c r="BB166" s="153"/>
    </row>
    <row r="167" spans="2:54" x14ac:dyDescent="0.25">
      <c r="B167" s="160"/>
      <c r="C167" s="106" t="e">
        <f>WEEKNUM(B167-RESUMEN!$D$7)</f>
        <v>#NUM!</v>
      </c>
      <c r="D167" s="106">
        <f>_xlfn.DAYS(B167,RESUMEN!$D$7)</f>
        <v>-43238</v>
      </c>
      <c r="E167" s="104"/>
      <c r="F167" s="154"/>
      <c r="G167" s="154"/>
      <c r="H167" s="153"/>
      <c r="I167" s="153"/>
      <c r="J167" s="25"/>
      <c r="K167" s="160"/>
      <c r="L167" s="30" t="e">
        <f>WEEKNUM(K167-RESUMEN!$P$7)</f>
        <v>#NUM!</v>
      </c>
      <c r="M167" s="32">
        <f>_xlfn.DAYS(K167,RESUMEN!$P$7)</f>
        <v>-43242</v>
      </c>
      <c r="N167" s="29"/>
      <c r="O167" s="163"/>
      <c r="P167" s="163"/>
      <c r="Q167" s="162"/>
      <c r="R167" s="153"/>
      <c r="S167" s="25"/>
      <c r="T167" s="160"/>
      <c r="U167" s="30" t="e">
        <f>WEEKNUM(T167-RESUMEN!$AB$7)</f>
        <v>#NUM!</v>
      </c>
      <c r="V167" s="30">
        <f>_xlfn.DAYS(T167,RESUMEN!$AB$7)</f>
        <v>-43247</v>
      </c>
      <c r="W167" s="29"/>
      <c r="X167" s="163"/>
      <c r="Y167" s="163"/>
      <c r="Z167" s="162"/>
      <c r="AA167" s="162"/>
      <c r="AB167" s="25"/>
      <c r="AC167" s="160"/>
      <c r="AD167" s="106" t="e">
        <f>WEEKNUM(AC167-RESUMEN!$AN$7)</f>
        <v>#NUM!</v>
      </c>
      <c r="AE167" s="106">
        <f>_xlfn.DAYS(AC167,RESUMEN!$D$7)</f>
        <v>-43238</v>
      </c>
      <c r="AF167" s="104"/>
      <c r="AG167" s="103"/>
      <c r="AH167" s="154"/>
      <c r="AI167" s="153"/>
      <c r="AJ167" s="153"/>
      <c r="AK167" s="25"/>
      <c r="AL167" s="160"/>
      <c r="AM167" s="106" t="e">
        <f>WEEKNUM(AL167-RESUMEN!$D$7)</f>
        <v>#NUM!</v>
      </c>
      <c r="AN167" s="106">
        <f>_xlfn.DAYS(AL167,RESUMEN!$D$7)</f>
        <v>-43238</v>
      </c>
      <c r="AO167" s="104"/>
      <c r="AP167" s="154"/>
      <c r="AQ167" s="154"/>
      <c r="AR167" s="153"/>
      <c r="AS167" s="153"/>
      <c r="AT167" s="25"/>
      <c r="AU167" s="160"/>
      <c r="AV167" s="106" t="e">
        <f>WEEKNUM(AU167-RESUMEN!$D$7)</f>
        <v>#NUM!</v>
      </c>
      <c r="AW167" s="106">
        <f>_xlfn.DAYS(AU167,RESUMEN!$D$7)</f>
        <v>-43238</v>
      </c>
      <c r="AX167" s="104"/>
      <c r="AY167" s="154"/>
      <c r="AZ167" s="154"/>
      <c r="BA167" s="153"/>
      <c r="BB167" s="153"/>
    </row>
    <row r="168" spans="2:54" x14ac:dyDescent="0.25">
      <c r="B168" s="160"/>
      <c r="C168" s="106" t="e">
        <f>WEEKNUM(B168-RESUMEN!$D$7)</f>
        <v>#NUM!</v>
      </c>
      <c r="D168" s="106">
        <f>_xlfn.DAYS(B168,RESUMEN!$D$7)</f>
        <v>-43238</v>
      </c>
      <c r="E168" s="104"/>
      <c r="F168" s="154"/>
      <c r="G168" s="154"/>
      <c r="H168" s="153"/>
      <c r="I168" s="153"/>
      <c r="J168" s="25"/>
      <c r="K168" s="160"/>
      <c r="L168" s="30" t="e">
        <f>WEEKNUM(K168-RESUMEN!$P$7)</f>
        <v>#NUM!</v>
      </c>
      <c r="M168" s="32">
        <f>_xlfn.DAYS(K168,RESUMEN!$P$7)</f>
        <v>-43242</v>
      </c>
      <c r="N168" s="29"/>
      <c r="O168" s="163"/>
      <c r="P168" s="163"/>
      <c r="Q168" s="162"/>
      <c r="R168" s="153"/>
      <c r="S168" s="25"/>
      <c r="T168" s="160"/>
      <c r="U168" s="30" t="e">
        <f>WEEKNUM(T168-RESUMEN!$AB$7)</f>
        <v>#NUM!</v>
      </c>
      <c r="V168" s="30">
        <f>_xlfn.DAYS(T168,RESUMEN!$AB$7)</f>
        <v>-43247</v>
      </c>
      <c r="W168" s="29"/>
      <c r="X168" s="163"/>
      <c r="Y168" s="163"/>
      <c r="Z168" s="162"/>
      <c r="AA168" s="162"/>
      <c r="AB168" s="25"/>
      <c r="AC168" s="160"/>
      <c r="AD168" s="106" t="e">
        <f>WEEKNUM(AC168-RESUMEN!$AN$7)</f>
        <v>#NUM!</v>
      </c>
      <c r="AE168" s="106">
        <f>_xlfn.DAYS(AC168,RESUMEN!$D$7)</f>
        <v>-43238</v>
      </c>
      <c r="AF168" s="104"/>
      <c r="AG168" s="103"/>
      <c r="AH168" s="154"/>
      <c r="AI168" s="153"/>
      <c r="AJ168" s="153"/>
      <c r="AK168" s="25"/>
      <c r="AL168" s="160"/>
      <c r="AM168" s="106" t="e">
        <f>WEEKNUM(AL168-RESUMEN!$D$7)</f>
        <v>#NUM!</v>
      </c>
      <c r="AN168" s="106">
        <f>_xlfn.DAYS(AL168,RESUMEN!$D$7)</f>
        <v>-43238</v>
      </c>
      <c r="AO168" s="104"/>
      <c r="AP168" s="154"/>
      <c r="AQ168" s="154"/>
      <c r="AR168" s="153"/>
      <c r="AS168" s="153"/>
      <c r="AT168" s="25"/>
      <c r="AU168" s="160"/>
      <c r="AV168" s="106" t="e">
        <f>WEEKNUM(AU168-RESUMEN!$D$7)</f>
        <v>#NUM!</v>
      </c>
      <c r="AW168" s="106">
        <f>_xlfn.DAYS(AU168,RESUMEN!$D$7)</f>
        <v>-43238</v>
      </c>
      <c r="AX168" s="104"/>
      <c r="AY168" s="154"/>
      <c r="AZ168" s="154"/>
      <c r="BA168" s="153"/>
      <c r="BB168" s="153"/>
    </row>
    <row r="169" spans="2:54" x14ac:dyDescent="0.25">
      <c r="B169" s="160"/>
      <c r="C169" s="106" t="e">
        <f>WEEKNUM(B169-RESUMEN!$D$7)</f>
        <v>#NUM!</v>
      </c>
      <c r="D169" s="106">
        <f>_xlfn.DAYS(B169,RESUMEN!$D$7)</f>
        <v>-43238</v>
      </c>
      <c r="E169" s="104"/>
      <c r="F169" s="154"/>
      <c r="G169" s="154"/>
      <c r="H169" s="153"/>
      <c r="I169" s="153"/>
      <c r="J169" s="25"/>
      <c r="K169" s="160"/>
      <c r="L169" s="30" t="e">
        <f>WEEKNUM(K169-RESUMEN!$P$7)</f>
        <v>#NUM!</v>
      </c>
      <c r="M169" s="32">
        <f>_xlfn.DAYS(K169,RESUMEN!$P$7)</f>
        <v>-43242</v>
      </c>
      <c r="N169" s="29"/>
      <c r="O169" s="163"/>
      <c r="P169" s="163"/>
      <c r="Q169" s="162"/>
      <c r="R169" s="153"/>
      <c r="S169" s="25"/>
      <c r="T169" s="160"/>
      <c r="U169" s="30" t="e">
        <f>WEEKNUM(T169-RESUMEN!$AB$7)</f>
        <v>#NUM!</v>
      </c>
      <c r="V169" s="30">
        <f>_xlfn.DAYS(T169,RESUMEN!$AB$7)</f>
        <v>-43247</v>
      </c>
      <c r="W169" s="29"/>
      <c r="X169" s="163"/>
      <c r="Y169" s="163"/>
      <c r="Z169" s="162"/>
      <c r="AA169" s="162"/>
      <c r="AB169" s="25"/>
      <c r="AC169" s="160"/>
      <c r="AD169" s="106" t="e">
        <f>WEEKNUM(AC169-RESUMEN!$AN$7)</f>
        <v>#NUM!</v>
      </c>
      <c r="AE169" s="106">
        <f>_xlfn.DAYS(AC169,RESUMEN!$D$7)</f>
        <v>-43238</v>
      </c>
      <c r="AF169" s="104"/>
      <c r="AG169" s="103"/>
      <c r="AH169" s="154"/>
      <c r="AI169" s="153"/>
      <c r="AJ169" s="153"/>
      <c r="AK169" s="25"/>
      <c r="AL169" s="160"/>
      <c r="AM169" s="106" t="e">
        <f>WEEKNUM(AL169-RESUMEN!$D$7)</f>
        <v>#NUM!</v>
      </c>
      <c r="AN169" s="106">
        <f>_xlfn.DAYS(AL169,RESUMEN!$D$7)</f>
        <v>-43238</v>
      </c>
      <c r="AO169" s="104"/>
      <c r="AP169" s="154"/>
      <c r="AQ169" s="154"/>
      <c r="AR169" s="153"/>
      <c r="AS169" s="153"/>
      <c r="AT169" s="25"/>
      <c r="AU169" s="160"/>
      <c r="AV169" s="106" t="e">
        <f>WEEKNUM(AU169-RESUMEN!$D$7)</f>
        <v>#NUM!</v>
      </c>
      <c r="AW169" s="106">
        <f>_xlfn.DAYS(AU169,RESUMEN!$D$7)</f>
        <v>-43238</v>
      </c>
      <c r="AX169" s="104"/>
      <c r="AY169" s="154"/>
      <c r="AZ169" s="154"/>
      <c r="BA169" s="153"/>
      <c r="BB169" s="153"/>
    </row>
    <row r="170" spans="2:54" x14ac:dyDescent="0.25">
      <c r="B170" s="160"/>
      <c r="C170" s="106" t="e">
        <f>WEEKNUM(B170-RESUMEN!$D$7)</f>
        <v>#NUM!</v>
      </c>
      <c r="D170" s="106">
        <f>_xlfn.DAYS(B170,RESUMEN!$D$7)</f>
        <v>-43238</v>
      </c>
      <c r="E170" s="104"/>
      <c r="F170" s="154"/>
      <c r="G170" s="154"/>
      <c r="H170" s="153"/>
      <c r="I170" s="153"/>
      <c r="J170" s="25"/>
      <c r="K170" s="160"/>
      <c r="L170" s="30" t="e">
        <f>WEEKNUM(K170-RESUMEN!$P$7)</f>
        <v>#NUM!</v>
      </c>
      <c r="M170" s="32">
        <f>_xlfn.DAYS(K170,RESUMEN!$P$7)</f>
        <v>-43242</v>
      </c>
      <c r="N170" s="29"/>
      <c r="O170" s="163"/>
      <c r="P170" s="163"/>
      <c r="Q170" s="162"/>
      <c r="R170" s="153"/>
      <c r="S170" s="25"/>
      <c r="T170" s="160"/>
      <c r="U170" s="30" t="e">
        <f>WEEKNUM(T170-RESUMEN!$AB$7)</f>
        <v>#NUM!</v>
      </c>
      <c r="V170" s="30">
        <f>_xlfn.DAYS(T170,RESUMEN!$AB$7)</f>
        <v>-43247</v>
      </c>
      <c r="W170" s="29"/>
      <c r="X170" s="163"/>
      <c r="Y170" s="163"/>
      <c r="Z170" s="162"/>
      <c r="AA170" s="162"/>
      <c r="AB170" s="25"/>
      <c r="AC170" s="160"/>
      <c r="AD170" s="106" t="e">
        <f>WEEKNUM(AC170-RESUMEN!$AN$7)</f>
        <v>#NUM!</v>
      </c>
      <c r="AE170" s="106">
        <f>_xlfn.DAYS(AC170,RESUMEN!$D$7)</f>
        <v>-43238</v>
      </c>
      <c r="AF170" s="104"/>
      <c r="AG170" s="103"/>
      <c r="AH170" s="154"/>
      <c r="AI170" s="153"/>
      <c r="AJ170" s="153"/>
      <c r="AK170" s="25"/>
      <c r="AL170" s="160"/>
      <c r="AM170" s="106" t="e">
        <f>WEEKNUM(AL170-RESUMEN!$D$7)</f>
        <v>#NUM!</v>
      </c>
      <c r="AN170" s="106">
        <f>_xlfn.DAYS(AL170,RESUMEN!$D$7)</f>
        <v>-43238</v>
      </c>
      <c r="AO170" s="104"/>
      <c r="AP170" s="154"/>
      <c r="AQ170" s="154"/>
      <c r="AR170" s="153"/>
      <c r="AS170" s="153"/>
      <c r="AT170" s="25"/>
      <c r="AU170" s="160"/>
      <c r="AV170" s="106" t="e">
        <f>WEEKNUM(AU170-RESUMEN!$D$7)</f>
        <v>#NUM!</v>
      </c>
      <c r="AW170" s="106">
        <f>_xlfn.DAYS(AU170,RESUMEN!$D$7)</f>
        <v>-43238</v>
      </c>
      <c r="AX170" s="104"/>
      <c r="AY170" s="154"/>
      <c r="AZ170" s="154"/>
      <c r="BA170" s="153"/>
      <c r="BB170" s="153"/>
    </row>
    <row r="171" spans="2:54" x14ac:dyDescent="0.25">
      <c r="B171" s="160"/>
      <c r="C171" s="106" t="e">
        <f>WEEKNUM(B171-RESUMEN!$D$7)</f>
        <v>#NUM!</v>
      </c>
      <c r="D171" s="106">
        <f>_xlfn.DAYS(B171,RESUMEN!$D$7)</f>
        <v>-43238</v>
      </c>
      <c r="E171" s="104"/>
      <c r="F171" s="154"/>
      <c r="G171" s="154"/>
      <c r="H171" s="153"/>
      <c r="I171" s="153"/>
      <c r="J171" s="25"/>
      <c r="K171" s="160"/>
      <c r="L171" s="30" t="e">
        <f>WEEKNUM(K171-RESUMEN!$P$7)</f>
        <v>#NUM!</v>
      </c>
      <c r="M171" s="32">
        <f>_xlfn.DAYS(K171,RESUMEN!$P$7)</f>
        <v>-43242</v>
      </c>
      <c r="N171" s="29"/>
      <c r="O171" s="163"/>
      <c r="P171" s="163"/>
      <c r="Q171" s="162"/>
      <c r="R171" s="153"/>
      <c r="S171" s="25"/>
      <c r="T171" s="160"/>
      <c r="U171" s="30" t="e">
        <f>WEEKNUM(T171-RESUMEN!$AB$7)</f>
        <v>#NUM!</v>
      </c>
      <c r="V171" s="30">
        <f>_xlfn.DAYS(T171,RESUMEN!$AB$7)</f>
        <v>-43247</v>
      </c>
      <c r="W171" s="29"/>
      <c r="X171" s="163"/>
      <c r="Y171" s="163"/>
      <c r="Z171" s="162"/>
      <c r="AA171" s="162"/>
      <c r="AB171" s="25"/>
      <c r="AC171" s="160"/>
      <c r="AD171" s="106" t="e">
        <f>WEEKNUM(AC171-RESUMEN!$AN$7)</f>
        <v>#NUM!</v>
      </c>
      <c r="AE171" s="106">
        <f>_xlfn.DAYS(AC171,RESUMEN!$D$7)</f>
        <v>-43238</v>
      </c>
      <c r="AF171" s="104"/>
      <c r="AG171" s="103"/>
      <c r="AH171" s="154"/>
      <c r="AI171" s="153"/>
      <c r="AJ171" s="153"/>
      <c r="AK171" s="25"/>
      <c r="AL171" s="160"/>
      <c r="AM171" s="106" t="e">
        <f>WEEKNUM(AL171-RESUMEN!$D$7)</f>
        <v>#NUM!</v>
      </c>
      <c r="AN171" s="106">
        <f>_xlfn.DAYS(AL171,RESUMEN!$D$7)</f>
        <v>-43238</v>
      </c>
      <c r="AO171" s="104"/>
      <c r="AP171" s="154"/>
      <c r="AQ171" s="154"/>
      <c r="AR171" s="153"/>
      <c r="AS171" s="153"/>
      <c r="AT171" s="25"/>
      <c r="AU171" s="160"/>
      <c r="AV171" s="106" t="e">
        <f>WEEKNUM(AU171-RESUMEN!$D$7)</f>
        <v>#NUM!</v>
      </c>
      <c r="AW171" s="106">
        <f>_xlfn.DAYS(AU171,RESUMEN!$D$7)</f>
        <v>-43238</v>
      </c>
      <c r="AX171" s="104"/>
      <c r="AY171" s="154"/>
      <c r="AZ171" s="154"/>
      <c r="BA171" s="153"/>
      <c r="BB171" s="153"/>
    </row>
    <row r="172" spans="2:54" x14ac:dyDescent="0.25">
      <c r="B172" s="160"/>
      <c r="C172" s="106" t="e">
        <f>WEEKNUM(B172-RESUMEN!$D$7)</f>
        <v>#NUM!</v>
      </c>
      <c r="D172" s="106">
        <f>_xlfn.DAYS(B172,RESUMEN!$D$7)</f>
        <v>-43238</v>
      </c>
      <c r="E172" s="104"/>
      <c r="F172" s="154"/>
      <c r="G172" s="154"/>
      <c r="H172" s="153"/>
      <c r="I172" s="153"/>
      <c r="J172" s="25"/>
      <c r="K172" s="160"/>
      <c r="L172" s="30" t="e">
        <f>WEEKNUM(K172-RESUMEN!$P$7)</f>
        <v>#NUM!</v>
      </c>
      <c r="M172" s="32">
        <f>_xlfn.DAYS(K172,RESUMEN!$P$7)</f>
        <v>-43242</v>
      </c>
      <c r="N172" s="29"/>
      <c r="O172" s="163"/>
      <c r="P172" s="163"/>
      <c r="Q172" s="162"/>
      <c r="R172" s="153"/>
      <c r="S172" s="25"/>
      <c r="T172" s="160"/>
      <c r="U172" s="30" t="e">
        <f>WEEKNUM(T172-RESUMEN!$AB$7)</f>
        <v>#NUM!</v>
      </c>
      <c r="V172" s="30">
        <f>_xlfn.DAYS(T172,RESUMEN!$AB$7)</f>
        <v>-43247</v>
      </c>
      <c r="W172" s="29"/>
      <c r="X172" s="163"/>
      <c r="Y172" s="163"/>
      <c r="Z172" s="162"/>
      <c r="AA172" s="162"/>
      <c r="AB172" s="25"/>
      <c r="AC172" s="160"/>
      <c r="AD172" s="106" t="e">
        <f>WEEKNUM(AC172-RESUMEN!$AN$7)</f>
        <v>#NUM!</v>
      </c>
      <c r="AE172" s="106">
        <f>_xlfn.DAYS(AC172,RESUMEN!$D$7)</f>
        <v>-43238</v>
      </c>
      <c r="AF172" s="104"/>
      <c r="AG172" s="103"/>
      <c r="AH172" s="154"/>
      <c r="AI172" s="153"/>
      <c r="AJ172" s="153"/>
      <c r="AK172" s="25"/>
      <c r="AL172" s="160"/>
      <c r="AM172" s="106" t="e">
        <f>WEEKNUM(AL172-RESUMEN!$D$7)</f>
        <v>#NUM!</v>
      </c>
      <c r="AN172" s="106">
        <f>_xlfn.DAYS(AL172,RESUMEN!$D$7)</f>
        <v>-43238</v>
      </c>
      <c r="AO172" s="104"/>
      <c r="AP172" s="154"/>
      <c r="AQ172" s="154"/>
      <c r="AR172" s="153"/>
      <c r="AS172" s="153"/>
      <c r="AT172" s="25"/>
      <c r="AU172" s="160"/>
      <c r="AV172" s="106" t="e">
        <f>WEEKNUM(AU172-RESUMEN!$D$7)</f>
        <v>#NUM!</v>
      </c>
      <c r="AW172" s="106">
        <f>_xlfn.DAYS(AU172,RESUMEN!$D$7)</f>
        <v>-43238</v>
      </c>
      <c r="AX172" s="104"/>
      <c r="AY172" s="154"/>
      <c r="AZ172" s="154"/>
      <c r="BA172" s="153"/>
      <c r="BB172" s="153"/>
    </row>
    <row r="173" spans="2:54" x14ac:dyDescent="0.25">
      <c r="B173" s="160"/>
      <c r="C173" s="106" t="e">
        <f>WEEKNUM(B173-RESUMEN!$D$7)</f>
        <v>#NUM!</v>
      </c>
      <c r="D173" s="106">
        <f>_xlfn.DAYS(B173,RESUMEN!$D$7)</f>
        <v>-43238</v>
      </c>
      <c r="E173" s="104"/>
      <c r="F173" s="154"/>
      <c r="G173" s="154"/>
      <c r="H173" s="153"/>
      <c r="I173" s="153"/>
      <c r="J173" s="25"/>
      <c r="K173" s="160"/>
      <c r="L173" s="30" t="e">
        <f>WEEKNUM(K173-RESUMEN!$P$7)</f>
        <v>#NUM!</v>
      </c>
      <c r="M173" s="32">
        <f>_xlfn.DAYS(K173,RESUMEN!$P$7)</f>
        <v>-43242</v>
      </c>
      <c r="N173" s="29"/>
      <c r="O173" s="163"/>
      <c r="P173" s="163"/>
      <c r="Q173" s="162"/>
      <c r="R173" s="153"/>
      <c r="S173" s="25"/>
      <c r="T173" s="160"/>
      <c r="U173" s="30" t="e">
        <f>WEEKNUM(T173-RESUMEN!$AB$7)</f>
        <v>#NUM!</v>
      </c>
      <c r="V173" s="30">
        <f>_xlfn.DAYS(T173,RESUMEN!$AB$7)</f>
        <v>-43247</v>
      </c>
      <c r="W173" s="29"/>
      <c r="X173" s="163"/>
      <c r="Y173" s="163"/>
      <c r="Z173" s="162"/>
      <c r="AA173" s="162"/>
      <c r="AB173" s="25"/>
      <c r="AC173" s="160"/>
      <c r="AD173" s="106" t="e">
        <f>WEEKNUM(AC173-RESUMEN!$AN$7)</f>
        <v>#NUM!</v>
      </c>
      <c r="AE173" s="106">
        <f>_xlfn.DAYS(AC173,RESUMEN!$D$7)</f>
        <v>-43238</v>
      </c>
      <c r="AF173" s="104"/>
      <c r="AG173" s="103"/>
      <c r="AH173" s="154"/>
      <c r="AI173" s="153"/>
      <c r="AJ173" s="153"/>
      <c r="AK173" s="25"/>
      <c r="AL173" s="160"/>
      <c r="AM173" s="106" t="e">
        <f>WEEKNUM(AL173-RESUMEN!$D$7)</f>
        <v>#NUM!</v>
      </c>
      <c r="AN173" s="106">
        <f>_xlfn.DAYS(AL173,RESUMEN!$D$7)</f>
        <v>-43238</v>
      </c>
      <c r="AO173" s="104"/>
      <c r="AP173" s="154"/>
      <c r="AQ173" s="154"/>
      <c r="AR173" s="153"/>
      <c r="AS173" s="153"/>
      <c r="AT173" s="25"/>
      <c r="AU173" s="160"/>
      <c r="AV173" s="106" t="e">
        <f>WEEKNUM(AU173-RESUMEN!$D$7)</f>
        <v>#NUM!</v>
      </c>
      <c r="AW173" s="106">
        <f>_xlfn.DAYS(AU173,RESUMEN!$D$7)</f>
        <v>-43238</v>
      </c>
      <c r="AX173" s="104"/>
      <c r="AY173" s="154"/>
      <c r="AZ173" s="154"/>
      <c r="BA173" s="153"/>
      <c r="BB173" s="153"/>
    </row>
    <row r="174" spans="2:54" x14ac:dyDescent="0.25">
      <c r="B174" s="160"/>
      <c r="C174" s="106" t="e">
        <f>WEEKNUM(B174-RESUMEN!$D$7)</f>
        <v>#NUM!</v>
      </c>
      <c r="D174" s="106">
        <f>_xlfn.DAYS(B174,RESUMEN!$D$7)</f>
        <v>-43238</v>
      </c>
      <c r="E174" s="104"/>
      <c r="F174" s="154"/>
      <c r="G174" s="154"/>
      <c r="H174" s="153"/>
      <c r="I174" s="153"/>
      <c r="J174" s="25"/>
      <c r="K174" s="160"/>
      <c r="L174" s="30" t="e">
        <f>WEEKNUM(K174-RESUMEN!$P$7)</f>
        <v>#NUM!</v>
      </c>
      <c r="M174" s="32">
        <f>_xlfn.DAYS(K174,RESUMEN!$P$7)</f>
        <v>-43242</v>
      </c>
      <c r="N174" s="29"/>
      <c r="O174" s="163"/>
      <c r="P174" s="163"/>
      <c r="Q174" s="162"/>
      <c r="R174" s="153"/>
      <c r="S174" s="25"/>
      <c r="T174" s="160"/>
      <c r="U174" s="30" t="e">
        <f>WEEKNUM(T174-RESUMEN!$AB$7)</f>
        <v>#NUM!</v>
      </c>
      <c r="V174" s="30">
        <f>_xlfn.DAYS(T174,RESUMEN!$AB$7)</f>
        <v>-43247</v>
      </c>
      <c r="W174" s="29"/>
      <c r="X174" s="163"/>
      <c r="Y174" s="163"/>
      <c r="Z174" s="162"/>
      <c r="AA174" s="162"/>
      <c r="AB174" s="25"/>
      <c r="AC174" s="160"/>
      <c r="AD174" s="106" t="e">
        <f>WEEKNUM(AC174-RESUMEN!$AN$7)</f>
        <v>#NUM!</v>
      </c>
      <c r="AE174" s="106">
        <f>_xlfn.DAYS(AC174,RESUMEN!$D$7)</f>
        <v>-43238</v>
      </c>
      <c r="AF174" s="104"/>
      <c r="AG174" s="103"/>
      <c r="AH174" s="154"/>
      <c r="AI174" s="153"/>
      <c r="AJ174" s="153"/>
      <c r="AK174" s="25"/>
      <c r="AL174" s="160"/>
      <c r="AM174" s="106" t="e">
        <f>WEEKNUM(AL174-RESUMEN!$D$7)</f>
        <v>#NUM!</v>
      </c>
      <c r="AN174" s="106">
        <f>_xlfn.DAYS(AL174,RESUMEN!$D$7)</f>
        <v>-43238</v>
      </c>
      <c r="AO174" s="104"/>
      <c r="AP174" s="154"/>
      <c r="AQ174" s="154"/>
      <c r="AR174" s="153"/>
      <c r="AS174" s="153"/>
      <c r="AT174" s="25"/>
      <c r="AU174" s="160"/>
      <c r="AV174" s="106" t="e">
        <f>WEEKNUM(AU174-RESUMEN!$D$7)</f>
        <v>#NUM!</v>
      </c>
      <c r="AW174" s="106">
        <f>_xlfn.DAYS(AU174,RESUMEN!$D$7)</f>
        <v>-43238</v>
      </c>
      <c r="AX174" s="104"/>
      <c r="AY174" s="154"/>
      <c r="AZ174" s="154"/>
      <c r="BA174" s="153"/>
      <c r="BB174" s="153"/>
    </row>
    <row r="175" spans="2:54" x14ac:dyDescent="0.25">
      <c r="B175" s="160"/>
      <c r="C175" s="106" t="e">
        <f>WEEKNUM(B175-RESUMEN!$D$7)</f>
        <v>#NUM!</v>
      </c>
      <c r="D175" s="106">
        <f>_xlfn.DAYS(B175,RESUMEN!$D$7)</f>
        <v>-43238</v>
      </c>
      <c r="E175" s="104"/>
      <c r="F175" s="154"/>
      <c r="G175" s="154"/>
      <c r="H175" s="153"/>
      <c r="I175" s="153"/>
      <c r="J175" s="25"/>
      <c r="K175" s="160"/>
      <c r="L175" s="30" t="e">
        <f>WEEKNUM(K175-RESUMEN!$P$7)</f>
        <v>#NUM!</v>
      </c>
      <c r="M175" s="32">
        <f>_xlfn.DAYS(K175,RESUMEN!$P$7)</f>
        <v>-43242</v>
      </c>
      <c r="N175" s="29"/>
      <c r="O175" s="163"/>
      <c r="P175" s="163"/>
      <c r="Q175" s="162"/>
      <c r="R175" s="153"/>
      <c r="S175" s="25"/>
      <c r="T175" s="160"/>
      <c r="U175" s="30" t="e">
        <f>WEEKNUM(T175-RESUMEN!$AB$7)</f>
        <v>#NUM!</v>
      </c>
      <c r="V175" s="30">
        <f>_xlfn.DAYS(T175,RESUMEN!$AB$7)</f>
        <v>-43247</v>
      </c>
      <c r="W175" s="29"/>
      <c r="X175" s="163"/>
      <c r="Y175" s="163"/>
      <c r="Z175" s="162"/>
      <c r="AA175" s="162"/>
      <c r="AB175" s="25"/>
      <c r="AC175" s="160"/>
      <c r="AD175" s="106" t="e">
        <f>WEEKNUM(AC175-RESUMEN!$AN$7)</f>
        <v>#NUM!</v>
      </c>
      <c r="AE175" s="106">
        <f>_xlfn.DAYS(AC175,RESUMEN!$D$7)</f>
        <v>-43238</v>
      </c>
      <c r="AF175" s="104"/>
      <c r="AG175" s="103"/>
      <c r="AH175" s="154"/>
      <c r="AI175" s="153"/>
      <c r="AJ175" s="153"/>
      <c r="AK175" s="25"/>
      <c r="AL175" s="160"/>
      <c r="AM175" s="106" t="e">
        <f>WEEKNUM(AL175-RESUMEN!$D$7)</f>
        <v>#NUM!</v>
      </c>
      <c r="AN175" s="106">
        <f>_xlfn.DAYS(AL175,RESUMEN!$D$7)</f>
        <v>-43238</v>
      </c>
      <c r="AO175" s="104"/>
      <c r="AP175" s="154"/>
      <c r="AQ175" s="154"/>
      <c r="AR175" s="153"/>
      <c r="AS175" s="153"/>
      <c r="AT175" s="25"/>
      <c r="AU175" s="160"/>
      <c r="AV175" s="106" t="e">
        <f>WEEKNUM(AU175-RESUMEN!$D$7)</f>
        <v>#NUM!</v>
      </c>
      <c r="AW175" s="106">
        <f>_xlfn.DAYS(AU175,RESUMEN!$D$7)</f>
        <v>-43238</v>
      </c>
      <c r="AX175" s="104"/>
      <c r="AY175" s="154"/>
      <c r="AZ175" s="154"/>
      <c r="BA175" s="153"/>
      <c r="BB175" s="153"/>
    </row>
    <row r="176" spans="2:54" x14ac:dyDescent="0.25">
      <c r="B176" s="160"/>
      <c r="C176" s="106" t="e">
        <f>WEEKNUM(B176-RESUMEN!$D$7)</f>
        <v>#NUM!</v>
      </c>
      <c r="D176" s="106">
        <f>_xlfn.DAYS(B176,RESUMEN!$D$7)</f>
        <v>-43238</v>
      </c>
      <c r="E176" s="104"/>
      <c r="F176" s="154"/>
      <c r="G176" s="154"/>
      <c r="H176" s="153"/>
      <c r="I176" s="153"/>
      <c r="J176" s="25"/>
      <c r="K176" s="160"/>
      <c r="L176" s="30" t="e">
        <f>WEEKNUM(K176-RESUMEN!$P$7)</f>
        <v>#NUM!</v>
      </c>
      <c r="M176" s="32">
        <f>_xlfn.DAYS(K176,RESUMEN!$P$7)</f>
        <v>-43242</v>
      </c>
      <c r="N176" s="29"/>
      <c r="O176" s="163"/>
      <c r="P176" s="163"/>
      <c r="Q176" s="162"/>
      <c r="R176" s="153"/>
      <c r="S176" s="25"/>
      <c r="T176" s="160"/>
      <c r="U176" s="30" t="e">
        <f>WEEKNUM(T176-RESUMEN!$AB$7)</f>
        <v>#NUM!</v>
      </c>
      <c r="V176" s="30">
        <f>_xlfn.DAYS(T176,RESUMEN!$AB$7)</f>
        <v>-43247</v>
      </c>
      <c r="W176" s="29"/>
      <c r="X176" s="163"/>
      <c r="Y176" s="163"/>
      <c r="Z176" s="162"/>
      <c r="AA176" s="162"/>
      <c r="AB176" s="25"/>
      <c r="AC176" s="160"/>
      <c r="AD176" s="106" t="e">
        <f>WEEKNUM(AC176-RESUMEN!$AN$7)</f>
        <v>#NUM!</v>
      </c>
      <c r="AE176" s="106">
        <f>_xlfn.DAYS(AC176,RESUMEN!$D$7)</f>
        <v>-43238</v>
      </c>
      <c r="AF176" s="104"/>
      <c r="AG176" s="103"/>
      <c r="AH176" s="154"/>
      <c r="AI176" s="153"/>
      <c r="AJ176" s="153"/>
      <c r="AK176" s="25"/>
      <c r="AL176" s="160"/>
      <c r="AM176" s="106" t="e">
        <f>WEEKNUM(AL176-RESUMEN!$D$7)</f>
        <v>#NUM!</v>
      </c>
      <c r="AN176" s="106">
        <f>_xlfn.DAYS(AL176,RESUMEN!$D$7)</f>
        <v>-43238</v>
      </c>
      <c r="AO176" s="104"/>
      <c r="AP176" s="154"/>
      <c r="AQ176" s="154"/>
      <c r="AR176" s="153"/>
      <c r="AS176" s="153"/>
      <c r="AT176" s="25"/>
      <c r="AU176" s="160"/>
      <c r="AV176" s="106" t="e">
        <f>WEEKNUM(AU176-RESUMEN!$D$7)</f>
        <v>#NUM!</v>
      </c>
      <c r="AW176" s="106">
        <f>_xlfn.DAYS(AU176,RESUMEN!$D$7)</f>
        <v>-43238</v>
      </c>
      <c r="AX176" s="104"/>
      <c r="AY176" s="154"/>
      <c r="AZ176" s="154"/>
      <c r="BA176" s="153"/>
      <c r="BB176" s="153"/>
    </row>
    <row r="177" spans="2:54" x14ac:dyDescent="0.25">
      <c r="B177" s="160"/>
      <c r="C177" s="106" t="e">
        <f>WEEKNUM(B177-RESUMEN!$D$7)</f>
        <v>#NUM!</v>
      </c>
      <c r="D177" s="106">
        <f>_xlfn.DAYS(B177,RESUMEN!$D$7)</f>
        <v>-43238</v>
      </c>
      <c r="E177" s="104"/>
      <c r="F177" s="154"/>
      <c r="G177" s="154"/>
      <c r="H177" s="153"/>
      <c r="I177" s="153"/>
      <c r="J177" s="25"/>
      <c r="K177" s="160"/>
      <c r="L177" s="30" t="e">
        <f>WEEKNUM(K177-RESUMEN!$P$7)</f>
        <v>#NUM!</v>
      </c>
      <c r="M177" s="32">
        <f>_xlfn.DAYS(K177,RESUMEN!$P$7)</f>
        <v>-43242</v>
      </c>
      <c r="N177" s="29"/>
      <c r="O177" s="163"/>
      <c r="P177" s="163"/>
      <c r="Q177" s="162"/>
      <c r="R177" s="153"/>
      <c r="S177" s="25"/>
      <c r="T177" s="160"/>
      <c r="U177" s="30" t="e">
        <f>WEEKNUM(T177-RESUMEN!$AB$7)</f>
        <v>#NUM!</v>
      </c>
      <c r="V177" s="30">
        <f>_xlfn.DAYS(T177,RESUMEN!$AB$7)</f>
        <v>-43247</v>
      </c>
      <c r="W177" s="29"/>
      <c r="X177" s="163"/>
      <c r="Y177" s="163"/>
      <c r="Z177" s="162"/>
      <c r="AA177" s="162"/>
      <c r="AB177" s="25"/>
      <c r="AC177" s="160"/>
      <c r="AD177" s="106" t="e">
        <f>WEEKNUM(AC177-RESUMEN!$AN$7)</f>
        <v>#NUM!</v>
      </c>
      <c r="AE177" s="106">
        <f>_xlfn.DAYS(AC177,RESUMEN!$D$7)</f>
        <v>-43238</v>
      </c>
      <c r="AF177" s="104"/>
      <c r="AG177" s="103"/>
      <c r="AH177" s="154"/>
      <c r="AI177" s="153"/>
      <c r="AJ177" s="153"/>
      <c r="AK177" s="25"/>
      <c r="AL177" s="160"/>
      <c r="AM177" s="106" t="e">
        <f>WEEKNUM(AL177-RESUMEN!$D$7)</f>
        <v>#NUM!</v>
      </c>
      <c r="AN177" s="106">
        <f>_xlfn.DAYS(AL177,RESUMEN!$D$7)</f>
        <v>-43238</v>
      </c>
      <c r="AO177" s="104"/>
      <c r="AP177" s="154"/>
      <c r="AQ177" s="154"/>
      <c r="AR177" s="153"/>
      <c r="AS177" s="153"/>
      <c r="AT177" s="25"/>
      <c r="AU177" s="160"/>
      <c r="AV177" s="106" t="e">
        <f>WEEKNUM(AU177-RESUMEN!$D$7)</f>
        <v>#NUM!</v>
      </c>
      <c r="AW177" s="106">
        <f>_xlfn.DAYS(AU177,RESUMEN!$D$7)</f>
        <v>-43238</v>
      </c>
      <c r="AX177" s="104"/>
      <c r="AY177" s="154"/>
      <c r="AZ177" s="154"/>
      <c r="BA177" s="153"/>
      <c r="BB177" s="153"/>
    </row>
    <row r="178" spans="2:54" x14ac:dyDescent="0.25">
      <c r="B178" s="160"/>
      <c r="C178" s="106" t="e">
        <f>WEEKNUM(B178-RESUMEN!$D$7)</f>
        <v>#NUM!</v>
      </c>
      <c r="D178" s="106">
        <f>_xlfn.DAYS(B178,RESUMEN!$D$7)</f>
        <v>-43238</v>
      </c>
      <c r="E178" s="104"/>
      <c r="F178" s="154"/>
      <c r="G178" s="154"/>
      <c r="H178" s="153"/>
      <c r="I178" s="153"/>
      <c r="J178" s="25"/>
      <c r="K178" s="160"/>
      <c r="L178" s="30" t="e">
        <f>WEEKNUM(K178-RESUMEN!$P$7)</f>
        <v>#NUM!</v>
      </c>
      <c r="M178" s="32">
        <f>_xlfn.DAYS(K178,RESUMEN!$P$7)</f>
        <v>-43242</v>
      </c>
      <c r="N178" s="29"/>
      <c r="O178" s="163"/>
      <c r="P178" s="163"/>
      <c r="Q178" s="162"/>
      <c r="R178" s="153"/>
      <c r="S178" s="25"/>
      <c r="T178" s="160"/>
      <c r="U178" s="30" t="e">
        <f>WEEKNUM(T178-RESUMEN!$AB$7)</f>
        <v>#NUM!</v>
      </c>
      <c r="V178" s="30">
        <f>_xlfn.DAYS(T178,RESUMEN!$AB$7)</f>
        <v>-43247</v>
      </c>
      <c r="W178" s="29"/>
      <c r="X178" s="163"/>
      <c r="Y178" s="163"/>
      <c r="Z178" s="162"/>
      <c r="AA178" s="162"/>
      <c r="AB178" s="25"/>
      <c r="AC178" s="160"/>
      <c r="AD178" s="106" t="e">
        <f>WEEKNUM(AC178-RESUMEN!$AN$7)</f>
        <v>#NUM!</v>
      </c>
      <c r="AE178" s="106">
        <f>_xlfn.DAYS(AC178,RESUMEN!$D$7)</f>
        <v>-43238</v>
      </c>
      <c r="AF178" s="104"/>
      <c r="AG178" s="103"/>
      <c r="AH178" s="154"/>
      <c r="AI178" s="153"/>
      <c r="AJ178" s="153"/>
      <c r="AK178" s="25"/>
      <c r="AL178" s="160"/>
      <c r="AM178" s="106" t="e">
        <f>WEEKNUM(AL178-RESUMEN!$D$7)</f>
        <v>#NUM!</v>
      </c>
      <c r="AN178" s="106">
        <f>_xlfn.DAYS(AL178,RESUMEN!$D$7)</f>
        <v>-43238</v>
      </c>
      <c r="AO178" s="104"/>
      <c r="AP178" s="154"/>
      <c r="AQ178" s="154"/>
      <c r="AR178" s="153"/>
      <c r="AS178" s="153"/>
      <c r="AT178" s="25"/>
      <c r="AU178" s="160"/>
      <c r="AV178" s="106" t="e">
        <f>WEEKNUM(AU178-RESUMEN!$D$7)</f>
        <v>#NUM!</v>
      </c>
      <c r="AW178" s="106">
        <f>_xlfn.DAYS(AU178,RESUMEN!$D$7)</f>
        <v>-43238</v>
      </c>
      <c r="AX178" s="104"/>
      <c r="AY178" s="154"/>
      <c r="AZ178" s="154"/>
      <c r="BA178" s="153"/>
      <c r="BB178" s="153"/>
    </row>
    <row r="179" spans="2:54" x14ac:dyDescent="0.25">
      <c r="B179" s="160"/>
      <c r="C179" s="106" t="e">
        <f>WEEKNUM(B179-RESUMEN!$D$7)</f>
        <v>#NUM!</v>
      </c>
      <c r="D179" s="106">
        <f>_xlfn.DAYS(B179,RESUMEN!$D$7)</f>
        <v>-43238</v>
      </c>
      <c r="E179" s="104"/>
      <c r="F179" s="154"/>
      <c r="G179" s="154"/>
      <c r="H179" s="153"/>
      <c r="I179" s="153"/>
      <c r="J179" s="25"/>
      <c r="K179" s="160"/>
      <c r="L179" s="30" t="e">
        <f>WEEKNUM(K179-RESUMEN!$P$7)</f>
        <v>#NUM!</v>
      </c>
      <c r="M179" s="32">
        <f>_xlfn.DAYS(K179,RESUMEN!$P$7)</f>
        <v>-43242</v>
      </c>
      <c r="N179" s="29"/>
      <c r="O179" s="163"/>
      <c r="P179" s="163"/>
      <c r="Q179" s="162"/>
      <c r="R179" s="153"/>
      <c r="S179" s="25"/>
      <c r="T179" s="160"/>
      <c r="U179" s="30" t="e">
        <f>WEEKNUM(T179-RESUMEN!$AB$7)</f>
        <v>#NUM!</v>
      </c>
      <c r="V179" s="30">
        <f>_xlfn.DAYS(T179,RESUMEN!$AB$7)</f>
        <v>-43247</v>
      </c>
      <c r="W179" s="29"/>
      <c r="X179" s="163"/>
      <c r="Y179" s="163"/>
      <c r="Z179" s="162"/>
      <c r="AA179" s="162"/>
      <c r="AB179" s="25"/>
      <c r="AC179" s="160"/>
      <c r="AD179" s="106" t="e">
        <f>WEEKNUM(AC179-RESUMEN!$AN$7)</f>
        <v>#NUM!</v>
      </c>
      <c r="AE179" s="106">
        <f>_xlfn.DAYS(AC179,RESUMEN!$D$7)</f>
        <v>-43238</v>
      </c>
      <c r="AF179" s="104"/>
      <c r="AG179" s="103"/>
      <c r="AH179" s="154"/>
      <c r="AI179" s="153"/>
      <c r="AJ179" s="153"/>
      <c r="AK179" s="25"/>
      <c r="AL179" s="160"/>
      <c r="AM179" s="106" t="e">
        <f>WEEKNUM(AL179-RESUMEN!$D$7)</f>
        <v>#NUM!</v>
      </c>
      <c r="AN179" s="106">
        <f>_xlfn.DAYS(AL179,RESUMEN!$D$7)</f>
        <v>-43238</v>
      </c>
      <c r="AO179" s="104"/>
      <c r="AP179" s="154"/>
      <c r="AQ179" s="154"/>
      <c r="AR179" s="153"/>
      <c r="AS179" s="153"/>
      <c r="AT179" s="25"/>
      <c r="AU179" s="160"/>
      <c r="AV179" s="106" t="e">
        <f>WEEKNUM(AU179-RESUMEN!$D$7)</f>
        <v>#NUM!</v>
      </c>
      <c r="AW179" s="106">
        <f>_xlfn.DAYS(AU179,RESUMEN!$D$7)</f>
        <v>-43238</v>
      </c>
      <c r="AX179" s="104"/>
      <c r="AY179" s="154"/>
      <c r="AZ179" s="154"/>
      <c r="BA179" s="153"/>
      <c r="BB179" s="153"/>
    </row>
    <row r="180" spans="2:54" x14ac:dyDescent="0.25">
      <c r="B180" s="160"/>
      <c r="C180" s="106" t="e">
        <f>WEEKNUM(B180-RESUMEN!$D$7)</f>
        <v>#NUM!</v>
      </c>
      <c r="D180" s="106">
        <f>_xlfn.DAYS(B180,RESUMEN!$D$7)</f>
        <v>-43238</v>
      </c>
      <c r="E180" s="104"/>
      <c r="F180" s="154"/>
      <c r="G180" s="154"/>
      <c r="H180" s="153"/>
      <c r="I180" s="153"/>
      <c r="J180" s="25"/>
      <c r="K180" s="160"/>
      <c r="L180" s="30" t="e">
        <f>WEEKNUM(K180-RESUMEN!$P$7)</f>
        <v>#NUM!</v>
      </c>
      <c r="M180" s="32">
        <f>_xlfn.DAYS(K180,RESUMEN!$P$7)</f>
        <v>-43242</v>
      </c>
      <c r="N180" s="29"/>
      <c r="O180" s="163"/>
      <c r="P180" s="163"/>
      <c r="Q180" s="162"/>
      <c r="R180" s="153"/>
      <c r="S180" s="25"/>
      <c r="T180" s="160"/>
      <c r="U180" s="30" t="e">
        <f>WEEKNUM(T180-RESUMEN!$AB$7)</f>
        <v>#NUM!</v>
      </c>
      <c r="V180" s="30">
        <f>_xlfn.DAYS(T180,RESUMEN!$AB$7)</f>
        <v>-43247</v>
      </c>
      <c r="W180" s="29"/>
      <c r="X180" s="163"/>
      <c r="Y180" s="163"/>
      <c r="Z180" s="162"/>
      <c r="AA180" s="162"/>
      <c r="AB180" s="25"/>
      <c r="AC180" s="160"/>
      <c r="AD180" s="106" t="e">
        <f>WEEKNUM(AC180-RESUMEN!$AN$7)</f>
        <v>#NUM!</v>
      </c>
      <c r="AE180" s="106">
        <f>_xlfn.DAYS(AC180,RESUMEN!$D$7)</f>
        <v>-43238</v>
      </c>
      <c r="AF180" s="104"/>
      <c r="AG180" s="103"/>
      <c r="AH180" s="154"/>
      <c r="AI180" s="153"/>
      <c r="AJ180" s="153"/>
      <c r="AK180" s="25"/>
      <c r="AL180" s="160"/>
      <c r="AM180" s="106" t="e">
        <f>WEEKNUM(AL180-RESUMEN!$D$7)</f>
        <v>#NUM!</v>
      </c>
      <c r="AN180" s="106">
        <f>_xlfn.DAYS(AL180,RESUMEN!$D$7)</f>
        <v>-43238</v>
      </c>
      <c r="AO180" s="104"/>
      <c r="AP180" s="154"/>
      <c r="AQ180" s="154"/>
      <c r="AR180" s="153"/>
      <c r="AS180" s="153"/>
      <c r="AT180" s="25"/>
      <c r="AU180" s="160"/>
      <c r="AV180" s="106" t="e">
        <f>WEEKNUM(AU180-RESUMEN!$D$7)</f>
        <v>#NUM!</v>
      </c>
      <c r="AW180" s="106">
        <f>_xlfn.DAYS(AU180,RESUMEN!$D$7)</f>
        <v>-43238</v>
      </c>
      <c r="AX180" s="104"/>
      <c r="AY180" s="154"/>
      <c r="AZ180" s="154"/>
      <c r="BA180" s="153"/>
      <c r="BB180" s="153"/>
    </row>
    <row r="181" spans="2:54" x14ac:dyDescent="0.25">
      <c r="B181" s="160"/>
      <c r="C181" s="106" t="e">
        <f>WEEKNUM(B181-RESUMEN!$D$7)</f>
        <v>#NUM!</v>
      </c>
      <c r="D181" s="106">
        <f>_xlfn.DAYS(B181,RESUMEN!$D$7)</f>
        <v>-43238</v>
      </c>
      <c r="E181" s="104"/>
      <c r="F181" s="154"/>
      <c r="G181" s="154"/>
      <c r="H181" s="153"/>
      <c r="I181" s="153"/>
      <c r="J181" s="25"/>
      <c r="K181" s="160"/>
      <c r="L181" s="30" t="e">
        <f>WEEKNUM(K181-RESUMEN!$P$7)</f>
        <v>#NUM!</v>
      </c>
      <c r="M181" s="32">
        <f>_xlfn.DAYS(K181,RESUMEN!$P$7)</f>
        <v>-43242</v>
      </c>
      <c r="N181" s="29"/>
      <c r="O181" s="163"/>
      <c r="P181" s="163"/>
      <c r="Q181" s="162"/>
      <c r="R181" s="153"/>
      <c r="S181" s="25"/>
      <c r="T181" s="160"/>
      <c r="U181" s="30" t="e">
        <f>WEEKNUM(T181-RESUMEN!$AB$7)</f>
        <v>#NUM!</v>
      </c>
      <c r="V181" s="30">
        <f>_xlfn.DAYS(T181,RESUMEN!$AB$7)</f>
        <v>-43247</v>
      </c>
      <c r="W181" s="29"/>
      <c r="X181" s="163"/>
      <c r="Y181" s="163"/>
      <c r="Z181" s="162"/>
      <c r="AA181" s="162"/>
      <c r="AB181" s="25"/>
      <c r="AC181" s="160"/>
      <c r="AD181" s="106" t="e">
        <f>WEEKNUM(AC181-RESUMEN!$AN$7)</f>
        <v>#NUM!</v>
      </c>
      <c r="AE181" s="106">
        <f>_xlfn.DAYS(AC181,RESUMEN!$D$7)</f>
        <v>-43238</v>
      </c>
      <c r="AF181" s="104"/>
      <c r="AG181" s="103"/>
      <c r="AH181" s="154"/>
      <c r="AI181" s="153"/>
      <c r="AJ181" s="153"/>
      <c r="AK181" s="25"/>
      <c r="AL181" s="160"/>
      <c r="AM181" s="106" t="e">
        <f>WEEKNUM(AL181-RESUMEN!$D$7)</f>
        <v>#NUM!</v>
      </c>
      <c r="AN181" s="106">
        <f>_xlfn.DAYS(AL181,RESUMEN!$D$7)</f>
        <v>-43238</v>
      </c>
      <c r="AO181" s="104"/>
      <c r="AP181" s="154"/>
      <c r="AQ181" s="154"/>
      <c r="AR181" s="153"/>
      <c r="AS181" s="153"/>
      <c r="AT181" s="25"/>
      <c r="AU181" s="160"/>
      <c r="AV181" s="106" t="e">
        <f>WEEKNUM(AU181-RESUMEN!$D$7)</f>
        <v>#NUM!</v>
      </c>
      <c r="AW181" s="106">
        <f>_xlfn.DAYS(AU181,RESUMEN!$D$7)</f>
        <v>-43238</v>
      </c>
      <c r="AX181" s="104"/>
      <c r="AY181" s="154"/>
      <c r="AZ181" s="154"/>
      <c r="BA181" s="153"/>
      <c r="BB181" s="153"/>
    </row>
    <row r="182" spans="2:54" x14ac:dyDescent="0.25">
      <c r="B182" s="160"/>
      <c r="C182" s="106" t="e">
        <f>WEEKNUM(B182-RESUMEN!$D$7)</f>
        <v>#NUM!</v>
      </c>
      <c r="D182" s="106">
        <f>_xlfn.DAYS(B182,RESUMEN!$D$7)</f>
        <v>-43238</v>
      </c>
      <c r="E182" s="104"/>
      <c r="F182" s="154"/>
      <c r="G182" s="154"/>
      <c r="H182" s="153"/>
      <c r="I182" s="153"/>
      <c r="J182" s="25"/>
      <c r="K182" s="160"/>
      <c r="L182" s="30" t="e">
        <f>WEEKNUM(K182-RESUMEN!$P$7)</f>
        <v>#NUM!</v>
      </c>
      <c r="M182" s="32">
        <f>_xlfn.DAYS(K182,RESUMEN!$P$7)</f>
        <v>-43242</v>
      </c>
      <c r="N182" s="29"/>
      <c r="O182" s="163"/>
      <c r="P182" s="163"/>
      <c r="Q182" s="162"/>
      <c r="R182" s="153"/>
      <c r="S182" s="25"/>
      <c r="T182" s="160"/>
      <c r="U182" s="30" t="e">
        <f>WEEKNUM(T182-RESUMEN!$AB$7)</f>
        <v>#NUM!</v>
      </c>
      <c r="V182" s="30">
        <f>_xlfn.DAYS(T182,RESUMEN!$AB$7)</f>
        <v>-43247</v>
      </c>
      <c r="W182" s="29"/>
      <c r="X182" s="163"/>
      <c r="Y182" s="163"/>
      <c r="Z182" s="162"/>
      <c r="AA182" s="162"/>
      <c r="AB182" s="25"/>
      <c r="AC182" s="160"/>
      <c r="AD182" s="106" t="e">
        <f>WEEKNUM(AC182-RESUMEN!$AN$7)</f>
        <v>#NUM!</v>
      </c>
      <c r="AE182" s="106">
        <f>_xlfn.DAYS(AC182,RESUMEN!$D$7)</f>
        <v>-43238</v>
      </c>
      <c r="AF182" s="104"/>
      <c r="AG182" s="103"/>
      <c r="AH182" s="154"/>
      <c r="AI182" s="153"/>
      <c r="AJ182" s="153"/>
      <c r="AK182" s="25"/>
      <c r="AL182" s="160"/>
      <c r="AM182" s="106" t="e">
        <f>WEEKNUM(AL182-RESUMEN!$D$7)</f>
        <v>#NUM!</v>
      </c>
      <c r="AN182" s="106">
        <f>_xlfn.DAYS(AL182,RESUMEN!$D$7)</f>
        <v>-43238</v>
      </c>
      <c r="AO182" s="104"/>
      <c r="AP182" s="154"/>
      <c r="AQ182" s="154"/>
      <c r="AR182" s="153"/>
      <c r="AS182" s="153"/>
      <c r="AT182" s="25"/>
      <c r="AU182" s="160"/>
      <c r="AV182" s="106" t="e">
        <f>WEEKNUM(AU182-RESUMEN!$D$7)</f>
        <v>#NUM!</v>
      </c>
      <c r="AW182" s="106">
        <f>_xlfn.DAYS(AU182,RESUMEN!$D$7)</f>
        <v>-43238</v>
      </c>
      <c r="AX182" s="104"/>
      <c r="AY182" s="154"/>
      <c r="AZ182" s="154"/>
      <c r="BA182" s="153"/>
      <c r="BB182" s="153"/>
    </row>
    <row r="183" spans="2:54" x14ac:dyDescent="0.25">
      <c r="B183" s="160"/>
      <c r="C183" s="106" t="e">
        <f>WEEKNUM(B183-RESUMEN!$D$7)</f>
        <v>#NUM!</v>
      </c>
      <c r="D183" s="106">
        <f>_xlfn.DAYS(B183,RESUMEN!$D$7)</f>
        <v>-43238</v>
      </c>
      <c r="E183" s="104"/>
      <c r="F183" s="154"/>
      <c r="G183" s="154"/>
      <c r="H183" s="153"/>
      <c r="I183" s="153"/>
      <c r="J183" s="25"/>
      <c r="K183" s="160"/>
      <c r="L183" s="30" t="e">
        <f>WEEKNUM(K183-RESUMEN!$P$7)</f>
        <v>#NUM!</v>
      </c>
      <c r="M183" s="32">
        <f>_xlfn.DAYS(K183,RESUMEN!$P$7)</f>
        <v>-43242</v>
      </c>
      <c r="N183" s="29"/>
      <c r="O183" s="163"/>
      <c r="P183" s="163"/>
      <c r="Q183" s="162"/>
      <c r="R183" s="153"/>
      <c r="S183" s="25"/>
      <c r="T183" s="160"/>
      <c r="U183" s="30" t="e">
        <f>WEEKNUM(T183-RESUMEN!$AB$7)</f>
        <v>#NUM!</v>
      </c>
      <c r="V183" s="30">
        <f>_xlfn.DAYS(T183,RESUMEN!$AB$7)</f>
        <v>-43247</v>
      </c>
      <c r="W183" s="29"/>
      <c r="X183" s="163"/>
      <c r="Y183" s="163"/>
      <c r="Z183" s="162"/>
      <c r="AA183" s="162"/>
      <c r="AB183" s="25"/>
      <c r="AC183" s="160"/>
      <c r="AD183" s="106" t="e">
        <f>WEEKNUM(AC183-RESUMEN!$AN$7)</f>
        <v>#NUM!</v>
      </c>
      <c r="AE183" s="106">
        <f>_xlfn.DAYS(AC183,RESUMEN!$D$7)</f>
        <v>-43238</v>
      </c>
      <c r="AF183" s="104"/>
      <c r="AG183" s="103"/>
      <c r="AH183" s="154"/>
      <c r="AI183" s="153"/>
      <c r="AJ183" s="153"/>
      <c r="AK183" s="25"/>
      <c r="AL183" s="160"/>
      <c r="AM183" s="106" t="e">
        <f>WEEKNUM(AL183-RESUMEN!$D$7)</f>
        <v>#NUM!</v>
      </c>
      <c r="AN183" s="106">
        <f>_xlfn.DAYS(AL183,RESUMEN!$D$7)</f>
        <v>-43238</v>
      </c>
      <c r="AO183" s="104"/>
      <c r="AP183" s="154"/>
      <c r="AQ183" s="154"/>
      <c r="AR183" s="153"/>
      <c r="AS183" s="153"/>
      <c r="AT183" s="25"/>
      <c r="AU183" s="160"/>
      <c r="AV183" s="106" t="e">
        <f>WEEKNUM(AU183-RESUMEN!$D$7)</f>
        <v>#NUM!</v>
      </c>
      <c r="AW183" s="106">
        <f>_xlfn.DAYS(AU183,RESUMEN!$D$7)</f>
        <v>-43238</v>
      </c>
      <c r="AX183" s="104"/>
      <c r="AY183" s="154"/>
      <c r="AZ183" s="154"/>
      <c r="BA183" s="153"/>
      <c r="BB183" s="153"/>
    </row>
    <row r="184" spans="2:54" x14ac:dyDescent="0.25">
      <c r="B184" s="160"/>
      <c r="C184" s="106" t="e">
        <f>WEEKNUM(B184-RESUMEN!$D$7)</f>
        <v>#NUM!</v>
      </c>
      <c r="D184" s="106">
        <f>_xlfn.DAYS(B184,RESUMEN!$D$7)</f>
        <v>-43238</v>
      </c>
      <c r="E184" s="104"/>
      <c r="F184" s="154"/>
      <c r="G184" s="154"/>
      <c r="H184" s="153"/>
      <c r="I184" s="153"/>
      <c r="J184" s="25"/>
      <c r="K184" s="160"/>
      <c r="L184" s="30" t="e">
        <f>WEEKNUM(K184-RESUMEN!$P$7)</f>
        <v>#NUM!</v>
      </c>
      <c r="M184" s="32">
        <f>_xlfn.DAYS(K184,RESUMEN!$P$7)</f>
        <v>-43242</v>
      </c>
      <c r="N184" s="29"/>
      <c r="O184" s="163"/>
      <c r="P184" s="163"/>
      <c r="Q184" s="162"/>
      <c r="R184" s="153"/>
      <c r="S184" s="25"/>
      <c r="T184" s="160"/>
      <c r="U184" s="30" t="e">
        <f>WEEKNUM(T184-RESUMEN!$AB$7)</f>
        <v>#NUM!</v>
      </c>
      <c r="V184" s="30">
        <f>_xlfn.DAYS(T184,RESUMEN!$AB$7)</f>
        <v>-43247</v>
      </c>
      <c r="W184" s="29"/>
      <c r="X184" s="163"/>
      <c r="Y184" s="163"/>
      <c r="Z184" s="162"/>
      <c r="AA184" s="162"/>
      <c r="AB184" s="25"/>
      <c r="AC184" s="160"/>
      <c r="AD184" s="106" t="e">
        <f>WEEKNUM(AC184-RESUMEN!$AN$7)</f>
        <v>#NUM!</v>
      </c>
      <c r="AE184" s="106">
        <f>_xlfn.DAYS(AC184,RESUMEN!$D$7)</f>
        <v>-43238</v>
      </c>
      <c r="AF184" s="104"/>
      <c r="AG184" s="103"/>
      <c r="AH184" s="154"/>
      <c r="AI184" s="153"/>
      <c r="AJ184" s="153"/>
      <c r="AK184" s="25"/>
      <c r="AL184" s="160"/>
      <c r="AM184" s="106" t="e">
        <f>WEEKNUM(AL184-RESUMEN!$D$7)</f>
        <v>#NUM!</v>
      </c>
      <c r="AN184" s="106">
        <f>_xlfn.DAYS(AL184,RESUMEN!$D$7)</f>
        <v>-43238</v>
      </c>
      <c r="AO184" s="104"/>
      <c r="AP184" s="154"/>
      <c r="AQ184" s="154"/>
      <c r="AR184" s="153"/>
      <c r="AS184" s="153"/>
      <c r="AT184" s="25"/>
      <c r="AU184" s="160"/>
      <c r="AV184" s="106" t="e">
        <f>WEEKNUM(AU184-RESUMEN!$D$7)</f>
        <v>#NUM!</v>
      </c>
      <c r="AW184" s="106">
        <f>_xlfn.DAYS(AU184,RESUMEN!$D$7)</f>
        <v>-43238</v>
      </c>
      <c r="AX184" s="104"/>
      <c r="AY184" s="154"/>
      <c r="AZ184" s="154"/>
      <c r="BA184" s="153"/>
      <c r="BB184" s="153"/>
    </row>
    <row r="185" spans="2:54" x14ac:dyDescent="0.25">
      <c r="B185" s="160"/>
      <c r="C185" s="106" t="e">
        <f>WEEKNUM(B185-RESUMEN!$D$7)</f>
        <v>#NUM!</v>
      </c>
      <c r="D185" s="106">
        <f>_xlfn.DAYS(B185,RESUMEN!$D$7)</f>
        <v>-43238</v>
      </c>
      <c r="E185" s="104"/>
      <c r="F185" s="154"/>
      <c r="G185" s="154"/>
      <c r="H185" s="153"/>
      <c r="I185" s="153"/>
      <c r="J185" s="25"/>
      <c r="K185" s="160"/>
      <c r="L185" s="30" t="e">
        <f>WEEKNUM(K185-RESUMEN!$P$7)</f>
        <v>#NUM!</v>
      </c>
      <c r="M185" s="32">
        <f>_xlfn.DAYS(K185,RESUMEN!$P$7)</f>
        <v>-43242</v>
      </c>
      <c r="N185" s="29"/>
      <c r="O185" s="163"/>
      <c r="P185" s="163"/>
      <c r="Q185" s="162"/>
      <c r="R185" s="153"/>
      <c r="S185" s="25"/>
      <c r="T185" s="160"/>
      <c r="U185" s="30" t="e">
        <f>WEEKNUM(T185-RESUMEN!$AB$7)</f>
        <v>#NUM!</v>
      </c>
      <c r="V185" s="30">
        <f>_xlfn.DAYS(T185,RESUMEN!$AB$7)</f>
        <v>-43247</v>
      </c>
      <c r="W185" s="29"/>
      <c r="X185" s="163"/>
      <c r="Y185" s="163"/>
      <c r="Z185" s="162"/>
      <c r="AA185" s="162"/>
      <c r="AB185" s="25"/>
      <c r="AC185" s="160"/>
      <c r="AD185" s="106" t="e">
        <f>WEEKNUM(AC185-RESUMEN!$AN$7)</f>
        <v>#NUM!</v>
      </c>
      <c r="AE185" s="106">
        <f>_xlfn.DAYS(AC185,RESUMEN!$D$7)</f>
        <v>-43238</v>
      </c>
      <c r="AF185" s="104"/>
      <c r="AG185" s="103"/>
      <c r="AH185" s="154"/>
      <c r="AI185" s="153"/>
      <c r="AJ185" s="153"/>
      <c r="AK185" s="25"/>
      <c r="AL185" s="160"/>
      <c r="AM185" s="106" t="e">
        <f>WEEKNUM(AL185-RESUMEN!$D$7)</f>
        <v>#NUM!</v>
      </c>
      <c r="AN185" s="106">
        <f>_xlfn.DAYS(AL185,RESUMEN!$D$7)</f>
        <v>-43238</v>
      </c>
      <c r="AO185" s="104"/>
      <c r="AP185" s="154"/>
      <c r="AQ185" s="154"/>
      <c r="AR185" s="153"/>
      <c r="AS185" s="153"/>
      <c r="AT185" s="25"/>
      <c r="AU185" s="160"/>
      <c r="AV185" s="106" t="e">
        <f>WEEKNUM(AU185-RESUMEN!$D$7)</f>
        <v>#NUM!</v>
      </c>
      <c r="AW185" s="106">
        <f>_xlfn.DAYS(AU185,RESUMEN!$D$7)</f>
        <v>-43238</v>
      </c>
      <c r="AX185" s="104"/>
      <c r="AY185" s="154"/>
      <c r="AZ185" s="154"/>
      <c r="BA185" s="153"/>
      <c r="BB185" s="153"/>
    </row>
    <row r="186" spans="2:54" x14ac:dyDescent="0.25">
      <c r="B186" s="160"/>
      <c r="C186" s="106" t="e">
        <f>WEEKNUM(B186-RESUMEN!$D$7)</f>
        <v>#NUM!</v>
      </c>
      <c r="D186" s="106">
        <f>_xlfn.DAYS(B186,RESUMEN!$D$7)</f>
        <v>-43238</v>
      </c>
      <c r="E186" s="104"/>
      <c r="F186" s="154"/>
      <c r="G186" s="154"/>
      <c r="H186" s="153"/>
      <c r="I186" s="153"/>
      <c r="J186" s="25"/>
      <c r="K186" s="160"/>
      <c r="L186" s="30" t="e">
        <f>WEEKNUM(K186-RESUMEN!$P$7)</f>
        <v>#NUM!</v>
      </c>
      <c r="M186" s="32">
        <f>_xlfn.DAYS(K186,RESUMEN!$P$7)</f>
        <v>-43242</v>
      </c>
      <c r="N186" s="29"/>
      <c r="O186" s="163"/>
      <c r="P186" s="163"/>
      <c r="Q186" s="162"/>
      <c r="R186" s="153"/>
      <c r="S186" s="25"/>
      <c r="T186" s="160"/>
      <c r="U186" s="30" t="e">
        <f>WEEKNUM(T186-RESUMEN!$AB$7)</f>
        <v>#NUM!</v>
      </c>
      <c r="V186" s="30">
        <f>_xlfn.DAYS(T186,RESUMEN!$AB$7)</f>
        <v>-43247</v>
      </c>
      <c r="W186" s="29"/>
      <c r="X186" s="163"/>
      <c r="Y186" s="163"/>
      <c r="Z186" s="162"/>
      <c r="AA186" s="162"/>
      <c r="AB186" s="25"/>
      <c r="AC186" s="160"/>
      <c r="AD186" s="106" t="e">
        <f>WEEKNUM(AC186-RESUMEN!$AN$7)</f>
        <v>#NUM!</v>
      </c>
      <c r="AE186" s="106">
        <f>_xlfn.DAYS(AC186,RESUMEN!$D$7)</f>
        <v>-43238</v>
      </c>
      <c r="AF186" s="104"/>
      <c r="AG186" s="103"/>
      <c r="AH186" s="154"/>
      <c r="AI186" s="153"/>
      <c r="AJ186" s="153"/>
      <c r="AK186" s="25"/>
      <c r="AL186" s="160"/>
      <c r="AM186" s="106" t="e">
        <f>WEEKNUM(AL186-RESUMEN!$D$7)</f>
        <v>#NUM!</v>
      </c>
      <c r="AN186" s="106">
        <f>_xlfn.DAYS(AL186,RESUMEN!$D$7)</f>
        <v>-43238</v>
      </c>
      <c r="AO186" s="104"/>
      <c r="AP186" s="154"/>
      <c r="AQ186" s="154"/>
      <c r="AR186" s="153"/>
      <c r="AS186" s="153"/>
      <c r="AT186" s="25"/>
      <c r="AU186" s="160"/>
      <c r="AV186" s="106" t="e">
        <f>WEEKNUM(AU186-RESUMEN!$D$7)</f>
        <v>#NUM!</v>
      </c>
      <c r="AW186" s="106">
        <f>_xlfn.DAYS(AU186,RESUMEN!$D$7)</f>
        <v>-43238</v>
      </c>
      <c r="AX186" s="104"/>
      <c r="AY186" s="154"/>
      <c r="AZ186" s="154"/>
      <c r="BA186" s="153"/>
      <c r="BB186" s="153"/>
    </row>
    <row r="187" spans="2:54" x14ac:dyDescent="0.25">
      <c r="B187" s="160"/>
      <c r="C187" s="106" t="e">
        <f>WEEKNUM(B187-RESUMEN!$D$7)</f>
        <v>#NUM!</v>
      </c>
      <c r="D187" s="106">
        <f>_xlfn.DAYS(B187,RESUMEN!$D$7)</f>
        <v>-43238</v>
      </c>
      <c r="E187" s="104"/>
      <c r="F187" s="154"/>
      <c r="G187" s="154"/>
      <c r="H187" s="153"/>
      <c r="I187" s="153"/>
      <c r="J187" s="25"/>
      <c r="K187" s="160"/>
      <c r="L187" s="30" t="e">
        <f>WEEKNUM(K187-RESUMEN!$P$7)</f>
        <v>#NUM!</v>
      </c>
      <c r="M187" s="32">
        <f>_xlfn.DAYS(K187,RESUMEN!$P$7)</f>
        <v>-43242</v>
      </c>
      <c r="N187" s="29"/>
      <c r="O187" s="163"/>
      <c r="P187" s="163"/>
      <c r="Q187" s="162"/>
      <c r="R187" s="153"/>
      <c r="S187" s="25"/>
      <c r="T187" s="160"/>
      <c r="U187" s="30" t="e">
        <f>WEEKNUM(T187-RESUMEN!$AB$7)</f>
        <v>#NUM!</v>
      </c>
      <c r="V187" s="30">
        <f>_xlfn.DAYS(T187,RESUMEN!$AB$7)</f>
        <v>-43247</v>
      </c>
      <c r="W187" s="29"/>
      <c r="X187" s="163"/>
      <c r="Y187" s="163"/>
      <c r="Z187" s="162"/>
      <c r="AA187" s="162"/>
      <c r="AB187" s="25"/>
      <c r="AC187" s="160"/>
      <c r="AD187" s="106" t="e">
        <f>WEEKNUM(AC187-RESUMEN!$AN$7)</f>
        <v>#NUM!</v>
      </c>
      <c r="AE187" s="106">
        <f>_xlfn.DAYS(AC187,RESUMEN!$D$7)</f>
        <v>-43238</v>
      </c>
      <c r="AF187" s="104"/>
      <c r="AG187" s="103"/>
      <c r="AH187" s="154"/>
      <c r="AI187" s="153"/>
      <c r="AJ187" s="153"/>
      <c r="AK187" s="25"/>
      <c r="AL187" s="160"/>
      <c r="AM187" s="106" t="e">
        <f>WEEKNUM(AL187-RESUMEN!$D$7)</f>
        <v>#NUM!</v>
      </c>
      <c r="AN187" s="106">
        <f>_xlfn.DAYS(AL187,RESUMEN!$D$7)</f>
        <v>-43238</v>
      </c>
      <c r="AO187" s="104"/>
      <c r="AP187" s="154"/>
      <c r="AQ187" s="154"/>
      <c r="AR187" s="153"/>
      <c r="AS187" s="153"/>
      <c r="AT187" s="25"/>
      <c r="AU187" s="160"/>
      <c r="AV187" s="106" t="e">
        <f>WEEKNUM(AU187-RESUMEN!$D$7)</f>
        <v>#NUM!</v>
      </c>
      <c r="AW187" s="106">
        <f>_xlfn.DAYS(AU187,RESUMEN!$D$7)</f>
        <v>-43238</v>
      </c>
      <c r="AX187" s="104"/>
      <c r="AY187" s="154"/>
      <c r="AZ187" s="154"/>
      <c r="BA187" s="153"/>
      <c r="BB187" s="153"/>
    </row>
    <row r="188" spans="2:54" x14ac:dyDescent="0.25">
      <c r="B188" s="160"/>
      <c r="C188" s="106" t="e">
        <f>WEEKNUM(B188-RESUMEN!$D$7)</f>
        <v>#NUM!</v>
      </c>
      <c r="D188" s="106">
        <f>_xlfn.DAYS(B188,RESUMEN!$D$7)</f>
        <v>-43238</v>
      </c>
      <c r="E188" s="104"/>
      <c r="F188" s="154"/>
      <c r="G188" s="154"/>
      <c r="H188" s="153"/>
      <c r="I188" s="153"/>
      <c r="J188" s="25"/>
      <c r="K188" s="160"/>
      <c r="L188" s="30" t="e">
        <f>WEEKNUM(K188-RESUMEN!$P$7)</f>
        <v>#NUM!</v>
      </c>
      <c r="M188" s="32">
        <f>_xlfn.DAYS(K188,RESUMEN!$P$7)</f>
        <v>-43242</v>
      </c>
      <c r="N188" s="29"/>
      <c r="O188" s="163"/>
      <c r="P188" s="163"/>
      <c r="Q188" s="162"/>
      <c r="R188" s="153"/>
      <c r="S188" s="25"/>
      <c r="T188" s="160"/>
      <c r="U188" s="30" t="e">
        <f>WEEKNUM(T188-RESUMEN!$AB$7)</f>
        <v>#NUM!</v>
      </c>
      <c r="V188" s="30">
        <f>_xlfn.DAYS(T188,RESUMEN!$AB$7)</f>
        <v>-43247</v>
      </c>
      <c r="W188" s="29"/>
      <c r="X188" s="163"/>
      <c r="Y188" s="163"/>
      <c r="Z188" s="162"/>
      <c r="AA188" s="162"/>
      <c r="AB188" s="25"/>
      <c r="AC188" s="160"/>
      <c r="AD188" s="106" t="e">
        <f>WEEKNUM(AC188-RESUMEN!$AN$7)</f>
        <v>#NUM!</v>
      </c>
      <c r="AE188" s="106">
        <f>_xlfn.DAYS(AC188,RESUMEN!$D$7)</f>
        <v>-43238</v>
      </c>
      <c r="AF188" s="104"/>
      <c r="AG188" s="103"/>
      <c r="AH188" s="154"/>
      <c r="AI188" s="153"/>
      <c r="AJ188" s="153"/>
      <c r="AK188" s="25"/>
      <c r="AL188" s="160"/>
      <c r="AM188" s="106" t="e">
        <f>WEEKNUM(AL188-RESUMEN!$D$7)</f>
        <v>#NUM!</v>
      </c>
      <c r="AN188" s="106">
        <f>_xlfn.DAYS(AL188,RESUMEN!$D$7)</f>
        <v>-43238</v>
      </c>
      <c r="AO188" s="104"/>
      <c r="AP188" s="154"/>
      <c r="AQ188" s="154"/>
      <c r="AR188" s="153"/>
      <c r="AS188" s="153"/>
      <c r="AT188" s="25"/>
      <c r="AU188" s="160"/>
      <c r="AV188" s="106" t="e">
        <f>WEEKNUM(AU188-RESUMEN!$D$7)</f>
        <v>#NUM!</v>
      </c>
      <c r="AW188" s="106">
        <f>_xlfn.DAYS(AU188,RESUMEN!$D$7)</f>
        <v>-43238</v>
      </c>
      <c r="AX188" s="104"/>
      <c r="AY188" s="154"/>
      <c r="AZ188" s="154"/>
      <c r="BA188" s="153"/>
      <c r="BB188" s="153"/>
    </row>
    <row r="189" spans="2:54" x14ac:dyDescent="0.25">
      <c r="B189" s="160"/>
      <c r="C189" s="106" t="e">
        <f>WEEKNUM(B189-RESUMEN!$D$7)</f>
        <v>#NUM!</v>
      </c>
      <c r="D189" s="106">
        <f>_xlfn.DAYS(B189,RESUMEN!$D$7)</f>
        <v>-43238</v>
      </c>
      <c r="E189" s="104"/>
      <c r="F189" s="154"/>
      <c r="G189" s="154"/>
      <c r="H189" s="153"/>
      <c r="I189" s="153"/>
      <c r="J189" s="25"/>
      <c r="K189" s="160"/>
      <c r="L189" s="30" t="e">
        <f>WEEKNUM(K189-RESUMEN!$P$7)</f>
        <v>#NUM!</v>
      </c>
      <c r="M189" s="32">
        <f>_xlfn.DAYS(K189,RESUMEN!$P$7)</f>
        <v>-43242</v>
      </c>
      <c r="N189" s="29"/>
      <c r="O189" s="163"/>
      <c r="P189" s="163"/>
      <c r="Q189" s="162"/>
      <c r="R189" s="153"/>
      <c r="S189" s="25"/>
      <c r="T189" s="160"/>
      <c r="U189" s="30" t="e">
        <f>WEEKNUM(T189-RESUMEN!$AB$7)</f>
        <v>#NUM!</v>
      </c>
      <c r="V189" s="30">
        <f>_xlfn.DAYS(T189,RESUMEN!$AB$7)</f>
        <v>-43247</v>
      </c>
      <c r="W189" s="29"/>
      <c r="X189" s="163"/>
      <c r="Y189" s="163"/>
      <c r="Z189" s="162"/>
      <c r="AA189" s="162"/>
      <c r="AB189" s="25"/>
      <c r="AC189" s="160"/>
      <c r="AD189" s="106" t="e">
        <f>WEEKNUM(AC189-RESUMEN!$AN$7)</f>
        <v>#NUM!</v>
      </c>
      <c r="AE189" s="106">
        <f>_xlfn.DAYS(AC189,RESUMEN!$D$7)</f>
        <v>-43238</v>
      </c>
      <c r="AF189" s="104"/>
      <c r="AG189" s="103"/>
      <c r="AH189" s="154"/>
      <c r="AI189" s="153"/>
      <c r="AJ189" s="153"/>
      <c r="AK189" s="25"/>
      <c r="AL189" s="160"/>
      <c r="AM189" s="106" t="e">
        <f>WEEKNUM(AL189-RESUMEN!$D$7)</f>
        <v>#NUM!</v>
      </c>
      <c r="AN189" s="106">
        <f>_xlfn.DAYS(AL189,RESUMEN!$D$7)</f>
        <v>-43238</v>
      </c>
      <c r="AO189" s="104"/>
      <c r="AP189" s="154"/>
      <c r="AQ189" s="154"/>
      <c r="AR189" s="153"/>
      <c r="AS189" s="153"/>
      <c r="AT189" s="25"/>
      <c r="AU189" s="160"/>
      <c r="AV189" s="106" t="e">
        <f>WEEKNUM(AU189-RESUMEN!$D$7)</f>
        <v>#NUM!</v>
      </c>
      <c r="AW189" s="106">
        <f>_xlfn.DAYS(AU189,RESUMEN!$D$7)</f>
        <v>-43238</v>
      </c>
      <c r="AX189" s="104"/>
      <c r="AY189" s="154"/>
      <c r="AZ189" s="154"/>
      <c r="BA189" s="153"/>
      <c r="BB189" s="153"/>
    </row>
    <row r="190" spans="2:54" x14ac:dyDescent="0.25">
      <c r="B190" s="160"/>
      <c r="C190" s="106" t="e">
        <f>WEEKNUM(B190-RESUMEN!$D$7)</f>
        <v>#NUM!</v>
      </c>
      <c r="D190" s="106">
        <f>_xlfn.DAYS(B190,RESUMEN!$D$7)</f>
        <v>-43238</v>
      </c>
      <c r="E190" s="104"/>
      <c r="F190" s="154"/>
      <c r="G190" s="154"/>
      <c r="H190" s="153"/>
      <c r="I190" s="153"/>
      <c r="J190" s="25"/>
      <c r="K190" s="160"/>
      <c r="L190" s="30" t="e">
        <f>WEEKNUM(K190-RESUMEN!$P$7)</f>
        <v>#NUM!</v>
      </c>
      <c r="M190" s="32">
        <f>_xlfn.DAYS(K190,RESUMEN!$P$7)</f>
        <v>-43242</v>
      </c>
      <c r="N190" s="29"/>
      <c r="O190" s="163"/>
      <c r="P190" s="163"/>
      <c r="Q190" s="162"/>
      <c r="R190" s="153"/>
      <c r="S190" s="25"/>
      <c r="T190" s="160"/>
      <c r="U190" s="30" t="e">
        <f>WEEKNUM(T190-RESUMEN!$AB$7)</f>
        <v>#NUM!</v>
      </c>
      <c r="V190" s="30">
        <f>_xlfn.DAYS(T190,RESUMEN!$AB$7)</f>
        <v>-43247</v>
      </c>
      <c r="W190" s="29"/>
      <c r="X190" s="163"/>
      <c r="Y190" s="163"/>
      <c r="Z190" s="162"/>
      <c r="AA190" s="162"/>
      <c r="AB190" s="25"/>
      <c r="AC190" s="160"/>
      <c r="AD190" s="106" t="e">
        <f>WEEKNUM(AC190-RESUMEN!$AN$7)</f>
        <v>#NUM!</v>
      </c>
      <c r="AE190" s="106">
        <f>_xlfn.DAYS(AC190,RESUMEN!$D$7)</f>
        <v>-43238</v>
      </c>
      <c r="AF190" s="104"/>
      <c r="AG190" s="103"/>
      <c r="AH190" s="154"/>
      <c r="AI190" s="153"/>
      <c r="AJ190" s="153"/>
      <c r="AK190" s="25"/>
      <c r="AL190" s="160"/>
      <c r="AM190" s="106" t="e">
        <f>WEEKNUM(AL190-RESUMEN!$D$7)</f>
        <v>#NUM!</v>
      </c>
      <c r="AN190" s="106">
        <f>_xlfn.DAYS(AL190,RESUMEN!$D$7)</f>
        <v>-43238</v>
      </c>
      <c r="AO190" s="104"/>
      <c r="AP190" s="154"/>
      <c r="AQ190" s="154"/>
      <c r="AR190" s="153"/>
      <c r="AS190" s="153"/>
      <c r="AT190" s="25"/>
      <c r="AU190" s="160"/>
      <c r="AV190" s="106" t="e">
        <f>WEEKNUM(AU190-RESUMEN!$D$7)</f>
        <v>#NUM!</v>
      </c>
      <c r="AW190" s="106">
        <f>_xlfn.DAYS(AU190,RESUMEN!$D$7)</f>
        <v>-43238</v>
      </c>
      <c r="AX190" s="104"/>
      <c r="AY190" s="154"/>
      <c r="AZ190" s="154"/>
      <c r="BA190" s="153"/>
      <c r="BB190" s="153"/>
    </row>
    <row r="191" spans="2:54" x14ac:dyDescent="0.25">
      <c r="B191" s="160"/>
      <c r="C191" s="106" t="e">
        <f>WEEKNUM(B191-RESUMEN!$D$7)</f>
        <v>#NUM!</v>
      </c>
      <c r="D191" s="106">
        <f>_xlfn.DAYS(B191,RESUMEN!$D$7)</f>
        <v>-43238</v>
      </c>
      <c r="E191" s="104"/>
      <c r="F191" s="154"/>
      <c r="G191" s="154"/>
      <c r="H191" s="153"/>
      <c r="I191" s="153"/>
      <c r="J191" s="25"/>
      <c r="K191" s="160"/>
      <c r="L191" s="30" t="e">
        <f>WEEKNUM(K191-RESUMEN!$P$7)</f>
        <v>#NUM!</v>
      </c>
      <c r="M191" s="32">
        <f>_xlfn.DAYS(K191,RESUMEN!$P$7)</f>
        <v>-43242</v>
      </c>
      <c r="N191" s="29"/>
      <c r="O191" s="163"/>
      <c r="P191" s="163"/>
      <c r="Q191" s="162"/>
      <c r="R191" s="153"/>
      <c r="S191" s="25"/>
      <c r="T191" s="160"/>
      <c r="U191" s="30" t="e">
        <f>WEEKNUM(T191-RESUMEN!$AB$7)</f>
        <v>#NUM!</v>
      </c>
      <c r="V191" s="30">
        <f>_xlfn.DAYS(T191,RESUMEN!$AB$7)</f>
        <v>-43247</v>
      </c>
      <c r="W191" s="29"/>
      <c r="X191" s="163"/>
      <c r="Y191" s="163"/>
      <c r="Z191" s="162"/>
      <c r="AA191" s="162"/>
      <c r="AB191" s="25"/>
      <c r="AC191" s="160"/>
      <c r="AD191" s="106" t="e">
        <f>WEEKNUM(AC191-RESUMEN!$AN$7)</f>
        <v>#NUM!</v>
      </c>
      <c r="AE191" s="106">
        <f>_xlfn.DAYS(AC191,RESUMEN!$D$7)</f>
        <v>-43238</v>
      </c>
      <c r="AF191" s="104"/>
      <c r="AG191" s="103"/>
      <c r="AH191" s="154"/>
      <c r="AI191" s="153"/>
      <c r="AJ191" s="153"/>
      <c r="AK191" s="25"/>
      <c r="AL191" s="160"/>
      <c r="AM191" s="106" t="e">
        <f>WEEKNUM(AL191-RESUMEN!$D$7)</f>
        <v>#NUM!</v>
      </c>
      <c r="AN191" s="106">
        <f>_xlfn.DAYS(AL191,RESUMEN!$D$7)</f>
        <v>-43238</v>
      </c>
      <c r="AO191" s="104"/>
      <c r="AP191" s="154"/>
      <c r="AQ191" s="154"/>
      <c r="AR191" s="153"/>
      <c r="AS191" s="153"/>
      <c r="AT191" s="25"/>
      <c r="AU191" s="160"/>
      <c r="AV191" s="106" t="e">
        <f>WEEKNUM(AU191-RESUMEN!$D$7)</f>
        <v>#NUM!</v>
      </c>
      <c r="AW191" s="106">
        <f>_xlfn.DAYS(AU191,RESUMEN!$D$7)</f>
        <v>-43238</v>
      </c>
      <c r="AX191" s="104"/>
      <c r="AY191" s="154"/>
      <c r="AZ191" s="154"/>
      <c r="BA191" s="153"/>
      <c r="BB191" s="153"/>
    </row>
    <row r="192" spans="2:54" x14ac:dyDescent="0.25">
      <c r="B192" s="160"/>
      <c r="C192" s="106" t="e">
        <f>WEEKNUM(B192-RESUMEN!$D$7)</f>
        <v>#NUM!</v>
      </c>
      <c r="D192" s="106">
        <f>_xlfn.DAYS(B192,RESUMEN!$D$7)</f>
        <v>-43238</v>
      </c>
      <c r="E192" s="104"/>
      <c r="F192" s="154"/>
      <c r="G192" s="154"/>
      <c r="H192" s="153"/>
      <c r="I192" s="153"/>
      <c r="J192" s="25"/>
      <c r="K192" s="160"/>
      <c r="L192" s="30" t="e">
        <f>WEEKNUM(K192-RESUMEN!$P$7)</f>
        <v>#NUM!</v>
      </c>
      <c r="M192" s="32">
        <f>_xlfn.DAYS(K192,RESUMEN!$P$7)</f>
        <v>-43242</v>
      </c>
      <c r="N192" s="29"/>
      <c r="O192" s="163"/>
      <c r="P192" s="163"/>
      <c r="Q192" s="162"/>
      <c r="R192" s="153"/>
      <c r="S192" s="25"/>
      <c r="T192" s="160"/>
      <c r="U192" s="30" t="e">
        <f>WEEKNUM(T192-RESUMEN!$AB$7)</f>
        <v>#NUM!</v>
      </c>
      <c r="V192" s="30">
        <f>_xlfn.DAYS(T192,RESUMEN!$AB$7)</f>
        <v>-43247</v>
      </c>
      <c r="W192" s="29"/>
      <c r="X192" s="163"/>
      <c r="Y192" s="163"/>
      <c r="Z192" s="162"/>
      <c r="AA192" s="162"/>
      <c r="AB192" s="25"/>
      <c r="AC192" s="160"/>
      <c r="AD192" s="106" t="e">
        <f>WEEKNUM(AC192-RESUMEN!$AN$7)</f>
        <v>#NUM!</v>
      </c>
      <c r="AE192" s="106">
        <f>_xlfn.DAYS(AC192,RESUMEN!$D$7)</f>
        <v>-43238</v>
      </c>
      <c r="AF192" s="104"/>
      <c r="AG192" s="103"/>
      <c r="AH192" s="154"/>
      <c r="AI192" s="153"/>
      <c r="AJ192" s="153"/>
      <c r="AK192" s="25"/>
      <c r="AL192" s="160"/>
      <c r="AM192" s="106" t="e">
        <f>WEEKNUM(AL192-RESUMEN!$D$7)</f>
        <v>#NUM!</v>
      </c>
      <c r="AN192" s="106">
        <f>_xlfn.DAYS(AL192,RESUMEN!$D$7)</f>
        <v>-43238</v>
      </c>
      <c r="AO192" s="104"/>
      <c r="AP192" s="154"/>
      <c r="AQ192" s="154"/>
      <c r="AR192" s="153"/>
      <c r="AS192" s="153"/>
      <c r="AT192" s="25"/>
      <c r="AU192" s="160"/>
      <c r="AV192" s="106" t="e">
        <f>WEEKNUM(AU192-RESUMEN!$D$7)</f>
        <v>#NUM!</v>
      </c>
      <c r="AW192" s="106">
        <f>_xlfn.DAYS(AU192,RESUMEN!$D$7)</f>
        <v>-43238</v>
      </c>
      <c r="AX192" s="104"/>
      <c r="AY192" s="154"/>
      <c r="AZ192" s="154"/>
      <c r="BA192" s="153"/>
      <c r="BB192" s="153"/>
    </row>
    <row r="193" spans="2:54" x14ac:dyDescent="0.25">
      <c r="B193" s="160"/>
      <c r="C193" s="106" t="e">
        <f>WEEKNUM(B193-RESUMEN!$D$7)</f>
        <v>#NUM!</v>
      </c>
      <c r="D193" s="106">
        <f>_xlfn.DAYS(B193,RESUMEN!$D$7)</f>
        <v>-43238</v>
      </c>
      <c r="E193" s="104"/>
      <c r="F193" s="154"/>
      <c r="G193" s="154"/>
      <c r="H193" s="153"/>
      <c r="I193" s="153"/>
      <c r="J193" s="25"/>
      <c r="K193" s="160"/>
      <c r="L193" s="30" t="e">
        <f>WEEKNUM(K193-RESUMEN!$P$7)</f>
        <v>#NUM!</v>
      </c>
      <c r="M193" s="32">
        <f>_xlfn.DAYS(K193,RESUMEN!$P$7)</f>
        <v>-43242</v>
      </c>
      <c r="N193" s="29"/>
      <c r="O193" s="163"/>
      <c r="P193" s="163"/>
      <c r="Q193" s="162"/>
      <c r="R193" s="153"/>
      <c r="S193" s="25"/>
      <c r="T193" s="160"/>
      <c r="U193" s="30" t="e">
        <f>WEEKNUM(T193-RESUMEN!$AB$7)</f>
        <v>#NUM!</v>
      </c>
      <c r="V193" s="30">
        <f>_xlfn.DAYS(T193,RESUMEN!$AB$7)</f>
        <v>-43247</v>
      </c>
      <c r="W193" s="29"/>
      <c r="X193" s="163"/>
      <c r="Y193" s="163"/>
      <c r="Z193" s="162"/>
      <c r="AA193" s="162"/>
      <c r="AB193" s="25"/>
      <c r="AC193" s="160"/>
      <c r="AD193" s="106" t="e">
        <f>WEEKNUM(AC193-RESUMEN!$AN$7)</f>
        <v>#NUM!</v>
      </c>
      <c r="AE193" s="106">
        <f>_xlfn.DAYS(AC193,RESUMEN!$D$7)</f>
        <v>-43238</v>
      </c>
      <c r="AF193" s="104"/>
      <c r="AG193" s="103"/>
      <c r="AH193" s="154"/>
      <c r="AI193" s="153"/>
      <c r="AJ193" s="153"/>
      <c r="AK193" s="25"/>
      <c r="AL193" s="160"/>
      <c r="AM193" s="106" t="e">
        <f>WEEKNUM(AL193-RESUMEN!$D$7)</f>
        <v>#NUM!</v>
      </c>
      <c r="AN193" s="106">
        <f>_xlfn.DAYS(AL193,RESUMEN!$D$7)</f>
        <v>-43238</v>
      </c>
      <c r="AO193" s="104"/>
      <c r="AP193" s="154"/>
      <c r="AQ193" s="154"/>
      <c r="AR193" s="153"/>
      <c r="AS193" s="153"/>
      <c r="AT193" s="25"/>
      <c r="AU193" s="160"/>
      <c r="AV193" s="106" t="e">
        <f>WEEKNUM(AU193-RESUMEN!$D$7)</f>
        <v>#NUM!</v>
      </c>
      <c r="AW193" s="106">
        <f>_xlfn.DAYS(AU193,RESUMEN!$D$7)</f>
        <v>-43238</v>
      </c>
      <c r="AX193" s="104"/>
      <c r="AY193" s="154"/>
      <c r="AZ193" s="154"/>
      <c r="BA193" s="153"/>
      <c r="BB193" s="153"/>
    </row>
    <row r="194" spans="2:54" x14ac:dyDescent="0.25">
      <c r="B194" s="160"/>
      <c r="C194" s="106" t="e">
        <f>WEEKNUM(B194-RESUMEN!$D$7)</f>
        <v>#NUM!</v>
      </c>
      <c r="D194" s="106">
        <f>_xlfn.DAYS(B194,RESUMEN!$D$7)</f>
        <v>-43238</v>
      </c>
      <c r="E194" s="104"/>
      <c r="F194" s="154"/>
      <c r="G194" s="154"/>
      <c r="H194" s="153"/>
      <c r="I194" s="153"/>
      <c r="J194" s="25"/>
      <c r="K194" s="160"/>
      <c r="L194" s="30" t="e">
        <f>WEEKNUM(K194-RESUMEN!$P$7)</f>
        <v>#NUM!</v>
      </c>
      <c r="M194" s="32">
        <f>_xlfn.DAYS(K194,RESUMEN!$P$7)</f>
        <v>-43242</v>
      </c>
      <c r="N194" s="29"/>
      <c r="O194" s="163"/>
      <c r="P194" s="163"/>
      <c r="Q194" s="162"/>
      <c r="R194" s="153"/>
      <c r="S194" s="25"/>
      <c r="T194" s="160"/>
      <c r="U194" s="30" t="e">
        <f>WEEKNUM(T194-RESUMEN!$AB$7)</f>
        <v>#NUM!</v>
      </c>
      <c r="V194" s="30">
        <f>_xlfn.DAYS(T194,RESUMEN!$AB$7)</f>
        <v>-43247</v>
      </c>
      <c r="W194" s="29"/>
      <c r="X194" s="163"/>
      <c r="Y194" s="163"/>
      <c r="Z194" s="162"/>
      <c r="AA194" s="162"/>
      <c r="AB194" s="25"/>
      <c r="AC194" s="160"/>
      <c r="AD194" s="106" t="e">
        <f>WEEKNUM(AC194-RESUMEN!$AN$7)</f>
        <v>#NUM!</v>
      </c>
      <c r="AE194" s="106">
        <f>_xlfn.DAYS(AC194,RESUMEN!$D$7)</f>
        <v>-43238</v>
      </c>
      <c r="AF194" s="104"/>
      <c r="AG194" s="103"/>
      <c r="AH194" s="154"/>
      <c r="AI194" s="153"/>
      <c r="AJ194" s="153"/>
      <c r="AK194" s="25"/>
      <c r="AL194" s="160"/>
      <c r="AM194" s="106" t="e">
        <f>WEEKNUM(AL194-RESUMEN!$D$7)</f>
        <v>#NUM!</v>
      </c>
      <c r="AN194" s="106">
        <f>_xlfn.DAYS(AL194,RESUMEN!$D$7)</f>
        <v>-43238</v>
      </c>
      <c r="AO194" s="104"/>
      <c r="AP194" s="154"/>
      <c r="AQ194" s="154"/>
      <c r="AR194" s="153"/>
      <c r="AS194" s="153"/>
      <c r="AT194" s="25"/>
      <c r="AU194" s="160"/>
      <c r="AV194" s="106" t="e">
        <f>WEEKNUM(AU194-RESUMEN!$D$7)</f>
        <v>#NUM!</v>
      </c>
      <c r="AW194" s="106">
        <f>_xlfn.DAYS(AU194,RESUMEN!$D$7)</f>
        <v>-43238</v>
      </c>
      <c r="AX194" s="104"/>
      <c r="AY194" s="154"/>
      <c r="AZ194" s="154"/>
      <c r="BA194" s="153"/>
      <c r="BB194" s="153"/>
    </row>
    <row r="195" spans="2:54" x14ac:dyDescent="0.25">
      <c r="B195" s="160"/>
      <c r="C195" s="106" t="e">
        <f>WEEKNUM(B195-RESUMEN!$D$7)</f>
        <v>#NUM!</v>
      </c>
      <c r="D195" s="106">
        <f>_xlfn.DAYS(B195,RESUMEN!$D$7)</f>
        <v>-43238</v>
      </c>
      <c r="E195" s="104"/>
      <c r="F195" s="154"/>
      <c r="G195" s="154"/>
      <c r="H195" s="153"/>
      <c r="I195" s="153"/>
      <c r="J195" s="25"/>
      <c r="K195" s="160"/>
      <c r="L195" s="30" t="e">
        <f>WEEKNUM(K195-RESUMEN!$P$7)</f>
        <v>#NUM!</v>
      </c>
      <c r="M195" s="32">
        <f>_xlfn.DAYS(K195,RESUMEN!$P$7)</f>
        <v>-43242</v>
      </c>
      <c r="N195" s="29"/>
      <c r="O195" s="163"/>
      <c r="P195" s="163"/>
      <c r="Q195" s="162"/>
      <c r="R195" s="153"/>
      <c r="S195" s="25"/>
      <c r="T195" s="160"/>
      <c r="U195" s="30" t="e">
        <f>WEEKNUM(T195-RESUMEN!$AB$7)</f>
        <v>#NUM!</v>
      </c>
      <c r="V195" s="30">
        <f>_xlfn.DAYS(T195,RESUMEN!$AB$7)</f>
        <v>-43247</v>
      </c>
      <c r="W195" s="29"/>
      <c r="X195" s="163"/>
      <c r="Y195" s="163"/>
      <c r="Z195" s="162"/>
      <c r="AA195" s="162"/>
      <c r="AB195" s="25"/>
      <c r="AC195" s="160"/>
      <c r="AD195" s="106" t="e">
        <f>WEEKNUM(AC195-RESUMEN!$AN$7)</f>
        <v>#NUM!</v>
      </c>
      <c r="AE195" s="106">
        <f>_xlfn.DAYS(AC195,RESUMEN!$D$7)</f>
        <v>-43238</v>
      </c>
      <c r="AF195" s="104"/>
      <c r="AG195" s="103"/>
      <c r="AH195" s="154"/>
      <c r="AI195" s="153"/>
      <c r="AJ195" s="153"/>
      <c r="AK195" s="25"/>
      <c r="AL195" s="160"/>
      <c r="AM195" s="106" t="e">
        <f>WEEKNUM(AL195-RESUMEN!$D$7)</f>
        <v>#NUM!</v>
      </c>
      <c r="AN195" s="106">
        <f>_xlfn.DAYS(AL195,RESUMEN!$D$7)</f>
        <v>-43238</v>
      </c>
      <c r="AO195" s="104"/>
      <c r="AP195" s="154"/>
      <c r="AQ195" s="154"/>
      <c r="AR195" s="153"/>
      <c r="AS195" s="153"/>
      <c r="AT195" s="25"/>
      <c r="AU195" s="160"/>
      <c r="AV195" s="106" t="e">
        <f>WEEKNUM(AU195-RESUMEN!$D$7)</f>
        <v>#NUM!</v>
      </c>
      <c r="AW195" s="106">
        <f>_xlfn.DAYS(AU195,RESUMEN!$D$7)</f>
        <v>-43238</v>
      </c>
      <c r="AX195" s="104"/>
      <c r="AY195" s="154"/>
      <c r="AZ195" s="154"/>
      <c r="BA195" s="153"/>
      <c r="BB195" s="153"/>
    </row>
    <row r="196" spans="2:54" x14ac:dyDescent="0.25">
      <c r="B196" s="160"/>
      <c r="C196" s="106" t="e">
        <f>WEEKNUM(B196-RESUMEN!$D$7)</f>
        <v>#NUM!</v>
      </c>
      <c r="D196" s="106">
        <f>_xlfn.DAYS(B196,RESUMEN!$D$7)</f>
        <v>-43238</v>
      </c>
      <c r="E196" s="104"/>
      <c r="F196" s="154"/>
      <c r="G196" s="154"/>
      <c r="H196" s="153"/>
      <c r="I196" s="153"/>
      <c r="J196" s="25"/>
      <c r="K196" s="160"/>
      <c r="L196" s="30" t="e">
        <f>WEEKNUM(K196-RESUMEN!$P$7)</f>
        <v>#NUM!</v>
      </c>
      <c r="M196" s="32">
        <f>_xlfn.DAYS(K196,RESUMEN!$P$7)</f>
        <v>-43242</v>
      </c>
      <c r="N196" s="29"/>
      <c r="O196" s="163"/>
      <c r="P196" s="163"/>
      <c r="Q196" s="162"/>
      <c r="R196" s="153"/>
      <c r="S196" s="25"/>
      <c r="T196" s="160"/>
      <c r="U196" s="30" t="e">
        <f>WEEKNUM(T196-RESUMEN!$AB$7)</f>
        <v>#NUM!</v>
      </c>
      <c r="V196" s="30">
        <f>_xlfn.DAYS(T196,RESUMEN!$AB$7)</f>
        <v>-43247</v>
      </c>
      <c r="W196" s="29"/>
      <c r="X196" s="163"/>
      <c r="Y196" s="163"/>
      <c r="Z196" s="162"/>
      <c r="AA196" s="162"/>
      <c r="AB196" s="25"/>
      <c r="AC196" s="160"/>
      <c r="AD196" s="106" t="e">
        <f>WEEKNUM(AC196-RESUMEN!$AN$7)</f>
        <v>#NUM!</v>
      </c>
      <c r="AE196" s="106">
        <f>_xlfn.DAYS(AC196,RESUMEN!$D$7)</f>
        <v>-43238</v>
      </c>
      <c r="AF196" s="104"/>
      <c r="AG196" s="103"/>
      <c r="AH196" s="154"/>
      <c r="AI196" s="153"/>
      <c r="AJ196" s="153"/>
      <c r="AK196" s="25"/>
      <c r="AL196" s="160"/>
      <c r="AM196" s="106" t="e">
        <f>WEEKNUM(AL196-RESUMEN!$D$7)</f>
        <v>#NUM!</v>
      </c>
      <c r="AN196" s="106">
        <f>_xlfn.DAYS(AL196,RESUMEN!$D$7)</f>
        <v>-43238</v>
      </c>
      <c r="AO196" s="104"/>
      <c r="AP196" s="154"/>
      <c r="AQ196" s="154"/>
      <c r="AR196" s="153"/>
      <c r="AS196" s="153"/>
      <c r="AT196" s="25"/>
      <c r="AU196" s="160"/>
      <c r="AV196" s="106" t="e">
        <f>WEEKNUM(AU196-RESUMEN!$D$7)</f>
        <v>#NUM!</v>
      </c>
      <c r="AW196" s="106">
        <f>_xlfn.DAYS(AU196,RESUMEN!$D$7)</f>
        <v>-43238</v>
      </c>
      <c r="AX196" s="104"/>
      <c r="AY196" s="154"/>
      <c r="AZ196" s="154"/>
      <c r="BA196" s="153"/>
      <c r="BB196" s="153"/>
    </row>
    <row r="197" spans="2:54" x14ac:dyDescent="0.25">
      <c r="B197" s="160"/>
      <c r="C197" s="106" t="e">
        <f>WEEKNUM(B197-RESUMEN!$D$7)</f>
        <v>#NUM!</v>
      </c>
      <c r="D197" s="106">
        <f>_xlfn.DAYS(B197,RESUMEN!$D$7)</f>
        <v>-43238</v>
      </c>
      <c r="E197" s="104"/>
      <c r="F197" s="154"/>
      <c r="G197" s="154"/>
      <c r="H197" s="153"/>
      <c r="I197" s="153"/>
      <c r="J197" s="25"/>
      <c r="K197" s="160"/>
      <c r="L197" s="30" t="e">
        <f>WEEKNUM(K197-RESUMEN!$P$7)</f>
        <v>#NUM!</v>
      </c>
      <c r="M197" s="32">
        <f>_xlfn.DAYS(K197,RESUMEN!$P$7)</f>
        <v>-43242</v>
      </c>
      <c r="N197" s="29"/>
      <c r="O197" s="163"/>
      <c r="P197" s="163"/>
      <c r="Q197" s="162"/>
      <c r="R197" s="153"/>
      <c r="S197" s="25"/>
      <c r="T197" s="160"/>
      <c r="U197" s="30" t="e">
        <f>WEEKNUM(T197-RESUMEN!$AB$7)</f>
        <v>#NUM!</v>
      </c>
      <c r="V197" s="30">
        <f>_xlfn.DAYS(T197,RESUMEN!$AB$7)</f>
        <v>-43247</v>
      </c>
      <c r="W197" s="29"/>
      <c r="X197" s="163"/>
      <c r="Y197" s="163"/>
      <c r="Z197" s="162"/>
      <c r="AA197" s="162"/>
      <c r="AB197" s="25"/>
      <c r="AC197" s="160"/>
      <c r="AD197" s="106" t="e">
        <f>WEEKNUM(AC197-RESUMEN!$AN$7)</f>
        <v>#NUM!</v>
      </c>
      <c r="AE197" s="106">
        <f>_xlfn.DAYS(AC197,RESUMEN!$D$7)</f>
        <v>-43238</v>
      </c>
      <c r="AF197" s="104"/>
      <c r="AG197" s="103"/>
      <c r="AH197" s="154"/>
      <c r="AI197" s="153"/>
      <c r="AJ197" s="153"/>
      <c r="AK197" s="25"/>
      <c r="AL197" s="160"/>
      <c r="AM197" s="106" t="e">
        <f>WEEKNUM(AL197-RESUMEN!$D$7)</f>
        <v>#NUM!</v>
      </c>
      <c r="AN197" s="106">
        <f>_xlfn.DAYS(AL197,RESUMEN!$D$7)</f>
        <v>-43238</v>
      </c>
      <c r="AO197" s="104"/>
      <c r="AP197" s="154"/>
      <c r="AQ197" s="154"/>
      <c r="AR197" s="153"/>
      <c r="AS197" s="153"/>
      <c r="AT197" s="25"/>
      <c r="AU197" s="160"/>
      <c r="AV197" s="106" t="e">
        <f>WEEKNUM(AU197-RESUMEN!$D$7)</f>
        <v>#NUM!</v>
      </c>
      <c r="AW197" s="106">
        <f>_xlfn.DAYS(AU197,RESUMEN!$D$7)</f>
        <v>-43238</v>
      </c>
      <c r="AX197" s="104"/>
      <c r="AY197" s="154"/>
      <c r="AZ197" s="154"/>
      <c r="BA197" s="153"/>
      <c r="BB197" s="153"/>
    </row>
    <row r="198" spans="2:54" x14ac:dyDescent="0.25">
      <c r="B198" s="160"/>
      <c r="C198" s="106" t="e">
        <f>WEEKNUM(B198-RESUMEN!$D$7)</f>
        <v>#NUM!</v>
      </c>
      <c r="D198" s="106">
        <f>_xlfn.DAYS(B198,RESUMEN!$D$7)</f>
        <v>-43238</v>
      </c>
      <c r="E198" s="104"/>
      <c r="F198" s="154"/>
      <c r="G198" s="154"/>
      <c r="H198" s="153"/>
      <c r="I198" s="153"/>
      <c r="J198" s="25"/>
      <c r="K198" s="160"/>
      <c r="L198" s="30" t="e">
        <f>WEEKNUM(K198-RESUMEN!$P$7)</f>
        <v>#NUM!</v>
      </c>
      <c r="M198" s="32">
        <f>_xlfn.DAYS(K198,RESUMEN!$P$7)</f>
        <v>-43242</v>
      </c>
      <c r="N198" s="29"/>
      <c r="O198" s="163"/>
      <c r="P198" s="163"/>
      <c r="Q198" s="162"/>
      <c r="R198" s="153"/>
      <c r="S198" s="25"/>
      <c r="T198" s="160"/>
      <c r="U198" s="30" t="e">
        <f>WEEKNUM(T198-RESUMEN!$AB$7)</f>
        <v>#NUM!</v>
      </c>
      <c r="V198" s="30">
        <f>_xlfn.DAYS(T198,RESUMEN!$AB$7)</f>
        <v>-43247</v>
      </c>
      <c r="W198" s="29"/>
      <c r="X198" s="163"/>
      <c r="Y198" s="163"/>
      <c r="Z198" s="162"/>
      <c r="AA198" s="162"/>
      <c r="AB198" s="25"/>
      <c r="AC198" s="160"/>
      <c r="AD198" s="106" t="e">
        <f>WEEKNUM(AC198-RESUMEN!$AN$7)</f>
        <v>#NUM!</v>
      </c>
      <c r="AE198" s="106">
        <f>_xlfn.DAYS(AC198,RESUMEN!$D$7)</f>
        <v>-43238</v>
      </c>
      <c r="AF198" s="104"/>
      <c r="AG198" s="103"/>
      <c r="AH198" s="154"/>
      <c r="AI198" s="153"/>
      <c r="AJ198" s="153"/>
      <c r="AK198" s="25"/>
      <c r="AL198" s="160"/>
      <c r="AM198" s="106" t="e">
        <f>WEEKNUM(AL198-RESUMEN!$D$7)</f>
        <v>#NUM!</v>
      </c>
      <c r="AN198" s="106">
        <f>_xlfn.DAYS(AL198,RESUMEN!$D$7)</f>
        <v>-43238</v>
      </c>
      <c r="AO198" s="104"/>
      <c r="AP198" s="154"/>
      <c r="AQ198" s="154"/>
      <c r="AR198" s="153"/>
      <c r="AS198" s="153"/>
      <c r="AT198" s="25"/>
      <c r="AU198" s="160"/>
      <c r="AV198" s="106" t="e">
        <f>WEEKNUM(AU198-RESUMEN!$D$7)</f>
        <v>#NUM!</v>
      </c>
      <c r="AW198" s="106">
        <f>_xlfn.DAYS(AU198,RESUMEN!$D$7)</f>
        <v>-43238</v>
      </c>
      <c r="AX198" s="104"/>
      <c r="AY198" s="154"/>
      <c r="AZ198" s="154"/>
      <c r="BA198" s="153"/>
      <c r="BB198" s="153"/>
    </row>
    <row r="199" spans="2:54" x14ac:dyDescent="0.25">
      <c r="B199" s="160"/>
      <c r="C199" s="106" t="e">
        <f>WEEKNUM(B199-RESUMEN!$D$7)</f>
        <v>#NUM!</v>
      </c>
      <c r="D199" s="106">
        <f>_xlfn.DAYS(B199,RESUMEN!$D$7)</f>
        <v>-43238</v>
      </c>
      <c r="E199" s="104"/>
      <c r="F199" s="154"/>
      <c r="G199" s="154"/>
      <c r="H199" s="153"/>
      <c r="I199" s="153"/>
      <c r="J199" s="25"/>
      <c r="K199" s="160"/>
      <c r="L199" s="30" t="e">
        <f>WEEKNUM(K199-RESUMEN!$P$7)</f>
        <v>#NUM!</v>
      </c>
      <c r="M199" s="32">
        <f>_xlfn.DAYS(K199,RESUMEN!$P$7)</f>
        <v>-43242</v>
      </c>
      <c r="N199" s="29"/>
      <c r="O199" s="163"/>
      <c r="P199" s="163"/>
      <c r="Q199" s="162"/>
      <c r="R199" s="153"/>
      <c r="S199" s="25"/>
      <c r="T199" s="160"/>
      <c r="U199" s="30" t="e">
        <f>WEEKNUM(T199-RESUMEN!$AB$7)</f>
        <v>#NUM!</v>
      </c>
      <c r="V199" s="30">
        <f>_xlfn.DAYS(T199,RESUMEN!$AB$7)</f>
        <v>-43247</v>
      </c>
      <c r="W199" s="29"/>
      <c r="X199" s="163"/>
      <c r="Y199" s="163"/>
      <c r="Z199" s="162"/>
      <c r="AA199" s="162"/>
      <c r="AB199" s="25"/>
      <c r="AC199" s="160"/>
      <c r="AD199" s="106" t="e">
        <f>WEEKNUM(AC199-RESUMEN!$AN$7)</f>
        <v>#NUM!</v>
      </c>
      <c r="AE199" s="106">
        <f>_xlfn.DAYS(AC199,RESUMEN!$D$7)</f>
        <v>-43238</v>
      </c>
      <c r="AF199" s="104"/>
      <c r="AG199" s="103"/>
      <c r="AH199" s="154"/>
      <c r="AI199" s="153"/>
      <c r="AJ199" s="153"/>
      <c r="AK199" s="25"/>
      <c r="AL199" s="160"/>
      <c r="AM199" s="106" t="e">
        <f>WEEKNUM(AL199-RESUMEN!$D$7)</f>
        <v>#NUM!</v>
      </c>
      <c r="AN199" s="106">
        <f>_xlfn.DAYS(AL199,RESUMEN!$D$7)</f>
        <v>-43238</v>
      </c>
      <c r="AO199" s="104"/>
      <c r="AP199" s="154"/>
      <c r="AQ199" s="154"/>
      <c r="AR199" s="153"/>
      <c r="AS199" s="153"/>
      <c r="AT199" s="25"/>
      <c r="AU199" s="160"/>
      <c r="AV199" s="106" t="e">
        <f>WEEKNUM(AU199-RESUMEN!$D$7)</f>
        <v>#NUM!</v>
      </c>
      <c r="AW199" s="106">
        <f>_xlfn.DAYS(AU199,RESUMEN!$D$7)</f>
        <v>-43238</v>
      </c>
      <c r="AX199" s="104"/>
      <c r="AY199" s="154"/>
      <c r="AZ199" s="154"/>
      <c r="BA199" s="153"/>
      <c r="BB199" s="153"/>
    </row>
    <row r="200" spans="2:54" x14ac:dyDescent="0.25">
      <c r="B200" s="160"/>
      <c r="C200" s="106" t="e">
        <f>WEEKNUM(B200-RESUMEN!$D$7)</f>
        <v>#NUM!</v>
      </c>
      <c r="D200" s="106">
        <f>_xlfn.DAYS(B200,RESUMEN!$D$7)</f>
        <v>-43238</v>
      </c>
      <c r="E200" s="104"/>
      <c r="F200" s="154"/>
      <c r="G200" s="154"/>
      <c r="H200" s="153"/>
      <c r="I200" s="153"/>
      <c r="J200" s="25"/>
      <c r="K200" s="160"/>
      <c r="L200" s="106" t="e">
        <f>WEEKNUM(K200-RESUMEN!$P$7)</f>
        <v>#NUM!</v>
      </c>
      <c r="M200" s="111">
        <f>_xlfn.DAYS(K200,RESUMEN!$P$7)</f>
        <v>-43242</v>
      </c>
      <c r="N200" s="104"/>
      <c r="O200" s="154"/>
      <c r="P200" s="154"/>
      <c r="Q200" s="153"/>
      <c r="R200" s="153"/>
      <c r="S200" s="25"/>
      <c r="T200" s="160"/>
      <c r="U200" s="106" t="e">
        <f>WEEKNUM(T200-RESUMEN!$AB$7)</f>
        <v>#NUM!</v>
      </c>
      <c r="V200" s="106">
        <f>_xlfn.DAYS(T200,RESUMEN!$AB$7)</f>
        <v>-43247</v>
      </c>
      <c r="W200" s="104"/>
      <c r="X200" s="154"/>
      <c r="Y200" s="154"/>
      <c r="Z200" s="153"/>
      <c r="AA200" s="153"/>
      <c r="AB200" s="25"/>
      <c r="AC200" s="160"/>
      <c r="AD200" s="106" t="e">
        <f>WEEKNUM(AC200-RESUMEN!$AN$7)</f>
        <v>#NUM!</v>
      </c>
      <c r="AE200" s="106">
        <f>_xlfn.DAYS(AC200,RESUMEN!$D$7)</f>
        <v>-43238</v>
      </c>
      <c r="AF200" s="104"/>
      <c r="AG200" s="103"/>
      <c r="AH200" s="154"/>
      <c r="AI200" s="153"/>
      <c r="AJ200" s="153"/>
      <c r="AK200" s="25"/>
      <c r="AL200" s="160"/>
      <c r="AM200" s="106" t="e">
        <f>WEEKNUM(AL200-RESUMEN!$D$7)</f>
        <v>#NUM!</v>
      </c>
      <c r="AN200" s="106">
        <f>_xlfn.DAYS(AL200,RESUMEN!$D$7)</f>
        <v>-43238</v>
      </c>
      <c r="AO200" s="104"/>
      <c r="AP200" s="154"/>
      <c r="AQ200" s="154"/>
      <c r="AR200" s="153"/>
      <c r="AS200" s="153"/>
      <c r="AT200" s="25"/>
      <c r="AU200" s="160"/>
      <c r="AV200" s="106" t="e">
        <f>WEEKNUM(AU200-RESUMEN!$D$7)</f>
        <v>#NUM!</v>
      </c>
      <c r="AW200" s="106">
        <f>_xlfn.DAYS(AU200,RESUMEN!$D$7)</f>
        <v>-43238</v>
      </c>
      <c r="AX200" s="104"/>
      <c r="AY200" s="154"/>
      <c r="AZ200" s="154"/>
      <c r="BA200" s="153"/>
      <c r="BB200" s="153"/>
    </row>
    <row r="201" spans="2:54" s="26" customFormat="1" x14ac:dyDescent="0.25">
      <c r="B201" s="155"/>
      <c r="E201" s="102"/>
      <c r="F201" s="155"/>
      <c r="G201" s="155"/>
      <c r="H201" s="156"/>
      <c r="I201" s="156"/>
      <c r="J201" s="25"/>
      <c r="K201" s="155"/>
      <c r="N201" s="102"/>
      <c r="O201" s="155"/>
      <c r="P201" s="155"/>
      <c r="Q201" s="156"/>
      <c r="R201" s="156"/>
      <c r="S201" s="25"/>
      <c r="T201" s="164"/>
      <c r="W201" s="102"/>
      <c r="X201" s="155"/>
      <c r="Y201" s="155"/>
      <c r="Z201" s="156"/>
      <c r="AA201" s="156"/>
      <c r="AB201" s="25"/>
      <c r="AC201" s="155"/>
      <c r="AF201" s="102"/>
      <c r="AH201" s="155"/>
      <c r="AI201" s="156"/>
      <c r="AJ201" s="156"/>
      <c r="AK201" s="25"/>
      <c r="AL201" s="155"/>
      <c r="AO201" s="102"/>
      <c r="AP201" s="155"/>
      <c r="AQ201" s="155"/>
      <c r="AR201" s="156"/>
      <c r="AS201" s="156"/>
      <c r="AT201" s="25"/>
      <c r="AU201" s="155"/>
      <c r="AX201" s="102"/>
      <c r="AY201" s="155"/>
      <c r="AZ201" s="155"/>
      <c r="BA201" s="156"/>
      <c r="BB201" s="155"/>
    </row>
    <row r="202" spans="2:54" x14ac:dyDescent="0.25">
      <c r="H202" s="158"/>
      <c r="I202" s="156"/>
      <c r="J202" s="25"/>
      <c r="Q202" s="158"/>
      <c r="R202" s="156"/>
      <c r="S202" s="25"/>
      <c r="Z202" s="158"/>
      <c r="AA202" s="156"/>
      <c r="AB202" s="25"/>
      <c r="AI202" s="158"/>
      <c r="AJ202" s="158"/>
      <c r="AK202" s="25"/>
      <c r="AR202" s="158"/>
      <c r="AS202" s="158"/>
      <c r="AT202" s="25"/>
      <c r="BA202" s="158"/>
    </row>
    <row r="203" spans="2:54" x14ac:dyDescent="0.25">
      <c r="H203" s="158"/>
      <c r="I203" s="156"/>
      <c r="J203" s="25"/>
      <c r="Q203" s="158"/>
      <c r="R203" s="156"/>
      <c r="S203" s="25"/>
      <c r="Z203" s="158"/>
      <c r="AA203" s="156"/>
      <c r="AB203" s="25"/>
      <c r="AI203" s="158"/>
      <c r="AJ203" s="158"/>
      <c r="AK203" s="25"/>
      <c r="AR203" s="158"/>
      <c r="AS203" s="158"/>
      <c r="AT203" s="25"/>
      <c r="BA203" s="158"/>
    </row>
    <row r="204" spans="2:54" x14ac:dyDescent="0.25">
      <c r="H204" s="158"/>
      <c r="I204" s="156"/>
      <c r="J204" s="25"/>
      <c r="Q204" s="158"/>
      <c r="R204" s="156"/>
      <c r="S204" s="25"/>
      <c r="Z204" s="158"/>
      <c r="AA204" s="156"/>
      <c r="AB204" s="25"/>
      <c r="AI204" s="158"/>
      <c r="AJ204" s="158"/>
      <c r="AK204" s="25"/>
      <c r="AR204" s="158"/>
      <c r="AS204" s="158"/>
      <c r="AT204" s="25"/>
      <c r="BA204" s="158"/>
    </row>
    <row r="205" spans="2:54" x14ac:dyDescent="0.25">
      <c r="H205" s="158"/>
      <c r="I205" s="156"/>
      <c r="J205" s="25"/>
      <c r="Q205" s="158"/>
      <c r="R205" s="156"/>
      <c r="S205" s="25"/>
      <c r="Z205" s="158"/>
      <c r="AA205" s="156"/>
      <c r="AB205" s="25"/>
      <c r="AI205" s="158"/>
      <c r="AJ205" s="158"/>
      <c r="AK205" s="25"/>
      <c r="AR205" s="158"/>
      <c r="AS205" s="158"/>
      <c r="AT205" s="25"/>
      <c r="BA205" s="158"/>
    </row>
    <row r="206" spans="2:54" x14ac:dyDescent="0.25">
      <c r="H206" s="158"/>
      <c r="I206" s="156"/>
      <c r="J206" s="25"/>
      <c r="Q206" s="158"/>
      <c r="R206" s="156"/>
      <c r="S206" s="25"/>
      <c r="Z206" s="158"/>
      <c r="AA206" s="156"/>
      <c r="AB206" s="25"/>
      <c r="AI206" s="158"/>
      <c r="AJ206" s="158"/>
      <c r="AK206" s="25"/>
      <c r="AR206" s="158"/>
      <c r="AS206" s="158"/>
      <c r="AT206" s="25"/>
      <c r="BA206" s="158"/>
    </row>
    <row r="207" spans="2:54" x14ac:dyDescent="0.25">
      <c r="H207" s="158"/>
      <c r="I207" s="156"/>
      <c r="J207" s="25"/>
      <c r="Q207" s="158"/>
      <c r="R207" s="156"/>
      <c r="S207" s="25"/>
      <c r="Z207" s="158"/>
      <c r="AA207" s="156"/>
      <c r="AB207" s="25"/>
      <c r="AI207" s="158"/>
      <c r="AJ207" s="158"/>
      <c r="AK207" s="25"/>
      <c r="AR207" s="158"/>
      <c r="AS207" s="158"/>
      <c r="AT207" s="25"/>
      <c r="BA207" s="158"/>
    </row>
    <row r="208" spans="2:54" x14ac:dyDescent="0.25">
      <c r="H208" s="158"/>
      <c r="I208" s="156"/>
      <c r="J208" s="25"/>
      <c r="Q208" s="158"/>
      <c r="R208" s="156"/>
      <c r="S208" s="25"/>
      <c r="Z208" s="158"/>
      <c r="AA208" s="156"/>
      <c r="AB208" s="25"/>
      <c r="AI208" s="158"/>
      <c r="AJ208" s="158"/>
      <c r="AK208" s="25"/>
      <c r="AR208" s="158"/>
      <c r="AS208" s="158"/>
      <c r="AT208" s="25"/>
      <c r="BA208" s="158"/>
    </row>
    <row r="209" spans="5:53" x14ac:dyDescent="0.25">
      <c r="H209" s="158"/>
      <c r="I209" s="156"/>
      <c r="J209" s="25"/>
      <c r="Q209" s="158"/>
      <c r="R209" s="156"/>
      <c r="S209" s="25"/>
      <c r="Z209" s="158"/>
      <c r="AA209" s="156"/>
      <c r="AB209" s="25"/>
      <c r="AI209" s="158"/>
      <c r="AJ209" s="158"/>
      <c r="AK209" s="25"/>
      <c r="AR209" s="158"/>
      <c r="AS209" s="158"/>
      <c r="AT209" s="25"/>
      <c r="BA209" s="158"/>
    </row>
    <row r="210" spans="5:53" x14ac:dyDescent="0.25">
      <c r="E210" s="34"/>
      <c r="H210" s="158"/>
      <c r="I210" s="156"/>
      <c r="J210" s="25"/>
      <c r="N210" s="34"/>
      <c r="Q210" s="158"/>
      <c r="R210" s="156"/>
      <c r="S210" s="25"/>
      <c r="Z210" s="158"/>
      <c r="AA210" s="156"/>
      <c r="AB210" s="25"/>
      <c r="AF210" s="34"/>
      <c r="AI210" s="158"/>
      <c r="AJ210" s="158"/>
      <c r="AK210" s="25"/>
      <c r="AO210" s="34"/>
      <c r="AR210" s="158"/>
      <c r="AS210" s="158"/>
      <c r="AT210" s="25"/>
      <c r="AX210" s="34"/>
      <c r="BA210" s="158"/>
    </row>
    <row r="211" spans="5:53" x14ac:dyDescent="0.25">
      <c r="H211" s="158"/>
      <c r="I211" s="156"/>
      <c r="J211" s="25"/>
      <c r="Q211" s="158"/>
      <c r="R211" s="156"/>
      <c r="S211" s="25"/>
      <c r="W211" s="34"/>
      <c r="Z211" s="158"/>
      <c r="AA211" s="156"/>
      <c r="AB211" s="25"/>
      <c r="AI211" s="158"/>
      <c r="AJ211" s="158"/>
      <c r="AK211" s="25"/>
      <c r="AR211" s="158"/>
      <c r="AS211" s="158"/>
      <c r="AT211" s="25"/>
      <c r="BA211" s="158"/>
    </row>
    <row r="212" spans="5:53" x14ac:dyDescent="0.25">
      <c r="H212" s="158"/>
      <c r="I212" s="156"/>
      <c r="J212" s="25"/>
      <c r="Q212" s="158"/>
      <c r="R212" s="156"/>
      <c r="S212" s="25"/>
      <c r="Z212" s="158"/>
      <c r="AA212" s="156"/>
      <c r="AB212" s="25"/>
      <c r="AI212" s="158"/>
      <c r="AJ212" s="158"/>
      <c r="AK212" s="25"/>
      <c r="AR212" s="158"/>
      <c r="AS212" s="158"/>
      <c r="AT212" s="25"/>
      <c r="BA212" s="158"/>
    </row>
    <row r="213" spans="5:53" x14ac:dyDescent="0.25">
      <c r="H213" s="158"/>
      <c r="I213" s="156"/>
      <c r="J213" s="25"/>
      <c r="Q213" s="158"/>
      <c r="R213" s="156"/>
      <c r="S213" s="25"/>
      <c r="Z213" s="158"/>
      <c r="AA213" s="156"/>
      <c r="AB213" s="25"/>
      <c r="AI213" s="158"/>
      <c r="AJ213" s="158"/>
      <c r="AK213" s="25"/>
      <c r="AR213" s="158"/>
      <c r="AS213" s="158"/>
      <c r="AT213" s="25"/>
      <c r="BA213" s="158"/>
    </row>
    <row r="214" spans="5:53" x14ac:dyDescent="0.25">
      <c r="H214" s="158"/>
      <c r="I214" s="156"/>
      <c r="J214" s="25"/>
      <c r="Q214" s="158"/>
      <c r="R214" s="156"/>
      <c r="S214" s="25"/>
      <c r="Z214" s="158"/>
      <c r="AA214" s="156"/>
      <c r="AB214" s="25"/>
      <c r="AI214" s="158"/>
      <c r="AJ214" s="158"/>
      <c r="AK214" s="25"/>
      <c r="AR214" s="158"/>
      <c r="AS214" s="158"/>
      <c r="AT214" s="25"/>
      <c r="BA214" s="158"/>
    </row>
    <row r="215" spans="5:53" x14ac:dyDescent="0.25">
      <c r="H215" s="158"/>
      <c r="I215" s="156"/>
      <c r="J215" s="25"/>
      <c r="Q215" s="158"/>
      <c r="R215" s="156"/>
      <c r="S215" s="25"/>
      <c r="Z215" s="158"/>
      <c r="AA215" s="156"/>
      <c r="AB215" s="25"/>
      <c r="AI215" s="158"/>
      <c r="AJ215" s="158"/>
      <c r="AK215" s="25"/>
      <c r="AR215" s="158"/>
      <c r="AS215" s="158"/>
      <c r="AT215" s="25"/>
      <c r="BA215" s="158"/>
    </row>
    <row r="216" spans="5:53" x14ac:dyDescent="0.25">
      <c r="H216" s="158"/>
      <c r="I216" s="156"/>
      <c r="J216" s="25"/>
      <c r="Q216" s="158"/>
      <c r="R216" s="156"/>
      <c r="S216" s="25"/>
      <c r="Z216" s="158"/>
      <c r="AA216" s="156"/>
      <c r="AB216" s="25"/>
      <c r="AI216" s="158"/>
      <c r="AJ216" s="158"/>
      <c r="AK216" s="25"/>
      <c r="AR216" s="158"/>
      <c r="AS216" s="158"/>
      <c r="AT216" s="25"/>
      <c r="BA216" s="158"/>
    </row>
    <row r="217" spans="5:53" x14ac:dyDescent="0.25">
      <c r="H217" s="158"/>
      <c r="I217" s="156"/>
      <c r="J217" s="25"/>
      <c r="Q217" s="158"/>
      <c r="R217" s="156"/>
      <c r="S217" s="25"/>
      <c r="Z217" s="158"/>
      <c r="AA217" s="156"/>
      <c r="AB217" s="25"/>
      <c r="AI217" s="158"/>
      <c r="AJ217" s="158"/>
      <c r="AK217" s="25"/>
      <c r="AR217" s="158"/>
      <c r="AS217" s="158"/>
      <c r="AT217" s="25"/>
      <c r="BA217" s="158"/>
    </row>
    <row r="218" spans="5:53" x14ac:dyDescent="0.25">
      <c r="H218" s="158"/>
      <c r="I218" s="156"/>
      <c r="J218" s="25"/>
      <c r="Q218" s="158"/>
      <c r="R218" s="156"/>
      <c r="S218" s="25"/>
      <c r="Z218" s="158"/>
      <c r="AA218" s="156"/>
      <c r="AB218" s="25"/>
      <c r="AI218" s="158"/>
      <c r="AJ218" s="158"/>
      <c r="AK218" s="25"/>
      <c r="AR218" s="158"/>
      <c r="AS218" s="158"/>
      <c r="AT218" s="25"/>
      <c r="BA218" s="158"/>
    </row>
    <row r="219" spans="5:53" x14ac:dyDescent="0.25">
      <c r="H219" s="158"/>
      <c r="I219" s="156"/>
      <c r="J219" s="25"/>
      <c r="Q219" s="158"/>
      <c r="R219" s="156"/>
      <c r="S219" s="25"/>
      <c r="Z219" s="158"/>
      <c r="AA219" s="156"/>
      <c r="AB219" s="25"/>
      <c r="AI219" s="158"/>
      <c r="AJ219" s="158"/>
      <c r="AK219" s="25"/>
      <c r="AR219" s="158"/>
      <c r="AS219" s="158"/>
      <c r="AT219" s="25"/>
      <c r="BA219" s="158"/>
    </row>
    <row r="220" spans="5:53" x14ac:dyDescent="0.25">
      <c r="H220" s="158"/>
      <c r="I220" s="156"/>
      <c r="J220" s="25"/>
      <c r="Q220" s="158"/>
      <c r="R220" s="156"/>
      <c r="S220" s="25"/>
      <c r="Z220" s="158"/>
      <c r="AA220" s="156"/>
      <c r="AB220" s="25"/>
      <c r="AI220" s="158"/>
      <c r="AJ220" s="158"/>
      <c r="AK220" s="25"/>
      <c r="AR220" s="158"/>
      <c r="AS220" s="158"/>
      <c r="AT220" s="25"/>
      <c r="BA220" s="158"/>
    </row>
    <row r="221" spans="5:53" x14ac:dyDescent="0.25">
      <c r="H221" s="158"/>
      <c r="I221" s="156"/>
      <c r="J221" s="25"/>
      <c r="Q221" s="158"/>
      <c r="R221" s="156"/>
      <c r="S221" s="25"/>
      <c r="Z221" s="158"/>
      <c r="AA221" s="156"/>
      <c r="AB221" s="25"/>
      <c r="AI221" s="158"/>
      <c r="AJ221" s="158"/>
      <c r="AK221" s="25"/>
      <c r="AR221" s="158"/>
      <c r="AS221" s="158"/>
      <c r="AT221" s="25"/>
      <c r="BA221" s="158"/>
    </row>
    <row r="222" spans="5:53" x14ac:dyDescent="0.25">
      <c r="H222" s="158"/>
      <c r="I222" s="156"/>
      <c r="J222" s="25"/>
      <c r="Q222" s="158"/>
      <c r="R222" s="156"/>
      <c r="S222" s="25"/>
      <c r="Z222" s="158"/>
      <c r="AA222" s="156"/>
      <c r="AB222" s="25"/>
      <c r="AI222" s="158"/>
      <c r="AJ222" s="158"/>
      <c r="AK222" s="25"/>
      <c r="AR222" s="158"/>
      <c r="AS222" s="158"/>
      <c r="AT222" s="25"/>
      <c r="BA222" s="158"/>
    </row>
    <row r="223" spans="5:53" x14ac:dyDescent="0.25">
      <c r="H223" s="158"/>
      <c r="I223" s="156"/>
      <c r="J223" s="25"/>
      <c r="Q223" s="158"/>
      <c r="R223" s="156"/>
      <c r="S223" s="25"/>
      <c r="Z223" s="158"/>
      <c r="AA223" s="156"/>
      <c r="AB223" s="25"/>
      <c r="AI223" s="158"/>
      <c r="AJ223" s="158"/>
      <c r="AK223" s="25"/>
      <c r="AR223" s="158"/>
      <c r="AS223" s="158"/>
      <c r="AT223" s="25"/>
      <c r="BA223" s="158"/>
    </row>
    <row r="224" spans="5:53" x14ac:dyDescent="0.25">
      <c r="H224" s="158"/>
      <c r="I224" s="156"/>
      <c r="J224" s="25"/>
      <c r="Q224" s="158"/>
      <c r="R224" s="156"/>
      <c r="S224" s="25"/>
      <c r="Z224" s="158"/>
      <c r="AA224" s="156"/>
      <c r="AB224" s="25"/>
      <c r="AI224" s="158"/>
      <c r="AJ224" s="158"/>
      <c r="AK224" s="25"/>
      <c r="AR224" s="158"/>
      <c r="AS224" s="158"/>
      <c r="AT224" s="25"/>
      <c r="BA224" s="158"/>
    </row>
    <row r="225" spans="8:53" x14ac:dyDescent="0.25">
      <c r="H225" s="158"/>
      <c r="I225" s="156"/>
      <c r="J225" s="25"/>
      <c r="Q225" s="158"/>
      <c r="R225" s="156"/>
      <c r="S225" s="25"/>
      <c r="Z225" s="158"/>
      <c r="AA225" s="156"/>
      <c r="AB225" s="25"/>
      <c r="AI225" s="158"/>
      <c r="AJ225" s="158"/>
      <c r="AK225" s="25"/>
      <c r="AR225" s="158"/>
      <c r="AS225" s="158"/>
      <c r="AT225" s="25"/>
      <c r="BA225" s="158"/>
    </row>
    <row r="226" spans="8:53" x14ac:dyDescent="0.25">
      <c r="H226" s="158"/>
      <c r="I226" s="156"/>
      <c r="J226" s="25"/>
      <c r="Q226" s="158"/>
      <c r="R226" s="156"/>
      <c r="S226" s="25"/>
      <c r="Z226" s="158"/>
      <c r="AA226" s="156"/>
      <c r="AB226" s="25"/>
      <c r="AI226" s="158"/>
      <c r="AJ226" s="158"/>
      <c r="AK226" s="25"/>
      <c r="AR226" s="158"/>
      <c r="AS226" s="158"/>
      <c r="AT226" s="25"/>
      <c r="BA226" s="158"/>
    </row>
    <row r="227" spans="8:53" x14ac:dyDescent="0.25">
      <c r="H227" s="158"/>
      <c r="I227" s="156"/>
      <c r="J227" s="25"/>
      <c r="Q227" s="158"/>
      <c r="R227" s="156"/>
      <c r="S227" s="25"/>
      <c r="Z227" s="158"/>
      <c r="AA227" s="156"/>
      <c r="AB227" s="25"/>
      <c r="AI227" s="158"/>
      <c r="AJ227" s="158"/>
      <c r="AK227" s="25"/>
      <c r="AR227" s="158"/>
      <c r="AS227" s="158"/>
      <c r="AT227" s="25"/>
      <c r="BA227" s="158"/>
    </row>
    <row r="228" spans="8:53" x14ac:dyDescent="0.25">
      <c r="H228" s="158"/>
      <c r="I228" s="156"/>
      <c r="J228" s="25"/>
      <c r="Q228" s="158"/>
      <c r="R228" s="156"/>
      <c r="S228" s="25"/>
      <c r="Z228" s="158"/>
      <c r="AA228" s="156"/>
      <c r="AB228" s="25"/>
      <c r="AI228" s="158"/>
      <c r="AJ228" s="158"/>
      <c r="AK228" s="25"/>
      <c r="AR228" s="158"/>
      <c r="AS228" s="158"/>
      <c r="AT228" s="25"/>
      <c r="BA228" s="158"/>
    </row>
    <row r="229" spans="8:53" x14ac:dyDescent="0.25">
      <c r="H229" s="158"/>
      <c r="I229" s="156"/>
      <c r="J229" s="25"/>
      <c r="Q229" s="158"/>
      <c r="R229" s="156"/>
      <c r="S229" s="25"/>
      <c r="Z229" s="158"/>
      <c r="AA229" s="156"/>
      <c r="AB229" s="25"/>
      <c r="AI229" s="158"/>
      <c r="AJ229" s="158"/>
      <c r="AK229" s="25"/>
      <c r="AR229" s="158"/>
      <c r="AS229" s="158"/>
      <c r="AT229" s="25"/>
      <c r="BA229" s="158"/>
    </row>
    <row r="230" spans="8:53" x14ac:dyDescent="0.25">
      <c r="H230" s="158"/>
      <c r="I230" s="156"/>
      <c r="J230" s="25"/>
      <c r="Q230" s="158"/>
      <c r="R230" s="156"/>
      <c r="S230" s="25"/>
      <c r="Z230" s="158"/>
      <c r="AA230" s="156"/>
      <c r="AB230" s="25"/>
      <c r="AI230" s="158"/>
      <c r="AJ230" s="158"/>
      <c r="AK230" s="25"/>
      <c r="AR230" s="158"/>
      <c r="AS230" s="158"/>
      <c r="AT230" s="25"/>
      <c r="BA230" s="158"/>
    </row>
  </sheetData>
  <protectedRanges>
    <protectedRange sqref="B6:B200 E6:K200 T6:T200 AC6:AC200 AF6:AL200 AU6:AU200 N6:R200 W6:AA200 AO6:AS200 AX6:BB200" name="Rango1"/>
  </protectedRanges>
  <customSheetViews>
    <customSheetView guid="{D0A72333-44E4-44B0-93CA-B728F04236CB}" showPageBreaks="1" showGridLines="0" hiddenColumns="1" view="pageLayout">
      <selection activeCell="F1" sqref="F1"/>
      <pageMargins left="0.39370078740157483" right="0.39370078740157483" top="0.39370078740157483" bottom="0.39370078740157483" header="0" footer="0"/>
      <pageSetup orientation="portrait" horizontalDpi="4294967293" verticalDpi="4294967293" r:id="rId1"/>
      <headerFooter>
        <oddHeader>&amp;CREPORTE DE TRASLADO</oddHeader>
      </headerFooter>
    </customSheetView>
    <customSheetView guid="{E3163CA8-A8FB-4416-898F-A92046F72E9D}" showPageBreaks="1" showGridLines="0" hiddenColumns="1" view="pageLayout">
      <selection activeCell="F1" sqref="F1"/>
      <pageMargins left="0.39370078740157483" right="0.39370078740157483" top="0.39370078740157483" bottom="0.39370078740157483" header="0" footer="0"/>
      <pageSetup orientation="portrait" horizontalDpi="4294967293" verticalDpi="4294967293" r:id="rId2"/>
      <headerFooter>
        <oddHeader>&amp;CREPORTE DE TRASLADO</oddHeader>
      </headerFooter>
    </customSheetView>
  </customSheetViews>
  <conditionalFormatting sqref="S6">
    <cfRule type="containsText" dxfId="499" priority="29" operator="containsText" text="P">
      <formula>NOT(ISERROR(SEARCH("P",S6)))</formula>
    </cfRule>
    <cfRule type="colorScale" priority="30">
      <colorScale>
        <cfvo type="formula" val="&quot;D&quot;"/>
        <cfvo type="formula" val="&quot;S&quot;"/>
        <cfvo type="formula" val="&quot;L&quot;"/>
        <color rgb="FFF8696B"/>
        <color rgb="FFFFEB84"/>
        <color rgb="FF63BE7B"/>
      </colorScale>
    </cfRule>
  </conditionalFormatting>
  <conditionalFormatting sqref="S6:S200">
    <cfRule type="containsText" dxfId="498" priority="26" operator="containsText" text="D">
      <formula>NOT(ISERROR(SEARCH("D",S6)))</formula>
    </cfRule>
    <cfRule type="containsText" dxfId="497" priority="27" operator="containsText" text="S">
      <formula>NOT(ISERROR(SEARCH("S",S6)))</formula>
    </cfRule>
    <cfRule type="containsText" dxfId="496" priority="28" operator="containsText" text="L">
      <formula>NOT(ISERROR(SEARCH("L",S6)))</formula>
    </cfRule>
  </conditionalFormatting>
  <conditionalFormatting sqref="AB6">
    <cfRule type="containsText" dxfId="495" priority="24" operator="containsText" text="P">
      <formula>NOT(ISERROR(SEARCH("P",AB6)))</formula>
    </cfRule>
    <cfRule type="colorScale" priority="25">
      <colorScale>
        <cfvo type="formula" val="&quot;D&quot;"/>
        <cfvo type="formula" val="&quot;S&quot;"/>
        <cfvo type="formula" val="&quot;L&quot;"/>
        <color rgb="FFF8696B"/>
        <color rgb="FFFFEB84"/>
        <color rgb="FF63BE7B"/>
      </colorScale>
    </cfRule>
  </conditionalFormatting>
  <conditionalFormatting sqref="AB6:AB200">
    <cfRule type="containsText" dxfId="494" priority="21" operator="containsText" text="D">
      <formula>NOT(ISERROR(SEARCH("D",AB6)))</formula>
    </cfRule>
    <cfRule type="containsText" dxfId="493" priority="22" operator="containsText" text="S">
      <formula>NOT(ISERROR(SEARCH("S",AB6)))</formula>
    </cfRule>
    <cfRule type="containsText" dxfId="492" priority="23" operator="containsText" text="L">
      <formula>NOT(ISERROR(SEARCH("L",AB6)))</formula>
    </cfRule>
  </conditionalFormatting>
  <conditionalFormatting sqref="AT6">
    <cfRule type="containsText" dxfId="491" priority="19" operator="containsText" text="P">
      <formula>NOT(ISERROR(SEARCH("P",AT6)))</formula>
    </cfRule>
    <cfRule type="colorScale" priority="20">
      <colorScale>
        <cfvo type="formula" val="&quot;D&quot;"/>
        <cfvo type="formula" val="&quot;S&quot;"/>
        <cfvo type="formula" val="&quot;L&quot;"/>
        <color rgb="FFF8696B"/>
        <color rgb="FFFFEB84"/>
        <color rgb="FF63BE7B"/>
      </colorScale>
    </cfRule>
  </conditionalFormatting>
  <conditionalFormatting sqref="AT5:AT200">
    <cfRule type="containsText" dxfId="490" priority="16" operator="containsText" text="D">
      <formula>NOT(ISERROR(SEARCH("D",AT5)))</formula>
    </cfRule>
    <cfRule type="containsText" dxfId="489" priority="17" operator="containsText" text="S">
      <formula>NOT(ISERROR(SEARCH("S",AT5)))</formula>
    </cfRule>
    <cfRule type="containsText" dxfId="488" priority="18" operator="containsText" text="L">
      <formula>NOT(ISERROR(SEARCH("L",AT5)))</formula>
    </cfRule>
  </conditionalFormatting>
  <dataValidations count="2">
    <dataValidation type="list" allowBlank="1" showInputMessage="1" showErrorMessage="1" sqref="G6:G200 P6:P200 Y6:Y200 AH6:AH200 AQ6:AQ200 AZ6:AZ200">
      <formula1>SITIOS_1</formula1>
    </dataValidation>
    <dataValidation type="list" allowBlank="1" showInputMessage="1" showErrorMessage="1" sqref="H6:H200 I6:I200 Q6:Q200 R6:R200 Z6:Z200 AA6:AA200 AI6:AI200 AJ6:AJ200 AR6:AR200 AS6:AS200 BA6:BA200 BB6:BB200">
      <formula1>INDIRECT(G6)</formula1>
    </dataValidation>
  </dataValidations>
  <pageMargins left="0.39370078740157483" right="0.39370078740157483" top="0.39370078740157483" bottom="0.39370078740157483" header="0" footer="0"/>
  <pageSetup orientation="portrait" horizontalDpi="4294967293" verticalDpi="4294967293" r:id="rId3"/>
  <headerFooter>
    <oddHeader>&amp;CREPORTE DE TRASLADO</oddHeader>
  </headerFooter>
  <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5" operator="greaterThan" id="{2D7FE797-33D9-442C-9F86-A7446DAB4160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B5:J200</xm:sqref>
        </x14:conditionalFormatting>
        <x14:conditionalFormatting xmlns:xm="http://schemas.microsoft.com/office/excel/2006/main">
          <x14:cfRule type="cellIs" priority="14" operator="greaterThan" id="{88CBCADF-AD4E-446C-9440-E3B26F6D0010}">
            <xm:f>RESUMEN!$U$2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K201:Q201 K6:R200</xm:sqref>
        </x14:conditionalFormatting>
        <x14:conditionalFormatting xmlns:xm="http://schemas.microsoft.com/office/excel/2006/main">
          <x14:cfRule type="cellIs" priority="13" operator="greaterThan" id="{DA233172-75AC-4126-AA48-EF00A33AF58A}">
            <xm:f>RESUMEN!$AG$2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T6:AA200</xm:sqref>
        </x14:conditionalFormatting>
        <x14:conditionalFormatting xmlns:xm="http://schemas.microsoft.com/office/excel/2006/main">
          <x14:cfRule type="cellIs" priority="12" operator="greaterThan" id="{9AA09604-74E7-461C-ADEA-317BD5E33117}">
            <xm:f>RESUMEN!$AS$2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AC6:AK200 AK5</xm:sqref>
        </x14:conditionalFormatting>
        <x14:conditionalFormatting xmlns:xm="http://schemas.microsoft.com/office/excel/2006/main">
          <x14:cfRule type="cellIs" priority="11" operator="greaterThan" id="{53FF727F-213F-4B00-9EA5-EC03F7C3B36E}">
            <xm:f>RESUMEN!$BE$2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AL6:AS200</xm:sqref>
        </x14:conditionalFormatting>
        <x14:conditionalFormatting xmlns:xm="http://schemas.microsoft.com/office/excel/2006/main">
          <x14:cfRule type="cellIs" priority="10" operator="greaterThan" id="{60C05F85-7F5B-47BC-AC31-5F90B9F14132}">
            <xm:f>RESUMEN!$BQ$2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AU6:BB200</xm:sqref>
        </x14:conditionalFormatting>
        <x14:conditionalFormatting xmlns:xm="http://schemas.microsoft.com/office/excel/2006/main">
          <x14:cfRule type="cellIs" priority="9" operator="greaterThan" id="{38B37291-9885-4760-BCA6-B4F3D5F30462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S5</xm:sqref>
        </x14:conditionalFormatting>
        <x14:conditionalFormatting xmlns:xm="http://schemas.microsoft.com/office/excel/2006/main">
          <x14:cfRule type="cellIs" priority="8" operator="greaterThan" id="{2F1DE017-FA4E-4017-B846-8AF47DCBAF94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AB5</xm:sqref>
        </x14:conditionalFormatting>
        <x14:conditionalFormatting xmlns:xm="http://schemas.microsoft.com/office/excel/2006/main">
          <x14:cfRule type="cellIs" priority="5" operator="greaterThan" id="{3938E906-DC19-4C23-82D6-188EE5839E9F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AL5:AS5</xm:sqref>
        </x14:conditionalFormatting>
        <x14:conditionalFormatting xmlns:xm="http://schemas.microsoft.com/office/excel/2006/main">
          <x14:cfRule type="cellIs" priority="4" operator="greaterThan" id="{6D40A12C-679F-44BF-BC8E-FDBF320CC751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K5:R5</xm:sqref>
        </x14:conditionalFormatting>
        <x14:conditionalFormatting xmlns:xm="http://schemas.microsoft.com/office/excel/2006/main">
          <x14:cfRule type="cellIs" priority="3" operator="greaterThan" id="{F315CEAA-88D7-4A9B-92B3-040796816D44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T5:AA5</xm:sqref>
        </x14:conditionalFormatting>
        <x14:conditionalFormatting xmlns:xm="http://schemas.microsoft.com/office/excel/2006/main">
          <x14:cfRule type="cellIs" priority="2" operator="greaterThan" id="{D1FE019E-95F4-41BB-9B1B-E9E0B3D00E2E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AC5:AJ5</xm:sqref>
        </x14:conditionalFormatting>
        <x14:conditionalFormatting xmlns:xm="http://schemas.microsoft.com/office/excel/2006/main">
          <x14:cfRule type="cellIs" priority="1" operator="greaterThan" id="{10AE76DC-8991-41C1-8F4C-E83180F7B365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AU5:BB5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1:AZ248"/>
  <sheetViews>
    <sheetView showGridLines="0" view="pageLayout" topLeftCell="A73" zoomScaleNormal="100" workbookViewId="0">
      <selection activeCell="M103" sqref="M103"/>
    </sheetView>
  </sheetViews>
  <sheetFormatPr baseColWidth="10" defaultColWidth="0" defaultRowHeight="15" x14ac:dyDescent="0.25"/>
  <cols>
    <col min="1" max="1" width="2.5703125" style="70" customWidth="1"/>
    <col min="2" max="4" width="11.42578125" style="70" customWidth="1"/>
    <col min="5" max="5" width="15.140625" style="81" customWidth="1"/>
    <col min="6" max="6" width="11.42578125" style="70" customWidth="1"/>
    <col min="7" max="7" width="11.42578125" style="72" customWidth="1"/>
    <col min="8" max="8" width="11.42578125" style="70" customWidth="1"/>
    <col min="9" max="9" width="11.42578125" style="71" customWidth="1"/>
    <col min="10" max="12" width="11.42578125" style="70" customWidth="1"/>
    <col min="13" max="13" width="16.42578125" style="81" customWidth="1"/>
    <col min="14" max="14" width="11.42578125" style="70" customWidth="1"/>
    <col min="15" max="15" width="11.42578125" style="72" customWidth="1"/>
    <col min="16" max="16" width="11.42578125" style="70" customWidth="1"/>
    <col min="17" max="17" width="11.42578125" style="71" customWidth="1"/>
    <col min="18" max="20" width="11.42578125" style="70" customWidth="1"/>
    <col min="21" max="21" width="18.28515625" style="81" customWidth="1"/>
    <col min="22" max="22" width="11.42578125" style="70" customWidth="1"/>
    <col min="23" max="23" width="11.42578125" style="72" customWidth="1"/>
    <col min="24" max="24" width="11.42578125" style="70" customWidth="1"/>
    <col min="25" max="25" width="11.42578125" style="71" customWidth="1"/>
    <col min="26" max="28" width="11.28515625" style="70" customWidth="1"/>
    <col min="29" max="29" width="11.28515625" style="81" customWidth="1"/>
    <col min="30" max="30" width="11.28515625" style="70" customWidth="1"/>
    <col min="31" max="31" width="11.28515625" style="72" customWidth="1"/>
    <col min="32" max="32" width="11.28515625" style="70" customWidth="1"/>
    <col min="33" max="33" width="11.42578125" style="71" customWidth="1"/>
    <col min="34" max="36" width="11.42578125" style="70" customWidth="1"/>
    <col min="37" max="37" width="16.28515625" style="81" customWidth="1"/>
    <col min="38" max="38" width="11.42578125" style="70" customWidth="1"/>
    <col min="39" max="39" width="11.42578125" style="72" customWidth="1"/>
    <col min="40" max="40" width="11.42578125" style="70" customWidth="1"/>
    <col min="41" max="41" width="11.42578125" style="71" customWidth="1"/>
    <col min="42" max="44" width="11.42578125" style="70" customWidth="1"/>
    <col min="45" max="45" width="20" style="81" customWidth="1"/>
    <col min="46" max="46" width="11.42578125" style="70" customWidth="1"/>
    <col min="47" max="47" width="11.42578125" style="72" customWidth="1"/>
    <col min="48" max="51" width="11.42578125" style="70" customWidth="1"/>
    <col min="52" max="52" width="27.28515625" style="70" bestFit="1" customWidth="1"/>
    <col min="53" max="56" width="11.42578125" style="70" customWidth="1"/>
    <col min="57" max="57" width="0" style="70" hidden="1" customWidth="1"/>
    <col min="58" max="16384" width="0" style="70" hidden="1"/>
  </cols>
  <sheetData>
    <row r="1" spans="2:52" x14ac:dyDescent="0.25">
      <c r="D1" s="70" t="s">
        <v>33</v>
      </c>
      <c r="E1" s="81" t="str">
        <f>RESUMEN!F2</f>
        <v>ESPERANZA</v>
      </c>
      <c r="F1" s="70" t="s">
        <v>89</v>
      </c>
      <c r="G1" s="72">
        <f>RESUMEN!I5</f>
        <v>0</v>
      </c>
      <c r="H1" s="82"/>
      <c r="I1" s="83"/>
      <c r="L1" s="70" t="s">
        <v>33</v>
      </c>
      <c r="M1" s="81" t="str">
        <f>E1</f>
        <v>ESPERANZA</v>
      </c>
      <c r="N1" s="70" t="s">
        <v>89</v>
      </c>
      <c r="O1" s="72">
        <f>RESUMEN!U5</f>
        <v>0</v>
      </c>
      <c r="P1" s="82"/>
      <c r="Q1" s="83"/>
      <c r="T1" s="70" t="s">
        <v>33</v>
      </c>
      <c r="U1" s="81" t="str">
        <f>M1</f>
        <v>ESPERANZA</v>
      </c>
      <c r="V1" s="70" t="s">
        <v>89</v>
      </c>
      <c r="W1" s="72">
        <f>RESUMEN!AG5</f>
        <v>0</v>
      </c>
      <c r="X1" s="82"/>
      <c r="Y1" s="83"/>
      <c r="AB1" s="70" t="s">
        <v>33</v>
      </c>
      <c r="AC1" s="81" t="str">
        <f>U1</f>
        <v>ESPERANZA</v>
      </c>
      <c r="AD1" s="70" t="s">
        <v>89</v>
      </c>
      <c r="AE1" s="72">
        <f>RESUMEN!AS5</f>
        <v>0</v>
      </c>
      <c r="AF1" s="82"/>
      <c r="AG1" s="83"/>
      <c r="AJ1" s="70" t="s">
        <v>33</v>
      </c>
      <c r="AK1" s="81" t="str">
        <f>AC1</f>
        <v>ESPERANZA</v>
      </c>
      <c r="AL1" s="70" t="s">
        <v>89</v>
      </c>
      <c r="AM1" s="72">
        <f>RESUMEN!BE5</f>
        <v>0</v>
      </c>
      <c r="AN1" s="82"/>
      <c r="AO1" s="83"/>
      <c r="AR1" s="70" t="s">
        <v>33</v>
      </c>
      <c r="AS1" s="81" t="str">
        <f>AK1</f>
        <v>ESPERANZA</v>
      </c>
      <c r="AT1" s="70" t="s">
        <v>89</v>
      </c>
      <c r="AU1" s="72">
        <f>RESUMEN!BQ5</f>
        <v>0</v>
      </c>
      <c r="AV1" s="82"/>
    </row>
    <row r="2" spans="2:52" x14ac:dyDescent="0.25">
      <c r="D2" s="71" t="s">
        <v>19</v>
      </c>
      <c r="E2" s="84">
        <f>RESUMEN!F5</f>
        <v>18044</v>
      </c>
      <c r="H2" s="82"/>
      <c r="I2" s="83"/>
      <c r="L2" s="70" t="s">
        <v>19</v>
      </c>
      <c r="M2" s="85">
        <f>RESUMEN!R5</f>
        <v>18045</v>
      </c>
      <c r="P2" s="82"/>
      <c r="Q2" s="83"/>
      <c r="T2" s="70" t="s">
        <v>19</v>
      </c>
      <c r="U2" s="85">
        <f>RESUMEN!AD5</f>
        <v>18046</v>
      </c>
      <c r="X2" s="82"/>
      <c r="Y2" s="83"/>
      <c r="AB2" s="70" t="s">
        <v>19</v>
      </c>
      <c r="AC2" s="86">
        <f>RESUMEN!AP5</f>
        <v>18047</v>
      </c>
      <c r="AF2" s="82"/>
      <c r="AG2" s="83"/>
      <c r="AJ2" s="70" t="s">
        <v>19</v>
      </c>
      <c r="AK2" s="85">
        <f>RESUMEN!BB5</f>
        <v>18048</v>
      </c>
      <c r="AN2" s="82"/>
      <c r="AO2" s="83"/>
      <c r="AR2" s="70" t="s">
        <v>19</v>
      </c>
      <c r="AS2" s="85">
        <f>RESUMEN!BN5</f>
        <v>18049</v>
      </c>
      <c r="AV2" s="82"/>
    </row>
    <row r="3" spans="2:52" x14ac:dyDescent="0.25">
      <c r="D3" s="71" t="s">
        <v>21</v>
      </c>
      <c r="E3" s="84" t="str">
        <f>RESUMEN!F4</f>
        <v>Tejaban 7 y 10</v>
      </c>
      <c r="H3" s="82"/>
      <c r="I3" s="83"/>
      <c r="L3" s="70" t="s">
        <v>21</v>
      </c>
      <c r="M3" s="87" t="str">
        <f>RESUMEN!R4</f>
        <v>Tejaban 7 y 10</v>
      </c>
      <c r="P3" s="82"/>
      <c r="Q3" s="83"/>
      <c r="T3" s="70" t="s">
        <v>21</v>
      </c>
      <c r="U3" s="87" t="str">
        <f>RESUMEN!AD4</f>
        <v>Tejaban 7 y 10</v>
      </c>
      <c r="X3" s="82"/>
      <c r="Y3" s="83"/>
      <c r="AB3" s="70" t="s">
        <v>21</v>
      </c>
      <c r="AC3" s="87" t="str">
        <f>RESUMEN!AP4</f>
        <v>Tejaban 5 y 9</v>
      </c>
      <c r="AF3" s="82"/>
      <c r="AG3" s="83"/>
      <c r="AJ3" s="70" t="s">
        <v>21</v>
      </c>
      <c r="AK3" s="87" t="str">
        <f>RESUMEN!BB4</f>
        <v>Tejaban 5 y 9</v>
      </c>
      <c r="AN3" s="82"/>
      <c r="AO3" s="83"/>
      <c r="AR3" s="70" t="s">
        <v>21</v>
      </c>
      <c r="AS3" s="87" t="str">
        <f>RESUMEN!BN4</f>
        <v>Tejaban 5 y 9</v>
      </c>
      <c r="AV3" s="82"/>
    </row>
    <row r="4" spans="2:52" x14ac:dyDescent="0.25">
      <c r="D4" s="71" t="s">
        <v>23</v>
      </c>
      <c r="E4" s="88">
        <f>RESUMEN!L249</f>
        <v>1460</v>
      </c>
      <c r="H4" s="82"/>
      <c r="I4" s="83"/>
      <c r="L4" s="70" t="s">
        <v>23</v>
      </c>
      <c r="M4" s="89">
        <f>RESUMEN!X249</f>
        <v>1520</v>
      </c>
      <c r="P4" s="82"/>
      <c r="Q4" s="83"/>
      <c r="T4" s="70" t="s">
        <v>23</v>
      </c>
      <c r="U4" s="89">
        <f>RESUMEN!AJ249</f>
        <v>1724</v>
      </c>
      <c r="X4" s="82"/>
      <c r="Y4" s="83"/>
      <c r="AB4" s="70" t="s">
        <v>23</v>
      </c>
      <c r="AC4" s="89">
        <f>RESUMEN!AV249</f>
        <v>2076</v>
      </c>
      <c r="AF4" s="82"/>
      <c r="AG4" s="83"/>
      <c r="AJ4" s="70" t="s">
        <v>23</v>
      </c>
      <c r="AK4" s="89">
        <f>RESUMEN!BH249</f>
        <v>2081</v>
      </c>
      <c r="AN4" s="82"/>
      <c r="AO4" s="83"/>
      <c r="AR4" s="70" t="s">
        <v>23</v>
      </c>
      <c r="AS4" s="89">
        <f>RESUMEN!BT249</f>
        <v>2241</v>
      </c>
      <c r="AV4" s="82"/>
    </row>
    <row r="5" spans="2:52" x14ac:dyDescent="0.25">
      <c r="B5" s="54" t="s">
        <v>24</v>
      </c>
      <c r="C5" s="54" t="s">
        <v>25</v>
      </c>
      <c r="D5" s="54" t="s">
        <v>26</v>
      </c>
      <c r="E5" s="53" t="s">
        <v>31</v>
      </c>
      <c r="F5" s="54" t="s">
        <v>28</v>
      </c>
      <c r="G5" s="66" t="s">
        <v>29</v>
      </c>
      <c r="H5" s="50" t="s">
        <v>30</v>
      </c>
      <c r="I5" s="90"/>
      <c r="J5" s="73" t="s">
        <v>24</v>
      </c>
      <c r="K5" s="54" t="s">
        <v>25</v>
      </c>
      <c r="L5" s="54" t="s">
        <v>26</v>
      </c>
      <c r="M5" s="53" t="s">
        <v>31</v>
      </c>
      <c r="N5" s="54" t="s">
        <v>28</v>
      </c>
      <c r="O5" s="66" t="s">
        <v>29</v>
      </c>
      <c r="P5" s="50" t="s">
        <v>30</v>
      </c>
      <c r="Q5" s="90"/>
      <c r="R5" s="73" t="s">
        <v>24</v>
      </c>
      <c r="S5" s="54" t="s">
        <v>25</v>
      </c>
      <c r="T5" s="54" t="s">
        <v>26</v>
      </c>
      <c r="U5" s="53" t="s">
        <v>31</v>
      </c>
      <c r="V5" s="54" t="s">
        <v>28</v>
      </c>
      <c r="W5" s="66" t="s">
        <v>29</v>
      </c>
      <c r="X5" s="50" t="s">
        <v>30</v>
      </c>
      <c r="Y5" s="90"/>
      <c r="Z5" s="115" t="s">
        <v>278</v>
      </c>
      <c r="AA5" s="54" t="s">
        <v>25</v>
      </c>
      <c r="AB5" s="54" t="s">
        <v>26</v>
      </c>
      <c r="AC5" s="53" t="s">
        <v>31</v>
      </c>
      <c r="AD5" s="54" t="s">
        <v>28</v>
      </c>
      <c r="AE5" s="66" t="s">
        <v>29</v>
      </c>
      <c r="AF5" s="116" t="s">
        <v>30</v>
      </c>
      <c r="AG5" s="83"/>
      <c r="AH5" s="73" t="s">
        <v>24</v>
      </c>
      <c r="AI5" s="54" t="s">
        <v>25</v>
      </c>
      <c r="AJ5" s="54" t="s">
        <v>26</v>
      </c>
      <c r="AK5" s="53" t="s">
        <v>31</v>
      </c>
      <c r="AL5" s="54" t="s">
        <v>28</v>
      </c>
      <c r="AM5" s="66" t="s">
        <v>29</v>
      </c>
      <c r="AN5" s="50" t="s">
        <v>30</v>
      </c>
      <c r="AO5" s="90"/>
      <c r="AP5" s="73" t="s">
        <v>24</v>
      </c>
      <c r="AQ5" s="54" t="s">
        <v>25</v>
      </c>
      <c r="AR5" s="54" t="s">
        <v>26</v>
      </c>
      <c r="AS5" s="53" t="s">
        <v>31</v>
      </c>
      <c r="AT5" s="54" t="s">
        <v>28</v>
      </c>
      <c r="AU5" s="66" t="s">
        <v>29</v>
      </c>
      <c r="AV5" s="50" t="s">
        <v>30</v>
      </c>
      <c r="AZ5" s="112" t="s">
        <v>116</v>
      </c>
    </row>
    <row r="6" spans="2:52" x14ac:dyDescent="0.25">
      <c r="B6" s="46">
        <v>43263</v>
      </c>
      <c r="C6" s="47">
        <f>WEEKNUM(B6-RESUMEN!$D$7)</f>
        <v>4</v>
      </c>
      <c r="D6" s="47">
        <f>_xlfn.DAYS(B6,RESUMEN!$D$7)</f>
        <v>25</v>
      </c>
      <c r="E6" s="48" t="s">
        <v>123</v>
      </c>
      <c r="F6" s="49">
        <v>-1</v>
      </c>
      <c r="G6" s="64">
        <v>4</v>
      </c>
      <c r="H6" s="50">
        <f>G6/F6</f>
        <v>-4</v>
      </c>
      <c r="I6" s="90"/>
      <c r="J6" s="113">
        <v>43267</v>
      </c>
      <c r="K6" s="47">
        <f>WEEKNUM(J6-RESUMEN!$P$7)</f>
        <v>4</v>
      </c>
      <c r="L6" s="47">
        <f>_xlfn.DAYS(J6,RESUMEN!$P$7)</f>
        <v>25</v>
      </c>
      <c r="M6" s="48" t="s">
        <v>271</v>
      </c>
      <c r="N6" s="49">
        <v>-1</v>
      </c>
      <c r="O6" s="64">
        <v>3</v>
      </c>
      <c r="P6" s="50">
        <f>O6/N6</f>
        <v>-3</v>
      </c>
      <c r="Q6" s="90"/>
      <c r="R6" s="114">
        <v>43274</v>
      </c>
      <c r="S6" s="47">
        <f>WEEKNUM(R6-RESUMEN!$AB$7)</f>
        <v>4</v>
      </c>
      <c r="T6" s="47">
        <f>_xlfn.DAYS(R6,RESUMEN!$AB$7)</f>
        <v>27</v>
      </c>
      <c r="U6" s="48" t="s">
        <v>275</v>
      </c>
      <c r="V6" s="49">
        <v>-2</v>
      </c>
      <c r="W6" s="64">
        <v>13</v>
      </c>
      <c r="X6" s="50">
        <f>W6/V6</f>
        <v>-6.5</v>
      </c>
      <c r="Y6" s="90"/>
      <c r="Z6" s="113">
        <v>43277</v>
      </c>
      <c r="AA6" s="47">
        <f>WEEKNUM(Z6-RESUMEN!$AN$7)</f>
        <v>4</v>
      </c>
      <c r="AB6" s="47">
        <f>_xlfn.DAYS(Z6,RESUMEN!$AN$7)</f>
        <v>23</v>
      </c>
      <c r="AC6" s="48" t="s">
        <v>275</v>
      </c>
      <c r="AD6" s="49">
        <v>-1</v>
      </c>
      <c r="AE6" s="64">
        <v>8</v>
      </c>
      <c r="AF6" s="116">
        <f>AE6/AD6</f>
        <v>-8</v>
      </c>
      <c r="AG6" s="83"/>
      <c r="AH6" s="117">
        <v>43285</v>
      </c>
      <c r="AI6" s="47">
        <f>WEEKNUM(AH6-RESUMEN!$AZ$7)</f>
        <v>4</v>
      </c>
      <c r="AJ6" s="47">
        <f>_xlfn.DAYS(AH6,RESUMEN!$AZ$7)</f>
        <v>24</v>
      </c>
      <c r="AK6" s="79" t="s">
        <v>275</v>
      </c>
      <c r="AL6" s="53">
        <v>-1</v>
      </c>
      <c r="AM6" s="91">
        <v>6</v>
      </c>
      <c r="AN6" s="50">
        <f>AM6/AL6</f>
        <v>-6</v>
      </c>
      <c r="AO6" s="90"/>
      <c r="AP6" s="117">
        <v>43293</v>
      </c>
      <c r="AQ6" s="47">
        <f>WEEKNUM(AP6-RESUMEN!$BL$7)</f>
        <v>4</v>
      </c>
      <c r="AR6" s="47">
        <f>_xlfn.DAYS(AP6,RESUMEN!$BL$7)</f>
        <v>26</v>
      </c>
      <c r="AS6" s="79" t="s">
        <v>281</v>
      </c>
      <c r="AT6" s="53">
        <v>-1</v>
      </c>
      <c r="AU6" s="91">
        <v>7</v>
      </c>
      <c r="AV6" s="50">
        <f>AU6/AT6</f>
        <v>-7</v>
      </c>
      <c r="AZ6" s="112" t="s">
        <v>117</v>
      </c>
    </row>
    <row r="7" spans="2:52" x14ac:dyDescent="0.25">
      <c r="B7" s="46">
        <v>43263</v>
      </c>
      <c r="C7" s="47">
        <f>WEEKNUM(B7-RESUMEN!$D$7)</f>
        <v>4</v>
      </c>
      <c r="D7" s="47">
        <f>_xlfn.DAYS(B7,RESUMEN!$D$7)</f>
        <v>25</v>
      </c>
      <c r="E7" s="48" t="s">
        <v>165</v>
      </c>
      <c r="F7" s="49">
        <v>-1</v>
      </c>
      <c r="G7" s="64">
        <v>4</v>
      </c>
      <c r="H7" s="50">
        <f t="shared" ref="H7:H70" si="0">G7/F7</f>
        <v>-4</v>
      </c>
      <c r="I7" s="90"/>
      <c r="J7" s="113">
        <v>43270</v>
      </c>
      <c r="K7" s="47">
        <f>WEEKNUM(J7-RESUMEN!$P$7)</f>
        <v>4</v>
      </c>
      <c r="L7" s="47">
        <f>_xlfn.DAYS(J7,RESUMEN!$P$7)</f>
        <v>28</v>
      </c>
      <c r="M7" s="48" t="s">
        <v>165</v>
      </c>
      <c r="N7" s="49">
        <v>-2</v>
      </c>
      <c r="O7" s="64">
        <v>8</v>
      </c>
      <c r="P7" s="50">
        <f t="shared" ref="P7:P70" si="1">O7/N7</f>
        <v>-4</v>
      </c>
      <c r="Q7" s="90"/>
      <c r="R7" s="114">
        <v>43275</v>
      </c>
      <c r="S7" s="47">
        <f>WEEKNUM(R7-RESUMEN!$AB$7)</f>
        <v>4</v>
      </c>
      <c r="T7" s="47">
        <f>_xlfn.DAYS(R7,RESUMEN!$AB$7)</f>
        <v>28</v>
      </c>
      <c r="U7" s="48" t="s">
        <v>271</v>
      </c>
      <c r="V7" s="49">
        <v>-1</v>
      </c>
      <c r="W7" s="64">
        <v>2</v>
      </c>
      <c r="X7" s="50">
        <f t="shared" ref="X7:X70" si="2">W7/V7</f>
        <v>-2</v>
      </c>
      <c r="Y7" s="90"/>
      <c r="Z7" s="113">
        <v>43279</v>
      </c>
      <c r="AA7" s="47">
        <f>WEEKNUM(Z7-RESUMEN!$AN$7)</f>
        <v>4</v>
      </c>
      <c r="AB7" s="47">
        <f>_xlfn.DAYS(Z7,RESUMEN!$AN$7)</f>
        <v>25</v>
      </c>
      <c r="AC7" s="48" t="s">
        <v>275</v>
      </c>
      <c r="AD7" s="49">
        <v>-1</v>
      </c>
      <c r="AE7" s="64">
        <v>5</v>
      </c>
      <c r="AF7" s="116">
        <f t="shared" ref="AF7:AF70" si="3">AE7/AD7</f>
        <v>-5</v>
      </c>
      <c r="AG7" s="83"/>
      <c r="AH7" s="117">
        <v>43285</v>
      </c>
      <c r="AI7" s="47">
        <f>WEEKNUM(AH7-RESUMEN!$AZ$7)</f>
        <v>4</v>
      </c>
      <c r="AJ7" s="47">
        <f>_xlfn.DAYS(AH7,RESUMEN!$AZ$7)</f>
        <v>24</v>
      </c>
      <c r="AK7" s="79" t="s">
        <v>277</v>
      </c>
      <c r="AL7" s="53">
        <v>-1</v>
      </c>
      <c r="AM7" s="91">
        <v>4</v>
      </c>
      <c r="AN7" s="50">
        <f t="shared" ref="AN7:AN70" si="4">AM7/AL7</f>
        <v>-4</v>
      </c>
      <c r="AO7" s="90"/>
      <c r="AP7" s="113">
        <v>43293</v>
      </c>
      <c r="AQ7" s="47">
        <f>WEEKNUM(AP7-RESUMEN!$BL$7)</f>
        <v>4</v>
      </c>
      <c r="AR7" s="47">
        <f>_xlfn.DAYS(AP7,RESUMEN!$BL$7)</f>
        <v>26</v>
      </c>
      <c r="AS7" s="79" t="s">
        <v>275</v>
      </c>
      <c r="AT7" s="53">
        <v>-1</v>
      </c>
      <c r="AU7" s="91">
        <v>7</v>
      </c>
      <c r="AV7" s="50">
        <f t="shared" ref="AV7:AV70" si="5">AU7/AT7</f>
        <v>-7</v>
      </c>
      <c r="AZ7" s="112" t="s">
        <v>118</v>
      </c>
    </row>
    <row r="8" spans="2:52" x14ac:dyDescent="0.25">
      <c r="B8" s="46">
        <v>43263</v>
      </c>
      <c r="C8" s="47">
        <f>WEEKNUM(B8-RESUMEN!$D$7)</f>
        <v>4</v>
      </c>
      <c r="D8" s="47">
        <f>_xlfn.DAYS(B8,RESUMEN!$D$7)</f>
        <v>25</v>
      </c>
      <c r="E8" s="48" t="s">
        <v>159</v>
      </c>
      <c r="F8" s="49">
        <v>-2</v>
      </c>
      <c r="G8" s="64">
        <v>8</v>
      </c>
      <c r="H8" s="50">
        <f t="shared" si="0"/>
        <v>-4</v>
      </c>
      <c r="I8" s="90"/>
      <c r="J8" s="113">
        <v>43271</v>
      </c>
      <c r="K8" s="47">
        <f>WEEKNUM(J8-RESUMEN!$P$7)</f>
        <v>5</v>
      </c>
      <c r="L8" s="47">
        <f>_xlfn.DAYS(J8,RESUMEN!$P$7)</f>
        <v>29</v>
      </c>
      <c r="M8" s="48" t="s">
        <v>165</v>
      </c>
      <c r="N8" s="49">
        <v>-2</v>
      </c>
      <c r="O8" s="64">
        <v>11</v>
      </c>
      <c r="P8" s="50">
        <f t="shared" si="1"/>
        <v>-5.5</v>
      </c>
      <c r="Q8" s="90"/>
      <c r="R8" s="114">
        <v>43275</v>
      </c>
      <c r="S8" s="47">
        <f>WEEKNUM(R8-RESUMEN!$AB$7)</f>
        <v>4</v>
      </c>
      <c r="T8" s="47">
        <f>_xlfn.DAYS(R8,RESUMEN!$AB$7)</f>
        <v>28</v>
      </c>
      <c r="U8" s="48" t="s">
        <v>272</v>
      </c>
      <c r="V8" s="49">
        <v>-1</v>
      </c>
      <c r="W8" s="64">
        <v>5</v>
      </c>
      <c r="X8" s="50">
        <f t="shared" si="2"/>
        <v>-5</v>
      </c>
      <c r="Y8" s="90"/>
      <c r="Z8" s="113">
        <v>43282</v>
      </c>
      <c r="AA8" s="47">
        <f>WEEKNUM(Z8-RESUMEN!$AN$7)</f>
        <v>4</v>
      </c>
      <c r="AB8" s="47">
        <f>_xlfn.DAYS(Z8,RESUMEN!$AN$7)</f>
        <v>28</v>
      </c>
      <c r="AC8" s="48" t="s">
        <v>165</v>
      </c>
      <c r="AD8" s="49">
        <v>-1</v>
      </c>
      <c r="AE8" s="64">
        <v>7</v>
      </c>
      <c r="AF8" s="116">
        <f t="shared" si="3"/>
        <v>-7</v>
      </c>
      <c r="AG8" s="83"/>
      <c r="AH8" s="117">
        <v>43288</v>
      </c>
      <c r="AI8" s="47">
        <f>WEEKNUM(AH8-RESUMEN!$AZ$7)</f>
        <v>4</v>
      </c>
      <c r="AJ8" s="47">
        <f>_xlfn.DAYS(AH8,RESUMEN!$AZ$7)</f>
        <v>27</v>
      </c>
      <c r="AK8" s="79" t="s">
        <v>281</v>
      </c>
      <c r="AL8" s="53">
        <v>-1</v>
      </c>
      <c r="AM8" s="91">
        <v>6</v>
      </c>
      <c r="AN8" s="50">
        <f t="shared" si="4"/>
        <v>-6</v>
      </c>
      <c r="AO8" s="90"/>
      <c r="AP8" s="117">
        <v>43298</v>
      </c>
      <c r="AQ8" s="47">
        <f>WEEKNUM(AP8-RESUMEN!$BL$7)</f>
        <v>5</v>
      </c>
      <c r="AR8" s="47">
        <f>_xlfn.DAYS(AP8,RESUMEN!$BL$7)</f>
        <v>31</v>
      </c>
      <c r="AS8" s="79" t="s">
        <v>282</v>
      </c>
      <c r="AT8" s="53">
        <v>-5</v>
      </c>
      <c r="AU8" s="91">
        <v>22</v>
      </c>
      <c r="AV8" s="50">
        <f t="shared" si="5"/>
        <v>-4.4000000000000004</v>
      </c>
      <c r="AZ8" s="112" t="s">
        <v>119</v>
      </c>
    </row>
    <row r="9" spans="2:52" x14ac:dyDescent="0.25">
      <c r="B9" s="46">
        <v>43264</v>
      </c>
      <c r="C9" s="47">
        <f>WEEKNUM(B9-RESUMEN!$D$7)</f>
        <v>4</v>
      </c>
      <c r="D9" s="47">
        <f>_xlfn.DAYS(B9,RESUMEN!$D$7)</f>
        <v>26</v>
      </c>
      <c r="E9" s="48" t="s">
        <v>159</v>
      </c>
      <c r="F9" s="49">
        <v>-1</v>
      </c>
      <c r="G9" s="64">
        <v>5</v>
      </c>
      <c r="H9" s="50">
        <f t="shared" si="0"/>
        <v>-5</v>
      </c>
      <c r="I9" s="90"/>
      <c r="J9" s="113">
        <v>43271</v>
      </c>
      <c r="K9" s="47">
        <f>WEEKNUM(J9-RESUMEN!$P$7)</f>
        <v>5</v>
      </c>
      <c r="L9" s="47">
        <f>_xlfn.DAYS(J9,RESUMEN!$P$7)</f>
        <v>29</v>
      </c>
      <c r="M9" s="48" t="s">
        <v>275</v>
      </c>
      <c r="N9" s="49">
        <v>-2</v>
      </c>
      <c r="O9" s="64">
        <v>14</v>
      </c>
      <c r="P9" s="50">
        <f t="shared" si="1"/>
        <v>-7</v>
      </c>
      <c r="Q9" s="90"/>
      <c r="R9" s="114">
        <v>43275</v>
      </c>
      <c r="S9" s="47">
        <f>WEEKNUM(R9-RESUMEN!$AB$7)</f>
        <v>4</v>
      </c>
      <c r="T9" s="47">
        <f>_xlfn.DAYS(R9,RESUMEN!$AB$7)</f>
        <v>28</v>
      </c>
      <c r="U9" s="48" t="s">
        <v>275</v>
      </c>
      <c r="V9" s="49">
        <v>-1</v>
      </c>
      <c r="W9" s="64">
        <v>6</v>
      </c>
      <c r="X9" s="50">
        <f t="shared" si="2"/>
        <v>-6</v>
      </c>
      <c r="Y9" s="90"/>
      <c r="Z9" s="113">
        <v>43284</v>
      </c>
      <c r="AA9" s="47">
        <f>WEEKNUM(Z9-RESUMEN!$AN$7)</f>
        <v>5</v>
      </c>
      <c r="AB9" s="47">
        <f>_xlfn.DAYS(Z9,RESUMEN!$AN$7)</f>
        <v>30</v>
      </c>
      <c r="AC9" s="48" t="s">
        <v>275</v>
      </c>
      <c r="AD9" s="49">
        <v>-1</v>
      </c>
      <c r="AE9" s="64">
        <v>8</v>
      </c>
      <c r="AF9" s="116">
        <f t="shared" si="3"/>
        <v>-8</v>
      </c>
      <c r="AG9" s="83"/>
      <c r="AH9" s="113">
        <v>43288</v>
      </c>
      <c r="AI9" s="47">
        <f>WEEKNUM(AH9-RESUMEN!$AZ$7)</f>
        <v>4</v>
      </c>
      <c r="AJ9" s="47">
        <f>_xlfn.DAYS(AH9,RESUMEN!$AZ$7)</f>
        <v>27</v>
      </c>
      <c r="AK9" s="79" t="s">
        <v>117</v>
      </c>
      <c r="AL9" s="53">
        <v>-1</v>
      </c>
      <c r="AM9" s="91">
        <v>4</v>
      </c>
      <c r="AN9" s="50">
        <f t="shared" si="4"/>
        <v>-4</v>
      </c>
      <c r="AO9" s="90"/>
      <c r="AP9" s="117">
        <v>43299</v>
      </c>
      <c r="AQ9" s="47">
        <f>WEEKNUM(AP9-RESUMEN!$BL$7)</f>
        <v>5</v>
      </c>
      <c r="AR9" s="47">
        <f>_xlfn.DAYS(AP9,RESUMEN!$BL$7)</f>
        <v>32</v>
      </c>
      <c r="AS9" s="79" t="s">
        <v>295</v>
      </c>
      <c r="AT9" s="53">
        <v>-1</v>
      </c>
      <c r="AU9" s="91">
        <v>2</v>
      </c>
      <c r="AV9" s="50">
        <f t="shared" si="5"/>
        <v>-2</v>
      </c>
      <c r="AZ9" s="112" t="s">
        <v>120</v>
      </c>
    </row>
    <row r="10" spans="2:52" x14ac:dyDescent="0.25">
      <c r="B10" s="46">
        <v>43265</v>
      </c>
      <c r="C10" s="47">
        <f>WEEKNUM(B10-RESUMEN!$D$7)</f>
        <v>4</v>
      </c>
      <c r="D10" s="47">
        <f>_xlfn.DAYS(B10,RESUMEN!$D$7)</f>
        <v>27</v>
      </c>
      <c r="E10" s="48" t="s">
        <v>123</v>
      </c>
      <c r="F10" s="49">
        <v>-2</v>
      </c>
      <c r="G10" s="64">
        <v>10</v>
      </c>
      <c r="H10" s="50">
        <f t="shared" si="0"/>
        <v>-5</v>
      </c>
      <c r="I10" s="90"/>
      <c r="J10" s="113">
        <v>43272</v>
      </c>
      <c r="K10" s="47">
        <f>WEEKNUM(J10-RESUMEN!$P$7)</f>
        <v>5</v>
      </c>
      <c r="L10" s="47">
        <f>_xlfn.DAYS(J10,RESUMEN!$P$7)</f>
        <v>30</v>
      </c>
      <c r="M10" s="48" t="s">
        <v>277</v>
      </c>
      <c r="N10" s="49">
        <v>-4</v>
      </c>
      <c r="O10" s="64">
        <v>14</v>
      </c>
      <c r="P10" s="50">
        <f t="shared" si="1"/>
        <v>-3.5</v>
      </c>
      <c r="Q10" s="90"/>
      <c r="R10" s="114">
        <v>43276</v>
      </c>
      <c r="S10" s="47">
        <f>WEEKNUM(R10-RESUMEN!$AB$7)</f>
        <v>5</v>
      </c>
      <c r="T10" s="47">
        <f>_xlfn.DAYS(R10,RESUMEN!$AB$7)</f>
        <v>29</v>
      </c>
      <c r="U10" s="48" t="s">
        <v>274</v>
      </c>
      <c r="V10" s="49">
        <v>-2</v>
      </c>
      <c r="W10" s="64">
        <v>15</v>
      </c>
      <c r="X10" s="50">
        <f t="shared" si="2"/>
        <v>-7.5</v>
      </c>
      <c r="Y10" s="90"/>
      <c r="Z10" s="113">
        <v>43286</v>
      </c>
      <c r="AA10" s="47">
        <f>WEEKNUM(Z10-RESUMEN!$AN$7)</f>
        <v>5</v>
      </c>
      <c r="AB10" s="47">
        <f>_xlfn.DAYS(Z10,RESUMEN!$AN$7)</f>
        <v>32</v>
      </c>
      <c r="AC10" s="48" t="s">
        <v>165</v>
      </c>
      <c r="AD10" s="49">
        <v>-1</v>
      </c>
      <c r="AE10" s="64">
        <v>5</v>
      </c>
      <c r="AF10" s="116">
        <f t="shared" si="3"/>
        <v>-5</v>
      </c>
      <c r="AG10" s="83"/>
      <c r="AH10" s="113">
        <v>43290</v>
      </c>
      <c r="AI10" s="47">
        <f>WEEKNUM(AH10-RESUMEN!$AZ$7)</f>
        <v>5</v>
      </c>
      <c r="AJ10" s="47">
        <f>_xlfn.DAYS(AH10,RESUMEN!$AZ$7)</f>
        <v>29</v>
      </c>
      <c r="AK10" s="79" t="s">
        <v>277</v>
      </c>
      <c r="AL10" s="53">
        <v>-1</v>
      </c>
      <c r="AM10" s="91">
        <v>7</v>
      </c>
      <c r="AN10" s="50">
        <f t="shared" si="4"/>
        <v>-7</v>
      </c>
      <c r="AO10" s="90"/>
      <c r="AP10" s="117">
        <v>43300</v>
      </c>
      <c r="AQ10" s="47">
        <f>WEEKNUM(AP10-RESUMEN!$BL$7)</f>
        <v>5</v>
      </c>
      <c r="AR10" s="47">
        <f>_xlfn.DAYS(AP10,RESUMEN!$BL$7)</f>
        <v>33</v>
      </c>
      <c r="AS10" s="79" t="s">
        <v>282</v>
      </c>
      <c r="AT10" s="53">
        <v>-5</v>
      </c>
      <c r="AU10" s="91">
        <v>29</v>
      </c>
      <c r="AV10" s="50">
        <f t="shared" si="5"/>
        <v>-5.8</v>
      </c>
      <c r="AZ10" s="112" t="s">
        <v>121</v>
      </c>
    </row>
    <row r="11" spans="2:52" x14ac:dyDescent="0.25">
      <c r="B11" s="46">
        <v>43265</v>
      </c>
      <c r="C11" s="47">
        <f>WEEKNUM(B11-RESUMEN!$D$7)</f>
        <v>4</v>
      </c>
      <c r="D11" s="47">
        <f>_xlfn.DAYS(B11,RESUMEN!$D$7)</f>
        <v>27</v>
      </c>
      <c r="E11" s="48" t="s">
        <v>124</v>
      </c>
      <c r="F11" s="49">
        <v>-1</v>
      </c>
      <c r="G11" s="64">
        <v>5</v>
      </c>
      <c r="H11" s="50">
        <f t="shared" si="0"/>
        <v>-5</v>
      </c>
      <c r="I11" s="90"/>
      <c r="J11" s="113">
        <v>43272</v>
      </c>
      <c r="K11" s="47">
        <f>WEEKNUM(J11-RESUMEN!$P$7)</f>
        <v>5</v>
      </c>
      <c r="L11" s="47">
        <f>_xlfn.DAYS(J11,RESUMEN!$P$7)</f>
        <v>30</v>
      </c>
      <c r="M11" s="48" t="s">
        <v>271</v>
      </c>
      <c r="N11" s="49">
        <v>-1</v>
      </c>
      <c r="O11" s="64">
        <v>3</v>
      </c>
      <c r="P11" s="50">
        <f t="shared" si="1"/>
        <v>-3</v>
      </c>
      <c r="Q11" s="90"/>
      <c r="R11" s="114">
        <v>43276</v>
      </c>
      <c r="S11" s="47">
        <f>WEEKNUM(R11-RESUMEN!$AB$7)</f>
        <v>5</v>
      </c>
      <c r="T11" s="47">
        <f>_xlfn.DAYS(R11,RESUMEN!$AB$7)</f>
        <v>29</v>
      </c>
      <c r="U11" s="48" t="s">
        <v>275</v>
      </c>
      <c r="V11" s="49">
        <v>-1</v>
      </c>
      <c r="W11" s="64">
        <v>6</v>
      </c>
      <c r="X11" s="50">
        <f t="shared" si="2"/>
        <v>-6</v>
      </c>
      <c r="Y11" s="90"/>
      <c r="Z11" s="113">
        <v>43287</v>
      </c>
      <c r="AA11" s="47">
        <f>WEEKNUM(Z11-RESUMEN!$AN$7)</f>
        <v>5</v>
      </c>
      <c r="AB11" s="47">
        <f>_xlfn.DAYS(Z11,RESUMEN!$AN$7)</f>
        <v>33</v>
      </c>
      <c r="AC11" s="48" t="s">
        <v>271</v>
      </c>
      <c r="AD11" s="49">
        <v>-2</v>
      </c>
      <c r="AE11" s="64">
        <v>6</v>
      </c>
      <c r="AF11" s="116">
        <f t="shared" si="3"/>
        <v>-3</v>
      </c>
      <c r="AG11" s="83"/>
      <c r="AH11" s="117">
        <v>43291</v>
      </c>
      <c r="AI11" s="47">
        <f>WEEKNUM(AH11-RESUMEN!$AZ$7)</f>
        <v>5</v>
      </c>
      <c r="AJ11" s="47">
        <f>_xlfn.DAYS(AH11,RESUMEN!$AZ$7)</f>
        <v>30</v>
      </c>
      <c r="AK11" s="79" t="s">
        <v>282</v>
      </c>
      <c r="AL11" s="53">
        <v>-4</v>
      </c>
      <c r="AM11" s="91">
        <v>20</v>
      </c>
      <c r="AN11" s="50">
        <f t="shared" si="4"/>
        <v>-5</v>
      </c>
      <c r="AO11" s="90"/>
      <c r="AP11" s="117">
        <v>43301</v>
      </c>
      <c r="AQ11" s="47">
        <f>WEEKNUM(AP11-RESUMEN!$BL$7)</f>
        <v>5</v>
      </c>
      <c r="AR11" s="47">
        <f>_xlfn.DAYS(AP11,RESUMEN!$BL$7)</f>
        <v>34</v>
      </c>
      <c r="AS11" s="79" t="s">
        <v>295</v>
      </c>
      <c r="AT11" s="53">
        <v>-2</v>
      </c>
      <c r="AU11" s="91">
        <v>6</v>
      </c>
      <c r="AV11" s="50">
        <f t="shared" si="5"/>
        <v>-3</v>
      </c>
      <c r="AZ11" s="112" t="s">
        <v>122</v>
      </c>
    </row>
    <row r="12" spans="2:52" x14ac:dyDescent="0.25">
      <c r="B12" s="46">
        <v>43266</v>
      </c>
      <c r="C12" s="47">
        <f>WEEKNUM(B12-RESUMEN!$D$7)</f>
        <v>4</v>
      </c>
      <c r="D12" s="47">
        <f>_xlfn.DAYS(B12,RESUMEN!$D$7)</f>
        <v>28</v>
      </c>
      <c r="E12" s="48" t="s">
        <v>159</v>
      </c>
      <c r="F12" s="49">
        <v>-2</v>
      </c>
      <c r="G12" s="64">
        <v>8</v>
      </c>
      <c r="H12" s="50">
        <f t="shared" si="0"/>
        <v>-4</v>
      </c>
      <c r="I12" s="90"/>
      <c r="J12" s="113">
        <v>43272</v>
      </c>
      <c r="K12" s="47">
        <f>WEEKNUM(J12-RESUMEN!$P$7)</f>
        <v>5</v>
      </c>
      <c r="L12" s="47">
        <f>_xlfn.DAYS(J12,RESUMEN!$P$7)</f>
        <v>30</v>
      </c>
      <c r="M12" s="48" t="s">
        <v>165</v>
      </c>
      <c r="N12" s="49">
        <v>-1</v>
      </c>
      <c r="O12" s="64">
        <v>6</v>
      </c>
      <c r="P12" s="50">
        <f t="shared" si="1"/>
        <v>-6</v>
      </c>
      <c r="Q12" s="90"/>
      <c r="R12" s="114">
        <v>43277</v>
      </c>
      <c r="S12" s="47">
        <f>WEEKNUM(R12-RESUMEN!$AB$7)</f>
        <v>5</v>
      </c>
      <c r="T12" s="47">
        <f>_xlfn.DAYS(R12,RESUMEN!$AB$7)</f>
        <v>30</v>
      </c>
      <c r="U12" s="48" t="s">
        <v>275</v>
      </c>
      <c r="V12" s="49">
        <v>-4</v>
      </c>
      <c r="W12" s="64">
        <v>24</v>
      </c>
      <c r="X12" s="50">
        <f t="shared" si="2"/>
        <v>-6</v>
      </c>
      <c r="Y12" s="90"/>
      <c r="Z12" s="113">
        <v>43288</v>
      </c>
      <c r="AA12" s="47">
        <f>WEEKNUM(Z12-RESUMEN!$AN$7)</f>
        <v>5</v>
      </c>
      <c r="AB12" s="47">
        <f>_xlfn.DAYS(Z12,RESUMEN!$AN$7)</f>
        <v>34</v>
      </c>
      <c r="AC12" s="48" t="s">
        <v>165</v>
      </c>
      <c r="AD12" s="49">
        <v>-1</v>
      </c>
      <c r="AE12" s="64">
        <v>6</v>
      </c>
      <c r="AF12" s="116">
        <f t="shared" si="3"/>
        <v>-6</v>
      </c>
      <c r="AG12" s="83"/>
      <c r="AH12" s="117">
        <v>43292</v>
      </c>
      <c r="AI12" s="47">
        <f>WEEKNUM(AH12-RESUMEN!$AZ$7)</f>
        <v>5</v>
      </c>
      <c r="AJ12" s="47">
        <f>_xlfn.DAYS(AH12,RESUMEN!$AZ$7)</f>
        <v>31</v>
      </c>
      <c r="AK12" s="79" t="s">
        <v>282</v>
      </c>
      <c r="AL12" s="53">
        <v>-3</v>
      </c>
      <c r="AM12" s="91">
        <v>19</v>
      </c>
      <c r="AN12" s="50">
        <f t="shared" si="4"/>
        <v>-6.333333333333333</v>
      </c>
      <c r="AO12" s="90"/>
      <c r="AP12" s="117">
        <v>43301</v>
      </c>
      <c r="AQ12" s="47">
        <f>WEEKNUM(AP12-RESUMEN!$BL$7)</f>
        <v>5</v>
      </c>
      <c r="AR12" s="47">
        <f>_xlfn.DAYS(AP12,RESUMEN!$BL$7)</f>
        <v>34</v>
      </c>
      <c r="AS12" s="79" t="s">
        <v>282</v>
      </c>
      <c r="AT12" s="53">
        <v>-1</v>
      </c>
      <c r="AU12" s="91">
        <v>7</v>
      </c>
      <c r="AV12" s="50">
        <f t="shared" si="5"/>
        <v>-7</v>
      </c>
      <c r="AZ12" s="112" t="s">
        <v>123</v>
      </c>
    </row>
    <row r="13" spans="2:52" x14ac:dyDescent="0.25">
      <c r="B13" s="46">
        <v>43266</v>
      </c>
      <c r="C13" s="47">
        <f>WEEKNUM(B13-RESUMEN!$D$7)</f>
        <v>4</v>
      </c>
      <c r="D13" s="47">
        <f>_xlfn.DAYS(B13,RESUMEN!$D$7)</f>
        <v>28</v>
      </c>
      <c r="E13" s="48" t="s">
        <v>271</v>
      </c>
      <c r="F13" s="49">
        <v>-2</v>
      </c>
      <c r="G13" s="64">
        <v>5</v>
      </c>
      <c r="H13" s="50">
        <f t="shared" si="0"/>
        <v>-2.5</v>
      </c>
      <c r="I13" s="90"/>
      <c r="J13" s="113">
        <v>43273</v>
      </c>
      <c r="K13" s="47">
        <f>WEEKNUM(J13-RESUMEN!$P$7)</f>
        <v>5</v>
      </c>
      <c r="L13" s="47">
        <f>_xlfn.DAYS(J13,RESUMEN!$P$7)</f>
        <v>31</v>
      </c>
      <c r="M13" s="48" t="s">
        <v>272</v>
      </c>
      <c r="N13" s="49">
        <v>-1</v>
      </c>
      <c r="O13" s="64">
        <v>7</v>
      </c>
      <c r="P13" s="50">
        <f t="shared" si="1"/>
        <v>-7</v>
      </c>
      <c r="Q13" s="90"/>
      <c r="R13" s="114">
        <v>43277</v>
      </c>
      <c r="S13" s="47">
        <f>WEEKNUM(R13-RESUMEN!$AB$7)</f>
        <v>5</v>
      </c>
      <c r="T13" s="47">
        <f>_xlfn.DAYS(R13,RESUMEN!$AB$7)</f>
        <v>30</v>
      </c>
      <c r="U13" s="48" t="s">
        <v>271</v>
      </c>
      <c r="V13" s="49">
        <v>-1</v>
      </c>
      <c r="W13" s="64">
        <v>2</v>
      </c>
      <c r="X13" s="50">
        <f t="shared" si="2"/>
        <v>-2</v>
      </c>
      <c r="Y13" s="90"/>
      <c r="Z13" s="113">
        <v>43288</v>
      </c>
      <c r="AA13" s="47">
        <f>WEEKNUM(Z13-RESUMEN!$AN$7)</f>
        <v>5</v>
      </c>
      <c r="AB13" s="47">
        <f>_xlfn.DAYS(Z13,RESUMEN!$AN$7)</f>
        <v>34</v>
      </c>
      <c r="AC13" s="48" t="s">
        <v>271</v>
      </c>
      <c r="AD13" s="49">
        <v>-1</v>
      </c>
      <c r="AE13" s="64">
        <v>2</v>
      </c>
      <c r="AF13" s="116">
        <f t="shared" si="3"/>
        <v>-2</v>
      </c>
      <c r="AG13" s="83"/>
      <c r="AH13" s="117">
        <v>43293</v>
      </c>
      <c r="AI13" s="47">
        <f>WEEKNUM(AH13-RESUMEN!$AZ$7)</f>
        <v>5</v>
      </c>
      <c r="AJ13" s="47">
        <f>_xlfn.DAYS(AH13,RESUMEN!$AZ$7)</f>
        <v>32</v>
      </c>
      <c r="AK13" s="79" t="s">
        <v>282</v>
      </c>
      <c r="AL13" s="53">
        <v>-3</v>
      </c>
      <c r="AM13" s="91">
        <v>12</v>
      </c>
      <c r="AN13" s="50">
        <f t="shared" si="4"/>
        <v>-4</v>
      </c>
      <c r="AO13" s="90"/>
      <c r="AP13" s="117">
        <v>43302</v>
      </c>
      <c r="AQ13" s="47">
        <f>WEEKNUM(AP13-RESUMEN!$BL$7)</f>
        <v>5</v>
      </c>
      <c r="AR13" s="47">
        <f>_xlfn.DAYS(AP13,RESUMEN!$BL$7)</f>
        <v>35</v>
      </c>
      <c r="AS13" s="79" t="s">
        <v>295</v>
      </c>
      <c r="AT13" s="53">
        <v>-2</v>
      </c>
      <c r="AU13" s="91">
        <v>6</v>
      </c>
      <c r="AV13" s="50">
        <f t="shared" si="5"/>
        <v>-3</v>
      </c>
      <c r="AZ13" s="112" t="s">
        <v>124</v>
      </c>
    </row>
    <row r="14" spans="2:52" x14ac:dyDescent="0.25">
      <c r="B14" s="46">
        <v>43267</v>
      </c>
      <c r="C14" s="47">
        <f>WEEKNUM(B14-RESUMEN!$D$7)</f>
        <v>5</v>
      </c>
      <c r="D14" s="47">
        <f>_xlfn.DAYS(B14,RESUMEN!$D$7)</f>
        <v>29</v>
      </c>
      <c r="E14" s="48" t="s">
        <v>271</v>
      </c>
      <c r="F14" s="49">
        <v>-1</v>
      </c>
      <c r="G14" s="64">
        <v>3</v>
      </c>
      <c r="H14" s="50">
        <f t="shared" si="0"/>
        <v>-3</v>
      </c>
      <c r="I14" s="90"/>
      <c r="J14" s="113">
        <v>43273</v>
      </c>
      <c r="K14" s="47">
        <f>WEEKNUM(J14-RESUMEN!$P$7)</f>
        <v>5</v>
      </c>
      <c r="L14" s="47">
        <f>_xlfn.DAYS(J14,RESUMEN!$P$7)</f>
        <v>31</v>
      </c>
      <c r="M14" s="48" t="s">
        <v>277</v>
      </c>
      <c r="N14" s="49">
        <v>-2</v>
      </c>
      <c r="O14" s="64">
        <v>12</v>
      </c>
      <c r="P14" s="50">
        <f t="shared" si="1"/>
        <v>-6</v>
      </c>
      <c r="Q14" s="90"/>
      <c r="R14" s="114">
        <v>43278</v>
      </c>
      <c r="S14" s="47">
        <f>WEEKNUM(R14-RESUMEN!$AB$7)</f>
        <v>5</v>
      </c>
      <c r="T14" s="47">
        <f>_xlfn.DAYS(R14,RESUMEN!$AB$7)</f>
        <v>31</v>
      </c>
      <c r="U14" s="48" t="s">
        <v>275</v>
      </c>
      <c r="V14" s="49">
        <v>-1</v>
      </c>
      <c r="W14" s="64">
        <v>9</v>
      </c>
      <c r="X14" s="50">
        <f t="shared" si="2"/>
        <v>-9</v>
      </c>
      <c r="Y14" s="90"/>
      <c r="Z14" s="113">
        <v>43289</v>
      </c>
      <c r="AA14" s="47">
        <f>WEEKNUM(Z14-RESUMEN!$AN$7)</f>
        <v>5</v>
      </c>
      <c r="AB14" s="47">
        <f>_xlfn.DAYS(Z14,RESUMEN!$AN$7)</f>
        <v>35</v>
      </c>
      <c r="AC14" s="48" t="s">
        <v>271</v>
      </c>
      <c r="AD14" s="49">
        <v>-2</v>
      </c>
      <c r="AE14" s="64">
        <v>4</v>
      </c>
      <c r="AF14" s="116">
        <f t="shared" si="3"/>
        <v>-2</v>
      </c>
      <c r="AG14" s="83"/>
      <c r="AH14" s="117">
        <v>43294</v>
      </c>
      <c r="AI14" s="47">
        <f>WEEKNUM(AH14-RESUMEN!$AZ$7)</f>
        <v>5</v>
      </c>
      <c r="AJ14" s="47">
        <f>_xlfn.DAYS(AH14,RESUMEN!$AZ$7)</f>
        <v>33</v>
      </c>
      <c r="AK14" s="79" t="s">
        <v>282</v>
      </c>
      <c r="AL14" s="53">
        <v>-1</v>
      </c>
      <c r="AM14" s="91">
        <v>5</v>
      </c>
      <c r="AN14" s="50">
        <f t="shared" si="4"/>
        <v>-5</v>
      </c>
      <c r="AO14" s="90"/>
      <c r="AP14" s="117">
        <v>43303</v>
      </c>
      <c r="AQ14" s="47">
        <f>WEEKNUM(AP14-RESUMEN!$BL$7)</f>
        <v>6</v>
      </c>
      <c r="AR14" s="47">
        <f>_xlfn.DAYS(AP14,RESUMEN!$BL$7)</f>
        <v>36</v>
      </c>
      <c r="AS14" s="79" t="s">
        <v>295</v>
      </c>
      <c r="AT14" s="53">
        <v>-2</v>
      </c>
      <c r="AU14" s="91">
        <v>6</v>
      </c>
      <c r="AV14" s="50">
        <f t="shared" si="5"/>
        <v>-3</v>
      </c>
      <c r="AZ14" s="112" t="s">
        <v>125</v>
      </c>
    </row>
    <row r="15" spans="2:52" x14ac:dyDescent="0.25">
      <c r="B15" s="46">
        <v>43267</v>
      </c>
      <c r="C15" s="47">
        <f>WEEKNUM(B15-RESUMEN!$D$7)</f>
        <v>5</v>
      </c>
      <c r="D15" s="47">
        <f>_xlfn.DAYS(B15,RESUMEN!$D$7)</f>
        <v>29</v>
      </c>
      <c r="E15" s="48" t="s">
        <v>159</v>
      </c>
      <c r="F15" s="49">
        <v>-4</v>
      </c>
      <c r="G15" s="64">
        <v>16</v>
      </c>
      <c r="H15" s="50">
        <f t="shared" si="0"/>
        <v>-4</v>
      </c>
      <c r="I15" s="90"/>
      <c r="J15" s="113">
        <v>43273</v>
      </c>
      <c r="K15" s="47">
        <f>WEEKNUM(J15-RESUMEN!$P$7)</f>
        <v>5</v>
      </c>
      <c r="L15" s="47">
        <f>_xlfn.DAYS(J15,RESUMEN!$P$7)</f>
        <v>31</v>
      </c>
      <c r="M15" s="48" t="s">
        <v>271</v>
      </c>
      <c r="N15" s="49">
        <v>-2</v>
      </c>
      <c r="O15" s="64">
        <v>4</v>
      </c>
      <c r="P15" s="50">
        <f t="shared" si="1"/>
        <v>-2</v>
      </c>
      <c r="Q15" s="90"/>
      <c r="R15" s="114">
        <v>43278</v>
      </c>
      <c r="S15" s="47">
        <f>WEEKNUM(R15-RESUMEN!$AB$7)</f>
        <v>5</v>
      </c>
      <c r="T15" s="47">
        <f>_xlfn.DAYS(R15,RESUMEN!$AB$7)</f>
        <v>31</v>
      </c>
      <c r="U15" s="48" t="s">
        <v>274</v>
      </c>
      <c r="V15" s="49">
        <v>-1</v>
      </c>
      <c r="W15" s="64">
        <v>5</v>
      </c>
      <c r="X15" s="50">
        <f t="shared" si="2"/>
        <v>-5</v>
      </c>
      <c r="Y15" s="90"/>
      <c r="Z15" s="113">
        <v>43290</v>
      </c>
      <c r="AA15" s="47">
        <f>WEEKNUM(Z15-RESUMEN!$AN$7)</f>
        <v>6</v>
      </c>
      <c r="AB15" s="47">
        <f>_xlfn.DAYS(Z15,RESUMEN!$AN$7)</f>
        <v>36</v>
      </c>
      <c r="AC15" s="48" t="s">
        <v>271</v>
      </c>
      <c r="AD15" s="49">
        <v>-1</v>
      </c>
      <c r="AE15" s="64">
        <v>2</v>
      </c>
      <c r="AF15" s="116">
        <f t="shared" si="3"/>
        <v>-2</v>
      </c>
      <c r="AG15" s="83"/>
      <c r="AH15" s="117">
        <v>43295</v>
      </c>
      <c r="AI15" s="47">
        <f>WEEKNUM(AH15-RESUMEN!$AZ$7)</f>
        <v>5</v>
      </c>
      <c r="AJ15" s="47">
        <f>_xlfn.DAYS(AH15,RESUMEN!$AZ$7)</f>
        <v>34</v>
      </c>
      <c r="AK15" s="79" t="s">
        <v>275</v>
      </c>
      <c r="AL15" s="53">
        <v>-1</v>
      </c>
      <c r="AM15" s="91">
        <v>5</v>
      </c>
      <c r="AN15" s="50">
        <f t="shared" si="4"/>
        <v>-5</v>
      </c>
      <c r="AO15" s="90"/>
      <c r="AP15" s="117">
        <v>43303</v>
      </c>
      <c r="AQ15" s="47">
        <f>WEEKNUM(AP15-RESUMEN!$BL$7)</f>
        <v>6</v>
      </c>
      <c r="AR15" s="47">
        <f>_xlfn.DAYS(AP15,RESUMEN!$BL$7)</f>
        <v>36</v>
      </c>
      <c r="AS15" s="79" t="s">
        <v>277</v>
      </c>
      <c r="AT15" s="53">
        <v>-3</v>
      </c>
      <c r="AU15" s="91">
        <v>9</v>
      </c>
      <c r="AV15" s="50">
        <f t="shared" si="5"/>
        <v>-3</v>
      </c>
      <c r="AZ15" s="112" t="s">
        <v>126</v>
      </c>
    </row>
    <row r="16" spans="2:52" x14ac:dyDescent="0.25">
      <c r="B16" s="46">
        <v>43267</v>
      </c>
      <c r="C16" s="47">
        <f>WEEKNUM(B16-RESUMEN!$D$7)</f>
        <v>5</v>
      </c>
      <c r="D16" s="47">
        <f>_xlfn.DAYS(B16,RESUMEN!$D$7)</f>
        <v>29</v>
      </c>
      <c r="E16" s="48" t="s">
        <v>272</v>
      </c>
      <c r="F16" s="49">
        <v>-1</v>
      </c>
      <c r="G16" s="64">
        <v>7</v>
      </c>
      <c r="H16" s="50">
        <f t="shared" si="0"/>
        <v>-7</v>
      </c>
      <c r="I16" s="90"/>
      <c r="J16" s="113">
        <v>43274</v>
      </c>
      <c r="K16" s="47">
        <f>WEEKNUM(J16-RESUMEN!$P$7)</f>
        <v>5</v>
      </c>
      <c r="L16" s="47">
        <f>_xlfn.DAYS(J16,RESUMEN!$P$7)</f>
        <v>32</v>
      </c>
      <c r="M16" s="48" t="s">
        <v>275</v>
      </c>
      <c r="N16" s="49">
        <v>-1</v>
      </c>
      <c r="O16" s="64">
        <v>4</v>
      </c>
      <c r="P16" s="50">
        <f t="shared" si="1"/>
        <v>-4</v>
      </c>
      <c r="Q16" s="90"/>
      <c r="R16" s="114">
        <v>43279</v>
      </c>
      <c r="S16" s="47">
        <f>WEEKNUM(R16-RESUMEN!$AB$7)</f>
        <v>5</v>
      </c>
      <c r="T16" s="47">
        <f>_xlfn.DAYS(R16,RESUMEN!$AB$7)</f>
        <v>32</v>
      </c>
      <c r="U16" s="48" t="s">
        <v>274</v>
      </c>
      <c r="V16" s="49">
        <v>-3</v>
      </c>
      <c r="W16" s="64">
        <v>14</v>
      </c>
      <c r="X16" s="50">
        <f t="shared" si="2"/>
        <v>-4.666666666666667</v>
      </c>
      <c r="Y16" s="90"/>
      <c r="Z16" s="113">
        <v>43292</v>
      </c>
      <c r="AA16" s="47">
        <f>WEEKNUM(Z16-RESUMEN!$AN$7)</f>
        <v>6</v>
      </c>
      <c r="AB16" s="47">
        <f>_xlfn.DAYS(Z16,RESUMEN!$AN$7)</f>
        <v>38</v>
      </c>
      <c r="AC16" s="48" t="s">
        <v>165</v>
      </c>
      <c r="AD16" s="49">
        <v>-1</v>
      </c>
      <c r="AE16" s="64">
        <v>7</v>
      </c>
      <c r="AF16" s="116">
        <f t="shared" si="3"/>
        <v>-7</v>
      </c>
      <c r="AG16" s="83"/>
      <c r="AH16" s="117">
        <v>43295</v>
      </c>
      <c r="AI16" s="47">
        <f>WEEKNUM(AH16-RESUMEN!$AZ$7)</f>
        <v>5</v>
      </c>
      <c r="AJ16" s="47">
        <f>_xlfn.DAYS(AH16,RESUMEN!$AZ$7)</f>
        <v>34</v>
      </c>
      <c r="AK16" s="79" t="s">
        <v>271</v>
      </c>
      <c r="AL16" s="53">
        <v>-1</v>
      </c>
      <c r="AM16" s="91">
        <v>2</v>
      </c>
      <c r="AN16" s="50">
        <f t="shared" si="4"/>
        <v>-2</v>
      </c>
      <c r="AO16" s="90"/>
      <c r="AP16" s="117">
        <v>43304</v>
      </c>
      <c r="AQ16" s="47">
        <f>WEEKNUM(AP16-RESUMEN!$BL$7)</f>
        <v>6</v>
      </c>
      <c r="AR16" s="47">
        <f>_xlfn.DAYS(AP16,RESUMEN!$BL$7)</f>
        <v>37</v>
      </c>
      <c r="AS16" s="79" t="s">
        <v>282</v>
      </c>
      <c r="AT16" s="53">
        <v>-5</v>
      </c>
      <c r="AU16" s="91">
        <v>25</v>
      </c>
      <c r="AV16" s="50">
        <f t="shared" si="5"/>
        <v>-5</v>
      </c>
      <c r="AZ16" s="112" t="s">
        <v>127</v>
      </c>
    </row>
    <row r="17" spans="2:52" x14ac:dyDescent="0.25">
      <c r="B17" s="46">
        <v>43268</v>
      </c>
      <c r="C17" s="47">
        <f>WEEKNUM(B17-RESUMEN!$D$7)</f>
        <v>5</v>
      </c>
      <c r="D17" s="47">
        <f>_xlfn.DAYS(B17,RESUMEN!$D$7)</f>
        <v>30</v>
      </c>
      <c r="E17" s="48" t="s">
        <v>123</v>
      </c>
      <c r="F17" s="49">
        <v>-4</v>
      </c>
      <c r="G17" s="64">
        <v>14</v>
      </c>
      <c r="H17" s="50">
        <f t="shared" si="0"/>
        <v>-3.5</v>
      </c>
      <c r="I17" s="90"/>
      <c r="J17" s="113">
        <v>43274</v>
      </c>
      <c r="K17" s="47">
        <f>WEEKNUM(J17-RESUMEN!$P$7)</f>
        <v>5</v>
      </c>
      <c r="L17" s="47">
        <f>_xlfn.DAYS(J17,RESUMEN!$P$7)</f>
        <v>32</v>
      </c>
      <c r="M17" s="48" t="s">
        <v>277</v>
      </c>
      <c r="N17" s="49">
        <v>-1</v>
      </c>
      <c r="O17" s="64">
        <v>5</v>
      </c>
      <c r="P17" s="50">
        <f t="shared" si="1"/>
        <v>-5</v>
      </c>
      <c r="Q17" s="90"/>
      <c r="R17" s="114">
        <v>43279</v>
      </c>
      <c r="S17" s="47">
        <f>WEEKNUM(R17-RESUMEN!$AB$7)</f>
        <v>5</v>
      </c>
      <c r="T17" s="47">
        <f>_xlfn.DAYS(R17,RESUMEN!$AB$7)</f>
        <v>32</v>
      </c>
      <c r="U17" s="48" t="s">
        <v>144</v>
      </c>
      <c r="V17" s="49">
        <v>-1</v>
      </c>
      <c r="W17" s="64">
        <v>7</v>
      </c>
      <c r="X17" s="50">
        <f t="shared" si="2"/>
        <v>-7</v>
      </c>
      <c r="Y17" s="90"/>
      <c r="Z17" s="113">
        <v>43293</v>
      </c>
      <c r="AA17" s="47">
        <f>WEEKNUM(Z17-RESUMEN!$AN$7)</f>
        <v>6</v>
      </c>
      <c r="AB17" s="47">
        <f>_xlfn.DAYS(Z17,RESUMEN!$AN$7)</f>
        <v>39</v>
      </c>
      <c r="AC17" s="48" t="s">
        <v>160</v>
      </c>
      <c r="AD17" s="49">
        <v>-4</v>
      </c>
      <c r="AE17" s="64">
        <v>16</v>
      </c>
      <c r="AF17" s="116">
        <f t="shared" si="3"/>
        <v>-4</v>
      </c>
      <c r="AG17" s="83"/>
      <c r="AH17" s="117">
        <v>43296</v>
      </c>
      <c r="AI17" s="47">
        <f>WEEKNUM(AH17-RESUMEN!$AZ$7)</f>
        <v>5</v>
      </c>
      <c r="AJ17" s="47">
        <f>_xlfn.DAYS(AH17,RESUMEN!$AZ$7)</f>
        <v>35</v>
      </c>
      <c r="AK17" s="79" t="s">
        <v>281</v>
      </c>
      <c r="AL17" s="53">
        <v>-1</v>
      </c>
      <c r="AM17" s="91">
        <v>8</v>
      </c>
      <c r="AN17" s="50">
        <f t="shared" si="4"/>
        <v>-8</v>
      </c>
      <c r="AO17" s="90"/>
      <c r="AP17" s="117">
        <v>43305</v>
      </c>
      <c r="AQ17" s="47">
        <f>WEEKNUM(AP17-RESUMEN!$BL$7)</f>
        <v>6</v>
      </c>
      <c r="AR17" s="47">
        <f>_xlfn.DAYS(AP17,RESUMEN!$BL$7)</f>
        <v>38</v>
      </c>
      <c r="AS17" s="79" t="s">
        <v>282</v>
      </c>
      <c r="AT17" s="53">
        <v>-4</v>
      </c>
      <c r="AU17" s="91">
        <v>12</v>
      </c>
      <c r="AV17" s="50">
        <f t="shared" si="5"/>
        <v>-3</v>
      </c>
      <c r="AZ17" s="112" t="s">
        <v>128</v>
      </c>
    </row>
    <row r="18" spans="2:52" x14ac:dyDescent="0.25">
      <c r="B18" s="46">
        <v>43269</v>
      </c>
      <c r="C18" s="47">
        <f>WEEKNUM(B18-RESUMEN!$D$7)</f>
        <v>5</v>
      </c>
      <c r="D18" s="47">
        <f>_xlfn.DAYS(B18,RESUMEN!$D$7)</f>
        <v>31</v>
      </c>
      <c r="E18" s="48" t="s">
        <v>273</v>
      </c>
      <c r="F18" s="49">
        <v>-1</v>
      </c>
      <c r="G18" s="64">
        <v>8</v>
      </c>
      <c r="H18" s="50">
        <f t="shared" si="0"/>
        <v>-8</v>
      </c>
      <c r="I18" s="90"/>
      <c r="J18" s="113">
        <v>43274</v>
      </c>
      <c r="K18" s="47">
        <f>WEEKNUM(J18-RESUMEN!$P$7)</f>
        <v>5</v>
      </c>
      <c r="L18" s="47">
        <f>_xlfn.DAYS(J18,RESUMEN!$P$7)</f>
        <v>32</v>
      </c>
      <c r="M18" s="48" t="s">
        <v>271</v>
      </c>
      <c r="N18" s="49">
        <v>-4</v>
      </c>
      <c r="O18" s="64">
        <v>11</v>
      </c>
      <c r="P18" s="50">
        <f t="shared" si="1"/>
        <v>-2.75</v>
      </c>
      <c r="Q18" s="90"/>
      <c r="R18" s="114">
        <v>43279</v>
      </c>
      <c r="S18" s="47">
        <f>WEEKNUM(R18-RESUMEN!$AB$7)</f>
        <v>5</v>
      </c>
      <c r="T18" s="47">
        <f>_xlfn.DAYS(R18,RESUMEN!$AB$7)</f>
        <v>32</v>
      </c>
      <c r="U18" s="48" t="s">
        <v>275</v>
      </c>
      <c r="V18" s="49">
        <v>-2</v>
      </c>
      <c r="W18" s="64">
        <v>13</v>
      </c>
      <c r="X18" s="50">
        <f t="shared" si="2"/>
        <v>-6.5</v>
      </c>
      <c r="Y18" s="90"/>
      <c r="Z18" s="113">
        <v>43294</v>
      </c>
      <c r="AA18" s="47">
        <f>WEEKNUM(Z18-RESUMEN!$AN$7)</f>
        <v>6</v>
      </c>
      <c r="AB18" s="47">
        <f>_xlfn.DAYS(Z18,RESUMEN!$AN$7)</f>
        <v>40</v>
      </c>
      <c r="AC18" s="48" t="s">
        <v>165</v>
      </c>
      <c r="AD18" s="49">
        <v>-2</v>
      </c>
      <c r="AE18" s="64">
        <v>12</v>
      </c>
      <c r="AF18" s="116">
        <f t="shared" si="3"/>
        <v>-6</v>
      </c>
      <c r="AG18" s="83"/>
      <c r="AH18" s="117">
        <v>43296</v>
      </c>
      <c r="AI18" s="47">
        <f>WEEKNUM(AH18-RESUMEN!$AZ$7)</f>
        <v>5</v>
      </c>
      <c r="AJ18" s="47">
        <f>_xlfn.DAYS(AH18,RESUMEN!$AZ$7)</f>
        <v>35</v>
      </c>
      <c r="AK18" s="79" t="s">
        <v>282</v>
      </c>
      <c r="AL18" s="53">
        <v>-3</v>
      </c>
      <c r="AM18" s="91">
        <v>18</v>
      </c>
      <c r="AN18" s="50">
        <f t="shared" si="4"/>
        <v>-6</v>
      </c>
      <c r="AO18" s="90"/>
      <c r="AP18" s="117">
        <v>43305</v>
      </c>
      <c r="AQ18" s="47">
        <f>WEEKNUM(AP18-RESUMEN!$BL$7)</f>
        <v>6</v>
      </c>
      <c r="AR18" s="47">
        <f>_xlfn.DAYS(AP18,RESUMEN!$BL$7)</f>
        <v>38</v>
      </c>
      <c r="AS18" s="79" t="s">
        <v>279</v>
      </c>
      <c r="AT18" s="53">
        <v>-2</v>
      </c>
      <c r="AU18" s="91">
        <v>13</v>
      </c>
      <c r="AV18" s="50">
        <f t="shared" si="5"/>
        <v>-6.5</v>
      </c>
      <c r="AZ18" s="112" t="s">
        <v>129</v>
      </c>
    </row>
    <row r="19" spans="2:52" x14ac:dyDescent="0.25">
      <c r="B19" s="46">
        <v>43269</v>
      </c>
      <c r="C19" s="47">
        <f>WEEKNUM(B19-RESUMEN!$D$7)</f>
        <v>5</v>
      </c>
      <c r="D19" s="47">
        <f>_xlfn.DAYS(B19,RESUMEN!$D$7)</f>
        <v>31</v>
      </c>
      <c r="E19" s="48" t="s">
        <v>274</v>
      </c>
      <c r="F19" s="49">
        <v>-1</v>
      </c>
      <c r="G19" s="64">
        <v>6</v>
      </c>
      <c r="H19" s="50">
        <f t="shared" si="0"/>
        <v>-6</v>
      </c>
      <c r="I19" s="90"/>
      <c r="J19" s="113">
        <v>43275</v>
      </c>
      <c r="K19" s="47">
        <f>WEEKNUM(J19-RESUMEN!$P$7)</f>
        <v>5</v>
      </c>
      <c r="L19" s="47">
        <f>_xlfn.DAYS(J19,RESUMEN!$P$7)</f>
        <v>33</v>
      </c>
      <c r="M19" s="48" t="s">
        <v>275</v>
      </c>
      <c r="N19" s="49">
        <v>-6</v>
      </c>
      <c r="O19" s="64">
        <v>32</v>
      </c>
      <c r="P19" s="50">
        <f t="shared" si="1"/>
        <v>-5.333333333333333</v>
      </c>
      <c r="Q19" s="90"/>
      <c r="R19" s="114">
        <v>43280</v>
      </c>
      <c r="S19" s="47">
        <f>WEEKNUM(R19-RESUMEN!$AB$7)</f>
        <v>5</v>
      </c>
      <c r="T19" s="47">
        <f>_xlfn.DAYS(R19,RESUMEN!$AB$7)</f>
        <v>33</v>
      </c>
      <c r="U19" s="48" t="s">
        <v>271</v>
      </c>
      <c r="V19" s="49">
        <v>-2</v>
      </c>
      <c r="W19" s="64">
        <v>5</v>
      </c>
      <c r="X19" s="50">
        <f t="shared" si="2"/>
        <v>-2.5</v>
      </c>
      <c r="Y19" s="90"/>
      <c r="Z19" s="113">
        <v>43294</v>
      </c>
      <c r="AA19" s="47">
        <f>WEEKNUM(Z19-RESUMEN!$AN$7)</f>
        <v>6</v>
      </c>
      <c r="AB19" s="47">
        <f>_xlfn.DAYS(Z19,RESUMEN!$AN$7)</f>
        <v>40</v>
      </c>
      <c r="AC19" s="48" t="s">
        <v>282</v>
      </c>
      <c r="AD19" s="49">
        <v>-1</v>
      </c>
      <c r="AE19" s="64">
        <v>4</v>
      </c>
      <c r="AF19" s="116">
        <f t="shared" si="3"/>
        <v>-4</v>
      </c>
      <c r="AG19" s="83"/>
      <c r="AH19" s="117">
        <v>43296</v>
      </c>
      <c r="AI19" s="47">
        <f>WEEKNUM(AH19-RESUMEN!$AZ$7)</f>
        <v>5</v>
      </c>
      <c r="AJ19" s="47">
        <f>_xlfn.DAYS(AH19,RESUMEN!$AZ$7)</f>
        <v>35</v>
      </c>
      <c r="AK19" s="79" t="s">
        <v>271</v>
      </c>
      <c r="AL19" s="53">
        <v>-4</v>
      </c>
      <c r="AM19" s="91">
        <v>12</v>
      </c>
      <c r="AN19" s="50">
        <f t="shared" si="4"/>
        <v>-3</v>
      </c>
      <c r="AO19" s="90"/>
      <c r="AP19" s="117">
        <v>43306</v>
      </c>
      <c r="AQ19" s="47">
        <f>WEEKNUM(AP19-RESUMEN!$BL$7)</f>
        <v>6</v>
      </c>
      <c r="AR19" s="47">
        <f>_xlfn.DAYS(AP19,RESUMEN!$BL$7)</f>
        <v>39</v>
      </c>
      <c r="AS19" s="79" t="s">
        <v>282</v>
      </c>
      <c r="AT19" s="53">
        <v>-3</v>
      </c>
      <c r="AU19" s="91">
        <v>9</v>
      </c>
      <c r="AV19" s="50">
        <f t="shared" si="5"/>
        <v>-3</v>
      </c>
      <c r="AZ19" s="112" t="s">
        <v>130</v>
      </c>
    </row>
    <row r="20" spans="2:52" x14ac:dyDescent="0.25">
      <c r="B20" s="46">
        <v>43269</v>
      </c>
      <c r="C20" s="47">
        <f>WEEKNUM(B20-RESUMEN!$D$7)</f>
        <v>5</v>
      </c>
      <c r="D20" s="47">
        <f>_xlfn.DAYS(B20,RESUMEN!$D$7)</f>
        <v>31</v>
      </c>
      <c r="E20" s="48" t="s">
        <v>159</v>
      </c>
      <c r="F20" s="49">
        <v>-4</v>
      </c>
      <c r="G20" s="64">
        <v>19</v>
      </c>
      <c r="H20" s="50">
        <f t="shared" si="0"/>
        <v>-4.75</v>
      </c>
      <c r="I20" s="90"/>
      <c r="J20" s="113">
        <v>43275</v>
      </c>
      <c r="K20" s="47">
        <f>WEEKNUM(J20-RESUMEN!$P$7)</f>
        <v>5</v>
      </c>
      <c r="L20" s="47">
        <f>_xlfn.DAYS(J20,RESUMEN!$P$7)</f>
        <v>33</v>
      </c>
      <c r="M20" s="48" t="s">
        <v>277</v>
      </c>
      <c r="N20" s="49">
        <v>-2</v>
      </c>
      <c r="O20" s="64">
        <v>11</v>
      </c>
      <c r="P20" s="50">
        <f t="shared" si="1"/>
        <v>-5.5</v>
      </c>
      <c r="Q20" s="90"/>
      <c r="R20" s="114">
        <v>43281</v>
      </c>
      <c r="S20" s="47">
        <f>WEEKNUM(R20-RESUMEN!$AB$7)</f>
        <v>5</v>
      </c>
      <c r="T20" s="47">
        <f>_xlfn.DAYS(R20,RESUMEN!$AB$7)</f>
        <v>34</v>
      </c>
      <c r="U20" s="48" t="s">
        <v>271</v>
      </c>
      <c r="V20" s="49">
        <v>-3</v>
      </c>
      <c r="W20" s="64">
        <v>9</v>
      </c>
      <c r="X20" s="50">
        <f t="shared" si="2"/>
        <v>-3</v>
      </c>
      <c r="Y20" s="90"/>
      <c r="Z20" s="113">
        <v>43295</v>
      </c>
      <c r="AA20" s="47">
        <f>WEEKNUM(Z20-RESUMEN!$AN$7)</f>
        <v>6</v>
      </c>
      <c r="AB20" s="47">
        <f>_xlfn.DAYS(Z20,RESUMEN!$AN$7)</f>
        <v>41</v>
      </c>
      <c r="AC20" s="48" t="s">
        <v>271</v>
      </c>
      <c r="AD20" s="49">
        <v>-1</v>
      </c>
      <c r="AE20" s="64">
        <v>3</v>
      </c>
      <c r="AF20" s="116">
        <f t="shared" si="3"/>
        <v>-3</v>
      </c>
      <c r="AG20" s="83"/>
      <c r="AH20" s="117">
        <v>43297</v>
      </c>
      <c r="AI20" s="47">
        <f>WEEKNUM(AH20-RESUMEN!$AZ$7)</f>
        <v>6</v>
      </c>
      <c r="AJ20" s="47">
        <f>_xlfn.DAYS(AH20,RESUMEN!$AZ$7)</f>
        <v>36</v>
      </c>
      <c r="AK20" s="79" t="s">
        <v>102</v>
      </c>
      <c r="AL20" s="53">
        <v>-2</v>
      </c>
      <c r="AM20" s="91">
        <v>17</v>
      </c>
      <c r="AN20" s="50">
        <f t="shared" si="4"/>
        <v>-8.5</v>
      </c>
      <c r="AO20" s="90"/>
      <c r="AP20" s="117">
        <v>43306</v>
      </c>
      <c r="AQ20" s="47">
        <f>WEEKNUM(AP20-RESUMEN!$BL$7)</f>
        <v>6</v>
      </c>
      <c r="AR20" s="47">
        <f>_xlfn.DAYS(AP20,RESUMEN!$BL$7)</f>
        <v>39</v>
      </c>
      <c r="AS20" s="79" t="s">
        <v>295</v>
      </c>
      <c r="AT20" s="53">
        <v>-2</v>
      </c>
      <c r="AU20" s="91">
        <v>6</v>
      </c>
      <c r="AV20" s="50">
        <f t="shared" si="5"/>
        <v>-3</v>
      </c>
      <c r="AZ20" s="112" t="s">
        <v>131</v>
      </c>
    </row>
    <row r="21" spans="2:52" x14ac:dyDescent="0.25">
      <c r="B21" s="46">
        <v>43270</v>
      </c>
      <c r="C21" s="47">
        <f>WEEKNUM(B21-RESUMEN!$D$7)</f>
        <v>5</v>
      </c>
      <c r="D21" s="47">
        <f>_xlfn.DAYS(B21,RESUMEN!$D$7)</f>
        <v>32</v>
      </c>
      <c r="E21" s="48" t="s">
        <v>165</v>
      </c>
      <c r="F21" s="49">
        <v>-1</v>
      </c>
      <c r="G21" s="64">
        <v>6</v>
      </c>
      <c r="H21" s="50">
        <f t="shared" si="0"/>
        <v>-6</v>
      </c>
      <c r="I21" s="90"/>
      <c r="J21" s="113">
        <v>43275</v>
      </c>
      <c r="K21" s="47">
        <f>WEEKNUM(J21-RESUMEN!$P$7)</f>
        <v>5</v>
      </c>
      <c r="L21" s="47">
        <f>_xlfn.DAYS(J21,RESUMEN!$P$7)</f>
        <v>33</v>
      </c>
      <c r="M21" s="48" t="s">
        <v>271</v>
      </c>
      <c r="N21" s="49">
        <v>-2</v>
      </c>
      <c r="O21" s="64">
        <v>5</v>
      </c>
      <c r="P21" s="50">
        <f t="shared" si="1"/>
        <v>-2.5</v>
      </c>
      <c r="Q21" s="90"/>
      <c r="R21" s="114">
        <v>43281</v>
      </c>
      <c r="S21" s="47">
        <f>WEEKNUM(R21-RESUMEN!$AB$7)</f>
        <v>5</v>
      </c>
      <c r="T21" s="47">
        <f>_xlfn.DAYS(R21,RESUMEN!$AB$7)</f>
        <v>34</v>
      </c>
      <c r="U21" s="48" t="s">
        <v>165</v>
      </c>
      <c r="V21" s="49">
        <v>-2</v>
      </c>
      <c r="W21" s="64">
        <v>5</v>
      </c>
      <c r="X21" s="50">
        <f t="shared" si="2"/>
        <v>-2.5</v>
      </c>
      <c r="Y21" s="90"/>
      <c r="Z21" s="113">
        <v>43295</v>
      </c>
      <c r="AA21" s="47">
        <f>WEEKNUM(Z21-RESUMEN!$AN$7)</f>
        <v>6</v>
      </c>
      <c r="AB21" s="47">
        <f>_xlfn.DAYS(Z21,RESUMEN!$AN$7)</f>
        <v>41</v>
      </c>
      <c r="AC21" s="48" t="s">
        <v>277</v>
      </c>
      <c r="AD21" s="49">
        <v>-1</v>
      </c>
      <c r="AE21" s="64">
        <v>5</v>
      </c>
      <c r="AF21" s="116">
        <f t="shared" si="3"/>
        <v>-5</v>
      </c>
      <c r="AG21" s="83"/>
      <c r="AH21" s="117">
        <v>43298</v>
      </c>
      <c r="AI21" s="47">
        <f>WEEKNUM(AH21-RESUMEN!$AZ$7)</f>
        <v>6</v>
      </c>
      <c r="AJ21" s="47">
        <f>_xlfn.DAYS(AH21,RESUMEN!$AZ$7)</f>
        <v>37</v>
      </c>
      <c r="AK21" s="79" t="s">
        <v>279</v>
      </c>
      <c r="AL21" s="53">
        <v>-1</v>
      </c>
      <c r="AM21" s="91">
        <v>6</v>
      </c>
      <c r="AN21" s="50">
        <f t="shared" si="4"/>
        <v>-6</v>
      </c>
      <c r="AO21" s="90"/>
      <c r="AP21" s="117">
        <v>43307</v>
      </c>
      <c r="AQ21" s="47">
        <f>WEEKNUM(AP21-RESUMEN!$BL$7)</f>
        <v>6</v>
      </c>
      <c r="AR21" s="47">
        <f>_xlfn.DAYS(AP21,RESUMEN!$BL$7)</f>
        <v>40</v>
      </c>
      <c r="AS21" s="79" t="s">
        <v>282</v>
      </c>
      <c r="AT21" s="53">
        <v>-3</v>
      </c>
      <c r="AU21" s="91">
        <v>15</v>
      </c>
      <c r="AV21" s="50">
        <f t="shared" si="5"/>
        <v>-5</v>
      </c>
      <c r="AZ21" s="112" t="s">
        <v>22</v>
      </c>
    </row>
    <row r="22" spans="2:52" x14ac:dyDescent="0.25">
      <c r="B22" s="46">
        <v>43270</v>
      </c>
      <c r="C22" s="47">
        <f>WEEKNUM(B22-RESUMEN!$D$7)</f>
        <v>5</v>
      </c>
      <c r="D22" s="47">
        <f>_xlfn.DAYS(B22,RESUMEN!$D$7)</f>
        <v>32</v>
      </c>
      <c r="E22" s="48" t="s">
        <v>271</v>
      </c>
      <c r="F22" s="49">
        <v>-5</v>
      </c>
      <c r="G22" s="64">
        <v>13</v>
      </c>
      <c r="H22" s="50">
        <f t="shared" si="0"/>
        <v>-2.6</v>
      </c>
      <c r="I22" s="90"/>
      <c r="J22" s="113">
        <v>43276</v>
      </c>
      <c r="K22" s="47">
        <f>WEEKNUM(J22-RESUMEN!$P$7)</f>
        <v>5</v>
      </c>
      <c r="L22" s="47">
        <f>_xlfn.DAYS(J22,RESUMEN!$P$7)</f>
        <v>34</v>
      </c>
      <c r="M22" s="48" t="s">
        <v>271</v>
      </c>
      <c r="N22" s="49">
        <v>-2</v>
      </c>
      <c r="O22" s="64">
        <v>5</v>
      </c>
      <c r="P22" s="50">
        <f t="shared" si="1"/>
        <v>-2.5</v>
      </c>
      <c r="Q22" s="90"/>
      <c r="R22" s="114">
        <v>43281</v>
      </c>
      <c r="S22" s="47">
        <f>WEEKNUM(R22-RESUMEN!$AB$7)</f>
        <v>5</v>
      </c>
      <c r="T22" s="47">
        <f>_xlfn.DAYS(R22,RESUMEN!$AB$7)</f>
        <v>34</v>
      </c>
      <c r="U22" s="48" t="s">
        <v>274</v>
      </c>
      <c r="V22" s="49">
        <v>-1</v>
      </c>
      <c r="W22" s="64">
        <v>4</v>
      </c>
      <c r="X22" s="50">
        <f t="shared" si="2"/>
        <v>-4</v>
      </c>
      <c r="Y22" s="90"/>
      <c r="Z22" s="113">
        <v>43296</v>
      </c>
      <c r="AA22" s="47">
        <f>WEEKNUM(Z22-RESUMEN!$AN$7)</f>
        <v>6</v>
      </c>
      <c r="AB22" s="47">
        <f>_xlfn.DAYS(Z22,RESUMEN!$AN$7)</f>
        <v>42</v>
      </c>
      <c r="AC22" s="48" t="s">
        <v>165</v>
      </c>
      <c r="AD22" s="49">
        <v>-3</v>
      </c>
      <c r="AE22" s="64">
        <v>26</v>
      </c>
      <c r="AF22" s="116">
        <f t="shared" si="3"/>
        <v>-8.6666666666666661</v>
      </c>
      <c r="AG22" s="83"/>
      <c r="AH22" s="117">
        <v>43298</v>
      </c>
      <c r="AI22" s="47">
        <f>WEEKNUM(AH22-RESUMEN!$AZ$7)</f>
        <v>6</v>
      </c>
      <c r="AJ22" s="47">
        <f>_xlfn.DAYS(AH22,RESUMEN!$AZ$7)</f>
        <v>37</v>
      </c>
      <c r="AK22" s="79" t="s">
        <v>271</v>
      </c>
      <c r="AL22" s="53">
        <v>-2</v>
      </c>
      <c r="AM22" s="91">
        <v>4</v>
      </c>
      <c r="AN22" s="50">
        <f t="shared" si="4"/>
        <v>-2</v>
      </c>
      <c r="AO22" s="90"/>
      <c r="AP22" s="117">
        <v>43308</v>
      </c>
      <c r="AQ22" s="47">
        <f>WEEKNUM(AP22-RESUMEN!$BL$7)</f>
        <v>6</v>
      </c>
      <c r="AR22" s="47">
        <f>_xlfn.DAYS(AP22,RESUMEN!$BL$7)</f>
        <v>41</v>
      </c>
      <c r="AS22" s="79" t="s">
        <v>295</v>
      </c>
      <c r="AT22" s="53">
        <v>-2</v>
      </c>
      <c r="AU22" s="91">
        <v>4</v>
      </c>
      <c r="AV22" s="50">
        <f t="shared" si="5"/>
        <v>-2</v>
      </c>
      <c r="AZ22" s="112" t="s">
        <v>132</v>
      </c>
    </row>
    <row r="23" spans="2:52" x14ac:dyDescent="0.25">
      <c r="B23" s="46">
        <v>43271</v>
      </c>
      <c r="C23" s="47">
        <f>WEEKNUM(B23-RESUMEN!$D$7)</f>
        <v>5</v>
      </c>
      <c r="D23" s="47">
        <f>_xlfn.DAYS(B23,RESUMEN!$D$7)</f>
        <v>33</v>
      </c>
      <c r="E23" s="48" t="s">
        <v>272</v>
      </c>
      <c r="F23" s="49">
        <v>-1</v>
      </c>
      <c r="G23" s="64">
        <v>8</v>
      </c>
      <c r="H23" s="50">
        <f t="shared" si="0"/>
        <v>-8</v>
      </c>
      <c r="I23" s="90"/>
      <c r="J23" s="113">
        <v>43276</v>
      </c>
      <c r="K23" s="47">
        <f>WEEKNUM(J23-RESUMEN!$P$7)</f>
        <v>5</v>
      </c>
      <c r="L23" s="47">
        <f>_xlfn.DAYS(J23,RESUMEN!$P$7)</f>
        <v>34</v>
      </c>
      <c r="M23" s="48" t="s">
        <v>277</v>
      </c>
      <c r="N23" s="49">
        <v>-7</v>
      </c>
      <c r="O23" s="64">
        <v>32</v>
      </c>
      <c r="P23" s="50">
        <f t="shared" si="1"/>
        <v>-4.5714285714285712</v>
      </c>
      <c r="Q23" s="90"/>
      <c r="R23" s="114">
        <v>43282</v>
      </c>
      <c r="S23" s="47">
        <f>WEEKNUM(R23-RESUMEN!$AB$7)</f>
        <v>5</v>
      </c>
      <c r="T23" s="47">
        <f>_xlfn.DAYS(R23,RESUMEN!$AB$7)</f>
        <v>35</v>
      </c>
      <c r="U23" s="48" t="s">
        <v>271</v>
      </c>
      <c r="V23" s="49">
        <v>-1</v>
      </c>
      <c r="W23" s="64">
        <v>2</v>
      </c>
      <c r="X23" s="50">
        <f t="shared" si="2"/>
        <v>-2</v>
      </c>
      <c r="Y23" s="90"/>
      <c r="Z23" s="113">
        <v>43296</v>
      </c>
      <c r="AA23" s="47">
        <f>WEEKNUM(Z23-RESUMEN!$AN$7)</f>
        <v>6</v>
      </c>
      <c r="AB23" s="47">
        <f>_xlfn.DAYS(Z23,RESUMEN!$AN$7)</f>
        <v>42</v>
      </c>
      <c r="AC23" s="48" t="s">
        <v>282</v>
      </c>
      <c r="AD23" s="49">
        <v>-4</v>
      </c>
      <c r="AE23" s="64">
        <v>16</v>
      </c>
      <c r="AF23" s="116">
        <f t="shared" si="3"/>
        <v>-4</v>
      </c>
      <c r="AG23" s="83"/>
      <c r="AH23" s="117">
        <v>43298</v>
      </c>
      <c r="AI23" s="47">
        <f>WEEKNUM(AH23-RESUMEN!$AZ$7)</f>
        <v>6</v>
      </c>
      <c r="AJ23" s="47">
        <f>_xlfn.DAYS(AH23,RESUMEN!$AZ$7)</f>
        <v>37</v>
      </c>
      <c r="AK23" s="79" t="s">
        <v>281</v>
      </c>
      <c r="AL23" s="53">
        <v>-2</v>
      </c>
      <c r="AM23" s="91">
        <v>13</v>
      </c>
      <c r="AN23" s="50">
        <f t="shared" si="4"/>
        <v>-6.5</v>
      </c>
      <c r="AO23" s="90"/>
      <c r="AP23" s="117">
        <v>43308</v>
      </c>
      <c r="AQ23" s="47">
        <f>WEEKNUM(AP23-RESUMEN!$BL$7)</f>
        <v>6</v>
      </c>
      <c r="AR23" s="47">
        <f>_xlfn.DAYS(AP23,RESUMEN!$BL$7)</f>
        <v>41</v>
      </c>
      <c r="AS23" s="79" t="s">
        <v>277</v>
      </c>
      <c r="AT23" s="53">
        <v>-1</v>
      </c>
      <c r="AU23" s="91">
        <v>4</v>
      </c>
      <c r="AV23" s="50">
        <f t="shared" si="5"/>
        <v>-4</v>
      </c>
      <c r="AZ23" s="112" t="s">
        <v>133</v>
      </c>
    </row>
    <row r="24" spans="2:52" x14ac:dyDescent="0.25">
      <c r="B24" s="46">
        <v>43271</v>
      </c>
      <c r="C24" s="47">
        <f>WEEKNUM(B24-RESUMEN!$D$7)</f>
        <v>5</v>
      </c>
      <c r="D24" s="47">
        <f>_xlfn.DAYS(B24,RESUMEN!$D$7)</f>
        <v>33</v>
      </c>
      <c r="E24" s="48" t="s">
        <v>123</v>
      </c>
      <c r="F24" s="49">
        <v>-4</v>
      </c>
      <c r="G24" s="64">
        <v>12</v>
      </c>
      <c r="H24" s="50">
        <f t="shared" si="0"/>
        <v>-3</v>
      </c>
      <c r="I24" s="90"/>
      <c r="J24" s="113">
        <v>43276</v>
      </c>
      <c r="K24" s="47">
        <f>WEEKNUM(J24-RESUMEN!$P$7)</f>
        <v>5</v>
      </c>
      <c r="L24" s="47">
        <f>_xlfn.DAYS(J24,RESUMEN!$P$7)</f>
        <v>34</v>
      </c>
      <c r="M24" s="48" t="s">
        <v>275</v>
      </c>
      <c r="N24" s="49">
        <v>-3</v>
      </c>
      <c r="O24" s="64">
        <v>17</v>
      </c>
      <c r="P24" s="50">
        <f t="shared" si="1"/>
        <v>-5.666666666666667</v>
      </c>
      <c r="Q24" s="90"/>
      <c r="R24" s="114">
        <v>43282</v>
      </c>
      <c r="S24" s="47">
        <f>WEEKNUM(R24-RESUMEN!$AB$7)</f>
        <v>5</v>
      </c>
      <c r="T24" s="47">
        <f>_xlfn.DAYS(R24,RESUMEN!$AB$7)</f>
        <v>35</v>
      </c>
      <c r="U24" s="48" t="s">
        <v>165</v>
      </c>
      <c r="V24" s="49">
        <v>-4</v>
      </c>
      <c r="W24" s="64">
        <v>23</v>
      </c>
      <c r="X24" s="50">
        <f t="shared" si="2"/>
        <v>-5.75</v>
      </c>
      <c r="Y24" s="90"/>
      <c r="Z24" s="113">
        <v>43297</v>
      </c>
      <c r="AA24" s="47">
        <f>WEEKNUM(Z24-RESUMEN!$AN$7)</f>
        <v>7</v>
      </c>
      <c r="AB24" s="47">
        <f>_xlfn.DAYS(Z24,RESUMEN!$AN$7)</f>
        <v>43</v>
      </c>
      <c r="AC24" s="48" t="s">
        <v>165</v>
      </c>
      <c r="AD24" s="49">
        <v>-2</v>
      </c>
      <c r="AE24" s="64">
        <v>11</v>
      </c>
      <c r="AF24" s="116">
        <f t="shared" si="3"/>
        <v>-5.5</v>
      </c>
      <c r="AG24" s="83"/>
      <c r="AH24" s="117">
        <v>43299</v>
      </c>
      <c r="AI24" s="47">
        <f>WEEKNUM(AH24-RESUMEN!$AZ$7)</f>
        <v>6</v>
      </c>
      <c r="AJ24" s="47">
        <f>_xlfn.DAYS(AH24,RESUMEN!$AZ$7)</f>
        <v>38</v>
      </c>
      <c r="AK24" s="79" t="s">
        <v>102</v>
      </c>
      <c r="AL24" s="53">
        <v>-3</v>
      </c>
      <c r="AM24" s="91">
        <v>26</v>
      </c>
      <c r="AN24" s="50">
        <f t="shared" si="4"/>
        <v>-8.6666666666666661</v>
      </c>
      <c r="AO24" s="90"/>
      <c r="AP24" s="117">
        <v>43309</v>
      </c>
      <c r="AQ24" s="47">
        <f>WEEKNUM(AP24-RESUMEN!$BL$7)</f>
        <v>6</v>
      </c>
      <c r="AR24" s="47">
        <f>_xlfn.DAYS(AP24,RESUMEN!$BL$7)</f>
        <v>42</v>
      </c>
      <c r="AS24" s="79" t="s">
        <v>282</v>
      </c>
      <c r="AT24" s="53">
        <v>-4</v>
      </c>
      <c r="AU24" s="91">
        <v>19</v>
      </c>
      <c r="AV24" s="50">
        <f t="shared" si="5"/>
        <v>-4.75</v>
      </c>
      <c r="AZ24" s="112" t="s">
        <v>134</v>
      </c>
    </row>
    <row r="25" spans="2:52" x14ac:dyDescent="0.25">
      <c r="B25" s="46">
        <v>43271</v>
      </c>
      <c r="C25" s="47">
        <f>WEEKNUM(B25-RESUMEN!$D$7)</f>
        <v>5</v>
      </c>
      <c r="D25" s="47">
        <f>_xlfn.DAYS(B25,RESUMEN!$D$7)</f>
        <v>33</v>
      </c>
      <c r="E25" s="48" t="s">
        <v>159</v>
      </c>
      <c r="F25" s="49">
        <v>-10</v>
      </c>
      <c r="G25" s="64">
        <v>46</v>
      </c>
      <c r="H25" s="50">
        <f t="shared" si="0"/>
        <v>-4.5999999999999996</v>
      </c>
      <c r="I25" s="90"/>
      <c r="J25" s="113">
        <v>43277</v>
      </c>
      <c r="K25" s="47">
        <f>WEEKNUM(J25-RESUMEN!$P$7)</f>
        <v>5</v>
      </c>
      <c r="L25" s="47">
        <f>_xlfn.DAYS(J25,RESUMEN!$P$7)</f>
        <v>35</v>
      </c>
      <c r="M25" s="48" t="s">
        <v>277</v>
      </c>
      <c r="N25" s="49">
        <v>-3</v>
      </c>
      <c r="O25" s="64">
        <v>16</v>
      </c>
      <c r="P25" s="50">
        <f t="shared" si="1"/>
        <v>-5.333333333333333</v>
      </c>
      <c r="Q25" s="90"/>
      <c r="R25" s="114">
        <v>43283</v>
      </c>
      <c r="S25" s="47">
        <f>WEEKNUM(R25-RESUMEN!$AB$7)</f>
        <v>6</v>
      </c>
      <c r="T25" s="47">
        <f>_xlfn.DAYS(R25,RESUMEN!$AB$7)</f>
        <v>36</v>
      </c>
      <c r="U25" s="48" t="s">
        <v>271</v>
      </c>
      <c r="V25" s="49">
        <v>-1</v>
      </c>
      <c r="W25" s="64">
        <v>3</v>
      </c>
      <c r="X25" s="50">
        <f t="shared" si="2"/>
        <v>-3</v>
      </c>
      <c r="Y25" s="90"/>
      <c r="Z25" s="113">
        <v>43297</v>
      </c>
      <c r="AA25" s="47">
        <f>WEEKNUM(Z25-RESUMEN!$AN$7)</f>
        <v>7</v>
      </c>
      <c r="AB25" s="47">
        <f>_xlfn.DAYS(Z25,RESUMEN!$AN$7)</f>
        <v>43</v>
      </c>
      <c r="AC25" s="48" t="s">
        <v>102</v>
      </c>
      <c r="AD25" s="49">
        <v>-1</v>
      </c>
      <c r="AE25" s="64">
        <v>10</v>
      </c>
      <c r="AF25" s="116">
        <f t="shared" si="3"/>
        <v>-10</v>
      </c>
      <c r="AG25" s="83"/>
      <c r="AH25" s="117">
        <v>43299</v>
      </c>
      <c r="AI25" s="47">
        <f>WEEKNUM(AH25-RESUMEN!$AZ$7)</f>
        <v>6</v>
      </c>
      <c r="AJ25" s="47">
        <f>_xlfn.DAYS(AH25,RESUMEN!$AZ$7)</f>
        <v>38</v>
      </c>
      <c r="AK25" s="79" t="s">
        <v>281</v>
      </c>
      <c r="AL25" s="53">
        <v>-1</v>
      </c>
      <c r="AM25" s="91">
        <v>5</v>
      </c>
      <c r="AN25" s="50">
        <f t="shared" si="4"/>
        <v>-5</v>
      </c>
      <c r="AO25" s="90"/>
      <c r="AP25" s="117">
        <v>43310</v>
      </c>
      <c r="AQ25" s="47">
        <f>WEEKNUM(AP25-RESUMEN!$BL$7)</f>
        <v>7</v>
      </c>
      <c r="AR25" s="47">
        <f>_xlfn.DAYS(AP25,RESUMEN!$BL$7)</f>
        <v>43</v>
      </c>
      <c r="AS25" s="79" t="s">
        <v>295</v>
      </c>
      <c r="AT25" s="53">
        <v>-5</v>
      </c>
      <c r="AU25" s="91">
        <v>12</v>
      </c>
      <c r="AV25" s="50">
        <f t="shared" si="5"/>
        <v>-2.4</v>
      </c>
      <c r="AZ25" s="112" t="s">
        <v>135</v>
      </c>
    </row>
    <row r="26" spans="2:52" x14ac:dyDescent="0.25">
      <c r="B26" s="46">
        <v>43272</v>
      </c>
      <c r="C26" s="47">
        <f>WEEKNUM(B26-RESUMEN!$D$7)</f>
        <v>5</v>
      </c>
      <c r="D26" s="47">
        <f>_xlfn.DAYS(B26,RESUMEN!$D$7)</f>
        <v>34</v>
      </c>
      <c r="E26" s="48" t="s">
        <v>159</v>
      </c>
      <c r="F26" s="49">
        <v>-3</v>
      </c>
      <c r="G26" s="64">
        <v>23</v>
      </c>
      <c r="H26" s="50">
        <f t="shared" si="0"/>
        <v>-7.666666666666667</v>
      </c>
      <c r="I26" s="90"/>
      <c r="J26" s="113">
        <v>43277</v>
      </c>
      <c r="K26" s="47">
        <f>WEEKNUM(J26-RESUMEN!$P$7)</f>
        <v>5</v>
      </c>
      <c r="L26" s="47">
        <f>_xlfn.DAYS(J26,RESUMEN!$P$7)</f>
        <v>35</v>
      </c>
      <c r="M26" s="48" t="s">
        <v>271</v>
      </c>
      <c r="N26" s="49">
        <v>-1</v>
      </c>
      <c r="O26" s="64">
        <v>2</v>
      </c>
      <c r="P26" s="50">
        <f t="shared" si="1"/>
        <v>-2</v>
      </c>
      <c r="Q26" s="90"/>
      <c r="R26" s="114">
        <v>43283</v>
      </c>
      <c r="S26" s="47">
        <f>WEEKNUM(R26-RESUMEN!$AB$7)</f>
        <v>6</v>
      </c>
      <c r="T26" s="47">
        <f>_xlfn.DAYS(R26,RESUMEN!$AB$7)</f>
        <v>36</v>
      </c>
      <c r="U26" s="48" t="s">
        <v>275</v>
      </c>
      <c r="V26" s="49">
        <v>-3</v>
      </c>
      <c r="W26" s="64">
        <v>14</v>
      </c>
      <c r="X26" s="50">
        <f t="shared" si="2"/>
        <v>-4.666666666666667</v>
      </c>
      <c r="Y26" s="90"/>
      <c r="Z26" s="113">
        <v>43298</v>
      </c>
      <c r="AA26" s="47">
        <f>WEEKNUM(Z26-RESUMEN!$AN$7)</f>
        <v>7</v>
      </c>
      <c r="AB26" s="47">
        <f>_xlfn.DAYS(Z26,RESUMEN!$AN$7)</f>
        <v>44</v>
      </c>
      <c r="AC26" s="48" t="s">
        <v>279</v>
      </c>
      <c r="AD26" s="49">
        <v>-1</v>
      </c>
      <c r="AE26" s="64">
        <v>13</v>
      </c>
      <c r="AF26" s="116">
        <f t="shared" si="3"/>
        <v>-13</v>
      </c>
      <c r="AG26" s="83"/>
      <c r="AH26" s="117">
        <v>43299</v>
      </c>
      <c r="AI26" s="47">
        <f>WEEKNUM(AH26-RESUMEN!$AZ$7)</f>
        <v>6</v>
      </c>
      <c r="AJ26" s="47">
        <f>_xlfn.DAYS(AH26,RESUMEN!$AZ$7)</f>
        <v>38</v>
      </c>
      <c r="AK26" s="79" t="s">
        <v>271</v>
      </c>
      <c r="AL26" s="53">
        <v>-1</v>
      </c>
      <c r="AM26" s="91">
        <v>3</v>
      </c>
      <c r="AN26" s="50">
        <f t="shared" si="4"/>
        <v>-3</v>
      </c>
      <c r="AO26" s="90"/>
      <c r="AP26" s="117">
        <v>43311</v>
      </c>
      <c r="AQ26" s="47">
        <f>WEEKNUM(AP26-RESUMEN!$BL$7)</f>
        <v>7</v>
      </c>
      <c r="AR26" s="47">
        <f>_xlfn.DAYS(AP26,RESUMEN!$BL$7)</f>
        <v>44</v>
      </c>
      <c r="AS26" s="79" t="s">
        <v>277</v>
      </c>
      <c r="AT26" s="53">
        <v>-2</v>
      </c>
      <c r="AU26" s="91">
        <v>9</v>
      </c>
      <c r="AV26" s="50">
        <f t="shared" si="5"/>
        <v>-4.5</v>
      </c>
      <c r="AZ26" s="112" t="s">
        <v>136</v>
      </c>
    </row>
    <row r="27" spans="2:52" x14ac:dyDescent="0.25">
      <c r="B27" s="46">
        <v>43272</v>
      </c>
      <c r="C27" s="47">
        <f>WEEKNUM(B27-RESUMEN!$D$7)</f>
        <v>5</v>
      </c>
      <c r="D27" s="47">
        <f>_xlfn.DAYS(B27,RESUMEN!$D$7)</f>
        <v>34</v>
      </c>
      <c r="E27" s="48" t="s">
        <v>271</v>
      </c>
      <c r="F27" s="49">
        <v>-5</v>
      </c>
      <c r="G27" s="64">
        <v>14</v>
      </c>
      <c r="H27" s="50">
        <f t="shared" si="0"/>
        <v>-2.8</v>
      </c>
      <c r="I27" s="90"/>
      <c r="J27" s="113">
        <v>43278</v>
      </c>
      <c r="K27" s="47">
        <f>WEEKNUM(J27-RESUMEN!$P$7)</f>
        <v>6</v>
      </c>
      <c r="L27" s="47">
        <f>_xlfn.DAYS(J27,RESUMEN!$P$7)</f>
        <v>36</v>
      </c>
      <c r="M27" s="48" t="s">
        <v>165</v>
      </c>
      <c r="N27" s="49">
        <v>-2</v>
      </c>
      <c r="O27" s="64">
        <v>6</v>
      </c>
      <c r="P27" s="50">
        <f t="shared" si="1"/>
        <v>-3</v>
      </c>
      <c r="Q27" s="90"/>
      <c r="R27" s="114">
        <v>43283</v>
      </c>
      <c r="S27" s="47">
        <f>WEEKNUM(R27-RESUMEN!$AB$7)</f>
        <v>6</v>
      </c>
      <c r="T27" s="47">
        <f>_xlfn.DAYS(R27,RESUMEN!$AB$7)</f>
        <v>36</v>
      </c>
      <c r="U27" s="48" t="s">
        <v>274</v>
      </c>
      <c r="V27" s="49">
        <v>-1</v>
      </c>
      <c r="W27" s="64">
        <v>4</v>
      </c>
      <c r="X27" s="50">
        <f t="shared" si="2"/>
        <v>-4</v>
      </c>
      <c r="Y27" s="90"/>
      <c r="Z27" s="113">
        <v>43298</v>
      </c>
      <c r="AA27" s="47">
        <f>WEEKNUM(Z27-RESUMEN!$AN$7)</f>
        <v>7</v>
      </c>
      <c r="AB27" s="47">
        <f>_xlfn.DAYS(Z27,RESUMEN!$AN$7)</f>
        <v>44</v>
      </c>
      <c r="AC27" s="48" t="s">
        <v>271</v>
      </c>
      <c r="AD27" s="49">
        <v>-1</v>
      </c>
      <c r="AE27" s="64">
        <v>3</v>
      </c>
      <c r="AF27" s="116">
        <f t="shared" si="3"/>
        <v>-3</v>
      </c>
      <c r="AG27" s="83"/>
      <c r="AH27" s="117">
        <v>43300</v>
      </c>
      <c r="AI27" s="47">
        <f>WEEKNUM(AH27-RESUMEN!$AZ$7)</f>
        <v>6</v>
      </c>
      <c r="AJ27" s="47">
        <f>_xlfn.DAYS(AH27,RESUMEN!$AZ$7)</f>
        <v>39</v>
      </c>
      <c r="AK27" s="79" t="s">
        <v>279</v>
      </c>
      <c r="AL27" s="53">
        <v>-1</v>
      </c>
      <c r="AM27" s="91">
        <v>8</v>
      </c>
      <c r="AN27" s="50">
        <f t="shared" si="4"/>
        <v>-8</v>
      </c>
      <c r="AO27" s="90"/>
      <c r="AP27" s="117">
        <v>43311</v>
      </c>
      <c r="AQ27" s="47">
        <f>WEEKNUM(AP27-RESUMEN!$BL$7)</f>
        <v>7</v>
      </c>
      <c r="AR27" s="47">
        <f>_xlfn.DAYS(AP27,RESUMEN!$BL$7)</f>
        <v>44</v>
      </c>
      <c r="AS27" s="79" t="s">
        <v>295</v>
      </c>
      <c r="AT27" s="53">
        <v>-2</v>
      </c>
      <c r="AU27" s="91">
        <v>4</v>
      </c>
      <c r="AV27" s="50">
        <f t="shared" si="5"/>
        <v>-2</v>
      </c>
      <c r="AZ27" s="112" t="s">
        <v>137</v>
      </c>
    </row>
    <row r="28" spans="2:52" x14ac:dyDescent="0.25">
      <c r="B28" s="46">
        <v>43272</v>
      </c>
      <c r="C28" s="47">
        <f>WEEKNUM(B28-RESUMEN!$D$7)</f>
        <v>5</v>
      </c>
      <c r="D28" s="47">
        <f>_xlfn.DAYS(B28,RESUMEN!$D$7)</f>
        <v>34</v>
      </c>
      <c r="E28" s="48" t="s">
        <v>123</v>
      </c>
      <c r="F28" s="49">
        <v>-4</v>
      </c>
      <c r="G28" s="64">
        <v>19</v>
      </c>
      <c r="H28" s="50">
        <f t="shared" si="0"/>
        <v>-4.75</v>
      </c>
      <c r="I28" s="90"/>
      <c r="J28" s="113">
        <v>43278</v>
      </c>
      <c r="K28" s="47">
        <f>WEEKNUM(J28-RESUMEN!$P$7)</f>
        <v>6</v>
      </c>
      <c r="L28" s="47">
        <f>_xlfn.DAYS(J28,RESUMEN!$P$7)</f>
        <v>36</v>
      </c>
      <c r="M28" s="48" t="s">
        <v>277</v>
      </c>
      <c r="N28" s="49">
        <v>-4</v>
      </c>
      <c r="O28" s="64">
        <v>17</v>
      </c>
      <c r="P28" s="50">
        <f t="shared" si="1"/>
        <v>-4.25</v>
      </c>
      <c r="Q28" s="90"/>
      <c r="R28" s="114">
        <v>43284</v>
      </c>
      <c r="S28" s="47">
        <f>WEEKNUM(R28-RESUMEN!$AB$7)</f>
        <v>6</v>
      </c>
      <c r="T28" s="47">
        <f>_xlfn.DAYS(R28,RESUMEN!$AB$7)</f>
        <v>37</v>
      </c>
      <c r="U28" s="48" t="s">
        <v>275</v>
      </c>
      <c r="V28" s="49">
        <v>-4</v>
      </c>
      <c r="W28" s="64">
        <v>28</v>
      </c>
      <c r="X28" s="50">
        <f t="shared" si="2"/>
        <v>-7</v>
      </c>
      <c r="Y28" s="90"/>
      <c r="Z28" s="113">
        <v>43298</v>
      </c>
      <c r="AA28" s="47">
        <f>WEEKNUM(Z28-RESUMEN!$AN$7)</f>
        <v>7</v>
      </c>
      <c r="AB28" s="47">
        <f>_xlfn.DAYS(Z28,RESUMEN!$AN$7)</f>
        <v>44</v>
      </c>
      <c r="AC28" s="48" t="s">
        <v>165</v>
      </c>
      <c r="AD28" s="49">
        <v>-2</v>
      </c>
      <c r="AE28" s="64">
        <v>10</v>
      </c>
      <c r="AF28" s="116">
        <f t="shared" si="3"/>
        <v>-5</v>
      </c>
      <c r="AG28" s="83"/>
      <c r="AH28" s="117">
        <v>43301</v>
      </c>
      <c r="AI28" s="47">
        <f>WEEKNUM(AH28-RESUMEN!$AZ$7)</f>
        <v>6</v>
      </c>
      <c r="AJ28" s="47">
        <f>_xlfn.DAYS(AH28,RESUMEN!$AZ$7)</f>
        <v>40</v>
      </c>
      <c r="AK28" s="79" t="s">
        <v>271</v>
      </c>
      <c r="AL28" s="53">
        <v>-3</v>
      </c>
      <c r="AM28" s="91">
        <v>9</v>
      </c>
      <c r="AN28" s="50">
        <f t="shared" si="4"/>
        <v>-3</v>
      </c>
      <c r="AO28" s="90"/>
      <c r="AP28" s="117">
        <v>43312</v>
      </c>
      <c r="AQ28" s="47">
        <f>WEEKNUM(AP28-RESUMEN!$BL$7)</f>
        <v>7</v>
      </c>
      <c r="AR28" s="47">
        <f>_xlfn.DAYS(AP28,RESUMEN!$BL$7)</f>
        <v>45</v>
      </c>
      <c r="AS28" s="79" t="s">
        <v>295</v>
      </c>
      <c r="AT28" s="53">
        <v>-6</v>
      </c>
      <c r="AU28" s="91">
        <v>18</v>
      </c>
      <c r="AV28" s="50">
        <f t="shared" si="5"/>
        <v>-3</v>
      </c>
      <c r="AZ28" s="112" t="s">
        <v>138</v>
      </c>
    </row>
    <row r="29" spans="2:52" x14ac:dyDescent="0.25">
      <c r="B29" s="46">
        <v>43273</v>
      </c>
      <c r="C29" s="47">
        <f>WEEKNUM(B29-RESUMEN!$D$7)</f>
        <v>5</v>
      </c>
      <c r="D29" s="47">
        <f>_xlfn.DAYS(B29,RESUMEN!$D$7)</f>
        <v>35</v>
      </c>
      <c r="E29" s="48" t="s">
        <v>159</v>
      </c>
      <c r="F29" s="49">
        <v>-5</v>
      </c>
      <c r="G29" s="64">
        <v>35</v>
      </c>
      <c r="H29" s="50">
        <f t="shared" si="0"/>
        <v>-7</v>
      </c>
      <c r="I29" s="90"/>
      <c r="J29" s="113">
        <v>43279</v>
      </c>
      <c r="K29" s="47">
        <f>WEEKNUM(J29-RESUMEN!$P$7)</f>
        <v>6</v>
      </c>
      <c r="L29" s="47">
        <f>_xlfn.DAYS(J29,RESUMEN!$P$7)</f>
        <v>37</v>
      </c>
      <c r="M29" s="48" t="s">
        <v>271</v>
      </c>
      <c r="N29" s="49">
        <v>-3</v>
      </c>
      <c r="O29" s="64">
        <v>9</v>
      </c>
      <c r="P29" s="50">
        <f t="shared" si="1"/>
        <v>-3</v>
      </c>
      <c r="Q29" s="90"/>
      <c r="R29" s="114">
        <v>43284</v>
      </c>
      <c r="S29" s="47">
        <f>WEEKNUM(R29-RESUMEN!$AB$7)</f>
        <v>6</v>
      </c>
      <c r="T29" s="47">
        <f>_xlfn.DAYS(R29,RESUMEN!$AB$7)</f>
        <v>37</v>
      </c>
      <c r="U29" s="48" t="s">
        <v>274</v>
      </c>
      <c r="V29" s="49">
        <v>-2</v>
      </c>
      <c r="W29" s="64">
        <v>11</v>
      </c>
      <c r="X29" s="50">
        <f t="shared" si="2"/>
        <v>-5.5</v>
      </c>
      <c r="Y29" s="90"/>
      <c r="Z29" s="113">
        <v>43299</v>
      </c>
      <c r="AA29" s="47">
        <f>WEEKNUM(Z29-RESUMEN!$AN$7)</f>
        <v>7</v>
      </c>
      <c r="AB29" s="47">
        <f>_xlfn.DAYS(Z29,RESUMEN!$AN$7)</f>
        <v>45</v>
      </c>
      <c r="AC29" s="48" t="s">
        <v>102</v>
      </c>
      <c r="AD29" s="49">
        <v>-2</v>
      </c>
      <c r="AE29" s="64">
        <v>14</v>
      </c>
      <c r="AF29" s="116">
        <f t="shared" si="3"/>
        <v>-7</v>
      </c>
      <c r="AG29" s="83"/>
      <c r="AH29" s="117">
        <v>43301</v>
      </c>
      <c r="AI29" s="47">
        <f>WEEKNUM(AH29-RESUMEN!$AZ$7)</f>
        <v>6</v>
      </c>
      <c r="AJ29" s="47">
        <f>_xlfn.DAYS(AH29,RESUMEN!$AZ$7)</f>
        <v>40</v>
      </c>
      <c r="AK29" s="79" t="s">
        <v>281</v>
      </c>
      <c r="AL29" s="53">
        <v>-1</v>
      </c>
      <c r="AM29" s="91">
        <v>7</v>
      </c>
      <c r="AN29" s="50">
        <f t="shared" si="4"/>
        <v>-7</v>
      </c>
      <c r="AO29" s="90"/>
      <c r="AP29" s="117">
        <v>43312</v>
      </c>
      <c r="AQ29" s="47">
        <f>WEEKNUM(AP29-RESUMEN!$BL$7)</f>
        <v>7</v>
      </c>
      <c r="AR29" s="47">
        <f>_xlfn.DAYS(AP29,RESUMEN!$BL$7)</f>
        <v>45</v>
      </c>
      <c r="AS29" s="79" t="s">
        <v>277</v>
      </c>
      <c r="AT29" s="53">
        <v>-4</v>
      </c>
      <c r="AU29" s="91">
        <v>19</v>
      </c>
      <c r="AV29" s="50">
        <f t="shared" si="5"/>
        <v>-4.75</v>
      </c>
      <c r="AZ29" s="112" t="s">
        <v>139</v>
      </c>
    </row>
    <row r="30" spans="2:52" x14ac:dyDescent="0.25">
      <c r="B30" s="46">
        <v>43273</v>
      </c>
      <c r="C30" s="47">
        <f>WEEKNUM(B30-RESUMEN!$D$7)</f>
        <v>5</v>
      </c>
      <c r="D30" s="47">
        <f>_xlfn.DAYS(B30,RESUMEN!$D$7)</f>
        <v>35</v>
      </c>
      <c r="E30" s="48" t="s">
        <v>271</v>
      </c>
      <c r="F30" s="49">
        <v>-5</v>
      </c>
      <c r="G30" s="64">
        <v>10</v>
      </c>
      <c r="H30" s="50">
        <f t="shared" si="0"/>
        <v>-2</v>
      </c>
      <c r="I30" s="90"/>
      <c r="J30" s="113">
        <v>43279</v>
      </c>
      <c r="K30" s="47">
        <f>WEEKNUM(J30-RESUMEN!$P$7)</f>
        <v>6</v>
      </c>
      <c r="L30" s="47">
        <f>_xlfn.DAYS(J30,RESUMEN!$P$7)</f>
        <v>37</v>
      </c>
      <c r="M30" s="48" t="s">
        <v>165</v>
      </c>
      <c r="N30" s="49">
        <v>-3</v>
      </c>
      <c r="O30" s="64">
        <v>16</v>
      </c>
      <c r="P30" s="50">
        <f t="shared" si="1"/>
        <v>-5.333333333333333</v>
      </c>
      <c r="Q30" s="90"/>
      <c r="R30" s="114">
        <v>43284</v>
      </c>
      <c r="S30" s="47">
        <f>WEEKNUM(R30-RESUMEN!$AB$7)</f>
        <v>6</v>
      </c>
      <c r="T30" s="47">
        <f>_xlfn.DAYS(R30,RESUMEN!$AB$7)</f>
        <v>37</v>
      </c>
      <c r="U30" s="48" t="s">
        <v>271</v>
      </c>
      <c r="V30" s="49">
        <v>-1</v>
      </c>
      <c r="W30" s="64">
        <v>2</v>
      </c>
      <c r="X30" s="50">
        <f t="shared" si="2"/>
        <v>-2</v>
      </c>
      <c r="Y30" s="90"/>
      <c r="Z30" s="113">
        <v>43299</v>
      </c>
      <c r="AA30" s="47">
        <f>WEEKNUM(Z30-RESUMEN!$AN$7)</f>
        <v>7</v>
      </c>
      <c r="AB30" s="47">
        <f>_xlfn.DAYS(Z30,RESUMEN!$AN$7)</f>
        <v>45</v>
      </c>
      <c r="AC30" s="48" t="s">
        <v>277</v>
      </c>
      <c r="AD30" s="49">
        <v>-1</v>
      </c>
      <c r="AE30" s="64">
        <v>7</v>
      </c>
      <c r="AF30" s="116">
        <f t="shared" si="3"/>
        <v>-7</v>
      </c>
      <c r="AG30" s="83"/>
      <c r="AH30" s="117">
        <v>43302</v>
      </c>
      <c r="AI30" s="47">
        <f>WEEKNUM(AH30-RESUMEN!$AZ$7)</f>
        <v>6</v>
      </c>
      <c r="AJ30" s="47">
        <f>_xlfn.DAYS(AH30,RESUMEN!$AZ$7)</f>
        <v>41</v>
      </c>
      <c r="AK30" s="79" t="s">
        <v>281</v>
      </c>
      <c r="AL30" s="53">
        <v>-2</v>
      </c>
      <c r="AM30" s="91">
        <v>10</v>
      </c>
      <c r="AN30" s="50">
        <f t="shared" si="4"/>
        <v>-5</v>
      </c>
      <c r="AO30" s="90"/>
      <c r="AP30" s="117">
        <v>43313</v>
      </c>
      <c r="AQ30" s="47">
        <f>WEEKNUM(AP30-RESUMEN!$BL$7)</f>
        <v>7</v>
      </c>
      <c r="AR30" s="47">
        <f>_xlfn.DAYS(AP30,RESUMEN!$BL$7)</f>
        <v>46</v>
      </c>
      <c r="AS30" s="79" t="s">
        <v>295</v>
      </c>
      <c r="AT30" s="53">
        <v>-4</v>
      </c>
      <c r="AU30" s="91">
        <v>21</v>
      </c>
      <c r="AV30" s="50">
        <f t="shared" si="5"/>
        <v>-5.25</v>
      </c>
      <c r="AZ30" s="112" t="s">
        <v>140</v>
      </c>
    </row>
    <row r="31" spans="2:52" x14ac:dyDescent="0.25">
      <c r="B31" s="46">
        <v>43273</v>
      </c>
      <c r="C31" s="47">
        <f>WEEKNUM(B31-RESUMEN!$D$7)</f>
        <v>5</v>
      </c>
      <c r="D31" s="47">
        <f>_xlfn.DAYS(B31,RESUMEN!$D$7)</f>
        <v>35</v>
      </c>
      <c r="E31" s="48" t="s">
        <v>123</v>
      </c>
      <c r="F31" s="49">
        <v>-5</v>
      </c>
      <c r="G31" s="64">
        <v>40</v>
      </c>
      <c r="H31" s="50">
        <f t="shared" si="0"/>
        <v>-8</v>
      </c>
      <c r="I31" s="90"/>
      <c r="J31" s="113">
        <v>43280</v>
      </c>
      <c r="K31" s="47">
        <f>WEEKNUM(J31-RESUMEN!$P$7)</f>
        <v>6</v>
      </c>
      <c r="L31" s="47">
        <f>_xlfn.DAYS(J31,RESUMEN!$P$7)</f>
        <v>38</v>
      </c>
      <c r="M31" s="48" t="s">
        <v>271</v>
      </c>
      <c r="N31" s="49">
        <v>-2</v>
      </c>
      <c r="O31" s="64">
        <v>4</v>
      </c>
      <c r="P31" s="50">
        <f t="shared" si="1"/>
        <v>-2</v>
      </c>
      <c r="Q31" s="90"/>
      <c r="R31" s="114">
        <v>43285</v>
      </c>
      <c r="S31" s="47">
        <f>WEEKNUM(R31-RESUMEN!$AB$7)</f>
        <v>6</v>
      </c>
      <c r="T31" s="47">
        <f>_xlfn.DAYS(R31,RESUMEN!$AB$7)</f>
        <v>38</v>
      </c>
      <c r="U31" s="48" t="s">
        <v>275</v>
      </c>
      <c r="V31" s="49">
        <v>-2</v>
      </c>
      <c r="W31" s="64">
        <v>7</v>
      </c>
      <c r="X31" s="50">
        <f t="shared" si="2"/>
        <v>-3.5</v>
      </c>
      <c r="Y31" s="90"/>
      <c r="Z31" s="113">
        <v>43300</v>
      </c>
      <c r="AA31" s="47">
        <f>WEEKNUM(Z31-RESUMEN!$AN$7)</f>
        <v>7</v>
      </c>
      <c r="AB31" s="47">
        <f>_xlfn.DAYS(Z31,RESUMEN!$AN$7)</f>
        <v>46</v>
      </c>
      <c r="AC31" s="48" t="s">
        <v>282</v>
      </c>
      <c r="AD31" s="49">
        <v>-1</v>
      </c>
      <c r="AE31" s="64">
        <v>5</v>
      </c>
      <c r="AF31" s="116">
        <f t="shared" si="3"/>
        <v>-5</v>
      </c>
      <c r="AG31" s="83"/>
      <c r="AH31" s="117">
        <v>43302</v>
      </c>
      <c r="AI31" s="47">
        <f>WEEKNUM(AH31-RESUMEN!$AZ$7)</f>
        <v>6</v>
      </c>
      <c r="AJ31" s="47">
        <f>_xlfn.DAYS(AH31,RESUMEN!$AZ$7)</f>
        <v>41</v>
      </c>
      <c r="AK31" s="79" t="s">
        <v>271</v>
      </c>
      <c r="AL31" s="53">
        <v>-5</v>
      </c>
      <c r="AM31" s="91">
        <v>16</v>
      </c>
      <c r="AN31" s="50">
        <f t="shared" si="4"/>
        <v>-3.2</v>
      </c>
      <c r="AO31" s="90"/>
      <c r="AP31" s="117">
        <v>43313</v>
      </c>
      <c r="AQ31" s="47">
        <f>WEEKNUM(AP31-RESUMEN!$BL$7)</f>
        <v>7</v>
      </c>
      <c r="AR31" s="47">
        <f>_xlfn.DAYS(AP31,RESUMEN!$BL$7)</f>
        <v>46</v>
      </c>
      <c r="AS31" s="79" t="s">
        <v>102</v>
      </c>
      <c r="AT31" s="53">
        <v>-1</v>
      </c>
      <c r="AU31" s="91">
        <v>7</v>
      </c>
      <c r="AV31" s="50">
        <f t="shared" si="5"/>
        <v>-7</v>
      </c>
      <c r="AZ31" s="112" t="s">
        <v>141</v>
      </c>
    </row>
    <row r="32" spans="2:52" x14ac:dyDescent="0.25">
      <c r="B32" s="46">
        <v>43274</v>
      </c>
      <c r="C32" s="47">
        <f>WEEKNUM(B32-RESUMEN!$D$7)</f>
        <v>6</v>
      </c>
      <c r="D32" s="47">
        <f>_xlfn.DAYS(B32,RESUMEN!$D$7)</f>
        <v>36</v>
      </c>
      <c r="E32" s="48" t="s">
        <v>159</v>
      </c>
      <c r="F32" s="49">
        <v>-3</v>
      </c>
      <c r="G32" s="64">
        <v>12</v>
      </c>
      <c r="H32" s="50">
        <f t="shared" si="0"/>
        <v>-4</v>
      </c>
      <c r="I32" s="90"/>
      <c r="J32" s="113">
        <v>43280</v>
      </c>
      <c r="K32" s="47">
        <f>WEEKNUM(J32-RESUMEN!$P$7)</f>
        <v>6</v>
      </c>
      <c r="L32" s="47">
        <f>_xlfn.DAYS(J32,RESUMEN!$P$7)</f>
        <v>38</v>
      </c>
      <c r="M32" s="48" t="s">
        <v>277</v>
      </c>
      <c r="N32" s="49">
        <v>-4</v>
      </c>
      <c r="O32" s="64">
        <v>16</v>
      </c>
      <c r="P32" s="50">
        <f t="shared" si="1"/>
        <v>-4</v>
      </c>
      <c r="Q32" s="90"/>
      <c r="R32" s="114">
        <v>43285</v>
      </c>
      <c r="S32" s="47">
        <f>WEEKNUM(R32-RESUMEN!$AB$7)</f>
        <v>6</v>
      </c>
      <c r="T32" s="47">
        <f>_xlfn.DAYS(R32,RESUMEN!$AB$7)</f>
        <v>38</v>
      </c>
      <c r="U32" s="48" t="s">
        <v>274</v>
      </c>
      <c r="V32" s="49">
        <v>-2</v>
      </c>
      <c r="W32" s="64">
        <v>10</v>
      </c>
      <c r="X32" s="50">
        <f t="shared" si="2"/>
        <v>-5</v>
      </c>
      <c r="Y32" s="90"/>
      <c r="Z32" s="113">
        <v>43300</v>
      </c>
      <c r="AA32" s="47">
        <f>WEEKNUM(Z32-RESUMEN!$AN$7)</f>
        <v>7</v>
      </c>
      <c r="AB32" s="47">
        <f>_xlfn.DAYS(Z32,RESUMEN!$AN$7)</f>
        <v>46</v>
      </c>
      <c r="AC32" s="48" t="s">
        <v>102</v>
      </c>
      <c r="AD32" s="49">
        <v>-3</v>
      </c>
      <c r="AE32" s="64">
        <v>26</v>
      </c>
      <c r="AF32" s="116">
        <f t="shared" si="3"/>
        <v>-8.6666666666666661</v>
      </c>
      <c r="AG32" s="83"/>
      <c r="AH32" s="117">
        <v>43302</v>
      </c>
      <c r="AI32" s="47">
        <f>WEEKNUM(AH32-RESUMEN!$AZ$7)</f>
        <v>6</v>
      </c>
      <c r="AJ32" s="47">
        <f>_xlfn.DAYS(AH32,RESUMEN!$AZ$7)</f>
        <v>41</v>
      </c>
      <c r="AK32" s="79" t="s">
        <v>279</v>
      </c>
      <c r="AL32" s="53">
        <v>-2</v>
      </c>
      <c r="AM32" s="91">
        <v>17</v>
      </c>
      <c r="AN32" s="50">
        <f t="shared" si="4"/>
        <v>-8.5</v>
      </c>
      <c r="AO32" s="90"/>
      <c r="AP32" s="117"/>
      <c r="AQ32" s="47" t="e">
        <f>WEEKNUM(AP32-RESUMEN!$BL$7)</f>
        <v>#NUM!</v>
      </c>
      <c r="AR32" s="47">
        <f>_xlfn.DAYS(AP32,RESUMEN!$BL$7)</f>
        <v>-43267</v>
      </c>
      <c r="AS32" s="79"/>
      <c r="AT32" s="53"/>
      <c r="AU32" s="91"/>
      <c r="AV32" s="50" t="e">
        <f t="shared" si="5"/>
        <v>#DIV/0!</v>
      </c>
      <c r="AZ32" s="112" t="s">
        <v>142</v>
      </c>
    </row>
    <row r="33" spans="2:52" x14ac:dyDescent="0.25">
      <c r="B33" s="46">
        <v>43274</v>
      </c>
      <c r="C33" s="47">
        <f>WEEKNUM(B33-RESUMEN!$D$7)</f>
        <v>6</v>
      </c>
      <c r="D33" s="47">
        <f>_xlfn.DAYS(B33,RESUMEN!$D$7)</f>
        <v>36</v>
      </c>
      <c r="E33" s="48" t="s">
        <v>271</v>
      </c>
      <c r="F33" s="49">
        <v>-5</v>
      </c>
      <c r="G33" s="64">
        <v>10</v>
      </c>
      <c r="H33" s="50">
        <f t="shared" si="0"/>
        <v>-2</v>
      </c>
      <c r="I33" s="90"/>
      <c r="J33" s="113">
        <v>43280</v>
      </c>
      <c r="K33" s="47">
        <f>WEEKNUM(J33-RESUMEN!$P$7)</f>
        <v>6</v>
      </c>
      <c r="L33" s="47">
        <f>_xlfn.DAYS(J33,RESUMEN!$P$7)</f>
        <v>38</v>
      </c>
      <c r="M33" s="48" t="s">
        <v>275</v>
      </c>
      <c r="N33" s="49">
        <v>-3</v>
      </c>
      <c r="O33" s="64">
        <v>17</v>
      </c>
      <c r="P33" s="50">
        <f t="shared" si="1"/>
        <v>-5.666666666666667</v>
      </c>
      <c r="Q33" s="90"/>
      <c r="R33" s="114">
        <v>43285</v>
      </c>
      <c r="S33" s="47">
        <f>WEEKNUM(R33-RESUMEN!$AB$7)</f>
        <v>6</v>
      </c>
      <c r="T33" s="47">
        <f>_xlfn.DAYS(R33,RESUMEN!$AB$7)</f>
        <v>38</v>
      </c>
      <c r="U33" s="48" t="s">
        <v>272</v>
      </c>
      <c r="V33" s="49">
        <v>-1</v>
      </c>
      <c r="W33" s="64">
        <v>4</v>
      </c>
      <c r="X33" s="50">
        <f t="shared" si="2"/>
        <v>-4</v>
      </c>
      <c r="Y33" s="90"/>
      <c r="Z33" s="113">
        <v>43300</v>
      </c>
      <c r="AA33" s="47">
        <f>WEEKNUM(Z33-RESUMEN!$AN$7)</f>
        <v>7</v>
      </c>
      <c r="AB33" s="47">
        <f>_xlfn.DAYS(Z33,RESUMEN!$AN$7)</f>
        <v>46</v>
      </c>
      <c r="AC33" s="48" t="s">
        <v>165</v>
      </c>
      <c r="AD33" s="49">
        <v>-2</v>
      </c>
      <c r="AE33" s="64">
        <v>12</v>
      </c>
      <c r="AF33" s="116">
        <f t="shared" si="3"/>
        <v>-6</v>
      </c>
      <c r="AG33" s="83"/>
      <c r="AH33" s="117">
        <v>43303</v>
      </c>
      <c r="AI33" s="47">
        <f>WEEKNUM(AH33-RESUMEN!$AZ$7)</f>
        <v>6</v>
      </c>
      <c r="AJ33" s="47">
        <f>_xlfn.DAYS(AH33,RESUMEN!$AZ$7)</f>
        <v>42</v>
      </c>
      <c r="AK33" s="79" t="s">
        <v>271</v>
      </c>
      <c r="AL33" s="53">
        <v>-3</v>
      </c>
      <c r="AM33" s="91">
        <v>9</v>
      </c>
      <c r="AN33" s="50">
        <f t="shared" si="4"/>
        <v>-3</v>
      </c>
      <c r="AO33" s="90"/>
      <c r="AP33" s="117"/>
      <c r="AQ33" s="47" t="e">
        <f>WEEKNUM(AP33-RESUMEN!$BL$7)</f>
        <v>#NUM!</v>
      </c>
      <c r="AR33" s="47">
        <f>_xlfn.DAYS(AP33,RESUMEN!$BL$7)</f>
        <v>-43267</v>
      </c>
      <c r="AS33" s="79"/>
      <c r="AT33" s="53"/>
      <c r="AU33" s="91"/>
      <c r="AV33" s="50" t="e">
        <f t="shared" si="5"/>
        <v>#DIV/0!</v>
      </c>
      <c r="AZ33" s="112" t="s">
        <v>143</v>
      </c>
    </row>
    <row r="34" spans="2:52" x14ac:dyDescent="0.25">
      <c r="B34" s="46">
        <v>43274</v>
      </c>
      <c r="C34" s="47">
        <f>WEEKNUM(B34-RESUMEN!$D$7)</f>
        <v>6</v>
      </c>
      <c r="D34" s="47">
        <f>_xlfn.DAYS(B34,RESUMEN!$D$7)</f>
        <v>36</v>
      </c>
      <c r="E34" s="48" t="s">
        <v>123</v>
      </c>
      <c r="F34" s="49">
        <v>-6</v>
      </c>
      <c r="G34" s="64">
        <v>29</v>
      </c>
      <c r="H34" s="50">
        <f t="shared" si="0"/>
        <v>-4.833333333333333</v>
      </c>
      <c r="I34" s="90"/>
      <c r="J34" s="113">
        <v>43281</v>
      </c>
      <c r="K34" s="47">
        <f>WEEKNUM(J34-RESUMEN!$P$7)</f>
        <v>6</v>
      </c>
      <c r="L34" s="47">
        <f>_xlfn.DAYS(J34,RESUMEN!$P$7)</f>
        <v>39</v>
      </c>
      <c r="M34" s="48" t="s">
        <v>277</v>
      </c>
      <c r="N34" s="49">
        <v>-2</v>
      </c>
      <c r="O34" s="64">
        <v>12</v>
      </c>
      <c r="P34" s="50">
        <f t="shared" si="1"/>
        <v>-6</v>
      </c>
      <c r="Q34" s="90"/>
      <c r="R34" s="114">
        <v>43286</v>
      </c>
      <c r="S34" s="47">
        <f>WEEKNUM(R34-RESUMEN!$AB$7)</f>
        <v>6</v>
      </c>
      <c r="T34" s="47">
        <f>_xlfn.DAYS(R34,RESUMEN!$AB$7)</f>
        <v>39</v>
      </c>
      <c r="U34" s="48" t="s">
        <v>272</v>
      </c>
      <c r="V34" s="49">
        <v>-1</v>
      </c>
      <c r="W34" s="64">
        <v>6</v>
      </c>
      <c r="X34" s="50">
        <f t="shared" si="2"/>
        <v>-6</v>
      </c>
      <c r="Y34" s="90"/>
      <c r="Z34" s="113">
        <v>43301</v>
      </c>
      <c r="AA34" s="47">
        <f>WEEKNUM(Z34-RESUMEN!$AN$7)</f>
        <v>7</v>
      </c>
      <c r="AB34" s="47">
        <f>_xlfn.DAYS(Z34,RESUMEN!$AN$7)</f>
        <v>47</v>
      </c>
      <c r="AC34" s="48" t="s">
        <v>279</v>
      </c>
      <c r="AD34" s="49">
        <v>-3</v>
      </c>
      <c r="AE34" s="64">
        <v>21</v>
      </c>
      <c r="AF34" s="116">
        <f t="shared" si="3"/>
        <v>-7</v>
      </c>
      <c r="AG34" s="83"/>
      <c r="AH34" s="117">
        <v>43303</v>
      </c>
      <c r="AI34" s="47">
        <f>WEEKNUM(AH34-RESUMEN!$AZ$7)</f>
        <v>6</v>
      </c>
      <c r="AJ34" s="47">
        <f>_xlfn.DAYS(AH34,RESUMEN!$AZ$7)</f>
        <v>42</v>
      </c>
      <c r="AK34" s="79" t="s">
        <v>281</v>
      </c>
      <c r="AL34" s="53">
        <v>-3</v>
      </c>
      <c r="AM34" s="91">
        <v>23</v>
      </c>
      <c r="AN34" s="50">
        <f t="shared" si="4"/>
        <v>-7.666666666666667</v>
      </c>
      <c r="AO34" s="90"/>
      <c r="AP34" s="117"/>
      <c r="AQ34" s="47" t="e">
        <f>WEEKNUM(AP34-RESUMEN!$BL$7)</f>
        <v>#NUM!</v>
      </c>
      <c r="AR34" s="47">
        <f>_xlfn.DAYS(AP34,RESUMEN!$BL$7)</f>
        <v>-43267</v>
      </c>
      <c r="AS34" s="79"/>
      <c r="AT34" s="53"/>
      <c r="AU34" s="91"/>
      <c r="AV34" s="50" t="e">
        <f t="shared" si="5"/>
        <v>#DIV/0!</v>
      </c>
      <c r="AZ34" s="112" t="s">
        <v>102</v>
      </c>
    </row>
    <row r="35" spans="2:52" x14ac:dyDescent="0.25">
      <c r="B35" s="46">
        <v>43275</v>
      </c>
      <c r="C35" s="47">
        <f>WEEKNUM(B35-RESUMEN!$D$7)</f>
        <v>6</v>
      </c>
      <c r="D35" s="47">
        <f>_xlfn.DAYS(B35,RESUMEN!$D$7)</f>
        <v>37</v>
      </c>
      <c r="E35" s="48" t="s">
        <v>159</v>
      </c>
      <c r="F35" s="49">
        <v>-8</v>
      </c>
      <c r="G35" s="64">
        <v>43</v>
      </c>
      <c r="H35" s="50">
        <f t="shared" si="0"/>
        <v>-5.375</v>
      </c>
      <c r="I35" s="90"/>
      <c r="J35" s="113">
        <v>43281</v>
      </c>
      <c r="K35" s="47">
        <f>WEEKNUM(J35-RESUMEN!$P$7)</f>
        <v>6</v>
      </c>
      <c r="L35" s="47">
        <f>_xlfn.DAYS(J35,RESUMEN!$P$7)</f>
        <v>39</v>
      </c>
      <c r="M35" s="48" t="s">
        <v>271</v>
      </c>
      <c r="N35" s="49">
        <v>-3</v>
      </c>
      <c r="O35" s="64">
        <v>9</v>
      </c>
      <c r="P35" s="50">
        <f t="shared" si="1"/>
        <v>-3</v>
      </c>
      <c r="Q35" s="90"/>
      <c r="R35" s="114">
        <v>43287</v>
      </c>
      <c r="S35" s="47">
        <f>WEEKNUM(R35-RESUMEN!$AB$7)</f>
        <v>6</v>
      </c>
      <c r="T35" s="47">
        <f>_xlfn.DAYS(R35,RESUMEN!$AB$7)</f>
        <v>40</v>
      </c>
      <c r="U35" s="48" t="s">
        <v>271</v>
      </c>
      <c r="V35" s="49">
        <v>-2</v>
      </c>
      <c r="W35" s="64">
        <v>7</v>
      </c>
      <c r="X35" s="50">
        <f t="shared" si="2"/>
        <v>-3.5</v>
      </c>
      <c r="Y35" s="90"/>
      <c r="Z35" s="113">
        <v>43301</v>
      </c>
      <c r="AA35" s="47">
        <f>WEEKNUM(Z35-RESUMEN!$AN$7)</f>
        <v>7</v>
      </c>
      <c r="AB35" s="47">
        <f>_xlfn.DAYS(Z35,RESUMEN!$AN$7)</f>
        <v>47</v>
      </c>
      <c r="AC35" s="48" t="s">
        <v>271</v>
      </c>
      <c r="AD35" s="49">
        <v>-1</v>
      </c>
      <c r="AE35" s="64">
        <v>3</v>
      </c>
      <c r="AF35" s="116">
        <f t="shared" si="3"/>
        <v>-3</v>
      </c>
      <c r="AG35" s="83"/>
      <c r="AH35" s="117">
        <v>43304</v>
      </c>
      <c r="AI35" s="47">
        <f>WEEKNUM(AH35-RESUMEN!$AZ$7)</f>
        <v>7</v>
      </c>
      <c r="AJ35" s="47">
        <f>_xlfn.DAYS(AH35,RESUMEN!$AZ$7)</f>
        <v>43</v>
      </c>
      <c r="AK35" s="79" t="s">
        <v>271</v>
      </c>
      <c r="AL35" s="53">
        <v>-2</v>
      </c>
      <c r="AM35" s="91">
        <v>6</v>
      </c>
      <c r="AN35" s="50">
        <f t="shared" si="4"/>
        <v>-3</v>
      </c>
      <c r="AO35" s="90"/>
      <c r="AP35" s="117"/>
      <c r="AQ35" s="47" t="e">
        <f>WEEKNUM(AP35-RESUMEN!$BL$7)</f>
        <v>#NUM!</v>
      </c>
      <c r="AR35" s="47">
        <f>_xlfn.DAYS(AP35,RESUMEN!$BL$7)</f>
        <v>-43267</v>
      </c>
      <c r="AS35" s="79"/>
      <c r="AT35" s="53"/>
      <c r="AU35" s="91"/>
      <c r="AV35" s="50" t="e">
        <f t="shared" si="5"/>
        <v>#DIV/0!</v>
      </c>
      <c r="AZ35" s="112" t="s">
        <v>144</v>
      </c>
    </row>
    <row r="36" spans="2:52" x14ac:dyDescent="0.25">
      <c r="B36" s="46">
        <v>43275</v>
      </c>
      <c r="C36" s="47">
        <f>WEEKNUM(B36-RESUMEN!$D$7)</f>
        <v>6</v>
      </c>
      <c r="D36" s="47">
        <f>_xlfn.DAYS(B36,RESUMEN!$D$7)</f>
        <v>37</v>
      </c>
      <c r="E36" s="48" t="s">
        <v>271</v>
      </c>
      <c r="F36" s="49">
        <v>-2</v>
      </c>
      <c r="G36" s="64">
        <v>6</v>
      </c>
      <c r="H36" s="50">
        <f t="shared" si="0"/>
        <v>-3</v>
      </c>
      <c r="I36" s="90"/>
      <c r="J36" s="113">
        <v>43281</v>
      </c>
      <c r="K36" s="47">
        <f>WEEKNUM(J36-RESUMEN!$P$7)</f>
        <v>6</v>
      </c>
      <c r="L36" s="47">
        <f>_xlfn.DAYS(J36,RESUMEN!$P$7)</f>
        <v>39</v>
      </c>
      <c r="M36" s="48" t="s">
        <v>165</v>
      </c>
      <c r="N36" s="49">
        <v>-2</v>
      </c>
      <c r="O36" s="64">
        <v>12</v>
      </c>
      <c r="P36" s="50">
        <f t="shared" si="1"/>
        <v>-6</v>
      </c>
      <c r="Q36" s="90"/>
      <c r="R36" s="114">
        <v>43287</v>
      </c>
      <c r="S36" s="47">
        <f>WEEKNUM(R36-RESUMEN!$AB$7)</f>
        <v>6</v>
      </c>
      <c r="T36" s="47">
        <f>_xlfn.DAYS(R36,RESUMEN!$AB$7)</f>
        <v>40</v>
      </c>
      <c r="U36" s="48" t="s">
        <v>165</v>
      </c>
      <c r="V36" s="49">
        <v>-1</v>
      </c>
      <c r="W36" s="64">
        <v>6</v>
      </c>
      <c r="X36" s="50">
        <f t="shared" si="2"/>
        <v>-6</v>
      </c>
      <c r="Y36" s="90"/>
      <c r="Z36" s="113">
        <v>43302</v>
      </c>
      <c r="AA36" s="47">
        <f>WEEKNUM(Z36-RESUMEN!$AN$7)</f>
        <v>7</v>
      </c>
      <c r="AB36" s="47">
        <f>_xlfn.DAYS(Z36,RESUMEN!$AN$7)</f>
        <v>48</v>
      </c>
      <c r="AC36" s="48" t="s">
        <v>165</v>
      </c>
      <c r="AD36" s="49">
        <v>-4</v>
      </c>
      <c r="AE36" s="64">
        <v>25</v>
      </c>
      <c r="AF36" s="116">
        <f t="shared" si="3"/>
        <v>-6.25</v>
      </c>
      <c r="AG36" s="83"/>
      <c r="AH36" s="117">
        <v>43304</v>
      </c>
      <c r="AI36" s="47">
        <f>WEEKNUM(AH36-RESUMEN!$AZ$7)</f>
        <v>7</v>
      </c>
      <c r="AJ36" s="47">
        <f>_xlfn.DAYS(AH36,RESUMEN!$AZ$7)</f>
        <v>43</v>
      </c>
      <c r="AK36" s="79" t="s">
        <v>102</v>
      </c>
      <c r="AL36" s="53">
        <v>-3</v>
      </c>
      <c r="AM36" s="91">
        <v>25</v>
      </c>
      <c r="AN36" s="50">
        <f t="shared" si="4"/>
        <v>-8.3333333333333339</v>
      </c>
      <c r="AO36" s="90"/>
      <c r="AP36" s="117"/>
      <c r="AQ36" s="47" t="e">
        <f>WEEKNUM(AP36-RESUMEN!$BL$7)</f>
        <v>#NUM!</v>
      </c>
      <c r="AR36" s="47">
        <f>_xlfn.DAYS(AP36,RESUMEN!$BL$7)</f>
        <v>-43267</v>
      </c>
      <c r="AS36" s="79"/>
      <c r="AT36" s="53"/>
      <c r="AU36" s="91"/>
      <c r="AV36" s="50" t="e">
        <f t="shared" si="5"/>
        <v>#DIV/0!</v>
      </c>
      <c r="AZ36" s="112" t="s">
        <v>145</v>
      </c>
    </row>
    <row r="37" spans="2:52" x14ac:dyDescent="0.25">
      <c r="B37" s="46">
        <v>43276</v>
      </c>
      <c r="C37" s="47">
        <f>WEEKNUM(B37-RESUMEN!$D$7)</f>
        <v>6</v>
      </c>
      <c r="D37" s="47">
        <f>_xlfn.DAYS(B37,RESUMEN!$D$7)</f>
        <v>38</v>
      </c>
      <c r="E37" s="48" t="s">
        <v>271</v>
      </c>
      <c r="F37" s="49">
        <v>-4</v>
      </c>
      <c r="G37" s="64">
        <v>8</v>
      </c>
      <c r="H37" s="50">
        <f t="shared" si="0"/>
        <v>-2</v>
      </c>
      <c r="I37" s="90"/>
      <c r="J37" s="113">
        <v>43281</v>
      </c>
      <c r="K37" s="47">
        <f>WEEKNUM(J37-RESUMEN!$P$7)</f>
        <v>6</v>
      </c>
      <c r="L37" s="47">
        <f>_xlfn.DAYS(J37,RESUMEN!$P$7)</f>
        <v>39</v>
      </c>
      <c r="M37" s="48" t="s">
        <v>279</v>
      </c>
      <c r="N37" s="49">
        <v>-2</v>
      </c>
      <c r="O37" s="64">
        <v>15</v>
      </c>
      <c r="P37" s="50">
        <f t="shared" si="1"/>
        <v>-7.5</v>
      </c>
      <c r="Q37" s="90"/>
      <c r="R37" s="114">
        <v>43287</v>
      </c>
      <c r="S37" s="47">
        <f>WEEKNUM(R37-RESUMEN!$AB$7)</f>
        <v>6</v>
      </c>
      <c r="T37" s="47">
        <f>_xlfn.DAYS(R37,RESUMEN!$AB$7)</f>
        <v>40</v>
      </c>
      <c r="U37" s="48" t="s">
        <v>274</v>
      </c>
      <c r="V37" s="49">
        <v>-1</v>
      </c>
      <c r="W37" s="64">
        <v>6</v>
      </c>
      <c r="X37" s="50">
        <f t="shared" si="2"/>
        <v>-6</v>
      </c>
      <c r="Y37" s="90"/>
      <c r="Z37" s="113">
        <v>43303</v>
      </c>
      <c r="AA37" s="47">
        <f>WEEKNUM(Z37-RESUMEN!$AN$7)</f>
        <v>7</v>
      </c>
      <c r="AB37" s="47">
        <f>_xlfn.DAYS(Z37,RESUMEN!$AN$7)</f>
        <v>49</v>
      </c>
      <c r="AC37" s="48" t="s">
        <v>271</v>
      </c>
      <c r="AD37" s="49">
        <v>-3</v>
      </c>
      <c r="AE37" s="64">
        <v>9</v>
      </c>
      <c r="AF37" s="116">
        <f t="shared" si="3"/>
        <v>-3</v>
      </c>
      <c r="AG37" s="83"/>
      <c r="AH37" s="117">
        <v>43305</v>
      </c>
      <c r="AI37" s="47">
        <f>WEEKNUM(AH37-RESUMEN!$AZ$7)</f>
        <v>7</v>
      </c>
      <c r="AJ37" s="47">
        <f>_xlfn.DAYS(AH37,RESUMEN!$AZ$7)</f>
        <v>44</v>
      </c>
      <c r="AK37" s="79" t="s">
        <v>277</v>
      </c>
      <c r="AL37" s="53">
        <v>-2</v>
      </c>
      <c r="AM37" s="91">
        <v>12</v>
      </c>
      <c r="AN37" s="50">
        <f t="shared" si="4"/>
        <v>-6</v>
      </c>
      <c r="AO37" s="90"/>
      <c r="AP37" s="117"/>
      <c r="AQ37" s="47" t="e">
        <f>WEEKNUM(AP37-RESUMEN!$BL$7)</f>
        <v>#NUM!</v>
      </c>
      <c r="AR37" s="47">
        <f>_xlfn.DAYS(AP37,RESUMEN!$BL$7)</f>
        <v>-43267</v>
      </c>
      <c r="AS37" s="79"/>
      <c r="AT37" s="53"/>
      <c r="AU37" s="91"/>
      <c r="AV37" s="50" t="e">
        <f t="shared" si="5"/>
        <v>#DIV/0!</v>
      </c>
      <c r="AZ37" s="112" t="s">
        <v>146</v>
      </c>
    </row>
    <row r="38" spans="2:52" x14ac:dyDescent="0.25">
      <c r="B38" s="46">
        <v>43276</v>
      </c>
      <c r="C38" s="47">
        <f>WEEKNUM(B38-RESUMEN!$D$7)</f>
        <v>6</v>
      </c>
      <c r="D38" s="47">
        <f>_xlfn.DAYS(B38,RESUMEN!$D$7)</f>
        <v>38</v>
      </c>
      <c r="E38" s="48" t="s">
        <v>123</v>
      </c>
      <c r="F38" s="49">
        <v>-5</v>
      </c>
      <c r="G38" s="64">
        <v>27</v>
      </c>
      <c r="H38" s="50">
        <f t="shared" si="0"/>
        <v>-5.4</v>
      </c>
      <c r="I38" s="90"/>
      <c r="J38" s="113">
        <v>43282</v>
      </c>
      <c r="K38" s="47">
        <f>WEEKNUM(J38-RESUMEN!$P$7)</f>
        <v>6</v>
      </c>
      <c r="L38" s="47">
        <f>_xlfn.DAYS(J38,RESUMEN!$P$7)</f>
        <v>40</v>
      </c>
      <c r="M38" s="48" t="s">
        <v>279</v>
      </c>
      <c r="N38" s="49">
        <v>-2</v>
      </c>
      <c r="O38" s="64">
        <v>13</v>
      </c>
      <c r="P38" s="50">
        <f t="shared" si="1"/>
        <v>-6.5</v>
      </c>
      <c r="Q38" s="90"/>
      <c r="R38" s="114">
        <v>43287</v>
      </c>
      <c r="S38" s="47">
        <f>WEEKNUM(R38-RESUMEN!$AB$7)</f>
        <v>6</v>
      </c>
      <c r="T38" s="47">
        <f>_xlfn.DAYS(R38,RESUMEN!$AB$7)</f>
        <v>40</v>
      </c>
      <c r="U38" s="48" t="s">
        <v>102</v>
      </c>
      <c r="V38" s="49">
        <v>-2</v>
      </c>
      <c r="W38" s="64">
        <v>16</v>
      </c>
      <c r="X38" s="50">
        <f t="shared" si="2"/>
        <v>-8</v>
      </c>
      <c r="Y38" s="90"/>
      <c r="Z38" s="113">
        <v>43303</v>
      </c>
      <c r="AA38" s="47">
        <f>WEEKNUM(Z38-RESUMEN!$AN$7)</f>
        <v>7</v>
      </c>
      <c r="AB38" s="47">
        <f>_xlfn.DAYS(Z38,RESUMEN!$AN$7)</f>
        <v>49</v>
      </c>
      <c r="AC38" s="48" t="s">
        <v>165</v>
      </c>
      <c r="AD38" s="49">
        <v>-1</v>
      </c>
      <c r="AE38" s="64">
        <v>7</v>
      </c>
      <c r="AF38" s="116">
        <f t="shared" si="3"/>
        <v>-7</v>
      </c>
      <c r="AG38" s="83"/>
      <c r="AH38" s="117">
        <v>43305</v>
      </c>
      <c r="AI38" s="47">
        <f>WEEKNUM(AH38-RESUMEN!$AZ$7)</f>
        <v>7</v>
      </c>
      <c r="AJ38" s="47">
        <f>_xlfn.DAYS(AH38,RESUMEN!$AZ$7)</f>
        <v>44</v>
      </c>
      <c r="AK38" s="79" t="s">
        <v>282</v>
      </c>
      <c r="AL38" s="53">
        <v>-2</v>
      </c>
      <c r="AM38" s="91">
        <v>7</v>
      </c>
      <c r="AN38" s="50">
        <f t="shared" si="4"/>
        <v>-3.5</v>
      </c>
      <c r="AO38" s="90"/>
      <c r="AP38" s="117"/>
      <c r="AQ38" s="47" t="e">
        <f>WEEKNUM(AP38-RESUMEN!$BL$7)</f>
        <v>#NUM!</v>
      </c>
      <c r="AR38" s="47">
        <f>_xlfn.DAYS(AP38,RESUMEN!$BL$7)</f>
        <v>-43267</v>
      </c>
      <c r="AS38" s="79"/>
      <c r="AT38" s="53"/>
      <c r="AU38" s="91"/>
      <c r="AV38" s="50" t="e">
        <f t="shared" si="5"/>
        <v>#DIV/0!</v>
      </c>
      <c r="AZ38" s="112" t="s">
        <v>147</v>
      </c>
    </row>
    <row r="39" spans="2:52" x14ac:dyDescent="0.25">
      <c r="B39" s="46">
        <v>43276</v>
      </c>
      <c r="C39" s="47">
        <f>WEEKNUM(B39-RESUMEN!$D$7)</f>
        <v>6</v>
      </c>
      <c r="D39" s="47">
        <f>_xlfn.DAYS(B39,RESUMEN!$D$7)</f>
        <v>38</v>
      </c>
      <c r="E39" s="48" t="s">
        <v>159</v>
      </c>
      <c r="F39" s="49">
        <v>-6</v>
      </c>
      <c r="G39" s="64">
        <v>29</v>
      </c>
      <c r="H39" s="50">
        <f t="shared" si="0"/>
        <v>-4.833333333333333</v>
      </c>
      <c r="I39" s="90"/>
      <c r="J39" s="113">
        <v>43282</v>
      </c>
      <c r="K39" s="47">
        <f>WEEKNUM(J39-RESUMEN!$P$7)</f>
        <v>6</v>
      </c>
      <c r="L39" s="47">
        <f>_xlfn.DAYS(J39,RESUMEN!$P$7)</f>
        <v>40</v>
      </c>
      <c r="M39" s="48" t="s">
        <v>277</v>
      </c>
      <c r="N39" s="49">
        <v>-3</v>
      </c>
      <c r="O39" s="64">
        <v>10</v>
      </c>
      <c r="P39" s="50">
        <f t="shared" si="1"/>
        <v>-3.3333333333333335</v>
      </c>
      <c r="Q39" s="90"/>
      <c r="R39" s="114">
        <v>43288</v>
      </c>
      <c r="S39" s="47">
        <f>WEEKNUM(R39-RESUMEN!$AB$7)</f>
        <v>6</v>
      </c>
      <c r="T39" s="47">
        <f>_xlfn.DAYS(R39,RESUMEN!$AB$7)</f>
        <v>41</v>
      </c>
      <c r="U39" s="48" t="s">
        <v>271</v>
      </c>
      <c r="V39" s="49">
        <v>-4</v>
      </c>
      <c r="W39" s="64">
        <v>11</v>
      </c>
      <c r="X39" s="50">
        <f t="shared" si="2"/>
        <v>-2.75</v>
      </c>
      <c r="Y39" s="90"/>
      <c r="Z39" s="113">
        <v>43303</v>
      </c>
      <c r="AA39" s="47">
        <f>WEEKNUM(Z39-RESUMEN!$AN$7)</f>
        <v>7</v>
      </c>
      <c r="AB39" s="47">
        <f>_xlfn.DAYS(Z39,RESUMEN!$AN$7)</f>
        <v>49</v>
      </c>
      <c r="AC39" s="48" t="s">
        <v>277</v>
      </c>
      <c r="AD39" s="49">
        <v>-1</v>
      </c>
      <c r="AE39" s="64">
        <v>12</v>
      </c>
      <c r="AF39" s="116">
        <f t="shared" si="3"/>
        <v>-12</v>
      </c>
      <c r="AG39" s="83"/>
      <c r="AH39" s="117">
        <v>43307</v>
      </c>
      <c r="AI39" s="47">
        <f>WEEKNUM(AH39-RESUMEN!$AZ$7)</f>
        <v>7</v>
      </c>
      <c r="AJ39" s="47">
        <f>_xlfn.DAYS(AH39,RESUMEN!$AZ$7)</f>
        <v>46</v>
      </c>
      <c r="AK39" s="79" t="s">
        <v>279</v>
      </c>
      <c r="AL39" s="53">
        <v>-4</v>
      </c>
      <c r="AM39" s="91">
        <v>31</v>
      </c>
      <c r="AN39" s="50">
        <f t="shared" si="4"/>
        <v>-7.75</v>
      </c>
      <c r="AO39" s="90"/>
      <c r="AP39" s="117"/>
      <c r="AQ39" s="47" t="e">
        <f>WEEKNUM(AP39-RESUMEN!$BL$7)</f>
        <v>#NUM!</v>
      </c>
      <c r="AR39" s="47">
        <f>_xlfn.DAYS(AP39,RESUMEN!$BL$7)</f>
        <v>-43267</v>
      </c>
      <c r="AS39" s="79"/>
      <c r="AT39" s="53"/>
      <c r="AU39" s="91"/>
      <c r="AV39" s="50" t="e">
        <f t="shared" si="5"/>
        <v>#DIV/0!</v>
      </c>
      <c r="AZ39" s="112" t="s">
        <v>148</v>
      </c>
    </row>
    <row r="40" spans="2:52" x14ac:dyDescent="0.25">
      <c r="B40" s="46">
        <v>43277</v>
      </c>
      <c r="C40" s="47">
        <f>WEEKNUM(B40-RESUMEN!$D$7)</f>
        <v>6</v>
      </c>
      <c r="D40" s="47">
        <f>_xlfn.DAYS(B40,RESUMEN!$D$7)</f>
        <v>39</v>
      </c>
      <c r="E40" s="48" t="s">
        <v>271</v>
      </c>
      <c r="F40" s="49">
        <v>-4</v>
      </c>
      <c r="G40" s="64">
        <v>8</v>
      </c>
      <c r="H40" s="50">
        <f t="shared" si="0"/>
        <v>-2</v>
      </c>
      <c r="I40" s="90"/>
      <c r="J40" s="113">
        <v>43283</v>
      </c>
      <c r="K40" s="47">
        <f>WEEKNUM(J40-RESUMEN!$P$7)</f>
        <v>6</v>
      </c>
      <c r="L40" s="47">
        <f>_xlfn.DAYS(J40,RESUMEN!$P$7)</f>
        <v>41</v>
      </c>
      <c r="M40" s="48" t="s">
        <v>275</v>
      </c>
      <c r="N40" s="49">
        <v>-2</v>
      </c>
      <c r="O40" s="64">
        <v>13</v>
      </c>
      <c r="P40" s="50">
        <f t="shared" si="1"/>
        <v>-6.5</v>
      </c>
      <c r="Q40" s="90"/>
      <c r="R40" s="114">
        <v>43288</v>
      </c>
      <c r="S40" s="47">
        <f>WEEKNUM(R40-RESUMEN!$AB$7)</f>
        <v>6</v>
      </c>
      <c r="T40" s="47">
        <f>_xlfn.DAYS(R40,RESUMEN!$AB$7)</f>
        <v>41</v>
      </c>
      <c r="U40" s="48" t="s">
        <v>274</v>
      </c>
      <c r="V40" s="49">
        <v>-1</v>
      </c>
      <c r="W40" s="64">
        <v>6</v>
      </c>
      <c r="X40" s="50">
        <f t="shared" si="2"/>
        <v>-6</v>
      </c>
      <c r="Y40" s="90"/>
      <c r="Z40" s="113">
        <v>43304</v>
      </c>
      <c r="AA40" s="47">
        <f>WEEKNUM(Z40-RESUMEN!$AN$7)</f>
        <v>8</v>
      </c>
      <c r="AB40" s="47">
        <f>_xlfn.DAYS(Z40,RESUMEN!$AN$7)</f>
        <v>50</v>
      </c>
      <c r="AC40" s="48" t="s">
        <v>165</v>
      </c>
      <c r="AD40" s="49">
        <v>-2</v>
      </c>
      <c r="AE40" s="64">
        <v>17</v>
      </c>
      <c r="AF40" s="116">
        <f t="shared" si="3"/>
        <v>-8.5</v>
      </c>
      <c r="AG40" s="83"/>
      <c r="AH40" s="117">
        <v>43307</v>
      </c>
      <c r="AI40" s="47">
        <f>WEEKNUM(AH40-RESUMEN!$AZ$7)</f>
        <v>7</v>
      </c>
      <c r="AJ40" s="47">
        <f>_xlfn.DAYS(AH40,RESUMEN!$AZ$7)</f>
        <v>46</v>
      </c>
      <c r="AK40" s="79" t="s">
        <v>282</v>
      </c>
      <c r="AL40" s="53">
        <v>-1</v>
      </c>
      <c r="AM40" s="91">
        <v>6</v>
      </c>
      <c r="AN40" s="50">
        <f t="shared" si="4"/>
        <v>-6</v>
      </c>
      <c r="AO40" s="90"/>
      <c r="AP40" s="117"/>
      <c r="AQ40" s="47" t="e">
        <f>WEEKNUM(AP40-RESUMEN!$BL$7)</f>
        <v>#NUM!</v>
      </c>
      <c r="AR40" s="47">
        <f>_xlfn.DAYS(AP40,RESUMEN!$BL$7)</f>
        <v>-43267</v>
      </c>
      <c r="AS40" s="79"/>
      <c r="AT40" s="53"/>
      <c r="AU40" s="91"/>
      <c r="AV40" s="50" t="e">
        <f t="shared" si="5"/>
        <v>#DIV/0!</v>
      </c>
      <c r="AZ40" s="112" t="s">
        <v>149</v>
      </c>
    </row>
    <row r="41" spans="2:52" x14ac:dyDescent="0.25">
      <c r="B41" s="46">
        <v>43277</v>
      </c>
      <c r="C41" s="47">
        <f>WEEKNUM(B41-RESUMEN!$D$7)</f>
        <v>6</v>
      </c>
      <c r="D41" s="47">
        <f>_xlfn.DAYS(B41,RESUMEN!$D$7)</f>
        <v>39</v>
      </c>
      <c r="E41" s="48" t="s">
        <v>123</v>
      </c>
      <c r="F41" s="49">
        <v>-10</v>
      </c>
      <c r="G41" s="64">
        <v>47</v>
      </c>
      <c r="H41" s="50">
        <f t="shared" si="0"/>
        <v>-4.7</v>
      </c>
      <c r="I41" s="90"/>
      <c r="J41" s="113">
        <v>43283</v>
      </c>
      <c r="K41" s="47">
        <f>WEEKNUM(J41-RESUMEN!$P$7)</f>
        <v>6</v>
      </c>
      <c r="L41" s="47">
        <f>_xlfn.DAYS(J41,RESUMEN!$P$7)</f>
        <v>41</v>
      </c>
      <c r="M41" s="48" t="s">
        <v>271</v>
      </c>
      <c r="N41" s="49">
        <v>-10</v>
      </c>
      <c r="O41" s="64">
        <v>16</v>
      </c>
      <c r="P41" s="50">
        <f t="shared" si="1"/>
        <v>-1.6</v>
      </c>
      <c r="Q41" s="90"/>
      <c r="R41" s="114">
        <v>43289</v>
      </c>
      <c r="S41" s="47">
        <f>WEEKNUM(R41-RESUMEN!$AB$7)</f>
        <v>6</v>
      </c>
      <c r="T41" s="47">
        <f>_xlfn.DAYS(R41,RESUMEN!$AB$7)</f>
        <v>42</v>
      </c>
      <c r="U41" s="48" t="s">
        <v>274</v>
      </c>
      <c r="V41" s="49">
        <v>-4</v>
      </c>
      <c r="W41" s="64">
        <v>28</v>
      </c>
      <c r="X41" s="50">
        <f t="shared" si="2"/>
        <v>-7</v>
      </c>
      <c r="Y41" s="90"/>
      <c r="Z41" s="113">
        <v>43304</v>
      </c>
      <c r="AA41" s="47">
        <f>WEEKNUM(Z41-RESUMEN!$AN$7)</f>
        <v>8</v>
      </c>
      <c r="AB41" s="47">
        <f>_xlfn.DAYS(Z41,RESUMEN!$AN$7)</f>
        <v>50</v>
      </c>
      <c r="AC41" s="48" t="s">
        <v>102</v>
      </c>
      <c r="AD41" s="49">
        <v>-2</v>
      </c>
      <c r="AE41" s="64">
        <v>18</v>
      </c>
      <c r="AF41" s="116">
        <f t="shared" si="3"/>
        <v>-9</v>
      </c>
      <c r="AG41" s="83"/>
      <c r="AH41" s="115">
        <v>43308</v>
      </c>
      <c r="AI41" s="47">
        <f>WEEKNUM(AH41-RESUMEN!$AZ$7)</f>
        <v>7</v>
      </c>
      <c r="AJ41" s="47">
        <f>_xlfn.DAYS(AH41,RESUMEN!$AZ$7)</f>
        <v>47</v>
      </c>
      <c r="AK41" s="79" t="s">
        <v>102</v>
      </c>
      <c r="AL41" s="54">
        <v>-3</v>
      </c>
      <c r="AM41" s="66">
        <v>22</v>
      </c>
      <c r="AN41" s="50">
        <f t="shared" si="4"/>
        <v>-7.333333333333333</v>
      </c>
      <c r="AO41" s="90"/>
      <c r="AP41" s="117"/>
      <c r="AQ41" s="47" t="e">
        <f>WEEKNUM(AP41-RESUMEN!$BL$7)</f>
        <v>#NUM!</v>
      </c>
      <c r="AR41" s="47">
        <f>_xlfn.DAYS(AP41,RESUMEN!$BL$7)</f>
        <v>-43267</v>
      </c>
      <c r="AS41" s="79"/>
      <c r="AT41" s="53"/>
      <c r="AU41" s="91"/>
      <c r="AV41" s="50" t="e">
        <f t="shared" si="5"/>
        <v>#DIV/0!</v>
      </c>
      <c r="AZ41" s="112" t="s">
        <v>150</v>
      </c>
    </row>
    <row r="42" spans="2:52" x14ac:dyDescent="0.25">
      <c r="B42" s="46">
        <v>43278</v>
      </c>
      <c r="C42" s="47">
        <f>WEEKNUM(B42-RESUMEN!$D$7)</f>
        <v>6</v>
      </c>
      <c r="D42" s="47">
        <f>_xlfn.DAYS(B42,RESUMEN!$D$7)</f>
        <v>40</v>
      </c>
      <c r="E42" s="48" t="s">
        <v>271</v>
      </c>
      <c r="F42" s="49">
        <v>-2</v>
      </c>
      <c r="G42" s="64">
        <v>5</v>
      </c>
      <c r="H42" s="50">
        <f t="shared" si="0"/>
        <v>-2.5</v>
      </c>
      <c r="I42" s="90"/>
      <c r="J42" s="113">
        <v>43284</v>
      </c>
      <c r="K42" s="47">
        <f>WEEKNUM(J42-RESUMEN!$P$7)</f>
        <v>6</v>
      </c>
      <c r="L42" s="47">
        <f>_xlfn.DAYS(J42,RESUMEN!$P$7)</f>
        <v>42</v>
      </c>
      <c r="M42" s="48" t="s">
        <v>275</v>
      </c>
      <c r="N42" s="49">
        <v>-5</v>
      </c>
      <c r="O42" s="64">
        <v>35</v>
      </c>
      <c r="P42" s="50">
        <f t="shared" si="1"/>
        <v>-7</v>
      </c>
      <c r="Q42" s="90"/>
      <c r="R42" s="114">
        <v>43289</v>
      </c>
      <c r="S42" s="47">
        <f>WEEKNUM(R42-RESUMEN!$AB$7)</f>
        <v>6</v>
      </c>
      <c r="T42" s="47">
        <f>_xlfn.DAYS(R42,RESUMEN!$AB$7)</f>
        <v>42</v>
      </c>
      <c r="U42" s="48" t="s">
        <v>165</v>
      </c>
      <c r="V42" s="49">
        <v>-3</v>
      </c>
      <c r="W42" s="64">
        <v>24</v>
      </c>
      <c r="X42" s="50">
        <f t="shared" si="2"/>
        <v>-8</v>
      </c>
      <c r="Y42" s="90"/>
      <c r="Z42" s="113">
        <v>43305</v>
      </c>
      <c r="AA42" s="47">
        <f>WEEKNUM(Z42-RESUMEN!$AN$7)</f>
        <v>8</v>
      </c>
      <c r="AB42" s="47">
        <f>_xlfn.DAYS(Z42,RESUMEN!$AN$7)</f>
        <v>51</v>
      </c>
      <c r="AC42" s="48" t="s">
        <v>277</v>
      </c>
      <c r="AD42" s="49">
        <v>-3</v>
      </c>
      <c r="AE42" s="64">
        <v>12</v>
      </c>
      <c r="AF42" s="116">
        <f t="shared" si="3"/>
        <v>-4</v>
      </c>
      <c r="AG42" s="83"/>
      <c r="AH42" s="115">
        <v>43308</v>
      </c>
      <c r="AI42" s="47">
        <f>WEEKNUM(AH42-RESUMEN!$AZ$7)</f>
        <v>7</v>
      </c>
      <c r="AJ42" s="47">
        <f>_xlfn.DAYS(AH42,RESUMEN!$AZ$7)</f>
        <v>47</v>
      </c>
      <c r="AK42" s="79" t="s">
        <v>161</v>
      </c>
      <c r="AL42" s="54">
        <v>-2</v>
      </c>
      <c r="AM42" s="66">
        <v>8</v>
      </c>
      <c r="AN42" s="50">
        <f t="shared" si="4"/>
        <v>-4</v>
      </c>
      <c r="AO42" s="90"/>
      <c r="AP42" s="117"/>
      <c r="AQ42" s="47" t="e">
        <f>WEEKNUM(AP42-RESUMEN!$BL$7)</f>
        <v>#NUM!</v>
      </c>
      <c r="AR42" s="47">
        <f>_xlfn.DAYS(AP42,RESUMEN!$BL$7)</f>
        <v>-43267</v>
      </c>
      <c r="AS42" s="79"/>
      <c r="AT42" s="53"/>
      <c r="AU42" s="91"/>
      <c r="AV42" s="50" t="e">
        <f t="shared" si="5"/>
        <v>#DIV/0!</v>
      </c>
      <c r="AZ42" s="112" t="s">
        <v>151</v>
      </c>
    </row>
    <row r="43" spans="2:52" x14ac:dyDescent="0.25">
      <c r="B43" s="46">
        <v>43278</v>
      </c>
      <c r="C43" s="47">
        <f>WEEKNUM(B43-RESUMEN!$D$7)</f>
        <v>6</v>
      </c>
      <c r="D43" s="47">
        <f>_xlfn.DAYS(B43,RESUMEN!$D$7)</f>
        <v>40</v>
      </c>
      <c r="E43" s="48" t="s">
        <v>165</v>
      </c>
      <c r="F43" s="49">
        <v>-1</v>
      </c>
      <c r="G43" s="64">
        <v>6</v>
      </c>
      <c r="H43" s="50">
        <f t="shared" si="0"/>
        <v>-6</v>
      </c>
      <c r="I43" s="90"/>
      <c r="J43" s="113">
        <v>43285</v>
      </c>
      <c r="K43" s="47">
        <f>WEEKNUM(J43-RESUMEN!$P$7)</f>
        <v>7</v>
      </c>
      <c r="L43" s="47">
        <f>_xlfn.DAYS(J43,RESUMEN!$P$7)</f>
        <v>43</v>
      </c>
      <c r="M43" s="48" t="s">
        <v>275</v>
      </c>
      <c r="N43" s="49">
        <v>-2</v>
      </c>
      <c r="O43" s="64">
        <v>11</v>
      </c>
      <c r="P43" s="50">
        <f t="shared" si="1"/>
        <v>-5.5</v>
      </c>
      <c r="Q43" s="90"/>
      <c r="R43" s="114">
        <v>43289</v>
      </c>
      <c r="S43" s="47">
        <f>WEEKNUM(R43-RESUMEN!$AB$7)</f>
        <v>6</v>
      </c>
      <c r="T43" s="47">
        <f>_xlfn.DAYS(R43,RESUMEN!$AB$7)</f>
        <v>42</v>
      </c>
      <c r="U43" s="48" t="s">
        <v>271</v>
      </c>
      <c r="V43" s="49">
        <v>-3</v>
      </c>
      <c r="W43" s="64">
        <v>11</v>
      </c>
      <c r="X43" s="50">
        <f t="shared" si="2"/>
        <v>-3.6666666666666665</v>
      </c>
      <c r="Y43" s="90"/>
      <c r="Z43" s="113">
        <v>43305</v>
      </c>
      <c r="AA43" s="47">
        <f>WEEKNUM(Z43-RESUMEN!$AN$7)</f>
        <v>8</v>
      </c>
      <c r="AB43" s="47">
        <f>_xlfn.DAYS(Z43,RESUMEN!$AN$7)</f>
        <v>51</v>
      </c>
      <c r="AC43" s="48" t="s">
        <v>165</v>
      </c>
      <c r="AD43" s="49">
        <v>-1</v>
      </c>
      <c r="AE43" s="64">
        <v>4</v>
      </c>
      <c r="AF43" s="116">
        <f t="shared" si="3"/>
        <v>-4</v>
      </c>
      <c r="AG43" s="83"/>
      <c r="AH43" s="115">
        <v>43309</v>
      </c>
      <c r="AI43" s="47">
        <f>WEEKNUM(AH43-RESUMEN!$AZ$7)</f>
        <v>7</v>
      </c>
      <c r="AJ43" s="47">
        <f>_xlfn.DAYS(AH43,RESUMEN!$AZ$7)</f>
        <v>48</v>
      </c>
      <c r="AK43" s="79" t="s">
        <v>161</v>
      </c>
      <c r="AL43" s="54">
        <v>-3</v>
      </c>
      <c r="AM43" s="66">
        <v>12</v>
      </c>
      <c r="AN43" s="50">
        <f t="shared" si="4"/>
        <v>-4</v>
      </c>
      <c r="AO43" s="90"/>
      <c r="AP43" s="117"/>
      <c r="AQ43" s="47" t="e">
        <f>WEEKNUM(AP43-RESUMEN!$BL$7)</f>
        <v>#NUM!</v>
      </c>
      <c r="AR43" s="47">
        <f>_xlfn.DAYS(AP43,RESUMEN!$BL$7)</f>
        <v>-43267</v>
      </c>
      <c r="AS43" s="79"/>
      <c r="AT43" s="53"/>
      <c r="AU43" s="91"/>
      <c r="AV43" s="50" t="e">
        <f t="shared" si="5"/>
        <v>#DIV/0!</v>
      </c>
      <c r="AZ43" s="112" t="s">
        <v>152</v>
      </c>
    </row>
    <row r="44" spans="2:52" x14ac:dyDescent="0.25">
      <c r="B44" s="46">
        <v>43278</v>
      </c>
      <c r="C44" s="47">
        <f>WEEKNUM(B44-RESUMEN!$D$7)</f>
        <v>6</v>
      </c>
      <c r="D44" s="47">
        <f>_xlfn.DAYS(B44,RESUMEN!$D$7)</f>
        <v>40</v>
      </c>
      <c r="E44" s="48" t="s">
        <v>123</v>
      </c>
      <c r="F44" s="49">
        <v>-8</v>
      </c>
      <c r="G44" s="64">
        <v>36</v>
      </c>
      <c r="H44" s="50">
        <f t="shared" si="0"/>
        <v>-4.5</v>
      </c>
      <c r="I44" s="90"/>
      <c r="J44" s="113">
        <v>43285</v>
      </c>
      <c r="K44" s="47">
        <f>WEEKNUM(J44-RESUMEN!$P$7)</f>
        <v>7</v>
      </c>
      <c r="L44" s="47">
        <f>_xlfn.DAYS(J44,RESUMEN!$P$7)</f>
        <v>43</v>
      </c>
      <c r="M44" s="48" t="s">
        <v>277</v>
      </c>
      <c r="N44" s="49">
        <v>-4</v>
      </c>
      <c r="O44" s="64">
        <v>16</v>
      </c>
      <c r="P44" s="50">
        <f t="shared" si="1"/>
        <v>-4</v>
      </c>
      <c r="Q44" s="90"/>
      <c r="R44" s="114">
        <v>43290</v>
      </c>
      <c r="S44" s="47">
        <f>WEEKNUM(R44-RESUMEN!$AB$7)</f>
        <v>7</v>
      </c>
      <c r="T44" s="47">
        <f>_xlfn.DAYS(R44,RESUMEN!$AB$7)</f>
        <v>43</v>
      </c>
      <c r="U44" s="48" t="s">
        <v>271</v>
      </c>
      <c r="V44" s="49">
        <v>-3</v>
      </c>
      <c r="W44" s="64">
        <v>9</v>
      </c>
      <c r="X44" s="50">
        <f t="shared" si="2"/>
        <v>-3</v>
      </c>
      <c r="Y44" s="90"/>
      <c r="Z44" s="113">
        <v>43306</v>
      </c>
      <c r="AA44" s="47">
        <f>WEEKNUM(Z44-RESUMEN!$AN$7)</f>
        <v>8</v>
      </c>
      <c r="AB44" s="47">
        <f>_xlfn.DAYS(Z44,RESUMEN!$AN$7)</f>
        <v>52</v>
      </c>
      <c r="AC44" s="48" t="s">
        <v>277</v>
      </c>
      <c r="AD44" s="49">
        <v>-3</v>
      </c>
      <c r="AE44" s="64">
        <v>12</v>
      </c>
      <c r="AF44" s="116">
        <f t="shared" si="3"/>
        <v>-4</v>
      </c>
      <c r="AG44" s="83"/>
      <c r="AH44" s="115">
        <v>43309</v>
      </c>
      <c r="AI44" s="47">
        <f>WEEKNUM(AH44-RESUMEN!$AZ$7)</f>
        <v>7</v>
      </c>
      <c r="AJ44" s="47">
        <f>_xlfn.DAYS(AH44,RESUMEN!$AZ$7)</f>
        <v>48</v>
      </c>
      <c r="AK44" s="79" t="s">
        <v>102</v>
      </c>
      <c r="AL44" s="54">
        <v>-1</v>
      </c>
      <c r="AM44" s="66">
        <v>9</v>
      </c>
      <c r="AN44" s="50">
        <f t="shared" si="4"/>
        <v>-9</v>
      </c>
      <c r="AO44" s="90"/>
      <c r="AP44" s="117"/>
      <c r="AQ44" s="47" t="e">
        <f>WEEKNUM(AP44-RESUMEN!$BL$7)</f>
        <v>#NUM!</v>
      </c>
      <c r="AR44" s="47">
        <f>_xlfn.DAYS(AP44,RESUMEN!$BL$7)</f>
        <v>-43267</v>
      </c>
      <c r="AS44" s="79"/>
      <c r="AT44" s="53"/>
      <c r="AU44" s="91"/>
      <c r="AV44" s="50" t="e">
        <f t="shared" si="5"/>
        <v>#DIV/0!</v>
      </c>
      <c r="AZ44" s="112" t="s">
        <v>153</v>
      </c>
    </row>
    <row r="45" spans="2:52" x14ac:dyDescent="0.25">
      <c r="B45" s="46">
        <v>43279</v>
      </c>
      <c r="C45" s="47">
        <f>WEEKNUM(B45-RESUMEN!$D$7)</f>
        <v>6</v>
      </c>
      <c r="D45" s="47">
        <f>_xlfn.DAYS(B45,RESUMEN!$D$7)</f>
        <v>41</v>
      </c>
      <c r="E45" s="48" t="s">
        <v>165</v>
      </c>
      <c r="F45" s="49">
        <v>-3</v>
      </c>
      <c r="G45" s="64">
        <v>15</v>
      </c>
      <c r="H45" s="50">
        <f t="shared" si="0"/>
        <v>-5</v>
      </c>
      <c r="I45" s="90"/>
      <c r="J45" s="113">
        <v>43286</v>
      </c>
      <c r="K45" s="47">
        <f>WEEKNUM(J45-RESUMEN!$P$7)</f>
        <v>7</v>
      </c>
      <c r="L45" s="47">
        <f>_xlfn.DAYS(J45,RESUMEN!$P$7)</f>
        <v>44</v>
      </c>
      <c r="M45" s="48" t="s">
        <v>275</v>
      </c>
      <c r="N45" s="49">
        <v>-5</v>
      </c>
      <c r="O45" s="64">
        <v>23</v>
      </c>
      <c r="P45" s="50">
        <f t="shared" si="1"/>
        <v>-4.5999999999999996</v>
      </c>
      <c r="Q45" s="90"/>
      <c r="R45" s="114">
        <v>43290</v>
      </c>
      <c r="S45" s="47">
        <f>WEEKNUM(R45-RESUMEN!$AB$7)</f>
        <v>7</v>
      </c>
      <c r="T45" s="47">
        <f>_xlfn.DAYS(R45,RESUMEN!$AB$7)</f>
        <v>43</v>
      </c>
      <c r="U45" s="48" t="s">
        <v>275</v>
      </c>
      <c r="V45" s="49">
        <v>-2</v>
      </c>
      <c r="W45" s="64">
        <v>14</v>
      </c>
      <c r="X45" s="50">
        <f t="shared" si="2"/>
        <v>-7</v>
      </c>
      <c r="Y45" s="90"/>
      <c r="Z45" s="113">
        <v>43306</v>
      </c>
      <c r="AA45" s="47">
        <f>WEEKNUM(Z45-RESUMEN!$AN$7)</f>
        <v>8</v>
      </c>
      <c r="AB45" s="47">
        <f>_xlfn.DAYS(Z45,RESUMEN!$AN$7)</f>
        <v>52</v>
      </c>
      <c r="AC45" s="48" t="s">
        <v>102</v>
      </c>
      <c r="AD45" s="49">
        <v>-3</v>
      </c>
      <c r="AE45" s="64">
        <v>12</v>
      </c>
      <c r="AF45" s="116">
        <f t="shared" si="3"/>
        <v>-4</v>
      </c>
      <c r="AG45" s="83"/>
      <c r="AH45" s="115">
        <v>43309</v>
      </c>
      <c r="AI45" s="47">
        <f>WEEKNUM(AH45-RESUMEN!$AZ$7)</f>
        <v>7</v>
      </c>
      <c r="AJ45" s="47">
        <f>_xlfn.DAYS(AH45,RESUMEN!$AZ$7)</f>
        <v>48</v>
      </c>
      <c r="AK45" s="79" t="s">
        <v>281</v>
      </c>
      <c r="AL45" s="54">
        <v>-4</v>
      </c>
      <c r="AM45" s="66">
        <v>27</v>
      </c>
      <c r="AN45" s="50">
        <f t="shared" si="4"/>
        <v>-6.75</v>
      </c>
      <c r="AO45" s="90"/>
      <c r="AP45" s="117"/>
      <c r="AQ45" s="47" t="e">
        <f>WEEKNUM(AP45-RESUMEN!$BL$7)</f>
        <v>#NUM!</v>
      </c>
      <c r="AR45" s="47">
        <f>_xlfn.DAYS(AP45,RESUMEN!$BL$7)</f>
        <v>-43267</v>
      </c>
      <c r="AS45" s="79"/>
      <c r="AT45" s="53"/>
      <c r="AU45" s="91"/>
      <c r="AV45" s="50" t="e">
        <f t="shared" si="5"/>
        <v>#DIV/0!</v>
      </c>
      <c r="AZ45" s="112" t="s">
        <v>154</v>
      </c>
    </row>
    <row r="46" spans="2:52" x14ac:dyDescent="0.25">
      <c r="B46" s="46">
        <v>43279</v>
      </c>
      <c r="C46" s="47">
        <f>WEEKNUM(B46-RESUMEN!$D$7)</f>
        <v>6</v>
      </c>
      <c r="D46" s="47">
        <f>_xlfn.DAYS(B46,RESUMEN!$D$7)</f>
        <v>41</v>
      </c>
      <c r="E46" s="48" t="s">
        <v>123</v>
      </c>
      <c r="F46" s="49">
        <v>-2</v>
      </c>
      <c r="G46" s="64">
        <v>13</v>
      </c>
      <c r="H46" s="50">
        <f t="shared" si="0"/>
        <v>-6.5</v>
      </c>
      <c r="I46" s="90"/>
      <c r="J46" s="113">
        <v>43286</v>
      </c>
      <c r="K46" s="47">
        <f>WEEKNUM(J46-RESUMEN!$P$7)</f>
        <v>7</v>
      </c>
      <c r="L46" s="47">
        <f>_xlfn.DAYS(J46,RESUMEN!$P$7)</f>
        <v>44</v>
      </c>
      <c r="M46" s="48" t="s">
        <v>277</v>
      </c>
      <c r="N46" s="49">
        <v>-4</v>
      </c>
      <c r="O46" s="64">
        <v>26</v>
      </c>
      <c r="P46" s="50">
        <f t="shared" si="1"/>
        <v>-6.5</v>
      </c>
      <c r="Q46" s="90"/>
      <c r="R46" s="114">
        <v>43290</v>
      </c>
      <c r="S46" s="47">
        <f>WEEKNUM(R46-RESUMEN!$AB$7)</f>
        <v>7</v>
      </c>
      <c r="T46" s="47">
        <f>_xlfn.DAYS(R46,RESUMEN!$AB$7)</f>
        <v>43</v>
      </c>
      <c r="U46" s="48" t="s">
        <v>274</v>
      </c>
      <c r="V46" s="49">
        <v>-2</v>
      </c>
      <c r="W46" s="64">
        <v>11</v>
      </c>
      <c r="X46" s="50">
        <f t="shared" si="2"/>
        <v>-5.5</v>
      </c>
      <c r="Y46" s="90"/>
      <c r="Z46" s="113">
        <v>43307</v>
      </c>
      <c r="AA46" s="47">
        <f>WEEKNUM(Z46-RESUMEN!$AN$7)</f>
        <v>8</v>
      </c>
      <c r="AB46" s="47">
        <f>_xlfn.DAYS(Z46,RESUMEN!$AN$7)</f>
        <v>53</v>
      </c>
      <c r="AC46" s="48" t="s">
        <v>279</v>
      </c>
      <c r="AD46" s="49">
        <v>-7</v>
      </c>
      <c r="AE46" s="64">
        <v>62</v>
      </c>
      <c r="AF46" s="116">
        <f t="shared" si="3"/>
        <v>-8.8571428571428577</v>
      </c>
      <c r="AG46" s="83"/>
      <c r="AH46" s="115">
        <v>43310</v>
      </c>
      <c r="AI46" s="47">
        <f>WEEKNUM(AH46-RESUMEN!$AZ$7)</f>
        <v>7</v>
      </c>
      <c r="AJ46" s="47">
        <f>_xlfn.DAYS(AH46,RESUMEN!$AZ$7)</f>
        <v>49</v>
      </c>
      <c r="AK46" s="79" t="s">
        <v>277</v>
      </c>
      <c r="AL46" s="54">
        <v>-2</v>
      </c>
      <c r="AM46" s="66">
        <v>16</v>
      </c>
      <c r="AN46" s="50">
        <f t="shared" si="4"/>
        <v>-8</v>
      </c>
      <c r="AO46" s="90"/>
      <c r="AP46" s="117"/>
      <c r="AQ46" s="47" t="e">
        <f>WEEKNUM(AP46-RESUMEN!$BL$7)</f>
        <v>#NUM!</v>
      </c>
      <c r="AR46" s="47">
        <f>_xlfn.DAYS(AP46,RESUMEN!$BL$7)</f>
        <v>-43267</v>
      </c>
      <c r="AS46" s="79"/>
      <c r="AT46" s="53"/>
      <c r="AU46" s="91"/>
      <c r="AV46" s="50" t="e">
        <f t="shared" si="5"/>
        <v>#DIV/0!</v>
      </c>
      <c r="AZ46" s="112" t="s">
        <v>155</v>
      </c>
    </row>
    <row r="47" spans="2:52" x14ac:dyDescent="0.25">
      <c r="B47" s="46">
        <v>43279</v>
      </c>
      <c r="C47" s="47">
        <f>WEEKNUM(B47-RESUMEN!$D$7)</f>
        <v>6</v>
      </c>
      <c r="D47" s="47">
        <f>_xlfn.DAYS(B47,RESUMEN!$D$7)</f>
        <v>41</v>
      </c>
      <c r="E47" s="48" t="s">
        <v>271</v>
      </c>
      <c r="F47" s="49">
        <v>-2</v>
      </c>
      <c r="G47" s="64">
        <v>6</v>
      </c>
      <c r="H47" s="50">
        <f t="shared" si="0"/>
        <v>-3</v>
      </c>
      <c r="I47" s="90"/>
      <c r="J47" s="113">
        <v>43287</v>
      </c>
      <c r="K47" s="47">
        <f>WEEKNUM(J47-RESUMEN!$P$7)</f>
        <v>7</v>
      </c>
      <c r="L47" s="47">
        <f>_xlfn.DAYS(J47,RESUMEN!$P$7)</f>
        <v>45</v>
      </c>
      <c r="M47" s="48" t="s">
        <v>275</v>
      </c>
      <c r="N47" s="49">
        <v>-6</v>
      </c>
      <c r="O47" s="64">
        <v>51</v>
      </c>
      <c r="P47" s="50">
        <f t="shared" si="1"/>
        <v>-8.5</v>
      </c>
      <c r="Q47" s="90"/>
      <c r="R47" s="114">
        <v>43291</v>
      </c>
      <c r="S47" s="47">
        <f>WEEKNUM(R47-RESUMEN!$AB$7)</f>
        <v>7</v>
      </c>
      <c r="T47" s="47">
        <f>_xlfn.DAYS(R47,RESUMEN!$AB$7)</f>
        <v>44</v>
      </c>
      <c r="U47" s="48" t="s">
        <v>271</v>
      </c>
      <c r="V47" s="49">
        <v>-1</v>
      </c>
      <c r="W47" s="64">
        <v>3</v>
      </c>
      <c r="X47" s="50">
        <f t="shared" si="2"/>
        <v>-3</v>
      </c>
      <c r="Y47" s="90"/>
      <c r="Z47" s="113">
        <v>43307</v>
      </c>
      <c r="AA47" s="47">
        <f>WEEKNUM(Z47-RESUMEN!$AN$7)</f>
        <v>8</v>
      </c>
      <c r="AB47" s="47">
        <f>_xlfn.DAYS(Z47,RESUMEN!$AN$7)</f>
        <v>53</v>
      </c>
      <c r="AC47" s="48" t="s">
        <v>282</v>
      </c>
      <c r="AD47" s="49">
        <v>-1</v>
      </c>
      <c r="AE47" s="64">
        <v>5</v>
      </c>
      <c r="AF47" s="116">
        <f t="shared" si="3"/>
        <v>-5</v>
      </c>
      <c r="AG47" s="83"/>
      <c r="AH47" s="115">
        <v>43310</v>
      </c>
      <c r="AI47" s="47">
        <f>WEEKNUM(AH47-RESUMEN!$AZ$7)</f>
        <v>7</v>
      </c>
      <c r="AJ47" s="47">
        <f>_xlfn.DAYS(AH47,RESUMEN!$AZ$7)</f>
        <v>49</v>
      </c>
      <c r="AK47" s="79" t="s">
        <v>279</v>
      </c>
      <c r="AL47" s="54">
        <v>-1</v>
      </c>
      <c r="AM47" s="66">
        <v>12</v>
      </c>
      <c r="AN47" s="50">
        <f t="shared" si="4"/>
        <v>-12</v>
      </c>
      <c r="AO47" s="90"/>
      <c r="AP47" s="117"/>
      <c r="AQ47" s="47" t="e">
        <f>WEEKNUM(AP47-RESUMEN!$BL$7)</f>
        <v>#NUM!</v>
      </c>
      <c r="AR47" s="47">
        <f>_xlfn.DAYS(AP47,RESUMEN!$BL$7)</f>
        <v>-43267</v>
      </c>
      <c r="AS47" s="79"/>
      <c r="AT47" s="53"/>
      <c r="AU47" s="91"/>
      <c r="AV47" s="50" t="e">
        <f t="shared" si="5"/>
        <v>#DIV/0!</v>
      </c>
      <c r="AZ47" s="112" t="s">
        <v>156</v>
      </c>
    </row>
    <row r="48" spans="2:52" x14ac:dyDescent="0.25">
      <c r="B48" s="46">
        <v>43280</v>
      </c>
      <c r="C48" s="47">
        <f>WEEKNUM(B48-RESUMEN!$D$7)</f>
        <v>6</v>
      </c>
      <c r="D48" s="47">
        <f>_xlfn.DAYS(B48,RESUMEN!$D$7)</f>
        <v>42</v>
      </c>
      <c r="E48" s="48" t="s">
        <v>279</v>
      </c>
      <c r="F48" s="49">
        <v>-1</v>
      </c>
      <c r="G48" s="64">
        <v>10</v>
      </c>
      <c r="H48" s="50">
        <f t="shared" si="0"/>
        <v>-10</v>
      </c>
      <c r="I48" s="90"/>
      <c r="J48" s="113">
        <v>43287</v>
      </c>
      <c r="K48" s="47">
        <f>WEEKNUM(J48-RESUMEN!$P$7)</f>
        <v>7</v>
      </c>
      <c r="L48" s="47">
        <f>_xlfn.DAYS(J48,RESUMEN!$P$7)</f>
        <v>45</v>
      </c>
      <c r="M48" s="48" t="s">
        <v>277</v>
      </c>
      <c r="N48" s="49">
        <v>-4</v>
      </c>
      <c r="O48" s="64">
        <v>18</v>
      </c>
      <c r="P48" s="50">
        <f t="shared" si="1"/>
        <v>-4.5</v>
      </c>
      <c r="Q48" s="90"/>
      <c r="R48" s="114">
        <v>43291</v>
      </c>
      <c r="S48" s="47">
        <f>WEEKNUM(R48-RESUMEN!$AB$7)</f>
        <v>7</v>
      </c>
      <c r="T48" s="47">
        <f>_xlfn.DAYS(R48,RESUMEN!$AB$7)</f>
        <v>44</v>
      </c>
      <c r="U48" s="48" t="s">
        <v>274</v>
      </c>
      <c r="V48" s="49">
        <v>-3</v>
      </c>
      <c r="W48" s="64">
        <v>9</v>
      </c>
      <c r="X48" s="50">
        <f t="shared" si="2"/>
        <v>-3</v>
      </c>
      <c r="Y48" s="90"/>
      <c r="Z48" s="113">
        <v>43307</v>
      </c>
      <c r="AA48" s="47">
        <f>WEEKNUM(Z48-RESUMEN!$AN$7)</f>
        <v>8</v>
      </c>
      <c r="AB48" s="47">
        <f>_xlfn.DAYS(Z48,RESUMEN!$AN$7)</f>
        <v>53</v>
      </c>
      <c r="AC48" s="48" t="s">
        <v>165</v>
      </c>
      <c r="AD48" s="49">
        <v>-1</v>
      </c>
      <c r="AE48" s="64">
        <v>8</v>
      </c>
      <c r="AF48" s="116">
        <f t="shared" si="3"/>
        <v>-8</v>
      </c>
      <c r="AG48" s="83"/>
      <c r="AH48" s="115">
        <v>43310</v>
      </c>
      <c r="AI48" s="47">
        <f>WEEKNUM(AH48-RESUMEN!$AZ$7)</f>
        <v>7</v>
      </c>
      <c r="AJ48" s="47">
        <f>_xlfn.DAYS(AH48,RESUMEN!$AZ$7)</f>
        <v>49</v>
      </c>
      <c r="AK48" s="79" t="s">
        <v>271</v>
      </c>
      <c r="AL48" s="54">
        <v>-1</v>
      </c>
      <c r="AM48" s="66">
        <v>4</v>
      </c>
      <c r="AN48" s="50">
        <f t="shared" si="4"/>
        <v>-4</v>
      </c>
      <c r="AO48" s="90"/>
      <c r="AP48" s="117"/>
      <c r="AQ48" s="47" t="e">
        <f>WEEKNUM(AP48-RESUMEN!$BL$7)</f>
        <v>#NUM!</v>
      </c>
      <c r="AR48" s="47">
        <f>_xlfn.DAYS(AP48,RESUMEN!$BL$7)</f>
        <v>-43267</v>
      </c>
      <c r="AS48" s="79"/>
      <c r="AT48" s="53"/>
      <c r="AU48" s="91"/>
      <c r="AV48" s="50" t="e">
        <f t="shared" si="5"/>
        <v>#DIV/0!</v>
      </c>
      <c r="AZ48" s="112" t="s">
        <v>157</v>
      </c>
    </row>
    <row r="49" spans="2:52" x14ac:dyDescent="0.25">
      <c r="B49" s="46">
        <v>43280</v>
      </c>
      <c r="C49" s="47">
        <f>WEEKNUM(B49-RESUMEN!$D$7)</f>
        <v>6</v>
      </c>
      <c r="D49" s="47">
        <f>_xlfn.DAYS(B49,RESUMEN!$D$7)</f>
        <v>42</v>
      </c>
      <c r="E49" s="48" t="s">
        <v>159</v>
      </c>
      <c r="F49" s="49">
        <v>-2</v>
      </c>
      <c r="G49" s="64">
        <v>11</v>
      </c>
      <c r="H49" s="50">
        <f t="shared" si="0"/>
        <v>-5.5</v>
      </c>
      <c r="I49" s="90"/>
      <c r="J49" s="113">
        <v>43287</v>
      </c>
      <c r="K49" s="47">
        <f>WEEKNUM(J49-RESUMEN!$P$7)</f>
        <v>7</v>
      </c>
      <c r="L49" s="47">
        <f>_xlfn.DAYS(J49,RESUMEN!$P$7)</f>
        <v>45</v>
      </c>
      <c r="M49" s="48" t="s">
        <v>271</v>
      </c>
      <c r="N49" s="49">
        <v>-1</v>
      </c>
      <c r="O49" s="64">
        <v>3</v>
      </c>
      <c r="P49" s="50">
        <f t="shared" si="1"/>
        <v>-3</v>
      </c>
      <c r="Q49" s="90"/>
      <c r="R49" s="114">
        <v>43291</v>
      </c>
      <c r="S49" s="47">
        <f>WEEKNUM(R49-RESUMEN!$AB$7)</f>
        <v>7</v>
      </c>
      <c r="T49" s="47">
        <f>_xlfn.DAYS(R49,RESUMEN!$AB$7)</f>
        <v>44</v>
      </c>
      <c r="U49" s="48" t="s">
        <v>275</v>
      </c>
      <c r="V49" s="49">
        <v>-2</v>
      </c>
      <c r="W49" s="64">
        <v>14</v>
      </c>
      <c r="X49" s="50">
        <f t="shared" si="2"/>
        <v>-7</v>
      </c>
      <c r="Y49" s="90"/>
      <c r="Z49" s="113">
        <v>43308</v>
      </c>
      <c r="AA49" s="47">
        <f>WEEKNUM(Z49-RESUMEN!$AN$7)</f>
        <v>8</v>
      </c>
      <c r="AB49" s="47">
        <f>_xlfn.DAYS(Z49,RESUMEN!$AN$7)</f>
        <v>54</v>
      </c>
      <c r="AC49" s="48" t="s">
        <v>102</v>
      </c>
      <c r="AD49" s="49">
        <v>-3</v>
      </c>
      <c r="AE49" s="64">
        <v>27</v>
      </c>
      <c r="AF49" s="116">
        <f t="shared" si="3"/>
        <v>-9</v>
      </c>
      <c r="AG49" s="83"/>
      <c r="AH49" s="115">
        <v>43311</v>
      </c>
      <c r="AI49" s="47">
        <f>WEEKNUM(AH49-RESUMEN!$AZ$7)</f>
        <v>8</v>
      </c>
      <c r="AJ49" s="47">
        <f>_xlfn.DAYS(AH49,RESUMEN!$AZ$7)</f>
        <v>50</v>
      </c>
      <c r="AK49" s="79" t="s">
        <v>277</v>
      </c>
      <c r="AL49" s="54">
        <v>-4</v>
      </c>
      <c r="AM49" s="66">
        <v>32</v>
      </c>
      <c r="AN49" s="50">
        <f t="shared" si="4"/>
        <v>-8</v>
      </c>
      <c r="AO49" s="90"/>
      <c r="AP49" s="117"/>
      <c r="AQ49" s="47" t="e">
        <f>WEEKNUM(AP49-RESUMEN!$BL$7)</f>
        <v>#NUM!</v>
      </c>
      <c r="AR49" s="47">
        <f>_xlfn.DAYS(AP49,RESUMEN!$BL$7)</f>
        <v>-43267</v>
      </c>
      <c r="AS49" s="79"/>
      <c r="AT49" s="53"/>
      <c r="AU49" s="91"/>
      <c r="AV49" s="50" t="e">
        <f t="shared" si="5"/>
        <v>#DIV/0!</v>
      </c>
      <c r="AZ49" s="112" t="s">
        <v>158</v>
      </c>
    </row>
    <row r="50" spans="2:52" x14ac:dyDescent="0.25">
      <c r="B50" s="46">
        <v>43280</v>
      </c>
      <c r="C50" s="47">
        <f>WEEKNUM(B50-RESUMEN!$D$7)</f>
        <v>6</v>
      </c>
      <c r="D50" s="47">
        <f>_xlfn.DAYS(B50,RESUMEN!$D$7)</f>
        <v>42</v>
      </c>
      <c r="E50" s="48" t="s">
        <v>123</v>
      </c>
      <c r="F50" s="49">
        <v>-3</v>
      </c>
      <c r="G50" s="64">
        <v>13</v>
      </c>
      <c r="H50" s="50">
        <f t="shared" si="0"/>
        <v>-4.333333333333333</v>
      </c>
      <c r="I50" s="90"/>
      <c r="J50" s="113">
        <v>43288</v>
      </c>
      <c r="K50" s="47">
        <f>WEEKNUM(J50-RESUMEN!$P$7)</f>
        <v>7</v>
      </c>
      <c r="L50" s="47">
        <f>_xlfn.DAYS(J50,RESUMEN!$P$7)</f>
        <v>46</v>
      </c>
      <c r="M50" s="48" t="s">
        <v>279</v>
      </c>
      <c r="N50" s="49">
        <v>-1</v>
      </c>
      <c r="O50" s="64">
        <v>6</v>
      </c>
      <c r="P50" s="50">
        <f t="shared" si="1"/>
        <v>-6</v>
      </c>
      <c r="Q50" s="90"/>
      <c r="R50" s="114">
        <v>43292</v>
      </c>
      <c r="S50" s="47">
        <f>WEEKNUM(R50-RESUMEN!$AB$7)</f>
        <v>7</v>
      </c>
      <c r="T50" s="47">
        <f>_xlfn.DAYS(R50,RESUMEN!$AB$7)</f>
        <v>45</v>
      </c>
      <c r="U50" s="48" t="s">
        <v>277</v>
      </c>
      <c r="V50" s="49">
        <v>-5</v>
      </c>
      <c r="W50" s="64">
        <v>31</v>
      </c>
      <c r="X50" s="50">
        <f t="shared" si="2"/>
        <v>-6.2</v>
      </c>
      <c r="Y50" s="90"/>
      <c r="Z50" s="113">
        <v>43308</v>
      </c>
      <c r="AA50" s="47">
        <f>WEEKNUM(Z50-RESUMEN!$AN$7)</f>
        <v>8</v>
      </c>
      <c r="AB50" s="47">
        <f>_xlfn.DAYS(Z50,RESUMEN!$AN$7)</f>
        <v>54</v>
      </c>
      <c r="AC50" s="48" t="s">
        <v>165</v>
      </c>
      <c r="AD50" s="49">
        <v>-2</v>
      </c>
      <c r="AE50" s="64">
        <v>14</v>
      </c>
      <c r="AF50" s="116">
        <f t="shared" si="3"/>
        <v>-7</v>
      </c>
      <c r="AG50" s="83"/>
      <c r="AH50" s="115">
        <v>43312</v>
      </c>
      <c r="AI50" s="47">
        <f>WEEKNUM(AH50-RESUMEN!$AZ$7)</f>
        <v>8</v>
      </c>
      <c r="AJ50" s="47">
        <f>_xlfn.DAYS(AH50,RESUMEN!$AZ$7)</f>
        <v>51</v>
      </c>
      <c r="AK50" s="79" t="s">
        <v>277</v>
      </c>
      <c r="AL50" s="54">
        <v>-10</v>
      </c>
      <c r="AM50" s="66">
        <v>50</v>
      </c>
      <c r="AN50" s="50">
        <f t="shared" si="4"/>
        <v>-5</v>
      </c>
      <c r="AO50" s="90"/>
      <c r="AP50" s="117"/>
      <c r="AQ50" s="47" t="e">
        <f>WEEKNUM(AP50-RESUMEN!$BL$7)</f>
        <v>#NUM!</v>
      </c>
      <c r="AR50" s="47">
        <f>_xlfn.DAYS(AP50,RESUMEN!$BL$7)</f>
        <v>-43267</v>
      </c>
      <c r="AS50" s="79"/>
      <c r="AT50" s="53"/>
      <c r="AU50" s="91"/>
      <c r="AV50" s="50" t="e">
        <f t="shared" si="5"/>
        <v>#DIV/0!</v>
      </c>
      <c r="AZ50" s="112" t="s">
        <v>159</v>
      </c>
    </row>
    <row r="51" spans="2:52" x14ac:dyDescent="0.25">
      <c r="B51" s="46">
        <v>43280</v>
      </c>
      <c r="C51" s="47">
        <f>WEEKNUM(B51-RESUMEN!$D$7)</f>
        <v>6</v>
      </c>
      <c r="D51" s="47">
        <f>_xlfn.DAYS(B51,RESUMEN!$D$7)</f>
        <v>42</v>
      </c>
      <c r="E51" s="48" t="s">
        <v>271</v>
      </c>
      <c r="F51" s="49">
        <v>-3</v>
      </c>
      <c r="G51" s="64">
        <v>6</v>
      </c>
      <c r="H51" s="50">
        <f t="shared" si="0"/>
        <v>-2</v>
      </c>
      <c r="I51" s="90"/>
      <c r="J51" s="113">
        <v>43288</v>
      </c>
      <c r="K51" s="47">
        <f>WEEKNUM(J51-RESUMEN!$P$7)</f>
        <v>7</v>
      </c>
      <c r="L51" s="47">
        <f>_xlfn.DAYS(J51,RESUMEN!$P$7)</f>
        <v>46</v>
      </c>
      <c r="M51" s="48" t="s">
        <v>277</v>
      </c>
      <c r="N51" s="49">
        <v>-3</v>
      </c>
      <c r="O51" s="64">
        <v>17</v>
      </c>
      <c r="P51" s="50">
        <f t="shared" si="1"/>
        <v>-5.666666666666667</v>
      </c>
      <c r="Q51" s="90"/>
      <c r="R51" s="114">
        <v>43292</v>
      </c>
      <c r="S51" s="47">
        <f>WEEKNUM(R51-RESUMEN!$AB$7)</f>
        <v>7</v>
      </c>
      <c r="T51" s="47">
        <f>_xlfn.DAYS(R51,RESUMEN!$AB$7)</f>
        <v>45</v>
      </c>
      <c r="U51" s="48" t="s">
        <v>275</v>
      </c>
      <c r="V51" s="49">
        <v>-2</v>
      </c>
      <c r="W51" s="64">
        <v>15</v>
      </c>
      <c r="X51" s="50">
        <f t="shared" si="2"/>
        <v>-7.5</v>
      </c>
      <c r="Y51" s="90"/>
      <c r="Z51" s="113">
        <v>43308</v>
      </c>
      <c r="AA51" s="47">
        <f>WEEKNUM(Z51-RESUMEN!$AN$7)</f>
        <v>8</v>
      </c>
      <c r="AB51" s="47">
        <f>_xlfn.DAYS(Z51,RESUMEN!$AN$7)</f>
        <v>54</v>
      </c>
      <c r="AC51" s="48" t="s">
        <v>161</v>
      </c>
      <c r="AD51" s="49">
        <v>-4</v>
      </c>
      <c r="AE51" s="64">
        <v>16</v>
      </c>
      <c r="AF51" s="116">
        <f t="shared" si="3"/>
        <v>-4</v>
      </c>
      <c r="AG51" s="83"/>
      <c r="AH51" s="115">
        <v>43312</v>
      </c>
      <c r="AI51" s="47">
        <f>WEEKNUM(AH51-RESUMEN!$AZ$7)</f>
        <v>8</v>
      </c>
      <c r="AJ51" s="47">
        <f>_xlfn.DAYS(AH51,RESUMEN!$AZ$7)</f>
        <v>51</v>
      </c>
      <c r="AK51" s="79" t="s">
        <v>281</v>
      </c>
      <c r="AL51" s="54">
        <v>-6</v>
      </c>
      <c r="AM51" s="66">
        <v>30</v>
      </c>
      <c r="AN51" s="50">
        <f t="shared" si="4"/>
        <v>-5</v>
      </c>
      <c r="AO51" s="90"/>
      <c r="AP51" s="117"/>
      <c r="AQ51" s="47" t="e">
        <f>WEEKNUM(AP51-RESUMEN!$BL$7)</f>
        <v>#NUM!</v>
      </c>
      <c r="AR51" s="47">
        <f>_xlfn.DAYS(AP51,RESUMEN!$BL$7)</f>
        <v>-43267</v>
      </c>
      <c r="AS51" s="79"/>
      <c r="AT51" s="53"/>
      <c r="AU51" s="91"/>
      <c r="AV51" s="50" t="e">
        <f t="shared" si="5"/>
        <v>#DIV/0!</v>
      </c>
      <c r="AZ51" s="112" t="s">
        <v>160</v>
      </c>
    </row>
    <row r="52" spans="2:52" x14ac:dyDescent="0.25">
      <c r="B52" s="46">
        <v>43281</v>
      </c>
      <c r="C52" s="47">
        <f>WEEKNUM(B52-RESUMEN!$D$7)</f>
        <v>7</v>
      </c>
      <c r="D52" s="47">
        <f>_xlfn.DAYS(B52,RESUMEN!$D$7)</f>
        <v>43</v>
      </c>
      <c r="E52" s="48" t="s">
        <v>123</v>
      </c>
      <c r="F52" s="49">
        <v>-3</v>
      </c>
      <c r="G52" s="64">
        <v>17</v>
      </c>
      <c r="H52" s="50">
        <f t="shared" si="0"/>
        <v>-5.666666666666667</v>
      </c>
      <c r="I52" s="90"/>
      <c r="J52" s="113">
        <v>43289</v>
      </c>
      <c r="K52" s="47">
        <f>WEEKNUM(J52-RESUMEN!$P$7)</f>
        <v>7</v>
      </c>
      <c r="L52" s="47">
        <f>_xlfn.DAYS(J52,RESUMEN!$P$7)</f>
        <v>47</v>
      </c>
      <c r="M52" s="48" t="s">
        <v>275</v>
      </c>
      <c r="N52" s="49">
        <v>-5</v>
      </c>
      <c r="O52" s="64">
        <v>37</v>
      </c>
      <c r="P52" s="50">
        <f t="shared" si="1"/>
        <v>-7.4</v>
      </c>
      <c r="Q52" s="90"/>
      <c r="R52" s="114">
        <v>43292</v>
      </c>
      <c r="S52" s="47">
        <f>WEEKNUM(R52-RESUMEN!$AB$7)</f>
        <v>7</v>
      </c>
      <c r="T52" s="47">
        <f>_xlfn.DAYS(R52,RESUMEN!$AB$7)</f>
        <v>45</v>
      </c>
      <c r="U52" s="48" t="s">
        <v>144</v>
      </c>
      <c r="V52" s="49">
        <v>-1</v>
      </c>
      <c r="W52" s="64">
        <v>7</v>
      </c>
      <c r="X52" s="50">
        <f t="shared" si="2"/>
        <v>-7</v>
      </c>
      <c r="Y52" s="90"/>
      <c r="Z52" s="113">
        <v>43309</v>
      </c>
      <c r="AA52" s="47">
        <f>WEEKNUM(Z52-RESUMEN!$AN$7)</f>
        <v>8</v>
      </c>
      <c r="AB52" s="47">
        <f>_xlfn.DAYS(Z52,RESUMEN!$AN$7)</f>
        <v>55</v>
      </c>
      <c r="AC52" s="48" t="s">
        <v>165</v>
      </c>
      <c r="AD52" s="49">
        <v>-2</v>
      </c>
      <c r="AE52" s="64">
        <v>17</v>
      </c>
      <c r="AF52" s="116">
        <f t="shared" si="3"/>
        <v>-8.5</v>
      </c>
      <c r="AG52" s="83"/>
      <c r="AH52" s="115">
        <v>43313</v>
      </c>
      <c r="AI52" s="47">
        <f>WEEKNUM(AH52-RESUMEN!$AZ$7)</f>
        <v>8</v>
      </c>
      <c r="AJ52" s="47">
        <f>_xlfn.DAYS(AH52,RESUMEN!$AZ$7)</f>
        <v>52</v>
      </c>
      <c r="AK52" s="79" t="s">
        <v>277</v>
      </c>
      <c r="AL52" s="54">
        <v>-5</v>
      </c>
      <c r="AM52" s="66">
        <v>38</v>
      </c>
      <c r="AN52" s="50">
        <f t="shared" si="4"/>
        <v>-7.6</v>
      </c>
      <c r="AO52" s="90"/>
      <c r="AP52" s="117"/>
      <c r="AQ52" s="47" t="e">
        <f>WEEKNUM(AP52-RESUMEN!$BL$7)</f>
        <v>#NUM!</v>
      </c>
      <c r="AR52" s="47">
        <f>_xlfn.DAYS(AP52,RESUMEN!$BL$7)</f>
        <v>-43267</v>
      </c>
      <c r="AS52" s="79"/>
      <c r="AT52" s="53"/>
      <c r="AU52" s="91"/>
      <c r="AV52" s="50" t="e">
        <f t="shared" si="5"/>
        <v>#DIV/0!</v>
      </c>
      <c r="AZ52" s="112" t="s">
        <v>161</v>
      </c>
    </row>
    <row r="53" spans="2:52" x14ac:dyDescent="0.25">
      <c r="B53" s="46">
        <v>43281</v>
      </c>
      <c r="C53" s="47">
        <f>WEEKNUM(B53-RESUMEN!$D$7)</f>
        <v>7</v>
      </c>
      <c r="D53" s="47">
        <f>_xlfn.DAYS(B53,RESUMEN!$D$7)</f>
        <v>43</v>
      </c>
      <c r="E53" s="48" t="s">
        <v>279</v>
      </c>
      <c r="F53" s="49">
        <v>-1</v>
      </c>
      <c r="G53" s="64">
        <v>11</v>
      </c>
      <c r="H53" s="50">
        <f t="shared" si="0"/>
        <v>-11</v>
      </c>
      <c r="I53" s="90"/>
      <c r="J53" s="113">
        <v>43289</v>
      </c>
      <c r="K53" s="47">
        <f>WEEKNUM(J53-RESUMEN!$P$7)</f>
        <v>7</v>
      </c>
      <c r="L53" s="47">
        <f>_xlfn.DAYS(J53,RESUMEN!$P$7)</f>
        <v>47</v>
      </c>
      <c r="M53" s="48" t="s">
        <v>277</v>
      </c>
      <c r="N53" s="49">
        <v>-7</v>
      </c>
      <c r="O53" s="64">
        <v>36</v>
      </c>
      <c r="P53" s="50">
        <f t="shared" si="1"/>
        <v>-5.1428571428571432</v>
      </c>
      <c r="Q53" s="90"/>
      <c r="R53" s="114">
        <v>43293</v>
      </c>
      <c r="S53" s="47">
        <f>WEEKNUM(R53-RESUMEN!$AB$7)</f>
        <v>7</v>
      </c>
      <c r="T53" s="47">
        <f>_xlfn.DAYS(R53,RESUMEN!$AB$7)</f>
        <v>46</v>
      </c>
      <c r="U53" s="48" t="s">
        <v>274</v>
      </c>
      <c r="V53" s="49">
        <v>-8</v>
      </c>
      <c r="W53" s="64">
        <v>40</v>
      </c>
      <c r="X53" s="50">
        <f t="shared" si="2"/>
        <v>-5</v>
      </c>
      <c r="Y53" s="90"/>
      <c r="Z53" s="114">
        <v>43309</v>
      </c>
      <c r="AA53" s="47">
        <f>WEEKNUM(Z53-RESUMEN!$AN$7)</f>
        <v>8</v>
      </c>
      <c r="AB53" s="47">
        <f>_xlfn.DAYS(Z53,RESUMEN!$AN$7)</f>
        <v>55</v>
      </c>
      <c r="AC53" s="48" t="s">
        <v>271</v>
      </c>
      <c r="AD53" s="51">
        <v>-2</v>
      </c>
      <c r="AE53" s="65">
        <v>7</v>
      </c>
      <c r="AF53" s="116">
        <f t="shared" si="3"/>
        <v>-3.5</v>
      </c>
      <c r="AG53" s="83"/>
      <c r="AH53" s="115">
        <v>43313</v>
      </c>
      <c r="AI53" s="47">
        <f>WEEKNUM(AH53-RESUMEN!$AZ$7)</f>
        <v>8</v>
      </c>
      <c r="AJ53" s="47">
        <f>_xlfn.DAYS(AH53,RESUMEN!$AZ$7)</f>
        <v>52</v>
      </c>
      <c r="AK53" s="79" t="s">
        <v>102</v>
      </c>
      <c r="AL53" s="54">
        <v>-3</v>
      </c>
      <c r="AM53" s="66">
        <v>35</v>
      </c>
      <c r="AN53" s="50">
        <f t="shared" si="4"/>
        <v>-11.666666666666666</v>
      </c>
      <c r="AO53" s="90"/>
      <c r="AP53" s="117"/>
      <c r="AQ53" s="47" t="e">
        <f>WEEKNUM(AP53-RESUMEN!$BL$7)</f>
        <v>#NUM!</v>
      </c>
      <c r="AR53" s="47">
        <f>_xlfn.DAYS(AP53,RESUMEN!$BL$7)</f>
        <v>-43267</v>
      </c>
      <c r="AS53" s="79"/>
      <c r="AT53" s="53"/>
      <c r="AU53" s="91"/>
      <c r="AV53" s="50" t="e">
        <f t="shared" si="5"/>
        <v>#DIV/0!</v>
      </c>
      <c r="AZ53" s="112" t="s">
        <v>162</v>
      </c>
    </row>
    <row r="54" spans="2:52" x14ac:dyDescent="0.25">
      <c r="B54" s="46">
        <v>43281</v>
      </c>
      <c r="C54" s="47">
        <f>WEEKNUM(B54-RESUMEN!$D$7)</f>
        <v>7</v>
      </c>
      <c r="D54" s="47">
        <f>_xlfn.DAYS(B54,RESUMEN!$D$7)</f>
        <v>43</v>
      </c>
      <c r="E54" s="48" t="s">
        <v>159</v>
      </c>
      <c r="F54" s="49">
        <v>-3</v>
      </c>
      <c r="G54" s="64">
        <v>19</v>
      </c>
      <c r="H54" s="50">
        <f t="shared" si="0"/>
        <v>-6.333333333333333</v>
      </c>
      <c r="I54" s="90"/>
      <c r="J54" s="113">
        <v>43289</v>
      </c>
      <c r="K54" s="47">
        <f>WEEKNUM(J54-RESUMEN!$P$7)</f>
        <v>7</v>
      </c>
      <c r="L54" s="47">
        <f>_xlfn.DAYS(J54,RESUMEN!$P$7)</f>
        <v>47</v>
      </c>
      <c r="M54" s="48" t="s">
        <v>279</v>
      </c>
      <c r="N54" s="49">
        <v>-2</v>
      </c>
      <c r="O54" s="64">
        <v>14</v>
      </c>
      <c r="P54" s="50">
        <f t="shared" si="1"/>
        <v>-7</v>
      </c>
      <c r="Q54" s="90"/>
      <c r="R54" s="114">
        <v>43294</v>
      </c>
      <c r="S54" s="47">
        <f>WEEKNUM(R54-RESUMEN!$AB$7)</f>
        <v>7</v>
      </c>
      <c r="T54" s="47">
        <f>_xlfn.DAYS(R54,RESUMEN!$AB$7)</f>
        <v>47</v>
      </c>
      <c r="U54" s="48" t="s">
        <v>271</v>
      </c>
      <c r="V54" s="49">
        <v>-2</v>
      </c>
      <c r="W54" s="64">
        <v>4</v>
      </c>
      <c r="X54" s="50">
        <f t="shared" si="2"/>
        <v>-2</v>
      </c>
      <c r="Y54" s="90"/>
      <c r="Z54" s="114">
        <v>43310</v>
      </c>
      <c r="AA54" s="47">
        <f>WEEKNUM(Z54-RESUMEN!$AN$7)</f>
        <v>8</v>
      </c>
      <c r="AB54" s="47">
        <f>_xlfn.DAYS(Z54,RESUMEN!$AN$7)</f>
        <v>56</v>
      </c>
      <c r="AC54" s="48" t="s">
        <v>279</v>
      </c>
      <c r="AD54" s="51">
        <v>-1</v>
      </c>
      <c r="AE54" s="65">
        <v>12</v>
      </c>
      <c r="AF54" s="116">
        <f t="shared" si="3"/>
        <v>-12</v>
      </c>
      <c r="AG54" s="83"/>
      <c r="AH54" s="115">
        <v>43313</v>
      </c>
      <c r="AI54" s="47">
        <f>WEEKNUM(AH54-RESUMEN!$AZ$7)</f>
        <v>8</v>
      </c>
      <c r="AJ54" s="47">
        <f>_xlfn.DAYS(AH54,RESUMEN!$AZ$7)</f>
        <v>52</v>
      </c>
      <c r="AK54" s="79" t="s">
        <v>281</v>
      </c>
      <c r="AL54" s="54">
        <v>-2</v>
      </c>
      <c r="AM54" s="66">
        <v>15</v>
      </c>
      <c r="AN54" s="50">
        <f t="shared" si="4"/>
        <v>-7.5</v>
      </c>
      <c r="AO54" s="90"/>
      <c r="AP54" s="117"/>
      <c r="AQ54" s="47" t="e">
        <f>WEEKNUM(AP54-RESUMEN!$BL$7)</f>
        <v>#NUM!</v>
      </c>
      <c r="AR54" s="47">
        <f>_xlfn.DAYS(AP54,RESUMEN!$BL$7)</f>
        <v>-43267</v>
      </c>
      <c r="AS54" s="79"/>
      <c r="AT54" s="53"/>
      <c r="AU54" s="91"/>
      <c r="AV54" s="50" t="e">
        <f t="shared" si="5"/>
        <v>#DIV/0!</v>
      </c>
      <c r="AZ54" s="112" t="s">
        <v>163</v>
      </c>
    </row>
    <row r="55" spans="2:52" x14ac:dyDescent="0.25">
      <c r="B55" s="46">
        <v>43281</v>
      </c>
      <c r="C55" s="47">
        <f>WEEKNUM(B55-RESUMEN!$D$7)</f>
        <v>7</v>
      </c>
      <c r="D55" s="47">
        <f>_xlfn.DAYS(B55,RESUMEN!$D$7)</f>
        <v>43</v>
      </c>
      <c r="E55" s="48" t="s">
        <v>271</v>
      </c>
      <c r="F55" s="49">
        <v>-3</v>
      </c>
      <c r="G55" s="64">
        <v>7</v>
      </c>
      <c r="H55" s="50">
        <f t="shared" si="0"/>
        <v>-2.3333333333333335</v>
      </c>
      <c r="I55" s="90"/>
      <c r="J55" s="113">
        <v>43290</v>
      </c>
      <c r="K55" s="47">
        <f>WEEKNUM(J55-RESUMEN!$P$7)</f>
        <v>7</v>
      </c>
      <c r="L55" s="47">
        <f>_xlfn.DAYS(J55,RESUMEN!$P$7)</f>
        <v>48</v>
      </c>
      <c r="M55" s="48" t="s">
        <v>277</v>
      </c>
      <c r="N55" s="49">
        <v>-6</v>
      </c>
      <c r="O55" s="64">
        <v>28</v>
      </c>
      <c r="P55" s="50">
        <f t="shared" si="1"/>
        <v>-4.666666666666667</v>
      </c>
      <c r="Q55" s="90"/>
      <c r="R55" s="114">
        <v>43294</v>
      </c>
      <c r="S55" s="47">
        <f>WEEKNUM(R55-RESUMEN!$AB$7)</f>
        <v>7</v>
      </c>
      <c r="T55" s="47">
        <f>_xlfn.DAYS(R55,RESUMEN!$AB$7)</f>
        <v>47</v>
      </c>
      <c r="U55" s="48" t="s">
        <v>275</v>
      </c>
      <c r="V55" s="49">
        <v>-6</v>
      </c>
      <c r="W55" s="64">
        <v>39</v>
      </c>
      <c r="X55" s="50">
        <f t="shared" si="2"/>
        <v>-6.5</v>
      </c>
      <c r="Y55" s="90"/>
      <c r="Z55" s="114">
        <v>43310</v>
      </c>
      <c r="AA55" s="47">
        <f>WEEKNUM(Z55-RESUMEN!$AN$7)</f>
        <v>8</v>
      </c>
      <c r="AB55" s="47">
        <f>_xlfn.DAYS(Z55,RESUMEN!$AN$7)</f>
        <v>56</v>
      </c>
      <c r="AC55" s="48" t="s">
        <v>165</v>
      </c>
      <c r="AD55" s="51">
        <v>-2</v>
      </c>
      <c r="AE55" s="65">
        <v>16</v>
      </c>
      <c r="AF55" s="116">
        <f t="shared" si="3"/>
        <v>-8</v>
      </c>
      <c r="AG55" s="83"/>
      <c r="AH55" s="115"/>
      <c r="AI55" s="47" t="e">
        <f>WEEKNUM(AH55-RESUMEN!$AZ$7)</f>
        <v>#NUM!</v>
      </c>
      <c r="AJ55" s="47">
        <f>_xlfn.DAYS(AH55,RESUMEN!$AZ$7)</f>
        <v>-43261</v>
      </c>
      <c r="AK55" s="79"/>
      <c r="AL55" s="54"/>
      <c r="AM55" s="66"/>
      <c r="AN55" s="50" t="e">
        <f t="shared" si="4"/>
        <v>#DIV/0!</v>
      </c>
      <c r="AO55" s="90"/>
      <c r="AP55" s="117"/>
      <c r="AQ55" s="47" t="e">
        <f>WEEKNUM(AP55-RESUMEN!$BL$7)</f>
        <v>#NUM!</v>
      </c>
      <c r="AR55" s="47">
        <f>_xlfn.DAYS(AP55,RESUMEN!$BL$7)</f>
        <v>-43267</v>
      </c>
      <c r="AS55" s="79"/>
      <c r="AT55" s="53"/>
      <c r="AU55" s="91"/>
      <c r="AV55" s="50" t="e">
        <f t="shared" si="5"/>
        <v>#DIV/0!</v>
      </c>
      <c r="AZ55" s="112" t="s">
        <v>164</v>
      </c>
    </row>
    <row r="56" spans="2:52" x14ac:dyDescent="0.25">
      <c r="B56" s="46">
        <v>43282</v>
      </c>
      <c r="C56" s="47">
        <f>WEEKNUM(B56-RESUMEN!$D$7)</f>
        <v>7</v>
      </c>
      <c r="D56" s="47">
        <f>_xlfn.DAYS(B56,RESUMEN!$D$7)</f>
        <v>44</v>
      </c>
      <c r="E56" s="48" t="s">
        <v>271</v>
      </c>
      <c r="F56" s="49">
        <v>-1</v>
      </c>
      <c r="G56" s="64">
        <v>2</v>
      </c>
      <c r="H56" s="50">
        <f t="shared" si="0"/>
        <v>-2</v>
      </c>
      <c r="I56" s="90"/>
      <c r="J56" s="113">
        <v>43290</v>
      </c>
      <c r="K56" s="47">
        <f>WEEKNUM(J56-RESUMEN!$P$7)</f>
        <v>7</v>
      </c>
      <c r="L56" s="47">
        <f>_xlfn.DAYS(J56,RESUMEN!$P$7)</f>
        <v>48</v>
      </c>
      <c r="M56" s="48" t="s">
        <v>275</v>
      </c>
      <c r="N56" s="49">
        <v>-4</v>
      </c>
      <c r="O56" s="64">
        <v>32</v>
      </c>
      <c r="P56" s="50">
        <f t="shared" si="1"/>
        <v>-8</v>
      </c>
      <c r="Q56" s="90"/>
      <c r="R56" s="114">
        <v>43295</v>
      </c>
      <c r="S56" s="47">
        <f>WEEKNUM(R56-RESUMEN!$AB$7)</f>
        <v>7</v>
      </c>
      <c r="T56" s="47">
        <f>_xlfn.DAYS(R56,RESUMEN!$AB$7)</f>
        <v>48</v>
      </c>
      <c r="U56" s="48" t="s">
        <v>275</v>
      </c>
      <c r="V56" s="49">
        <v>-10</v>
      </c>
      <c r="W56" s="64">
        <v>74</v>
      </c>
      <c r="X56" s="50">
        <f t="shared" si="2"/>
        <v>-7.4</v>
      </c>
      <c r="Y56" s="90"/>
      <c r="Z56" s="114">
        <v>43310</v>
      </c>
      <c r="AA56" s="47">
        <f>WEEKNUM(Z56-RESUMEN!$AN$7)</f>
        <v>8</v>
      </c>
      <c r="AB56" s="47">
        <f>_xlfn.DAYS(Z56,RESUMEN!$AN$7)</f>
        <v>56</v>
      </c>
      <c r="AC56" s="48" t="s">
        <v>271</v>
      </c>
      <c r="AD56" s="51">
        <v>-2</v>
      </c>
      <c r="AE56" s="65">
        <v>9</v>
      </c>
      <c r="AF56" s="116">
        <f t="shared" si="3"/>
        <v>-4.5</v>
      </c>
      <c r="AG56" s="83"/>
      <c r="AH56" s="115"/>
      <c r="AI56" s="47" t="e">
        <f>WEEKNUM(AH56-RESUMEN!$AZ$7)</f>
        <v>#NUM!</v>
      </c>
      <c r="AJ56" s="47">
        <f>_xlfn.DAYS(AH56,RESUMEN!$AZ$7)</f>
        <v>-43261</v>
      </c>
      <c r="AK56" s="79"/>
      <c r="AL56" s="54"/>
      <c r="AM56" s="66"/>
      <c r="AN56" s="50" t="e">
        <f t="shared" si="4"/>
        <v>#DIV/0!</v>
      </c>
      <c r="AO56" s="90"/>
      <c r="AP56" s="117"/>
      <c r="AQ56" s="47" t="e">
        <f>WEEKNUM(AP56-RESUMEN!$BL$7)</f>
        <v>#NUM!</v>
      </c>
      <c r="AR56" s="47">
        <f>_xlfn.DAYS(AP56,RESUMEN!$BL$7)</f>
        <v>-43267</v>
      </c>
      <c r="AS56" s="79"/>
      <c r="AT56" s="53"/>
      <c r="AU56" s="91"/>
      <c r="AV56" s="50" t="e">
        <f t="shared" si="5"/>
        <v>#DIV/0!</v>
      </c>
      <c r="AZ56" s="112" t="s">
        <v>165</v>
      </c>
    </row>
    <row r="57" spans="2:52" x14ac:dyDescent="0.25">
      <c r="B57" s="46">
        <v>43282</v>
      </c>
      <c r="C57" s="47">
        <f>WEEKNUM(B57-RESUMEN!$D$7)</f>
        <v>7</v>
      </c>
      <c r="D57" s="47">
        <f>_xlfn.DAYS(B57,RESUMEN!$D$7)</f>
        <v>44</v>
      </c>
      <c r="E57" s="48" t="s">
        <v>123</v>
      </c>
      <c r="F57" s="49">
        <v>-6</v>
      </c>
      <c r="G57" s="64">
        <v>38</v>
      </c>
      <c r="H57" s="50">
        <f t="shared" si="0"/>
        <v>-6.333333333333333</v>
      </c>
      <c r="I57" s="90"/>
      <c r="J57" s="113">
        <v>43291</v>
      </c>
      <c r="K57" s="47">
        <f>WEEKNUM(J57-RESUMEN!$P$7)</f>
        <v>7</v>
      </c>
      <c r="L57" s="47">
        <f>_xlfn.DAYS(J57,RESUMEN!$P$7)</f>
        <v>49</v>
      </c>
      <c r="M57" s="48" t="s">
        <v>165</v>
      </c>
      <c r="N57" s="49">
        <v>-2</v>
      </c>
      <c r="O57" s="64">
        <v>12</v>
      </c>
      <c r="P57" s="50">
        <f t="shared" si="1"/>
        <v>-6</v>
      </c>
      <c r="Q57" s="90"/>
      <c r="R57" s="114">
        <v>43295</v>
      </c>
      <c r="S57" s="47">
        <f>WEEKNUM(R57-RESUMEN!$AB$7)</f>
        <v>7</v>
      </c>
      <c r="T57" s="47">
        <f>_xlfn.DAYS(R57,RESUMEN!$AB$7)</f>
        <v>48</v>
      </c>
      <c r="U57" s="48" t="s">
        <v>274</v>
      </c>
      <c r="V57" s="49">
        <v>-8</v>
      </c>
      <c r="W57" s="64">
        <v>49</v>
      </c>
      <c r="X57" s="50">
        <f t="shared" si="2"/>
        <v>-6.125</v>
      </c>
      <c r="Y57" s="90"/>
      <c r="Z57" s="114">
        <v>43311</v>
      </c>
      <c r="AA57" s="47">
        <f>WEEKNUM(Z57-RESUMEN!$AN$7)</f>
        <v>9</v>
      </c>
      <c r="AB57" s="47">
        <f>_xlfn.DAYS(Z57,RESUMEN!$AN$7)</f>
        <v>57</v>
      </c>
      <c r="AC57" s="48" t="s">
        <v>102</v>
      </c>
      <c r="AD57" s="51">
        <v>-2</v>
      </c>
      <c r="AE57" s="65">
        <v>29</v>
      </c>
      <c r="AF57" s="116">
        <f t="shared" si="3"/>
        <v>-14.5</v>
      </c>
      <c r="AG57" s="83"/>
      <c r="AH57" s="115"/>
      <c r="AI57" s="47" t="e">
        <f>WEEKNUM(AH57-RESUMEN!$AZ$7)</f>
        <v>#NUM!</v>
      </c>
      <c r="AJ57" s="47">
        <f>_xlfn.DAYS(AH57,RESUMEN!$AZ$7)</f>
        <v>-43261</v>
      </c>
      <c r="AK57" s="79"/>
      <c r="AL57" s="54"/>
      <c r="AM57" s="66"/>
      <c r="AN57" s="50" t="e">
        <f t="shared" si="4"/>
        <v>#DIV/0!</v>
      </c>
      <c r="AO57" s="90"/>
      <c r="AP57" s="117"/>
      <c r="AQ57" s="47" t="e">
        <f>WEEKNUM(AP57-RESUMEN!$BL$7)</f>
        <v>#NUM!</v>
      </c>
      <c r="AR57" s="47">
        <f>_xlfn.DAYS(AP57,RESUMEN!$BL$7)</f>
        <v>-43267</v>
      </c>
      <c r="AS57" s="79"/>
      <c r="AT57" s="53"/>
      <c r="AU57" s="91"/>
      <c r="AV57" s="50" t="e">
        <f t="shared" si="5"/>
        <v>#DIV/0!</v>
      </c>
      <c r="AZ57" s="112" t="s">
        <v>166</v>
      </c>
    </row>
    <row r="58" spans="2:52" x14ac:dyDescent="0.25">
      <c r="B58" s="46">
        <v>43282</v>
      </c>
      <c r="C58" s="47">
        <f>WEEKNUM(B58-RESUMEN!$D$7)</f>
        <v>7</v>
      </c>
      <c r="D58" s="47">
        <f>_xlfn.DAYS(B58,RESUMEN!$D$7)</f>
        <v>44</v>
      </c>
      <c r="E58" s="48" t="s">
        <v>165</v>
      </c>
      <c r="F58" s="49">
        <v>-4</v>
      </c>
      <c r="G58" s="64">
        <v>24</v>
      </c>
      <c r="H58" s="50">
        <f t="shared" si="0"/>
        <v>-6</v>
      </c>
      <c r="I58" s="90"/>
      <c r="J58" s="113">
        <v>43291</v>
      </c>
      <c r="K58" s="47">
        <f>WEEKNUM(J58-RESUMEN!$P$7)</f>
        <v>7</v>
      </c>
      <c r="L58" s="47">
        <f>_xlfn.DAYS(J58,RESUMEN!$P$7)</f>
        <v>49</v>
      </c>
      <c r="M58" s="48" t="s">
        <v>277</v>
      </c>
      <c r="N58" s="49">
        <v>-9</v>
      </c>
      <c r="O58" s="64">
        <v>56</v>
      </c>
      <c r="P58" s="50">
        <f t="shared" si="1"/>
        <v>-6.2222222222222223</v>
      </c>
      <c r="Q58" s="90"/>
      <c r="R58" s="114">
        <v>43296</v>
      </c>
      <c r="S58" s="47">
        <f>WEEKNUM(R58-RESUMEN!$AB$7)</f>
        <v>7</v>
      </c>
      <c r="T58" s="47">
        <f>_xlfn.DAYS(R58,RESUMEN!$AB$7)</f>
        <v>49</v>
      </c>
      <c r="U58" s="48" t="s">
        <v>274</v>
      </c>
      <c r="V58" s="49">
        <v>-4</v>
      </c>
      <c r="W58" s="64">
        <v>19</v>
      </c>
      <c r="X58" s="50">
        <f t="shared" si="2"/>
        <v>-4.75</v>
      </c>
      <c r="Y58" s="90"/>
      <c r="Z58" s="114">
        <v>43311</v>
      </c>
      <c r="AA58" s="47">
        <f>WEEKNUM(Z58-RESUMEN!$AN$7)</f>
        <v>9</v>
      </c>
      <c r="AB58" s="47">
        <f>_xlfn.DAYS(Z58,RESUMEN!$AN$7)</f>
        <v>57</v>
      </c>
      <c r="AC58" s="48" t="s">
        <v>277</v>
      </c>
      <c r="AD58" s="51">
        <v>-3</v>
      </c>
      <c r="AE58" s="65">
        <v>21</v>
      </c>
      <c r="AF58" s="116">
        <f t="shared" si="3"/>
        <v>-7</v>
      </c>
      <c r="AG58" s="83"/>
      <c r="AH58" s="115"/>
      <c r="AI58" s="47" t="e">
        <f>WEEKNUM(AH58-RESUMEN!$AZ$7)</f>
        <v>#NUM!</v>
      </c>
      <c r="AJ58" s="47">
        <f>_xlfn.DAYS(AH58,RESUMEN!$AZ$7)</f>
        <v>-43261</v>
      </c>
      <c r="AK58" s="79"/>
      <c r="AL58" s="54"/>
      <c r="AM58" s="66"/>
      <c r="AN58" s="50" t="e">
        <f t="shared" si="4"/>
        <v>#DIV/0!</v>
      </c>
      <c r="AO58" s="90"/>
      <c r="AP58" s="117"/>
      <c r="AQ58" s="47" t="e">
        <f>WEEKNUM(AP58-RESUMEN!$BL$7)</f>
        <v>#NUM!</v>
      </c>
      <c r="AR58" s="47">
        <f>_xlfn.DAYS(AP58,RESUMEN!$BL$7)</f>
        <v>-43267</v>
      </c>
      <c r="AS58" s="79"/>
      <c r="AT58" s="53"/>
      <c r="AU58" s="91"/>
      <c r="AV58" s="50" t="e">
        <f t="shared" si="5"/>
        <v>#DIV/0!</v>
      </c>
      <c r="AZ58" s="112" t="s">
        <v>167</v>
      </c>
    </row>
    <row r="59" spans="2:52" x14ac:dyDescent="0.25">
      <c r="B59" s="46">
        <v>43282</v>
      </c>
      <c r="C59" s="47">
        <f>WEEKNUM(B59-RESUMEN!$D$7)</f>
        <v>7</v>
      </c>
      <c r="D59" s="47">
        <f>_xlfn.DAYS(B59,RESUMEN!$D$7)</f>
        <v>44</v>
      </c>
      <c r="E59" s="48" t="s">
        <v>279</v>
      </c>
      <c r="F59" s="49">
        <v>-1</v>
      </c>
      <c r="G59" s="64">
        <v>8</v>
      </c>
      <c r="H59" s="50">
        <f t="shared" si="0"/>
        <v>-8</v>
      </c>
      <c r="I59" s="90"/>
      <c r="J59" s="113">
        <v>43291</v>
      </c>
      <c r="K59" s="47">
        <f>WEEKNUM(J59-RESUMEN!$P$7)</f>
        <v>7</v>
      </c>
      <c r="L59" s="47">
        <f>_xlfn.DAYS(J59,RESUMEN!$P$7)</f>
        <v>49</v>
      </c>
      <c r="M59" s="48" t="s">
        <v>271</v>
      </c>
      <c r="N59" s="49">
        <v>-5</v>
      </c>
      <c r="O59" s="64">
        <v>15</v>
      </c>
      <c r="P59" s="50">
        <f t="shared" si="1"/>
        <v>-3</v>
      </c>
      <c r="Q59" s="90"/>
      <c r="R59" s="114">
        <v>43296</v>
      </c>
      <c r="S59" s="47">
        <f>WEEKNUM(R59-RESUMEN!$AB$7)</f>
        <v>7</v>
      </c>
      <c r="T59" s="47">
        <f>_xlfn.DAYS(R59,RESUMEN!$AB$7)</f>
        <v>49</v>
      </c>
      <c r="U59" s="48" t="s">
        <v>271</v>
      </c>
      <c r="V59" s="49">
        <v>-4</v>
      </c>
      <c r="W59" s="64">
        <v>12</v>
      </c>
      <c r="X59" s="50">
        <f t="shared" si="2"/>
        <v>-3</v>
      </c>
      <c r="Y59" s="90"/>
      <c r="Z59" s="114">
        <v>43311</v>
      </c>
      <c r="AA59" s="47">
        <f>WEEKNUM(Z59-RESUMEN!$AN$7)</f>
        <v>9</v>
      </c>
      <c r="AB59" s="47">
        <f>_xlfn.DAYS(Z59,RESUMEN!$AN$7)</f>
        <v>57</v>
      </c>
      <c r="AC59" s="48" t="s">
        <v>165</v>
      </c>
      <c r="AD59" s="51">
        <v>-1</v>
      </c>
      <c r="AE59" s="65">
        <v>12</v>
      </c>
      <c r="AF59" s="116">
        <f t="shared" si="3"/>
        <v>-12</v>
      </c>
      <c r="AG59" s="83"/>
      <c r="AH59" s="115"/>
      <c r="AI59" s="47" t="e">
        <f>WEEKNUM(AH59-RESUMEN!$AZ$7)</f>
        <v>#NUM!</v>
      </c>
      <c r="AJ59" s="47">
        <f>_xlfn.DAYS(AH59,RESUMEN!$AZ$7)</f>
        <v>-43261</v>
      </c>
      <c r="AK59" s="79"/>
      <c r="AL59" s="54"/>
      <c r="AM59" s="66"/>
      <c r="AN59" s="50" t="e">
        <f t="shared" si="4"/>
        <v>#DIV/0!</v>
      </c>
      <c r="AO59" s="90"/>
      <c r="AP59" s="117"/>
      <c r="AQ59" s="47" t="e">
        <f>WEEKNUM(AP59-RESUMEN!$BL$7)</f>
        <v>#NUM!</v>
      </c>
      <c r="AR59" s="47">
        <f>_xlfn.DAYS(AP59,RESUMEN!$BL$7)</f>
        <v>-43267</v>
      </c>
      <c r="AS59" s="79"/>
      <c r="AT59" s="53"/>
      <c r="AU59" s="91"/>
      <c r="AV59" s="50" t="e">
        <f t="shared" si="5"/>
        <v>#DIV/0!</v>
      </c>
      <c r="AZ59" s="112" t="s">
        <v>168</v>
      </c>
    </row>
    <row r="60" spans="2:52" x14ac:dyDescent="0.25">
      <c r="B60" s="46">
        <v>43282</v>
      </c>
      <c r="C60" s="47">
        <f>WEEKNUM(B60-RESUMEN!$D$7)</f>
        <v>7</v>
      </c>
      <c r="D60" s="47">
        <f>_xlfn.DAYS(B60,RESUMEN!$D$7)</f>
        <v>44</v>
      </c>
      <c r="E60" s="48" t="s">
        <v>159</v>
      </c>
      <c r="F60" s="49">
        <v>-2</v>
      </c>
      <c r="G60" s="64">
        <v>14</v>
      </c>
      <c r="H60" s="50">
        <f t="shared" si="0"/>
        <v>-7</v>
      </c>
      <c r="I60" s="90"/>
      <c r="J60" s="113">
        <v>43292</v>
      </c>
      <c r="K60" s="47">
        <f>WEEKNUM(J60-RESUMEN!$P$7)</f>
        <v>8</v>
      </c>
      <c r="L60" s="47">
        <f>_xlfn.DAYS(J60,RESUMEN!$P$7)</f>
        <v>50</v>
      </c>
      <c r="M60" s="48" t="s">
        <v>275</v>
      </c>
      <c r="N60" s="49">
        <v>-4</v>
      </c>
      <c r="O60" s="64">
        <v>34</v>
      </c>
      <c r="P60" s="50">
        <f t="shared" si="1"/>
        <v>-8.5</v>
      </c>
      <c r="Q60" s="90"/>
      <c r="R60" s="114">
        <v>43297</v>
      </c>
      <c r="S60" s="47">
        <f>WEEKNUM(R60-RESUMEN!$AB$7)</f>
        <v>8</v>
      </c>
      <c r="T60" s="47">
        <f>_xlfn.DAYS(R60,RESUMEN!$AB$7)</f>
        <v>50</v>
      </c>
      <c r="U60" s="48" t="s">
        <v>271</v>
      </c>
      <c r="V60" s="49">
        <v>-3</v>
      </c>
      <c r="W60" s="64">
        <v>9</v>
      </c>
      <c r="X60" s="50">
        <f t="shared" si="2"/>
        <v>-3</v>
      </c>
      <c r="Y60" s="90"/>
      <c r="Z60" s="114">
        <v>43312</v>
      </c>
      <c r="AA60" s="47">
        <f>WEEKNUM(Z60-RESUMEN!$AN$7)</f>
        <v>9</v>
      </c>
      <c r="AB60" s="47">
        <f>_xlfn.DAYS(Z60,RESUMEN!$AN$7)</f>
        <v>58</v>
      </c>
      <c r="AC60" s="48" t="s">
        <v>275</v>
      </c>
      <c r="AD60" s="51">
        <v>-3</v>
      </c>
      <c r="AE60" s="65">
        <v>30</v>
      </c>
      <c r="AF60" s="116">
        <f t="shared" si="3"/>
        <v>-10</v>
      </c>
      <c r="AG60" s="83"/>
      <c r="AH60" s="115"/>
      <c r="AI60" s="47" t="e">
        <f>WEEKNUM(AH60-RESUMEN!$AZ$7)</f>
        <v>#NUM!</v>
      </c>
      <c r="AJ60" s="47">
        <f>_xlfn.DAYS(AH60,RESUMEN!$AZ$7)</f>
        <v>-43261</v>
      </c>
      <c r="AK60" s="79"/>
      <c r="AL60" s="54"/>
      <c r="AM60" s="66"/>
      <c r="AN60" s="50" t="e">
        <f t="shared" si="4"/>
        <v>#DIV/0!</v>
      </c>
      <c r="AO60" s="90"/>
      <c r="AP60" s="117"/>
      <c r="AQ60" s="47" t="e">
        <f>WEEKNUM(AP60-RESUMEN!$BL$7)</f>
        <v>#NUM!</v>
      </c>
      <c r="AR60" s="47">
        <f>_xlfn.DAYS(AP60,RESUMEN!$BL$7)</f>
        <v>-43267</v>
      </c>
      <c r="AS60" s="79"/>
      <c r="AT60" s="53"/>
      <c r="AU60" s="91"/>
      <c r="AV60" s="50" t="e">
        <f t="shared" si="5"/>
        <v>#DIV/0!</v>
      </c>
      <c r="AZ60" s="112" t="s">
        <v>169</v>
      </c>
    </row>
    <row r="61" spans="2:52" x14ac:dyDescent="0.25">
      <c r="B61" s="46">
        <v>43283</v>
      </c>
      <c r="C61" s="47">
        <f>WEEKNUM(B61-RESUMEN!$D$7)</f>
        <v>7</v>
      </c>
      <c r="D61" s="47">
        <f>_xlfn.DAYS(B61,RESUMEN!$D$7)</f>
        <v>45</v>
      </c>
      <c r="E61" s="48" t="s">
        <v>271</v>
      </c>
      <c r="F61" s="49">
        <v>-5</v>
      </c>
      <c r="G61" s="64">
        <v>13</v>
      </c>
      <c r="H61" s="50">
        <f t="shared" si="0"/>
        <v>-2.6</v>
      </c>
      <c r="I61" s="90"/>
      <c r="J61" s="113">
        <v>43292</v>
      </c>
      <c r="K61" s="47">
        <f>WEEKNUM(J61-RESUMEN!$P$7)</f>
        <v>8</v>
      </c>
      <c r="L61" s="47">
        <f>_xlfn.DAYS(J61,RESUMEN!$P$7)</f>
        <v>50</v>
      </c>
      <c r="M61" s="48" t="s">
        <v>277</v>
      </c>
      <c r="N61" s="49">
        <v>-5</v>
      </c>
      <c r="O61" s="64">
        <v>30</v>
      </c>
      <c r="P61" s="50">
        <f t="shared" si="1"/>
        <v>-6</v>
      </c>
      <c r="Q61" s="90"/>
      <c r="R61" s="114">
        <v>43297</v>
      </c>
      <c r="S61" s="47">
        <f>WEEKNUM(R61-RESUMEN!$AB$7)</f>
        <v>8</v>
      </c>
      <c r="T61" s="47">
        <f>_xlfn.DAYS(R61,RESUMEN!$AB$7)</f>
        <v>50</v>
      </c>
      <c r="U61" s="48" t="s">
        <v>274</v>
      </c>
      <c r="V61" s="49">
        <v>-9</v>
      </c>
      <c r="W61" s="64">
        <v>56</v>
      </c>
      <c r="X61" s="50">
        <f t="shared" si="2"/>
        <v>-6.2222222222222223</v>
      </c>
      <c r="Y61" s="90"/>
      <c r="Z61" s="114">
        <v>43312</v>
      </c>
      <c r="AA61" s="47">
        <f>WEEKNUM(Z61-RESUMEN!$AN$7)</f>
        <v>9</v>
      </c>
      <c r="AB61" s="47">
        <f>_xlfn.DAYS(Z61,RESUMEN!$AN$7)</f>
        <v>58</v>
      </c>
      <c r="AC61" s="48" t="s">
        <v>165</v>
      </c>
      <c r="AD61" s="51">
        <v>-3</v>
      </c>
      <c r="AE61" s="65">
        <v>18</v>
      </c>
      <c r="AF61" s="116">
        <f t="shared" si="3"/>
        <v>-6</v>
      </c>
      <c r="AG61" s="83"/>
      <c r="AH61" s="115"/>
      <c r="AI61" s="47" t="e">
        <f>WEEKNUM(AH61-RESUMEN!$AZ$7)</f>
        <v>#NUM!</v>
      </c>
      <c r="AJ61" s="47">
        <f>_xlfn.DAYS(AH61,RESUMEN!$AZ$7)</f>
        <v>-43261</v>
      </c>
      <c r="AK61" s="79"/>
      <c r="AL61" s="54"/>
      <c r="AM61" s="66"/>
      <c r="AN61" s="50" t="e">
        <f t="shared" si="4"/>
        <v>#DIV/0!</v>
      </c>
      <c r="AO61" s="90"/>
      <c r="AP61" s="117"/>
      <c r="AQ61" s="47" t="e">
        <f>WEEKNUM(AP61-RESUMEN!$BL$7)</f>
        <v>#NUM!</v>
      </c>
      <c r="AR61" s="47">
        <f>_xlfn.DAYS(AP61,RESUMEN!$BL$7)</f>
        <v>-43267</v>
      </c>
      <c r="AS61" s="79"/>
      <c r="AT61" s="53"/>
      <c r="AU61" s="91"/>
      <c r="AV61" s="50" t="e">
        <f t="shared" si="5"/>
        <v>#DIV/0!</v>
      </c>
    </row>
    <row r="62" spans="2:52" x14ac:dyDescent="0.25">
      <c r="B62" s="46">
        <v>43283</v>
      </c>
      <c r="C62" s="47">
        <f>WEEKNUM(B62-RESUMEN!$D$7)</f>
        <v>7</v>
      </c>
      <c r="D62" s="47">
        <f>_xlfn.DAYS(B62,RESUMEN!$D$7)</f>
        <v>45</v>
      </c>
      <c r="E62" s="48" t="s">
        <v>123</v>
      </c>
      <c r="F62" s="49">
        <v>-12</v>
      </c>
      <c r="G62" s="64">
        <v>68</v>
      </c>
      <c r="H62" s="50">
        <f t="shared" si="0"/>
        <v>-5.666666666666667</v>
      </c>
      <c r="I62" s="90"/>
      <c r="J62" s="113">
        <v>43292</v>
      </c>
      <c r="K62" s="47">
        <f>WEEKNUM(J62-RESUMEN!$P$7)</f>
        <v>8</v>
      </c>
      <c r="L62" s="47">
        <f>_xlfn.DAYS(J62,RESUMEN!$P$7)</f>
        <v>50</v>
      </c>
      <c r="M62" s="48" t="s">
        <v>161</v>
      </c>
      <c r="N62" s="49">
        <v>-2</v>
      </c>
      <c r="O62" s="64">
        <v>10</v>
      </c>
      <c r="P62" s="50">
        <f t="shared" si="1"/>
        <v>-5</v>
      </c>
      <c r="Q62" s="90"/>
      <c r="R62" s="114">
        <v>43297</v>
      </c>
      <c r="S62" s="47">
        <f>WEEKNUM(R62-RESUMEN!$AB$7)</f>
        <v>8</v>
      </c>
      <c r="T62" s="47">
        <f>_xlfn.DAYS(R62,RESUMEN!$AB$7)</f>
        <v>50</v>
      </c>
      <c r="U62" s="48" t="s">
        <v>275</v>
      </c>
      <c r="V62" s="49">
        <v>-6</v>
      </c>
      <c r="W62" s="64">
        <v>49</v>
      </c>
      <c r="X62" s="50">
        <f t="shared" si="2"/>
        <v>-8.1666666666666661</v>
      </c>
      <c r="Y62" s="90"/>
      <c r="Z62" s="114">
        <v>43313</v>
      </c>
      <c r="AA62" s="47">
        <f>WEEKNUM(Z62-RESUMEN!$AN$7)</f>
        <v>9</v>
      </c>
      <c r="AB62" s="47">
        <f>_xlfn.DAYS(Z62,RESUMEN!$AN$7)</f>
        <v>59</v>
      </c>
      <c r="AC62" s="48" t="s">
        <v>165</v>
      </c>
      <c r="AD62" s="51">
        <v>-3</v>
      </c>
      <c r="AE62" s="65">
        <v>21</v>
      </c>
      <c r="AF62" s="116">
        <f t="shared" si="3"/>
        <v>-7</v>
      </c>
      <c r="AG62" s="83"/>
      <c r="AH62" s="115"/>
      <c r="AI62" s="47" t="e">
        <f>WEEKNUM(AH62-RESUMEN!$AZ$7)</f>
        <v>#NUM!</v>
      </c>
      <c r="AJ62" s="47">
        <f>_xlfn.DAYS(AH62,RESUMEN!$AZ$7)</f>
        <v>-43261</v>
      </c>
      <c r="AK62" s="79"/>
      <c r="AL62" s="54"/>
      <c r="AM62" s="66"/>
      <c r="AN62" s="50" t="e">
        <f t="shared" si="4"/>
        <v>#DIV/0!</v>
      </c>
      <c r="AO62" s="90"/>
      <c r="AP62" s="117"/>
      <c r="AQ62" s="47" t="e">
        <f>WEEKNUM(AP62-RESUMEN!$BL$7)</f>
        <v>#NUM!</v>
      </c>
      <c r="AR62" s="47">
        <f>_xlfn.DAYS(AP62,RESUMEN!$BL$7)</f>
        <v>-43267</v>
      </c>
      <c r="AS62" s="79"/>
      <c r="AT62" s="53"/>
      <c r="AU62" s="91"/>
      <c r="AV62" s="50" t="e">
        <f t="shared" si="5"/>
        <v>#DIV/0!</v>
      </c>
    </row>
    <row r="63" spans="2:52" x14ac:dyDescent="0.25">
      <c r="B63" s="46">
        <v>43283</v>
      </c>
      <c r="C63" s="47">
        <f>WEEKNUM(B63-RESUMEN!$D$7)</f>
        <v>7</v>
      </c>
      <c r="D63" s="47">
        <f>_xlfn.DAYS(B63,RESUMEN!$D$7)</f>
        <v>45</v>
      </c>
      <c r="E63" s="48" t="s">
        <v>165</v>
      </c>
      <c r="F63" s="49">
        <v>-2</v>
      </c>
      <c r="G63" s="64">
        <v>18</v>
      </c>
      <c r="H63" s="50">
        <f t="shared" si="0"/>
        <v>-9</v>
      </c>
      <c r="I63" s="90"/>
      <c r="J63" s="113">
        <v>43292</v>
      </c>
      <c r="K63" s="47">
        <f>WEEKNUM(J63-RESUMEN!$P$7)</f>
        <v>8</v>
      </c>
      <c r="L63" s="47">
        <f>_xlfn.DAYS(J63,RESUMEN!$P$7)</f>
        <v>50</v>
      </c>
      <c r="M63" s="48" t="s">
        <v>165</v>
      </c>
      <c r="N63" s="49">
        <v>-3</v>
      </c>
      <c r="O63" s="64">
        <v>26</v>
      </c>
      <c r="P63" s="50">
        <f t="shared" si="1"/>
        <v>-8.6666666666666661</v>
      </c>
      <c r="Q63" s="90"/>
      <c r="R63" s="114">
        <v>43298</v>
      </c>
      <c r="S63" s="47">
        <f>WEEKNUM(R63-RESUMEN!$AB$7)</f>
        <v>8</v>
      </c>
      <c r="T63" s="47">
        <f>_xlfn.DAYS(R63,RESUMEN!$AB$7)</f>
        <v>51</v>
      </c>
      <c r="U63" s="48" t="s">
        <v>275</v>
      </c>
      <c r="V63" s="49">
        <v>-10</v>
      </c>
      <c r="W63" s="64">
        <v>70</v>
      </c>
      <c r="X63" s="50">
        <f t="shared" si="2"/>
        <v>-7</v>
      </c>
      <c r="Y63" s="90"/>
      <c r="Z63" s="114">
        <v>43313</v>
      </c>
      <c r="AA63" s="47">
        <f>WEEKNUM(Z63-RESUMEN!$AN$7)</f>
        <v>9</v>
      </c>
      <c r="AB63" s="47">
        <f>_xlfn.DAYS(Z63,RESUMEN!$AN$7)</f>
        <v>59</v>
      </c>
      <c r="AC63" s="48" t="s">
        <v>277</v>
      </c>
      <c r="AD63" s="51">
        <v>-5</v>
      </c>
      <c r="AE63" s="65">
        <v>48</v>
      </c>
      <c r="AF63" s="116">
        <f t="shared" si="3"/>
        <v>-9.6</v>
      </c>
      <c r="AG63" s="83"/>
      <c r="AH63" s="115"/>
      <c r="AI63" s="47" t="e">
        <f>WEEKNUM(AH63-RESUMEN!$AZ$7)</f>
        <v>#NUM!</v>
      </c>
      <c r="AJ63" s="47">
        <f>_xlfn.DAYS(AH63,RESUMEN!$AZ$7)</f>
        <v>-43261</v>
      </c>
      <c r="AK63" s="79"/>
      <c r="AL63" s="54"/>
      <c r="AM63" s="66"/>
      <c r="AN63" s="50" t="e">
        <f t="shared" si="4"/>
        <v>#DIV/0!</v>
      </c>
      <c r="AO63" s="90"/>
      <c r="AP63" s="117"/>
      <c r="AQ63" s="47" t="e">
        <f>WEEKNUM(AP63-RESUMEN!$BL$7)</f>
        <v>#NUM!</v>
      </c>
      <c r="AR63" s="47">
        <f>_xlfn.DAYS(AP63,RESUMEN!$BL$7)</f>
        <v>-43267</v>
      </c>
      <c r="AS63" s="79"/>
      <c r="AT63" s="53"/>
      <c r="AU63" s="91"/>
      <c r="AV63" s="50" t="e">
        <f t="shared" si="5"/>
        <v>#DIV/0!</v>
      </c>
    </row>
    <row r="64" spans="2:52" x14ac:dyDescent="0.25">
      <c r="B64" s="46">
        <v>43284</v>
      </c>
      <c r="C64" s="47">
        <f>WEEKNUM(B64-RESUMEN!$D$7)</f>
        <v>7</v>
      </c>
      <c r="D64" s="47">
        <f>_xlfn.DAYS(B64,RESUMEN!$D$7)</f>
        <v>46</v>
      </c>
      <c r="E64" s="48" t="s">
        <v>159</v>
      </c>
      <c r="F64" s="49">
        <v>-1</v>
      </c>
      <c r="G64" s="64">
        <v>12</v>
      </c>
      <c r="H64" s="50">
        <f t="shared" si="0"/>
        <v>-12</v>
      </c>
      <c r="I64" s="90"/>
      <c r="J64" s="113">
        <v>43293</v>
      </c>
      <c r="K64" s="47">
        <f>WEEKNUM(J64-RESUMEN!$P$7)</f>
        <v>8</v>
      </c>
      <c r="L64" s="47">
        <f>_xlfn.DAYS(J64,RESUMEN!$P$7)</f>
        <v>51</v>
      </c>
      <c r="M64" s="48" t="s">
        <v>277</v>
      </c>
      <c r="N64" s="49">
        <v>-14</v>
      </c>
      <c r="O64" s="64">
        <v>84</v>
      </c>
      <c r="P64" s="50">
        <f t="shared" si="1"/>
        <v>-6</v>
      </c>
      <c r="Q64" s="90"/>
      <c r="R64" s="114">
        <v>43298</v>
      </c>
      <c r="S64" s="47">
        <f>WEEKNUM(R64-RESUMEN!$AB$7)</f>
        <v>8</v>
      </c>
      <c r="T64" s="47">
        <f>_xlfn.DAYS(R64,RESUMEN!$AB$7)</f>
        <v>51</v>
      </c>
      <c r="U64" s="48" t="s">
        <v>274</v>
      </c>
      <c r="V64" s="49">
        <v>-12</v>
      </c>
      <c r="W64" s="64">
        <v>82</v>
      </c>
      <c r="X64" s="50">
        <f t="shared" si="2"/>
        <v>-6.833333333333333</v>
      </c>
      <c r="Y64" s="90"/>
      <c r="Z64" s="114">
        <v>43313</v>
      </c>
      <c r="AA64" s="47">
        <f>WEEKNUM(Z64-RESUMEN!$AN$7)</f>
        <v>9</v>
      </c>
      <c r="AB64" s="47">
        <f>_xlfn.DAYS(Z64,RESUMEN!$AN$7)</f>
        <v>59</v>
      </c>
      <c r="AC64" s="48" t="s">
        <v>102</v>
      </c>
      <c r="AD64" s="51">
        <v>-5</v>
      </c>
      <c r="AE64" s="65">
        <v>53</v>
      </c>
      <c r="AF64" s="116">
        <f t="shared" si="3"/>
        <v>-10.6</v>
      </c>
      <c r="AG64" s="83"/>
      <c r="AH64" s="115"/>
      <c r="AI64" s="47" t="e">
        <f>WEEKNUM(AH64-RESUMEN!$AZ$7)</f>
        <v>#NUM!</v>
      </c>
      <c r="AJ64" s="47">
        <f>_xlfn.DAYS(AH64,RESUMEN!$AZ$7)</f>
        <v>-43261</v>
      </c>
      <c r="AK64" s="79"/>
      <c r="AL64" s="54"/>
      <c r="AM64" s="66"/>
      <c r="AN64" s="50" t="e">
        <f t="shared" si="4"/>
        <v>#DIV/0!</v>
      </c>
      <c r="AO64" s="90"/>
      <c r="AP64" s="117"/>
      <c r="AQ64" s="47" t="e">
        <f>WEEKNUM(AP64-RESUMEN!$BL$7)</f>
        <v>#NUM!</v>
      </c>
      <c r="AR64" s="47">
        <f>_xlfn.DAYS(AP64,RESUMEN!$BL$7)</f>
        <v>-43267</v>
      </c>
      <c r="AS64" s="79"/>
      <c r="AT64" s="53"/>
      <c r="AU64" s="91"/>
      <c r="AV64" s="50" t="e">
        <f t="shared" si="5"/>
        <v>#DIV/0!</v>
      </c>
    </row>
    <row r="65" spans="2:48" x14ac:dyDescent="0.25">
      <c r="B65" s="46">
        <v>43284</v>
      </c>
      <c r="C65" s="47">
        <f>WEEKNUM(B65-RESUMEN!$D$7)</f>
        <v>7</v>
      </c>
      <c r="D65" s="47">
        <f>_xlfn.DAYS(B65,RESUMEN!$D$7)</f>
        <v>46</v>
      </c>
      <c r="E65" s="48" t="s">
        <v>123</v>
      </c>
      <c r="F65" s="49">
        <v>-6</v>
      </c>
      <c r="G65" s="64">
        <v>40</v>
      </c>
      <c r="H65" s="50">
        <f t="shared" si="0"/>
        <v>-6.666666666666667</v>
      </c>
      <c r="I65" s="90"/>
      <c r="J65" s="113">
        <v>43294</v>
      </c>
      <c r="K65" s="47">
        <f>WEEKNUM(J65-RESUMEN!$P$7)</f>
        <v>8</v>
      </c>
      <c r="L65" s="47">
        <f>_xlfn.DAYS(J65,RESUMEN!$P$7)</f>
        <v>52</v>
      </c>
      <c r="M65" s="48" t="s">
        <v>277</v>
      </c>
      <c r="N65" s="49">
        <v>-20</v>
      </c>
      <c r="O65" s="64">
        <v>132</v>
      </c>
      <c r="P65" s="50">
        <f t="shared" si="1"/>
        <v>-6.6</v>
      </c>
      <c r="Q65" s="90"/>
      <c r="R65" s="114">
        <v>43299</v>
      </c>
      <c r="S65" s="47">
        <f>WEEKNUM(R65-RESUMEN!$AB$7)</f>
        <v>8</v>
      </c>
      <c r="T65" s="47">
        <f>_xlfn.DAYS(R65,RESUMEN!$AB$7)</f>
        <v>52</v>
      </c>
      <c r="U65" s="48" t="s">
        <v>274</v>
      </c>
      <c r="V65" s="49">
        <v>-13</v>
      </c>
      <c r="W65" s="64">
        <v>93</v>
      </c>
      <c r="X65" s="50">
        <f t="shared" si="2"/>
        <v>-7.1538461538461542</v>
      </c>
      <c r="Y65" s="90"/>
      <c r="Z65" s="114"/>
      <c r="AA65" s="47" t="e">
        <f>WEEKNUM(Z65-RESUMEN!$AN$7)</f>
        <v>#NUM!</v>
      </c>
      <c r="AB65" s="47">
        <f>_xlfn.DAYS(Z65,RESUMEN!$AN$7)</f>
        <v>-43254</v>
      </c>
      <c r="AC65" s="48"/>
      <c r="AD65" s="51"/>
      <c r="AE65" s="65"/>
      <c r="AF65" s="116" t="e">
        <f t="shared" si="3"/>
        <v>#DIV/0!</v>
      </c>
      <c r="AG65" s="83"/>
      <c r="AH65" s="115"/>
      <c r="AI65" s="47" t="e">
        <f>WEEKNUM(AH65-RESUMEN!$AZ$7)</f>
        <v>#NUM!</v>
      </c>
      <c r="AJ65" s="47">
        <f>_xlfn.DAYS(AH65,RESUMEN!$AZ$7)</f>
        <v>-43261</v>
      </c>
      <c r="AK65" s="79"/>
      <c r="AL65" s="54"/>
      <c r="AM65" s="66"/>
      <c r="AN65" s="50" t="e">
        <f t="shared" si="4"/>
        <v>#DIV/0!</v>
      </c>
      <c r="AO65" s="90"/>
      <c r="AP65" s="117"/>
      <c r="AQ65" s="47" t="e">
        <f>WEEKNUM(AP65-RESUMEN!$BL$7)</f>
        <v>#NUM!</v>
      </c>
      <c r="AR65" s="47">
        <f>_xlfn.DAYS(AP65,RESUMEN!$BL$7)</f>
        <v>-43267</v>
      </c>
      <c r="AS65" s="79"/>
      <c r="AT65" s="53"/>
      <c r="AU65" s="91"/>
      <c r="AV65" s="50" t="e">
        <f t="shared" si="5"/>
        <v>#DIV/0!</v>
      </c>
    </row>
    <row r="66" spans="2:48" x14ac:dyDescent="0.25">
      <c r="B66" s="46">
        <v>43284</v>
      </c>
      <c r="C66" s="47">
        <f>WEEKNUM(B66-RESUMEN!$D$7)</f>
        <v>7</v>
      </c>
      <c r="D66" s="47">
        <f>_xlfn.DAYS(B66,RESUMEN!$D$7)</f>
        <v>46</v>
      </c>
      <c r="E66" s="48" t="s">
        <v>271</v>
      </c>
      <c r="F66" s="49">
        <v>-5</v>
      </c>
      <c r="G66" s="64">
        <v>14</v>
      </c>
      <c r="H66" s="50">
        <f t="shared" si="0"/>
        <v>-2.8</v>
      </c>
      <c r="I66" s="90"/>
      <c r="J66" s="113">
        <v>43295</v>
      </c>
      <c r="K66" s="47">
        <f>WEEKNUM(J66-RESUMEN!$P$7)</f>
        <v>8</v>
      </c>
      <c r="L66" s="47">
        <f>_xlfn.DAYS(J66,RESUMEN!$P$7)</f>
        <v>53</v>
      </c>
      <c r="M66" s="48" t="s">
        <v>277</v>
      </c>
      <c r="N66" s="49">
        <v>-29</v>
      </c>
      <c r="O66" s="64">
        <v>198</v>
      </c>
      <c r="P66" s="50">
        <f t="shared" si="1"/>
        <v>-6.8275862068965516</v>
      </c>
      <c r="Q66" s="90"/>
      <c r="R66" s="114">
        <v>43299</v>
      </c>
      <c r="S66" s="47">
        <f>WEEKNUM(R66-RESUMEN!$AB$7)</f>
        <v>8</v>
      </c>
      <c r="T66" s="47">
        <f>_xlfn.DAYS(R66,RESUMEN!$AB$7)</f>
        <v>52</v>
      </c>
      <c r="U66" s="48" t="s">
        <v>275</v>
      </c>
      <c r="V66" s="49">
        <v>-7</v>
      </c>
      <c r="W66" s="64">
        <v>60</v>
      </c>
      <c r="X66" s="50">
        <f t="shared" si="2"/>
        <v>-8.5714285714285712</v>
      </c>
      <c r="Y66" s="90"/>
      <c r="Z66" s="114"/>
      <c r="AA66" s="47" t="e">
        <f>WEEKNUM(Z66-RESUMEN!$AN$7)</f>
        <v>#NUM!</v>
      </c>
      <c r="AB66" s="47">
        <f>_xlfn.DAYS(Z66,RESUMEN!$AN$7)</f>
        <v>-43254</v>
      </c>
      <c r="AC66" s="48"/>
      <c r="AD66" s="51"/>
      <c r="AE66" s="65"/>
      <c r="AF66" s="116" t="e">
        <f t="shared" si="3"/>
        <v>#DIV/0!</v>
      </c>
      <c r="AG66" s="83"/>
      <c r="AH66" s="115"/>
      <c r="AI66" s="47" t="e">
        <f>WEEKNUM(AH66-RESUMEN!$AZ$7)</f>
        <v>#NUM!</v>
      </c>
      <c r="AJ66" s="47">
        <f>_xlfn.DAYS(AH66,RESUMEN!$AZ$7)</f>
        <v>-43261</v>
      </c>
      <c r="AK66" s="79"/>
      <c r="AL66" s="54"/>
      <c r="AM66" s="66"/>
      <c r="AN66" s="50" t="e">
        <f t="shared" si="4"/>
        <v>#DIV/0!</v>
      </c>
      <c r="AO66" s="90"/>
      <c r="AP66" s="117"/>
      <c r="AQ66" s="47" t="e">
        <f>WEEKNUM(AP66-RESUMEN!$BL$7)</f>
        <v>#NUM!</v>
      </c>
      <c r="AR66" s="47">
        <f>_xlfn.DAYS(AP66,RESUMEN!$BL$7)</f>
        <v>-43267</v>
      </c>
      <c r="AS66" s="79"/>
      <c r="AT66" s="53"/>
      <c r="AU66" s="91"/>
      <c r="AV66" s="50" t="e">
        <f t="shared" si="5"/>
        <v>#DIV/0!</v>
      </c>
    </row>
    <row r="67" spans="2:48" x14ac:dyDescent="0.25">
      <c r="B67" s="46">
        <v>43284</v>
      </c>
      <c r="C67" s="47">
        <f>WEEKNUM(B67-RESUMEN!$D$7)</f>
        <v>7</v>
      </c>
      <c r="D67" s="47">
        <f>_xlfn.DAYS(B67,RESUMEN!$D$7)</f>
        <v>46</v>
      </c>
      <c r="E67" s="48" t="s">
        <v>165</v>
      </c>
      <c r="F67" s="49">
        <v>-2</v>
      </c>
      <c r="G67" s="64">
        <v>11</v>
      </c>
      <c r="H67" s="50">
        <f t="shared" si="0"/>
        <v>-5.5</v>
      </c>
      <c r="I67" s="90"/>
      <c r="J67" s="113">
        <v>43296</v>
      </c>
      <c r="K67" s="47">
        <f>WEEKNUM(J67-RESUMEN!$P$7)</f>
        <v>8</v>
      </c>
      <c r="L67" s="47">
        <f>_xlfn.DAYS(J67,RESUMEN!$P$7)</f>
        <v>54</v>
      </c>
      <c r="M67" s="48" t="s">
        <v>277</v>
      </c>
      <c r="N67" s="49">
        <v>-30</v>
      </c>
      <c r="O67" s="64">
        <v>210</v>
      </c>
      <c r="P67" s="50">
        <f t="shared" si="1"/>
        <v>-7</v>
      </c>
      <c r="Q67" s="90"/>
      <c r="R67" s="114">
        <v>43300</v>
      </c>
      <c r="S67" s="47">
        <f>WEEKNUM(R67-RESUMEN!$AB$7)</f>
        <v>8</v>
      </c>
      <c r="T67" s="47">
        <f>_xlfn.DAYS(R67,RESUMEN!$AB$7)</f>
        <v>53</v>
      </c>
      <c r="U67" s="48" t="s">
        <v>274</v>
      </c>
      <c r="V67" s="49">
        <v>-22</v>
      </c>
      <c r="W67" s="64">
        <v>157</v>
      </c>
      <c r="X67" s="50">
        <f t="shared" si="2"/>
        <v>-7.1363636363636367</v>
      </c>
      <c r="Y67" s="90"/>
      <c r="Z67" s="114"/>
      <c r="AA67" s="47" t="e">
        <f>WEEKNUM(Z67-RESUMEN!$AN$7)</f>
        <v>#NUM!</v>
      </c>
      <c r="AB67" s="47">
        <f>_xlfn.DAYS(Z67,RESUMEN!$AN$7)</f>
        <v>-43254</v>
      </c>
      <c r="AC67" s="48"/>
      <c r="AD67" s="51"/>
      <c r="AE67" s="65"/>
      <c r="AF67" s="116" t="e">
        <f t="shared" si="3"/>
        <v>#DIV/0!</v>
      </c>
      <c r="AG67" s="83"/>
      <c r="AH67" s="115"/>
      <c r="AI67" s="47" t="e">
        <f>WEEKNUM(AH67-RESUMEN!$AZ$7)</f>
        <v>#NUM!</v>
      </c>
      <c r="AJ67" s="47">
        <f>_xlfn.DAYS(AH67,RESUMEN!$AZ$7)</f>
        <v>-43261</v>
      </c>
      <c r="AK67" s="79"/>
      <c r="AL67" s="54"/>
      <c r="AM67" s="66"/>
      <c r="AN67" s="50" t="e">
        <f t="shared" si="4"/>
        <v>#DIV/0!</v>
      </c>
      <c r="AO67" s="90"/>
      <c r="AP67" s="117"/>
      <c r="AQ67" s="47" t="e">
        <f>WEEKNUM(AP67-RESUMEN!$BL$7)</f>
        <v>#NUM!</v>
      </c>
      <c r="AR67" s="47">
        <f>_xlfn.DAYS(AP67,RESUMEN!$BL$7)</f>
        <v>-43267</v>
      </c>
      <c r="AS67" s="79"/>
      <c r="AT67" s="53"/>
      <c r="AU67" s="91"/>
      <c r="AV67" s="50" t="e">
        <f t="shared" si="5"/>
        <v>#DIV/0!</v>
      </c>
    </row>
    <row r="68" spans="2:48" x14ac:dyDescent="0.25">
      <c r="B68" s="46">
        <v>43285</v>
      </c>
      <c r="C68" s="47">
        <f>WEEKNUM(B68-RESUMEN!$D$7)</f>
        <v>7</v>
      </c>
      <c r="D68" s="47">
        <f>_xlfn.DAYS(B68,RESUMEN!$D$7)</f>
        <v>47</v>
      </c>
      <c r="E68" s="48" t="s">
        <v>274</v>
      </c>
      <c r="F68" s="49">
        <v>-7</v>
      </c>
      <c r="G68" s="64">
        <v>37</v>
      </c>
      <c r="H68" s="50">
        <f t="shared" si="0"/>
        <v>-5.2857142857142856</v>
      </c>
      <c r="I68" s="90"/>
      <c r="J68" s="113">
        <v>43297</v>
      </c>
      <c r="K68" s="47">
        <f>WEEKNUM(J68-RESUMEN!$P$7)</f>
        <v>8</v>
      </c>
      <c r="L68" s="47">
        <f>_xlfn.DAYS(J68,RESUMEN!$P$7)</f>
        <v>55</v>
      </c>
      <c r="M68" s="48" t="s">
        <v>277</v>
      </c>
      <c r="N68" s="49">
        <v>-28</v>
      </c>
      <c r="O68" s="64">
        <v>199</v>
      </c>
      <c r="P68" s="50">
        <f t="shared" si="1"/>
        <v>-7.1071428571428568</v>
      </c>
      <c r="Q68" s="90"/>
      <c r="R68" s="114">
        <v>43301</v>
      </c>
      <c r="S68" s="47">
        <f>WEEKNUM(R68-RESUMEN!$AB$7)</f>
        <v>8</v>
      </c>
      <c r="T68" s="47">
        <f>_xlfn.DAYS(R68,RESUMEN!$AB$7)</f>
        <v>54</v>
      </c>
      <c r="U68" s="48" t="s">
        <v>275</v>
      </c>
      <c r="V68" s="49">
        <v>-10</v>
      </c>
      <c r="W68" s="64">
        <v>109</v>
      </c>
      <c r="X68" s="50">
        <f t="shared" si="2"/>
        <v>-10.9</v>
      </c>
      <c r="Y68" s="90"/>
      <c r="Z68" s="114"/>
      <c r="AA68" s="47" t="e">
        <f>WEEKNUM(Z68-RESUMEN!$AN$7)</f>
        <v>#NUM!</v>
      </c>
      <c r="AB68" s="47">
        <f>_xlfn.DAYS(Z68,RESUMEN!$AN$7)</f>
        <v>-43254</v>
      </c>
      <c r="AC68" s="48"/>
      <c r="AD68" s="51"/>
      <c r="AE68" s="65"/>
      <c r="AF68" s="116" t="e">
        <f t="shared" si="3"/>
        <v>#DIV/0!</v>
      </c>
      <c r="AG68" s="83"/>
      <c r="AH68" s="115"/>
      <c r="AI68" s="47" t="e">
        <f>WEEKNUM(AH68-RESUMEN!$AZ$7)</f>
        <v>#NUM!</v>
      </c>
      <c r="AJ68" s="47">
        <f>_xlfn.DAYS(AH68,RESUMEN!$AZ$7)</f>
        <v>-43261</v>
      </c>
      <c r="AK68" s="79"/>
      <c r="AL68" s="54"/>
      <c r="AM68" s="66"/>
      <c r="AN68" s="50" t="e">
        <f t="shared" si="4"/>
        <v>#DIV/0!</v>
      </c>
      <c r="AO68" s="90"/>
      <c r="AP68" s="117"/>
      <c r="AQ68" s="47" t="e">
        <f>WEEKNUM(AP68-RESUMEN!$BL$7)</f>
        <v>#NUM!</v>
      </c>
      <c r="AR68" s="47">
        <f>_xlfn.DAYS(AP68,RESUMEN!$BL$7)</f>
        <v>-43267</v>
      </c>
      <c r="AS68" s="79"/>
      <c r="AT68" s="53"/>
      <c r="AU68" s="91"/>
      <c r="AV68" s="50" t="e">
        <f t="shared" si="5"/>
        <v>#DIV/0!</v>
      </c>
    </row>
    <row r="69" spans="2:48" x14ac:dyDescent="0.25">
      <c r="B69" s="46">
        <v>43285</v>
      </c>
      <c r="C69" s="47">
        <f>WEEKNUM(B69-RESUMEN!$D$7)</f>
        <v>7</v>
      </c>
      <c r="D69" s="47">
        <f>_xlfn.DAYS(B69,RESUMEN!$D$7)</f>
        <v>47</v>
      </c>
      <c r="E69" s="48" t="s">
        <v>279</v>
      </c>
      <c r="F69" s="49">
        <v>-1</v>
      </c>
      <c r="G69" s="64">
        <v>6</v>
      </c>
      <c r="H69" s="50">
        <f t="shared" si="0"/>
        <v>-6</v>
      </c>
      <c r="I69" s="90"/>
      <c r="J69" s="113">
        <v>43298</v>
      </c>
      <c r="K69" s="47">
        <f>WEEKNUM(J69-RESUMEN!$P$7)</f>
        <v>8</v>
      </c>
      <c r="L69" s="47">
        <f>_xlfn.DAYS(J69,RESUMEN!$P$7)</f>
        <v>56</v>
      </c>
      <c r="M69" s="48" t="s">
        <v>277</v>
      </c>
      <c r="N69" s="49">
        <v>-34</v>
      </c>
      <c r="O69" s="64">
        <v>234</v>
      </c>
      <c r="P69" s="50">
        <f t="shared" si="1"/>
        <v>-6.882352941176471</v>
      </c>
      <c r="Q69" s="90"/>
      <c r="R69" s="114">
        <v>43301</v>
      </c>
      <c r="S69" s="47">
        <f>WEEKNUM(R69-RESUMEN!$AB$7)</f>
        <v>8</v>
      </c>
      <c r="T69" s="47">
        <f>_xlfn.DAYS(R69,RESUMEN!$AB$7)</f>
        <v>54</v>
      </c>
      <c r="U69" s="48" t="s">
        <v>274</v>
      </c>
      <c r="V69" s="51">
        <v>-15</v>
      </c>
      <c r="W69" s="65">
        <v>120</v>
      </c>
      <c r="X69" s="50">
        <f t="shared" si="2"/>
        <v>-8</v>
      </c>
      <c r="Y69" s="90"/>
      <c r="Z69" s="114"/>
      <c r="AA69" s="47" t="e">
        <f>WEEKNUM(Z69-RESUMEN!$AN$7)</f>
        <v>#NUM!</v>
      </c>
      <c r="AB69" s="47">
        <f>_xlfn.DAYS(Z69,RESUMEN!$AN$7)</f>
        <v>-43254</v>
      </c>
      <c r="AC69" s="48"/>
      <c r="AD69" s="51"/>
      <c r="AE69" s="65"/>
      <c r="AF69" s="116" t="e">
        <f t="shared" si="3"/>
        <v>#DIV/0!</v>
      </c>
      <c r="AG69" s="83"/>
      <c r="AH69" s="115"/>
      <c r="AI69" s="47" t="e">
        <f>WEEKNUM(AH69-RESUMEN!$AZ$7)</f>
        <v>#NUM!</v>
      </c>
      <c r="AJ69" s="47">
        <f>_xlfn.DAYS(AH69,RESUMEN!$AZ$7)</f>
        <v>-43261</v>
      </c>
      <c r="AK69" s="79"/>
      <c r="AL69" s="54"/>
      <c r="AM69" s="66"/>
      <c r="AN69" s="50" t="e">
        <f t="shared" si="4"/>
        <v>#DIV/0!</v>
      </c>
      <c r="AO69" s="90"/>
      <c r="AP69" s="117"/>
      <c r="AQ69" s="47" t="e">
        <f>WEEKNUM(AP69-RESUMEN!$BL$7)</f>
        <v>#NUM!</v>
      </c>
      <c r="AR69" s="47">
        <f>_xlfn.DAYS(AP69,RESUMEN!$BL$7)</f>
        <v>-43267</v>
      </c>
      <c r="AS69" s="79"/>
      <c r="AT69" s="53"/>
      <c r="AU69" s="91"/>
      <c r="AV69" s="50" t="e">
        <f t="shared" si="5"/>
        <v>#DIV/0!</v>
      </c>
    </row>
    <row r="70" spans="2:48" x14ac:dyDescent="0.25">
      <c r="B70" s="46">
        <v>43285</v>
      </c>
      <c r="C70" s="47">
        <f>WEEKNUM(B70-RESUMEN!$D$7)</f>
        <v>7</v>
      </c>
      <c r="D70" s="47">
        <f>_xlfn.DAYS(B70,RESUMEN!$D$7)</f>
        <v>47</v>
      </c>
      <c r="E70" s="48" t="s">
        <v>271</v>
      </c>
      <c r="F70" s="49">
        <v>-2</v>
      </c>
      <c r="G70" s="64">
        <v>4</v>
      </c>
      <c r="H70" s="50">
        <f t="shared" si="0"/>
        <v>-2</v>
      </c>
      <c r="I70" s="90"/>
      <c r="J70" s="113">
        <v>43299</v>
      </c>
      <c r="K70" s="47">
        <f>WEEKNUM(J70-RESUMEN!$P$7)</f>
        <v>9</v>
      </c>
      <c r="L70" s="47">
        <f>_xlfn.DAYS(J70,RESUMEN!$P$7)</f>
        <v>57</v>
      </c>
      <c r="M70" s="48" t="s">
        <v>277</v>
      </c>
      <c r="N70" s="49">
        <v>-24</v>
      </c>
      <c r="O70" s="64">
        <v>146</v>
      </c>
      <c r="P70" s="50">
        <f t="shared" si="1"/>
        <v>-6.083333333333333</v>
      </c>
      <c r="Q70" s="90"/>
      <c r="R70" s="114">
        <v>43301</v>
      </c>
      <c r="S70" s="47">
        <f>WEEKNUM(R70-RESUMEN!$AB$7)</f>
        <v>8</v>
      </c>
      <c r="T70" s="47">
        <f>_xlfn.DAYS(R70,RESUMEN!$AB$7)</f>
        <v>54</v>
      </c>
      <c r="U70" s="48" t="s">
        <v>271</v>
      </c>
      <c r="V70" s="51">
        <v>-6</v>
      </c>
      <c r="W70" s="65">
        <v>17</v>
      </c>
      <c r="X70" s="50">
        <f t="shared" si="2"/>
        <v>-2.8333333333333335</v>
      </c>
      <c r="Y70" s="90"/>
      <c r="Z70" s="114"/>
      <c r="AA70" s="47" t="e">
        <f>WEEKNUM(Z70-RESUMEN!$AN$7)</f>
        <v>#NUM!</v>
      </c>
      <c r="AB70" s="47">
        <f>_xlfn.DAYS(Z70,RESUMEN!$AN$7)</f>
        <v>-43254</v>
      </c>
      <c r="AC70" s="48"/>
      <c r="AD70" s="51"/>
      <c r="AE70" s="65"/>
      <c r="AF70" s="116" t="e">
        <f t="shared" si="3"/>
        <v>#DIV/0!</v>
      </c>
      <c r="AG70" s="83"/>
      <c r="AH70" s="115"/>
      <c r="AI70" s="47" t="e">
        <f>WEEKNUM(AH70-RESUMEN!$AZ$7)</f>
        <v>#NUM!</v>
      </c>
      <c r="AJ70" s="47">
        <f>_xlfn.DAYS(AH70,RESUMEN!$AZ$7)</f>
        <v>-43261</v>
      </c>
      <c r="AK70" s="79"/>
      <c r="AL70" s="54"/>
      <c r="AM70" s="66"/>
      <c r="AN70" s="50" t="e">
        <f t="shared" si="4"/>
        <v>#DIV/0!</v>
      </c>
      <c r="AO70" s="90"/>
      <c r="AP70" s="117"/>
      <c r="AQ70" s="47" t="e">
        <f>WEEKNUM(AP70-RESUMEN!$BL$7)</f>
        <v>#NUM!</v>
      </c>
      <c r="AR70" s="47">
        <f>_xlfn.DAYS(AP70,RESUMEN!$BL$7)</f>
        <v>-43267</v>
      </c>
      <c r="AS70" s="79"/>
      <c r="AT70" s="53"/>
      <c r="AU70" s="91"/>
      <c r="AV70" s="50" t="e">
        <f t="shared" si="5"/>
        <v>#DIV/0!</v>
      </c>
    </row>
    <row r="71" spans="2:48" x14ac:dyDescent="0.25">
      <c r="B71" s="46">
        <v>43286</v>
      </c>
      <c r="C71" s="47">
        <f>WEEKNUM(B71-RESUMEN!$D$7)</f>
        <v>7</v>
      </c>
      <c r="D71" s="47">
        <f>_xlfn.DAYS(B71,RESUMEN!$D$7)</f>
        <v>48</v>
      </c>
      <c r="E71" s="48" t="s">
        <v>123</v>
      </c>
      <c r="F71" s="49">
        <v>-9</v>
      </c>
      <c r="G71" s="64">
        <v>36</v>
      </c>
      <c r="H71" s="50">
        <f t="shared" ref="H71:H134" si="6">G71/F71</f>
        <v>-4</v>
      </c>
      <c r="I71" s="90"/>
      <c r="J71" s="113">
        <v>43300</v>
      </c>
      <c r="K71" s="47">
        <f>WEEKNUM(J71-RESUMEN!$P$7)</f>
        <v>9</v>
      </c>
      <c r="L71" s="47">
        <f>_xlfn.DAYS(J71,RESUMEN!$P$7)</f>
        <v>58</v>
      </c>
      <c r="M71" s="48" t="s">
        <v>277</v>
      </c>
      <c r="N71" s="49">
        <v>-27</v>
      </c>
      <c r="O71" s="64">
        <v>192</v>
      </c>
      <c r="P71" s="50">
        <f t="shared" ref="P71:P134" si="7">O71/N71</f>
        <v>-7.1111111111111107</v>
      </c>
      <c r="Q71" s="90"/>
      <c r="R71" s="114">
        <v>43302</v>
      </c>
      <c r="S71" s="47">
        <f>WEEKNUM(R71-RESUMEN!$AB$7)</f>
        <v>8</v>
      </c>
      <c r="T71" s="47">
        <f>_xlfn.DAYS(R71,RESUMEN!$AB$7)</f>
        <v>55</v>
      </c>
      <c r="U71" s="48" t="s">
        <v>274</v>
      </c>
      <c r="V71" s="51">
        <v>-10</v>
      </c>
      <c r="W71" s="65">
        <v>78</v>
      </c>
      <c r="X71" s="50">
        <f t="shared" ref="X71:X134" si="8">W71/V71</f>
        <v>-7.8</v>
      </c>
      <c r="Y71" s="90"/>
      <c r="Z71" s="114"/>
      <c r="AA71" s="47" t="e">
        <f>WEEKNUM(Z71-RESUMEN!$AN$7)</f>
        <v>#NUM!</v>
      </c>
      <c r="AB71" s="47">
        <f>_xlfn.DAYS(Z71,RESUMEN!$AN$7)</f>
        <v>-43254</v>
      </c>
      <c r="AC71" s="48"/>
      <c r="AD71" s="51"/>
      <c r="AE71" s="65"/>
      <c r="AF71" s="116" t="e">
        <f t="shared" ref="AF71:AF134" si="9">AE71/AD71</f>
        <v>#DIV/0!</v>
      </c>
      <c r="AG71" s="83"/>
      <c r="AH71" s="115"/>
      <c r="AI71" s="47" t="e">
        <f>WEEKNUM(AH71-RESUMEN!$AZ$7)</f>
        <v>#NUM!</v>
      </c>
      <c r="AJ71" s="47">
        <f>_xlfn.DAYS(AH71,RESUMEN!$AZ$7)</f>
        <v>-43261</v>
      </c>
      <c r="AK71" s="79"/>
      <c r="AL71" s="54"/>
      <c r="AM71" s="66"/>
      <c r="AN71" s="50" t="e">
        <f t="shared" ref="AN71:AN134" si="10">AM71/AL71</f>
        <v>#DIV/0!</v>
      </c>
      <c r="AO71" s="90"/>
      <c r="AP71" s="117"/>
      <c r="AQ71" s="47" t="e">
        <f>WEEKNUM(AP71-RESUMEN!$BL$7)</f>
        <v>#NUM!</v>
      </c>
      <c r="AR71" s="47">
        <f>_xlfn.DAYS(AP71,RESUMEN!$BL$7)</f>
        <v>-43267</v>
      </c>
      <c r="AS71" s="79"/>
      <c r="AT71" s="53"/>
      <c r="AU71" s="91"/>
      <c r="AV71" s="50" t="e">
        <f t="shared" ref="AV71:AV134" si="11">AU71/AT71</f>
        <v>#DIV/0!</v>
      </c>
    </row>
    <row r="72" spans="2:48" x14ac:dyDescent="0.25">
      <c r="B72" s="46">
        <v>43286</v>
      </c>
      <c r="C72" s="47">
        <f>WEEKNUM(B72-RESUMEN!$D$7)</f>
        <v>7</v>
      </c>
      <c r="D72" s="47">
        <f>_xlfn.DAYS(B72,RESUMEN!$D$7)</f>
        <v>48</v>
      </c>
      <c r="E72" s="48" t="s">
        <v>279</v>
      </c>
      <c r="F72" s="49">
        <v>-1</v>
      </c>
      <c r="G72" s="64">
        <v>6</v>
      </c>
      <c r="H72" s="50">
        <f t="shared" si="6"/>
        <v>-6</v>
      </c>
      <c r="I72" s="90"/>
      <c r="J72" s="113">
        <v>43301</v>
      </c>
      <c r="K72" s="47">
        <f>WEEKNUM(J72-RESUMEN!$P$7)</f>
        <v>9</v>
      </c>
      <c r="L72" s="47">
        <f>_xlfn.DAYS(J72,RESUMEN!$P$7)</f>
        <v>59</v>
      </c>
      <c r="M72" s="48" t="s">
        <v>275</v>
      </c>
      <c r="N72" s="49">
        <v>-10</v>
      </c>
      <c r="O72" s="64">
        <v>107</v>
      </c>
      <c r="P72" s="50">
        <f t="shared" si="7"/>
        <v>-10.7</v>
      </c>
      <c r="Q72" s="90"/>
      <c r="R72" s="114">
        <v>43302</v>
      </c>
      <c r="S72" s="47">
        <f>WEEKNUM(R72-RESUMEN!$AB$7)</f>
        <v>8</v>
      </c>
      <c r="T72" s="47">
        <f>_xlfn.DAYS(R72,RESUMEN!$AB$7)</f>
        <v>55</v>
      </c>
      <c r="U72" s="48" t="s">
        <v>275</v>
      </c>
      <c r="V72" s="51">
        <v>-7</v>
      </c>
      <c r="W72" s="65">
        <v>62</v>
      </c>
      <c r="X72" s="50">
        <f t="shared" si="8"/>
        <v>-8.8571428571428577</v>
      </c>
      <c r="Y72" s="90"/>
      <c r="Z72" s="114"/>
      <c r="AA72" s="47" t="e">
        <f>WEEKNUM(Z72-RESUMEN!$AN$7)</f>
        <v>#NUM!</v>
      </c>
      <c r="AB72" s="47">
        <f>_xlfn.DAYS(Z72,RESUMEN!$AN$7)</f>
        <v>-43254</v>
      </c>
      <c r="AC72" s="48"/>
      <c r="AD72" s="51"/>
      <c r="AE72" s="65"/>
      <c r="AF72" s="116" t="e">
        <f t="shared" si="9"/>
        <v>#DIV/0!</v>
      </c>
      <c r="AG72" s="83"/>
      <c r="AH72" s="115"/>
      <c r="AI72" s="47" t="e">
        <f>WEEKNUM(AH72-RESUMEN!$AZ$7)</f>
        <v>#NUM!</v>
      </c>
      <c r="AJ72" s="47">
        <f>_xlfn.DAYS(AH72,RESUMEN!$AZ$7)</f>
        <v>-43261</v>
      </c>
      <c r="AK72" s="79"/>
      <c r="AL72" s="54"/>
      <c r="AM72" s="66"/>
      <c r="AN72" s="50" t="e">
        <f t="shared" si="10"/>
        <v>#DIV/0!</v>
      </c>
      <c r="AO72" s="90"/>
      <c r="AP72" s="115"/>
      <c r="AQ72" s="47" t="e">
        <f>WEEKNUM(AP72-RESUMEN!$BL$7)</f>
        <v>#NUM!</v>
      </c>
      <c r="AR72" s="47">
        <f>_xlfn.DAYS(AP72,RESUMEN!$BL$7)</f>
        <v>-43267</v>
      </c>
      <c r="AS72" s="53"/>
      <c r="AT72" s="54"/>
      <c r="AU72" s="66"/>
      <c r="AV72" s="50" t="e">
        <f t="shared" si="11"/>
        <v>#DIV/0!</v>
      </c>
    </row>
    <row r="73" spans="2:48" x14ac:dyDescent="0.25">
      <c r="B73" s="46">
        <v>43286</v>
      </c>
      <c r="C73" s="47">
        <f>WEEKNUM(B73-RESUMEN!$D$7)</f>
        <v>7</v>
      </c>
      <c r="D73" s="47">
        <f>_xlfn.DAYS(B73,RESUMEN!$D$7)</f>
        <v>48</v>
      </c>
      <c r="E73" s="48" t="s">
        <v>159</v>
      </c>
      <c r="F73" s="49">
        <v>-1</v>
      </c>
      <c r="G73" s="64">
        <v>8</v>
      </c>
      <c r="H73" s="50">
        <f t="shared" si="6"/>
        <v>-8</v>
      </c>
      <c r="I73" s="90"/>
      <c r="J73" s="113">
        <v>43301</v>
      </c>
      <c r="K73" s="47">
        <f>WEEKNUM(J73-RESUMEN!$P$7)</f>
        <v>9</v>
      </c>
      <c r="L73" s="47">
        <f>_xlfn.DAYS(J73,RESUMEN!$P$7)</f>
        <v>59</v>
      </c>
      <c r="M73" s="48" t="s">
        <v>277</v>
      </c>
      <c r="N73" s="49">
        <v>-19</v>
      </c>
      <c r="O73" s="64">
        <v>138</v>
      </c>
      <c r="P73" s="50">
        <f t="shared" si="7"/>
        <v>-7.2631578947368425</v>
      </c>
      <c r="Q73" s="90"/>
      <c r="R73" s="114">
        <v>43303</v>
      </c>
      <c r="S73" s="47">
        <f>WEEKNUM(R73-RESUMEN!$AB$7)</f>
        <v>8</v>
      </c>
      <c r="T73" s="47">
        <f>_xlfn.DAYS(R73,RESUMEN!$AB$7)</f>
        <v>56</v>
      </c>
      <c r="U73" s="48" t="s">
        <v>274</v>
      </c>
      <c r="V73" s="51">
        <v>-10</v>
      </c>
      <c r="W73" s="65">
        <v>74</v>
      </c>
      <c r="X73" s="50">
        <f t="shared" si="8"/>
        <v>-7.4</v>
      </c>
      <c r="Y73" s="90"/>
      <c r="Z73" s="114"/>
      <c r="AA73" s="47" t="e">
        <f>WEEKNUM(Z73-RESUMEN!$AN$7)</f>
        <v>#NUM!</v>
      </c>
      <c r="AB73" s="47">
        <f>_xlfn.DAYS(Z73,RESUMEN!$AN$7)</f>
        <v>-43254</v>
      </c>
      <c r="AC73" s="48"/>
      <c r="AD73" s="51"/>
      <c r="AE73" s="65"/>
      <c r="AF73" s="116" t="e">
        <f t="shared" si="9"/>
        <v>#DIV/0!</v>
      </c>
      <c r="AG73" s="83"/>
      <c r="AH73" s="115"/>
      <c r="AI73" s="47" t="e">
        <f>WEEKNUM(AH73-RESUMEN!$AZ$7)</f>
        <v>#NUM!</v>
      </c>
      <c r="AJ73" s="47">
        <f>_xlfn.DAYS(AH73,RESUMEN!$AZ$7)</f>
        <v>-43261</v>
      </c>
      <c r="AK73" s="79"/>
      <c r="AL73" s="54"/>
      <c r="AM73" s="66"/>
      <c r="AN73" s="50" t="e">
        <f t="shared" si="10"/>
        <v>#DIV/0!</v>
      </c>
      <c r="AO73" s="90"/>
      <c r="AP73" s="115"/>
      <c r="AQ73" s="47" t="e">
        <f>WEEKNUM(AP73-RESUMEN!$BL$7)</f>
        <v>#NUM!</v>
      </c>
      <c r="AR73" s="47">
        <f>_xlfn.DAYS(AP73,RESUMEN!$BL$7)</f>
        <v>-43267</v>
      </c>
      <c r="AS73" s="53"/>
      <c r="AT73" s="54"/>
      <c r="AU73" s="66"/>
      <c r="AV73" s="50" t="e">
        <f t="shared" si="11"/>
        <v>#DIV/0!</v>
      </c>
    </row>
    <row r="74" spans="2:48" x14ac:dyDescent="0.25">
      <c r="B74" s="46">
        <v>43287</v>
      </c>
      <c r="C74" s="47">
        <f>WEEKNUM(B74-RESUMEN!$D$7)</f>
        <v>7</v>
      </c>
      <c r="D74" s="47">
        <f>_xlfn.DAYS(B74,RESUMEN!$D$7)</f>
        <v>49</v>
      </c>
      <c r="E74" s="48" t="s">
        <v>123</v>
      </c>
      <c r="F74" s="51">
        <v>-12</v>
      </c>
      <c r="G74" s="65">
        <v>62</v>
      </c>
      <c r="H74" s="50">
        <f t="shared" si="6"/>
        <v>-5.166666666666667</v>
      </c>
      <c r="I74" s="90"/>
      <c r="J74" s="113">
        <v>43302</v>
      </c>
      <c r="K74" s="47">
        <f>WEEKNUM(J74-RESUMEN!$P$7)</f>
        <v>9</v>
      </c>
      <c r="L74" s="47">
        <f>_xlfn.DAYS(J74,RESUMEN!$P$7)</f>
        <v>60</v>
      </c>
      <c r="M74" s="48" t="s">
        <v>275</v>
      </c>
      <c r="N74" s="49">
        <v>-8</v>
      </c>
      <c r="O74" s="64">
        <v>69</v>
      </c>
      <c r="P74" s="50">
        <f t="shared" si="7"/>
        <v>-8.625</v>
      </c>
      <c r="Q74" s="90"/>
      <c r="R74" s="114">
        <v>43303</v>
      </c>
      <c r="S74" s="47">
        <f>WEEKNUM(R74-RESUMEN!$AB$7)</f>
        <v>8</v>
      </c>
      <c r="T74" s="47">
        <f>_xlfn.DAYS(R74,RESUMEN!$AB$7)</f>
        <v>56</v>
      </c>
      <c r="U74" s="48" t="s">
        <v>275</v>
      </c>
      <c r="V74" s="51">
        <v>-16</v>
      </c>
      <c r="W74" s="65">
        <v>114</v>
      </c>
      <c r="X74" s="50">
        <f t="shared" si="8"/>
        <v>-7.125</v>
      </c>
      <c r="Y74" s="90"/>
      <c r="Z74" s="114"/>
      <c r="AA74" s="47" t="e">
        <f>WEEKNUM(Z74-RESUMEN!$AN$7)</f>
        <v>#NUM!</v>
      </c>
      <c r="AB74" s="47">
        <f>_xlfn.DAYS(Z74,RESUMEN!$AN$7)</f>
        <v>-43254</v>
      </c>
      <c r="AC74" s="48"/>
      <c r="AD74" s="51"/>
      <c r="AE74" s="65"/>
      <c r="AF74" s="116" t="e">
        <f t="shared" si="9"/>
        <v>#DIV/0!</v>
      </c>
      <c r="AG74" s="83"/>
      <c r="AH74" s="115"/>
      <c r="AI74" s="47" t="e">
        <f>WEEKNUM(AH74-RESUMEN!$AZ$7)</f>
        <v>#NUM!</v>
      </c>
      <c r="AJ74" s="47">
        <f>_xlfn.DAYS(AH74,RESUMEN!$AZ$7)</f>
        <v>-43261</v>
      </c>
      <c r="AK74" s="79"/>
      <c r="AL74" s="54"/>
      <c r="AM74" s="66"/>
      <c r="AN74" s="50" t="e">
        <f t="shared" si="10"/>
        <v>#DIV/0!</v>
      </c>
      <c r="AO74" s="90"/>
      <c r="AP74" s="115"/>
      <c r="AQ74" s="47" t="e">
        <f>WEEKNUM(AP74-RESUMEN!$BL$7)</f>
        <v>#NUM!</v>
      </c>
      <c r="AR74" s="47">
        <f>_xlfn.DAYS(AP74,RESUMEN!$BL$7)</f>
        <v>-43267</v>
      </c>
      <c r="AS74" s="53"/>
      <c r="AT74" s="54"/>
      <c r="AU74" s="66"/>
      <c r="AV74" s="50" t="e">
        <f t="shared" si="11"/>
        <v>#DIV/0!</v>
      </c>
    </row>
    <row r="75" spans="2:48" x14ac:dyDescent="0.25">
      <c r="B75" s="46">
        <v>43287</v>
      </c>
      <c r="C75" s="47">
        <f>WEEKNUM(B75-RESUMEN!$D$7)</f>
        <v>7</v>
      </c>
      <c r="D75" s="47">
        <f>_xlfn.DAYS(B75,RESUMEN!$D$7)</f>
        <v>49</v>
      </c>
      <c r="E75" s="48" t="s">
        <v>159</v>
      </c>
      <c r="F75" s="51">
        <v>-12</v>
      </c>
      <c r="G75" s="65">
        <v>52</v>
      </c>
      <c r="H75" s="50">
        <f t="shared" si="6"/>
        <v>-4.333333333333333</v>
      </c>
      <c r="I75" s="90"/>
      <c r="J75" s="113">
        <v>43302</v>
      </c>
      <c r="K75" s="47">
        <f>WEEKNUM(J75-RESUMEN!$P$7)</f>
        <v>9</v>
      </c>
      <c r="L75" s="47">
        <f>_xlfn.DAYS(J75,RESUMEN!$P$7)</f>
        <v>60</v>
      </c>
      <c r="M75" s="48" t="s">
        <v>277</v>
      </c>
      <c r="N75" s="49">
        <v>-13</v>
      </c>
      <c r="O75" s="64">
        <v>75</v>
      </c>
      <c r="P75" s="50">
        <f t="shared" si="7"/>
        <v>-5.7692307692307692</v>
      </c>
      <c r="Q75" s="90"/>
      <c r="R75" s="114">
        <v>43304</v>
      </c>
      <c r="S75" s="47">
        <f>WEEKNUM(R75-RESUMEN!$AB$7)</f>
        <v>9</v>
      </c>
      <c r="T75" s="47">
        <f>_xlfn.DAYS(R75,RESUMEN!$AB$7)</f>
        <v>57</v>
      </c>
      <c r="U75" s="48" t="s">
        <v>102</v>
      </c>
      <c r="V75" s="51">
        <v>-10</v>
      </c>
      <c r="W75" s="65">
        <v>84</v>
      </c>
      <c r="X75" s="50">
        <f t="shared" si="8"/>
        <v>-8.4</v>
      </c>
      <c r="Y75" s="90"/>
      <c r="Z75" s="114"/>
      <c r="AA75" s="47" t="e">
        <f>WEEKNUM(Z75-RESUMEN!$AN$7)</f>
        <v>#NUM!</v>
      </c>
      <c r="AB75" s="47">
        <f>_xlfn.DAYS(Z75,RESUMEN!$AN$7)</f>
        <v>-43254</v>
      </c>
      <c r="AC75" s="48"/>
      <c r="AD75" s="51"/>
      <c r="AE75" s="65"/>
      <c r="AF75" s="116" t="e">
        <f t="shared" si="9"/>
        <v>#DIV/0!</v>
      </c>
      <c r="AG75" s="83"/>
      <c r="AH75" s="115"/>
      <c r="AI75" s="47" t="e">
        <f>WEEKNUM(AH75-RESUMEN!$AZ$7)</f>
        <v>#NUM!</v>
      </c>
      <c r="AJ75" s="47">
        <f>_xlfn.DAYS(AH75,RESUMEN!$AZ$7)</f>
        <v>-43261</v>
      </c>
      <c r="AK75" s="79"/>
      <c r="AL75" s="54"/>
      <c r="AM75" s="66"/>
      <c r="AN75" s="50" t="e">
        <f t="shared" si="10"/>
        <v>#DIV/0!</v>
      </c>
      <c r="AO75" s="90"/>
      <c r="AP75" s="115"/>
      <c r="AQ75" s="47" t="e">
        <f>WEEKNUM(AP75-RESUMEN!$BL$7)</f>
        <v>#NUM!</v>
      </c>
      <c r="AR75" s="47">
        <f>_xlfn.DAYS(AP75,RESUMEN!$BL$7)</f>
        <v>-43267</v>
      </c>
      <c r="AS75" s="53"/>
      <c r="AT75" s="54"/>
      <c r="AU75" s="66"/>
      <c r="AV75" s="50" t="e">
        <f t="shared" si="11"/>
        <v>#DIV/0!</v>
      </c>
    </row>
    <row r="76" spans="2:48" x14ac:dyDescent="0.25">
      <c r="B76" s="46">
        <v>43287</v>
      </c>
      <c r="C76" s="47">
        <f>WEEKNUM(B76-RESUMEN!$D$7)</f>
        <v>7</v>
      </c>
      <c r="D76" s="47">
        <f>_xlfn.DAYS(B76,RESUMEN!$D$7)</f>
        <v>49</v>
      </c>
      <c r="E76" s="48" t="s">
        <v>102</v>
      </c>
      <c r="F76" s="51">
        <v>-6</v>
      </c>
      <c r="G76" s="65">
        <v>32</v>
      </c>
      <c r="H76" s="50">
        <f t="shared" si="6"/>
        <v>-5.333333333333333</v>
      </c>
      <c r="I76" s="90"/>
      <c r="J76" s="113">
        <v>43303</v>
      </c>
      <c r="K76" s="47">
        <f>WEEKNUM(J76-RESUMEN!$P$7)</f>
        <v>9</v>
      </c>
      <c r="L76" s="47">
        <f>_xlfn.DAYS(J76,RESUMEN!$P$7)</f>
        <v>61</v>
      </c>
      <c r="M76" s="48" t="s">
        <v>277</v>
      </c>
      <c r="N76" s="49">
        <v>-18</v>
      </c>
      <c r="O76" s="64">
        <v>132</v>
      </c>
      <c r="P76" s="50">
        <f t="shared" si="7"/>
        <v>-7.333333333333333</v>
      </c>
      <c r="Q76" s="90"/>
      <c r="R76" s="114">
        <v>43304</v>
      </c>
      <c r="S76" s="47">
        <f>WEEKNUM(R76-RESUMEN!$AB$7)</f>
        <v>9</v>
      </c>
      <c r="T76" s="47">
        <f>_xlfn.DAYS(R76,RESUMEN!$AB$7)</f>
        <v>57</v>
      </c>
      <c r="U76" s="48" t="s">
        <v>274</v>
      </c>
      <c r="V76" s="51">
        <v>-16</v>
      </c>
      <c r="W76" s="65">
        <v>142</v>
      </c>
      <c r="X76" s="50">
        <f t="shared" si="8"/>
        <v>-8.875</v>
      </c>
      <c r="Y76" s="90"/>
      <c r="Z76" s="114"/>
      <c r="AA76" s="47" t="e">
        <f>WEEKNUM(Z76-RESUMEN!$AN$7)</f>
        <v>#NUM!</v>
      </c>
      <c r="AB76" s="47">
        <f>_xlfn.DAYS(Z76,RESUMEN!$AN$7)</f>
        <v>-43254</v>
      </c>
      <c r="AC76" s="48"/>
      <c r="AD76" s="51"/>
      <c r="AE76" s="65"/>
      <c r="AF76" s="116" t="e">
        <f t="shared" si="9"/>
        <v>#DIV/0!</v>
      </c>
      <c r="AG76" s="83"/>
      <c r="AH76" s="115"/>
      <c r="AI76" s="47" t="e">
        <f>WEEKNUM(AH76-RESUMEN!$AZ$7)</f>
        <v>#NUM!</v>
      </c>
      <c r="AJ76" s="47">
        <f>_xlfn.DAYS(AH76,RESUMEN!$AZ$7)</f>
        <v>-43261</v>
      </c>
      <c r="AK76" s="79"/>
      <c r="AL76" s="54"/>
      <c r="AM76" s="66"/>
      <c r="AN76" s="50" t="e">
        <f t="shared" si="10"/>
        <v>#DIV/0!</v>
      </c>
      <c r="AO76" s="90"/>
      <c r="AP76" s="115"/>
      <c r="AQ76" s="47" t="e">
        <f>WEEKNUM(AP76-RESUMEN!$BL$7)</f>
        <v>#NUM!</v>
      </c>
      <c r="AR76" s="47">
        <f>_xlfn.DAYS(AP76,RESUMEN!$BL$7)</f>
        <v>-43267</v>
      </c>
      <c r="AS76" s="53"/>
      <c r="AT76" s="54"/>
      <c r="AU76" s="66"/>
      <c r="AV76" s="50" t="e">
        <f t="shared" si="11"/>
        <v>#DIV/0!</v>
      </c>
    </row>
    <row r="77" spans="2:48" x14ac:dyDescent="0.25">
      <c r="B77" s="46">
        <v>43287</v>
      </c>
      <c r="C77" s="47">
        <f>WEEKNUM(B77-RESUMEN!$D$7)</f>
        <v>7</v>
      </c>
      <c r="D77" s="47">
        <f>_xlfn.DAYS(B77,RESUMEN!$D$7)</f>
        <v>49</v>
      </c>
      <c r="E77" s="48" t="s">
        <v>271</v>
      </c>
      <c r="F77" s="51">
        <v>-6</v>
      </c>
      <c r="G77" s="65">
        <v>16</v>
      </c>
      <c r="H77" s="50">
        <f t="shared" si="6"/>
        <v>-2.6666666666666665</v>
      </c>
      <c r="I77" s="90"/>
      <c r="J77" s="113">
        <v>43303</v>
      </c>
      <c r="K77" s="47">
        <f>WEEKNUM(J77-RESUMEN!$P$7)</f>
        <v>9</v>
      </c>
      <c r="L77" s="47">
        <f>_xlfn.DAYS(J77,RESUMEN!$P$7)</f>
        <v>61</v>
      </c>
      <c r="M77" s="48" t="s">
        <v>275</v>
      </c>
      <c r="N77" s="49">
        <v>-12</v>
      </c>
      <c r="O77" s="64">
        <v>87</v>
      </c>
      <c r="P77" s="50">
        <f t="shared" si="7"/>
        <v>-7.25</v>
      </c>
      <c r="Q77" s="90"/>
      <c r="R77" s="114">
        <v>43305</v>
      </c>
      <c r="S77" s="47">
        <f>WEEKNUM(R77-RESUMEN!$AB$7)</f>
        <v>9</v>
      </c>
      <c r="T77" s="47">
        <f>_xlfn.DAYS(R77,RESUMEN!$AB$7)</f>
        <v>58</v>
      </c>
      <c r="U77" s="48" t="s">
        <v>275</v>
      </c>
      <c r="V77" s="51">
        <v>-10</v>
      </c>
      <c r="W77" s="65">
        <v>89</v>
      </c>
      <c r="X77" s="50">
        <f t="shared" si="8"/>
        <v>-8.9</v>
      </c>
      <c r="Y77" s="90"/>
      <c r="Z77" s="114"/>
      <c r="AA77" s="47" t="e">
        <f>WEEKNUM(Z77-RESUMEN!$AN$7)</f>
        <v>#NUM!</v>
      </c>
      <c r="AB77" s="47">
        <f>_xlfn.DAYS(Z77,RESUMEN!$AN$7)</f>
        <v>-43254</v>
      </c>
      <c r="AC77" s="48"/>
      <c r="AD77" s="51"/>
      <c r="AE77" s="65"/>
      <c r="AF77" s="116" t="e">
        <f t="shared" si="9"/>
        <v>#DIV/0!</v>
      </c>
      <c r="AG77" s="83"/>
      <c r="AH77" s="115"/>
      <c r="AI77" s="47" t="e">
        <f>WEEKNUM(AH77-RESUMEN!$AZ$7)</f>
        <v>#NUM!</v>
      </c>
      <c r="AJ77" s="47">
        <f>_xlfn.DAYS(AH77,RESUMEN!$AZ$7)</f>
        <v>-43261</v>
      </c>
      <c r="AK77" s="79"/>
      <c r="AL77" s="54"/>
      <c r="AM77" s="66"/>
      <c r="AN77" s="50" t="e">
        <f t="shared" si="10"/>
        <v>#DIV/0!</v>
      </c>
      <c r="AO77" s="90"/>
      <c r="AP77" s="115"/>
      <c r="AQ77" s="47" t="e">
        <f>WEEKNUM(AP77-RESUMEN!$BL$7)</f>
        <v>#NUM!</v>
      </c>
      <c r="AR77" s="47">
        <f>_xlfn.DAYS(AP77,RESUMEN!$BL$7)</f>
        <v>-43267</v>
      </c>
      <c r="AS77" s="53"/>
      <c r="AT77" s="54"/>
      <c r="AU77" s="66"/>
      <c r="AV77" s="50" t="e">
        <f t="shared" si="11"/>
        <v>#DIV/0!</v>
      </c>
    </row>
    <row r="78" spans="2:48" x14ac:dyDescent="0.25">
      <c r="B78" s="46">
        <v>43288</v>
      </c>
      <c r="C78" s="47">
        <f>WEEKNUM(B78-RESUMEN!$D$7)</f>
        <v>8</v>
      </c>
      <c r="D78" s="47">
        <f>_xlfn.DAYS(B78,RESUMEN!$D$7)</f>
        <v>50</v>
      </c>
      <c r="E78" s="48" t="s">
        <v>279</v>
      </c>
      <c r="F78" s="51">
        <v>-3</v>
      </c>
      <c r="G78" s="65">
        <v>24</v>
      </c>
      <c r="H78" s="50">
        <f t="shared" si="6"/>
        <v>-8</v>
      </c>
      <c r="I78" s="90"/>
      <c r="J78" s="113">
        <v>43304</v>
      </c>
      <c r="K78" s="47">
        <f>WEEKNUM(J78-RESUMEN!$P$7)</f>
        <v>9</v>
      </c>
      <c r="L78" s="47">
        <v>62</v>
      </c>
      <c r="M78" s="48" t="s">
        <v>277</v>
      </c>
      <c r="N78" s="49">
        <v>-24</v>
      </c>
      <c r="O78" s="64">
        <v>154</v>
      </c>
      <c r="P78" s="50">
        <f t="shared" si="7"/>
        <v>-6.416666666666667</v>
      </c>
      <c r="Q78" s="90"/>
      <c r="R78" s="114">
        <v>43305</v>
      </c>
      <c r="S78" s="47">
        <f>WEEKNUM(R78-RESUMEN!$AB$7)</f>
        <v>9</v>
      </c>
      <c r="T78" s="47">
        <f>_xlfn.DAYS(R78,RESUMEN!$AB$7)</f>
        <v>58</v>
      </c>
      <c r="U78" s="48" t="s">
        <v>274</v>
      </c>
      <c r="V78" s="51">
        <v>-11</v>
      </c>
      <c r="W78" s="65">
        <v>87</v>
      </c>
      <c r="X78" s="50">
        <f t="shared" si="8"/>
        <v>-7.9090909090909092</v>
      </c>
      <c r="Y78" s="90"/>
      <c r="Z78" s="114"/>
      <c r="AA78" s="47" t="e">
        <f>WEEKNUM(Z78-RESUMEN!$AN$7)</f>
        <v>#NUM!</v>
      </c>
      <c r="AB78" s="47">
        <f>_xlfn.DAYS(Z78,RESUMEN!$AN$7)</f>
        <v>-43254</v>
      </c>
      <c r="AC78" s="48"/>
      <c r="AD78" s="51"/>
      <c r="AE78" s="65"/>
      <c r="AF78" s="116" t="e">
        <f t="shared" si="9"/>
        <v>#DIV/0!</v>
      </c>
      <c r="AG78" s="83"/>
      <c r="AH78" s="115"/>
      <c r="AI78" s="47" t="e">
        <f>WEEKNUM(AH78-RESUMEN!$AZ$7)</f>
        <v>#NUM!</v>
      </c>
      <c r="AJ78" s="47">
        <f>_xlfn.DAYS(AH78,RESUMEN!$AZ$7)</f>
        <v>-43261</v>
      </c>
      <c r="AK78" s="79"/>
      <c r="AL78" s="54"/>
      <c r="AM78" s="66"/>
      <c r="AN78" s="50" t="e">
        <f t="shared" si="10"/>
        <v>#DIV/0!</v>
      </c>
      <c r="AO78" s="90"/>
      <c r="AP78" s="115"/>
      <c r="AQ78" s="47" t="e">
        <f>WEEKNUM(AP78-RESUMEN!$BL$7)</f>
        <v>#NUM!</v>
      </c>
      <c r="AR78" s="47">
        <f>_xlfn.DAYS(AP78,RESUMEN!$BL$7)</f>
        <v>-43267</v>
      </c>
      <c r="AS78" s="53"/>
      <c r="AT78" s="54"/>
      <c r="AU78" s="66"/>
      <c r="AV78" s="50" t="e">
        <f t="shared" si="11"/>
        <v>#DIV/0!</v>
      </c>
    </row>
    <row r="79" spans="2:48" x14ac:dyDescent="0.25">
      <c r="B79" s="46">
        <v>43288</v>
      </c>
      <c r="C79" s="47">
        <f>WEEKNUM(B79-RESUMEN!$D$7)</f>
        <v>8</v>
      </c>
      <c r="D79" s="47">
        <f>_xlfn.DAYS(B79,RESUMEN!$D$7)</f>
        <v>50</v>
      </c>
      <c r="E79" s="48" t="s">
        <v>123</v>
      </c>
      <c r="F79" s="51">
        <v>-14</v>
      </c>
      <c r="G79" s="65">
        <v>76</v>
      </c>
      <c r="H79" s="50">
        <f t="shared" si="6"/>
        <v>-5.4285714285714288</v>
      </c>
      <c r="I79" s="90"/>
      <c r="J79" s="113">
        <v>43304</v>
      </c>
      <c r="K79" s="47">
        <f>WEEKNUM(J79-RESUMEN!$P$7)</f>
        <v>9</v>
      </c>
      <c r="L79" s="47">
        <v>62</v>
      </c>
      <c r="M79" s="48" t="s">
        <v>102</v>
      </c>
      <c r="N79" s="49">
        <v>-10</v>
      </c>
      <c r="O79" s="64">
        <v>99</v>
      </c>
      <c r="P79" s="50">
        <f t="shared" si="7"/>
        <v>-9.9</v>
      </c>
      <c r="Q79" s="90"/>
      <c r="R79" s="114">
        <v>43305</v>
      </c>
      <c r="S79" s="47">
        <f>WEEKNUM(R79-RESUMEN!$AB$7)</f>
        <v>9</v>
      </c>
      <c r="T79" s="47">
        <f>_xlfn.DAYS(R79,RESUMEN!$AB$7)</f>
        <v>58</v>
      </c>
      <c r="U79" s="48" t="s">
        <v>279</v>
      </c>
      <c r="V79" s="51">
        <v>-5</v>
      </c>
      <c r="W79" s="65">
        <v>52</v>
      </c>
      <c r="X79" s="50">
        <f t="shared" si="8"/>
        <v>-10.4</v>
      </c>
      <c r="Y79" s="90"/>
      <c r="Z79" s="114"/>
      <c r="AA79" s="47" t="e">
        <f>WEEKNUM(Z79-RESUMEN!$AN$7)</f>
        <v>#NUM!</v>
      </c>
      <c r="AB79" s="47">
        <f>_xlfn.DAYS(Z79,RESUMEN!$AN$7)</f>
        <v>-43254</v>
      </c>
      <c r="AC79" s="48"/>
      <c r="AD79" s="51"/>
      <c r="AE79" s="65"/>
      <c r="AF79" s="116" t="e">
        <f t="shared" si="9"/>
        <v>#DIV/0!</v>
      </c>
      <c r="AG79" s="83"/>
      <c r="AH79" s="115"/>
      <c r="AI79" s="47" t="e">
        <f>WEEKNUM(AH79-RESUMEN!$AZ$7)</f>
        <v>#NUM!</v>
      </c>
      <c r="AJ79" s="47">
        <f>_xlfn.DAYS(AH79,RESUMEN!$AZ$7)</f>
        <v>-43261</v>
      </c>
      <c r="AK79" s="79"/>
      <c r="AL79" s="54"/>
      <c r="AM79" s="66"/>
      <c r="AN79" s="50" t="e">
        <f t="shared" si="10"/>
        <v>#DIV/0!</v>
      </c>
      <c r="AO79" s="90"/>
      <c r="AP79" s="115"/>
      <c r="AQ79" s="47" t="e">
        <f>WEEKNUM(AP79-RESUMEN!$BL$7)</f>
        <v>#NUM!</v>
      </c>
      <c r="AR79" s="47">
        <f>_xlfn.DAYS(AP79,RESUMEN!$BL$7)</f>
        <v>-43267</v>
      </c>
      <c r="AS79" s="53"/>
      <c r="AT79" s="54"/>
      <c r="AU79" s="66"/>
      <c r="AV79" s="50" t="e">
        <f t="shared" si="11"/>
        <v>#DIV/0!</v>
      </c>
    </row>
    <row r="80" spans="2:48" x14ac:dyDescent="0.25">
      <c r="B80" s="46">
        <v>43289</v>
      </c>
      <c r="C80" s="47">
        <f>WEEKNUM(B80-RESUMEN!$D$7)</f>
        <v>8</v>
      </c>
      <c r="D80" s="47">
        <f>_xlfn.DAYS(B80,RESUMEN!$D$7)</f>
        <v>51</v>
      </c>
      <c r="E80" s="48" t="s">
        <v>271</v>
      </c>
      <c r="F80" s="51">
        <v>-1</v>
      </c>
      <c r="G80" s="65">
        <v>3</v>
      </c>
      <c r="H80" s="50">
        <f t="shared" si="6"/>
        <v>-3</v>
      </c>
      <c r="I80" s="90"/>
      <c r="J80" s="114">
        <v>43305</v>
      </c>
      <c r="K80" s="47">
        <f>WEEKNUM(J80-RESUMEN!$P$7)</f>
        <v>9</v>
      </c>
      <c r="L80" s="47">
        <f>_xlfn.DAYS(J80,RESUMEN!$P$7)</f>
        <v>63</v>
      </c>
      <c r="M80" s="48" t="s">
        <v>279</v>
      </c>
      <c r="N80" s="51">
        <v>-5</v>
      </c>
      <c r="O80" s="65">
        <v>57</v>
      </c>
      <c r="P80" s="50">
        <f t="shared" si="7"/>
        <v>-11.4</v>
      </c>
      <c r="Q80" s="90"/>
      <c r="R80" s="114">
        <v>43306</v>
      </c>
      <c r="S80" s="47">
        <f>WEEKNUM(R80-RESUMEN!$AB$7)</f>
        <v>9</v>
      </c>
      <c r="T80" s="47">
        <f>_xlfn.DAYS(R80,RESUMEN!$AB$7)</f>
        <v>59</v>
      </c>
      <c r="U80" s="48" t="s">
        <v>274</v>
      </c>
      <c r="V80" s="51">
        <v>-6</v>
      </c>
      <c r="W80" s="65">
        <v>44</v>
      </c>
      <c r="X80" s="50">
        <f t="shared" si="8"/>
        <v>-7.333333333333333</v>
      </c>
      <c r="Y80" s="90"/>
      <c r="Z80" s="114"/>
      <c r="AA80" s="47" t="e">
        <f>WEEKNUM(Z80-RESUMEN!$AN$7)</f>
        <v>#NUM!</v>
      </c>
      <c r="AB80" s="47">
        <f>_xlfn.DAYS(Z80,RESUMEN!$AN$7)</f>
        <v>-43254</v>
      </c>
      <c r="AC80" s="48"/>
      <c r="AD80" s="51"/>
      <c r="AE80" s="65"/>
      <c r="AF80" s="116" t="e">
        <f t="shared" si="9"/>
        <v>#DIV/0!</v>
      </c>
      <c r="AG80" s="83"/>
      <c r="AH80" s="115"/>
      <c r="AI80" s="47" t="e">
        <f>WEEKNUM(AH80-RESUMEN!$AZ$7)</f>
        <v>#NUM!</v>
      </c>
      <c r="AJ80" s="47">
        <f>_xlfn.DAYS(AH80,RESUMEN!$AZ$7)</f>
        <v>-43261</v>
      </c>
      <c r="AK80" s="79"/>
      <c r="AL80" s="54"/>
      <c r="AM80" s="66"/>
      <c r="AN80" s="50" t="e">
        <f t="shared" si="10"/>
        <v>#DIV/0!</v>
      </c>
      <c r="AO80" s="90"/>
      <c r="AP80" s="115"/>
      <c r="AQ80" s="47" t="e">
        <f>WEEKNUM(AP80-RESUMEN!$BL$7)</f>
        <v>#NUM!</v>
      </c>
      <c r="AR80" s="47">
        <f>_xlfn.DAYS(AP80,RESUMEN!$BL$7)</f>
        <v>-43267</v>
      </c>
      <c r="AS80" s="53"/>
      <c r="AT80" s="54"/>
      <c r="AU80" s="66"/>
      <c r="AV80" s="50" t="e">
        <f t="shared" si="11"/>
        <v>#DIV/0!</v>
      </c>
    </row>
    <row r="81" spans="2:48" x14ac:dyDescent="0.25">
      <c r="B81" s="46">
        <v>43289</v>
      </c>
      <c r="C81" s="47">
        <f>WEEKNUM(B81-RESUMEN!$D$7)</f>
        <v>8</v>
      </c>
      <c r="D81" s="47">
        <f>_xlfn.DAYS(B81,RESUMEN!$D$7)</f>
        <v>51</v>
      </c>
      <c r="E81" s="48" t="s">
        <v>123</v>
      </c>
      <c r="F81" s="51">
        <v>-11</v>
      </c>
      <c r="G81" s="65">
        <v>62</v>
      </c>
      <c r="H81" s="50">
        <f t="shared" si="6"/>
        <v>-5.6363636363636367</v>
      </c>
      <c r="I81" s="90"/>
      <c r="J81" s="114">
        <v>43305</v>
      </c>
      <c r="K81" s="47">
        <f>WEEKNUM(J81-RESUMEN!$P$7)</f>
        <v>9</v>
      </c>
      <c r="L81" s="47">
        <f>_xlfn.DAYS(J81,RESUMEN!$P$7)</f>
        <v>63</v>
      </c>
      <c r="M81" s="48" t="s">
        <v>277</v>
      </c>
      <c r="N81" s="51">
        <v>-10</v>
      </c>
      <c r="O81" s="65">
        <v>78</v>
      </c>
      <c r="P81" s="50">
        <f t="shared" si="7"/>
        <v>-7.8</v>
      </c>
      <c r="Q81" s="90"/>
      <c r="R81" s="114">
        <v>43306</v>
      </c>
      <c r="S81" s="47">
        <f>WEEKNUM(R81-RESUMEN!$AB$7)</f>
        <v>9</v>
      </c>
      <c r="T81" s="47">
        <f>_xlfn.DAYS(R81,RESUMEN!$AB$7)</f>
        <v>59</v>
      </c>
      <c r="U81" s="48" t="s">
        <v>279</v>
      </c>
      <c r="V81" s="51">
        <v>-5</v>
      </c>
      <c r="W81" s="65">
        <v>52</v>
      </c>
      <c r="X81" s="50">
        <f t="shared" si="8"/>
        <v>-10.4</v>
      </c>
      <c r="Y81" s="90"/>
      <c r="Z81" s="114"/>
      <c r="AA81" s="47" t="e">
        <f>WEEKNUM(Z81-RESUMEN!$AN$7)</f>
        <v>#NUM!</v>
      </c>
      <c r="AB81" s="47">
        <f>_xlfn.DAYS(Z81,RESUMEN!$AN$7)</f>
        <v>-43254</v>
      </c>
      <c r="AC81" s="48"/>
      <c r="AD81" s="51"/>
      <c r="AE81" s="65"/>
      <c r="AF81" s="116" t="e">
        <f t="shared" si="9"/>
        <v>#DIV/0!</v>
      </c>
      <c r="AG81" s="83"/>
      <c r="AH81" s="115"/>
      <c r="AI81" s="47" t="e">
        <f>WEEKNUM(AH81-RESUMEN!$AZ$7)</f>
        <v>#NUM!</v>
      </c>
      <c r="AJ81" s="47">
        <f>_xlfn.DAYS(AH81,RESUMEN!$AZ$7)</f>
        <v>-43261</v>
      </c>
      <c r="AK81" s="79"/>
      <c r="AL81" s="54"/>
      <c r="AM81" s="66"/>
      <c r="AN81" s="50" t="e">
        <f t="shared" si="10"/>
        <v>#DIV/0!</v>
      </c>
      <c r="AO81" s="90"/>
      <c r="AP81" s="115"/>
      <c r="AQ81" s="47" t="e">
        <f>WEEKNUM(AP81-RESUMEN!$BL$7)</f>
        <v>#NUM!</v>
      </c>
      <c r="AR81" s="47">
        <f>_xlfn.DAYS(AP81,RESUMEN!$BL$7)</f>
        <v>-43267</v>
      </c>
      <c r="AS81" s="53"/>
      <c r="AT81" s="54"/>
      <c r="AU81" s="66"/>
      <c r="AV81" s="50" t="e">
        <f t="shared" si="11"/>
        <v>#DIV/0!</v>
      </c>
    </row>
    <row r="82" spans="2:48" x14ac:dyDescent="0.25">
      <c r="B82" s="46">
        <v>43289</v>
      </c>
      <c r="C82" s="47">
        <f>WEEKNUM(B82-RESUMEN!$D$7)</f>
        <v>8</v>
      </c>
      <c r="D82" s="47">
        <f>_xlfn.DAYS(B82,RESUMEN!$D$7)</f>
        <v>51</v>
      </c>
      <c r="E82" s="48" t="s">
        <v>279</v>
      </c>
      <c r="F82" s="51">
        <v>-2</v>
      </c>
      <c r="G82" s="65">
        <v>18</v>
      </c>
      <c r="H82" s="50">
        <f t="shared" si="6"/>
        <v>-9</v>
      </c>
      <c r="I82" s="90"/>
      <c r="J82" s="114">
        <v>43306</v>
      </c>
      <c r="K82" s="47">
        <f>WEEKNUM(J82-RESUMEN!$P$7)</f>
        <v>10</v>
      </c>
      <c r="L82" s="47">
        <f>_xlfn.DAYS(J82,RESUMEN!$P$7)</f>
        <v>64</v>
      </c>
      <c r="M82" s="48" t="s">
        <v>277</v>
      </c>
      <c r="N82" s="51">
        <v>-14</v>
      </c>
      <c r="O82" s="65">
        <v>102</v>
      </c>
      <c r="P82" s="50">
        <f t="shared" si="7"/>
        <v>-7.2857142857142856</v>
      </c>
      <c r="Q82" s="90"/>
      <c r="R82" s="114">
        <v>43307</v>
      </c>
      <c r="S82" s="47">
        <f>WEEKNUM(R82-RESUMEN!$AB$7)</f>
        <v>9</v>
      </c>
      <c r="T82" s="47">
        <f>_xlfn.DAYS(R82,RESUMEN!$AB$7)</f>
        <v>60</v>
      </c>
      <c r="U82" s="48" t="s">
        <v>274</v>
      </c>
      <c r="V82" s="51">
        <v>-10</v>
      </c>
      <c r="W82" s="65">
        <v>97</v>
      </c>
      <c r="X82" s="50">
        <f t="shared" si="8"/>
        <v>-9.6999999999999993</v>
      </c>
      <c r="Y82" s="90"/>
      <c r="Z82" s="114"/>
      <c r="AA82" s="47" t="e">
        <f>WEEKNUM(Z82-RESUMEN!$AN$7)</f>
        <v>#NUM!</v>
      </c>
      <c r="AB82" s="47">
        <f>_xlfn.DAYS(Z82,RESUMEN!$AN$7)</f>
        <v>-43254</v>
      </c>
      <c r="AC82" s="48"/>
      <c r="AD82" s="51"/>
      <c r="AE82" s="65"/>
      <c r="AF82" s="116" t="e">
        <f t="shared" si="9"/>
        <v>#DIV/0!</v>
      </c>
      <c r="AG82" s="83"/>
      <c r="AH82" s="115"/>
      <c r="AI82" s="47" t="e">
        <f>WEEKNUM(AH82-RESUMEN!$AZ$7)</f>
        <v>#NUM!</v>
      </c>
      <c r="AJ82" s="47">
        <f>_xlfn.DAYS(AH82,RESUMEN!$AZ$7)</f>
        <v>-43261</v>
      </c>
      <c r="AK82" s="79"/>
      <c r="AL82" s="54"/>
      <c r="AM82" s="66"/>
      <c r="AN82" s="50" t="e">
        <f t="shared" si="10"/>
        <v>#DIV/0!</v>
      </c>
      <c r="AO82" s="90"/>
      <c r="AP82" s="115"/>
      <c r="AQ82" s="47" t="e">
        <f>WEEKNUM(AP82-RESUMEN!$BL$7)</f>
        <v>#NUM!</v>
      </c>
      <c r="AR82" s="47">
        <f>_xlfn.DAYS(AP82,RESUMEN!$BL$7)</f>
        <v>-43267</v>
      </c>
      <c r="AS82" s="53"/>
      <c r="AT82" s="54"/>
      <c r="AU82" s="66"/>
      <c r="AV82" s="50" t="e">
        <f t="shared" si="11"/>
        <v>#DIV/0!</v>
      </c>
    </row>
    <row r="83" spans="2:48" x14ac:dyDescent="0.25">
      <c r="B83" s="46">
        <v>43290</v>
      </c>
      <c r="C83" s="47">
        <f>WEEKNUM(B83-RESUMEN!$D$7)</f>
        <v>8</v>
      </c>
      <c r="D83" s="47">
        <f>_xlfn.DAYS(B83,RESUMEN!$D$7)</f>
        <v>52</v>
      </c>
      <c r="E83" s="48" t="s">
        <v>271</v>
      </c>
      <c r="F83" s="51">
        <v>-4</v>
      </c>
      <c r="G83" s="65">
        <v>12</v>
      </c>
      <c r="H83" s="50">
        <f t="shared" si="6"/>
        <v>-3</v>
      </c>
      <c r="I83" s="90"/>
      <c r="J83" s="114">
        <v>43306</v>
      </c>
      <c r="K83" s="47">
        <f>WEEKNUM(J83-RESUMEN!$P$7)</f>
        <v>10</v>
      </c>
      <c r="L83" s="47">
        <f>_xlfn.DAYS(J83,RESUMEN!$P$7)</f>
        <v>64</v>
      </c>
      <c r="M83" s="48" t="s">
        <v>279</v>
      </c>
      <c r="N83" s="51">
        <v>-9</v>
      </c>
      <c r="O83" s="65">
        <v>78</v>
      </c>
      <c r="P83" s="50">
        <f t="shared" si="7"/>
        <v>-8.6666666666666661</v>
      </c>
      <c r="Q83" s="90"/>
      <c r="R83" s="114">
        <v>43307</v>
      </c>
      <c r="S83" s="47">
        <f>WEEKNUM(R83-RESUMEN!$AB$7)</f>
        <v>9</v>
      </c>
      <c r="T83" s="47">
        <f>_xlfn.DAYS(R83,RESUMEN!$AB$7)</f>
        <v>60</v>
      </c>
      <c r="U83" s="48" t="s">
        <v>279</v>
      </c>
      <c r="V83" s="51">
        <v>-6</v>
      </c>
      <c r="W83" s="65">
        <v>65</v>
      </c>
      <c r="X83" s="50">
        <f t="shared" si="8"/>
        <v>-10.833333333333334</v>
      </c>
      <c r="Y83" s="90"/>
      <c r="Z83" s="114"/>
      <c r="AA83" s="47" t="e">
        <f>WEEKNUM(Z83-RESUMEN!$AN$7)</f>
        <v>#NUM!</v>
      </c>
      <c r="AB83" s="47">
        <f>_xlfn.DAYS(Z83,RESUMEN!$AN$7)</f>
        <v>-43254</v>
      </c>
      <c r="AC83" s="48"/>
      <c r="AD83" s="51"/>
      <c r="AE83" s="65"/>
      <c r="AF83" s="116" t="e">
        <f t="shared" si="9"/>
        <v>#DIV/0!</v>
      </c>
      <c r="AG83" s="83"/>
      <c r="AH83" s="115"/>
      <c r="AI83" s="47" t="e">
        <f>WEEKNUM(AH83-RESUMEN!$AZ$7)</f>
        <v>#NUM!</v>
      </c>
      <c r="AJ83" s="47">
        <f>_xlfn.DAYS(AH83,RESUMEN!$AZ$7)</f>
        <v>-43261</v>
      </c>
      <c r="AK83" s="79"/>
      <c r="AL83" s="54"/>
      <c r="AM83" s="66"/>
      <c r="AN83" s="50" t="e">
        <f t="shared" si="10"/>
        <v>#DIV/0!</v>
      </c>
      <c r="AO83" s="90"/>
      <c r="AP83" s="115"/>
      <c r="AQ83" s="47" t="e">
        <f>WEEKNUM(AP83-RESUMEN!$BL$7)</f>
        <v>#NUM!</v>
      </c>
      <c r="AR83" s="47">
        <f>_xlfn.DAYS(AP83,RESUMEN!$BL$7)</f>
        <v>-43267</v>
      </c>
      <c r="AS83" s="53"/>
      <c r="AT83" s="54"/>
      <c r="AU83" s="66"/>
      <c r="AV83" s="50" t="e">
        <f t="shared" si="11"/>
        <v>#DIV/0!</v>
      </c>
    </row>
    <row r="84" spans="2:48" x14ac:dyDescent="0.25">
      <c r="B84" s="46">
        <v>43290</v>
      </c>
      <c r="C84" s="47">
        <f>WEEKNUM(B84-RESUMEN!$D$7)</f>
        <v>8</v>
      </c>
      <c r="D84" s="47">
        <f>_xlfn.DAYS(B84,RESUMEN!$D$7)</f>
        <v>52</v>
      </c>
      <c r="E84" s="48" t="s">
        <v>123</v>
      </c>
      <c r="F84" s="51">
        <v>-11</v>
      </c>
      <c r="G84" s="65">
        <v>72</v>
      </c>
      <c r="H84" s="50">
        <f t="shared" si="6"/>
        <v>-6.5454545454545459</v>
      </c>
      <c r="I84" s="90"/>
      <c r="J84" s="114">
        <v>43307</v>
      </c>
      <c r="K84" s="47">
        <f>WEEKNUM(J84-RESUMEN!$P$7)</f>
        <v>10</v>
      </c>
      <c r="L84" s="47">
        <f>_xlfn.DAYS(J84,RESUMEN!$P$7)</f>
        <v>65</v>
      </c>
      <c r="M84" s="48" t="s">
        <v>279</v>
      </c>
      <c r="N84" s="51">
        <v>-6</v>
      </c>
      <c r="O84" s="65">
        <v>64</v>
      </c>
      <c r="P84" s="50">
        <f t="shared" si="7"/>
        <v>-10.666666666666666</v>
      </c>
      <c r="Q84" s="90"/>
      <c r="R84" s="114">
        <v>43308</v>
      </c>
      <c r="S84" s="47">
        <f>WEEKNUM(R84-RESUMEN!$AB$7)</f>
        <v>9</v>
      </c>
      <c r="T84" s="47">
        <f>_xlfn.DAYS(R84,RESUMEN!$AB$7)</f>
        <v>61</v>
      </c>
      <c r="U84" s="48" t="s">
        <v>102</v>
      </c>
      <c r="V84" s="51">
        <v>-5</v>
      </c>
      <c r="W84" s="65">
        <v>55</v>
      </c>
      <c r="X84" s="50">
        <f t="shared" si="8"/>
        <v>-11</v>
      </c>
      <c r="Y84" s="90"/>
      <c r="Z84" s="114"/>
      <c r="AA84" s="47" t="e">
        <f>WEEKNUM(Z84-RESUMEN!$AN$7)</f>
        <v>#NUM!</v>
      </c>
      <c r="AB84" s="47">
        <f>_xlfn.DAYS(Z84,RESUMEN!$AN$7)</f>
        <v>-43254</v>
      </c>
      <c r="AC84" s="48"/>
      <c r="AD84" s="51"/>
      <c r="AE84" s="65"/>
      <c r="AF84" s="116" t="e">
        <f t="shared" si="9"/>
        <v>#DIV/0!</v>
      </c>
      <c r="AG84" s="83"/>
      <c r="AH84" s="115"/>
      <c r="AI84" s="47" t="e">
        <f>WEEKNUM(AH84-RESUMEN!$AZ$7)</f>
        <v>#NUM!</v>
      </c>
      <c r="AJ84" s="47">
        <f>_xlfn.DAYS(AH84,RESUMEN!$AZ$7)</f>
        <v>-43261</v>
      </c>
      <c r="AK84" s="79"/>
      <c r="AL84" s="54"/>
      <c r="AM84" s="66"/>
      <c r="AN84" s="50" t="e">
        <f t="shared" si="10"/>
        <v>#DIV/0!</v>
      </c>
      <c r="AO84" s="90"/>
      <c r="AP84" s="115"/>
      <c r="AQ84" s="47" t="e">
        <f>WEEKNUM(AP84-RESUMEN!$BL$7)</f>
        <v>#NUM!</v>
      </c>
      <c r="AR84" s="47">
        <f>_xlfn.DAYS(AP84,RESUMEN!$BL$7)</f>
        <v>-43267</v>
      </c>
      <c r="AS84" s="53"/>
      <c r="AT84" s="54"/>
      <c r="AU84" s="66"/>
      <c r="AV84" s="50" t="e">
        <f t="shared" si="11"/>
        <v>#DIV/0!</v>
      </c>
    </row>
    <row r="85" spans="2:48" x14ac:dyDescent="0.25">
      <c r="B85" s="46">
        <v>43290</v>
      </c>
      <c r="C85" s="47">
        <f>WEEKNUM(B85-RESUMEN!$D$7)</f>
        <v>8</v>
      </c>
      <c r="D85" s="47">
        <f>_xlfn.DAYS(B85,RESUMEN!$D$7)</f>
        <v>52</v>
      </c>
      <c r="E85" s="48" t="s">
        <v>159</v>
      </c>
      <c r="F85" s="51">
        <v>-4</v>
      </c>
      <c r="G85" s="65">
        <v>28</v>
      </c>
      <c r="H85" s="50">
        <f t="shared" si="6"/>
        <v>-7</v>
      </c>
      <c r="I85" s="90"/>
      <c r="J85" s="114">
        <v>43307</v>
      </c>
      <c r="K85" s="47">
        <f>WEEKNUM(J85-RESUMEN!$P$7)</f>
        <v>10</v>
      </c>
      <c r="L85" s="47">
        <f>_xlfn.DAYS(J85,RESUMEN!$P$7)</f>
        <v>65</v>
      </c>
      <c r="M85" s="48" t="s">
        <v>277</v>
      </c>
      <c r="N85" s="51">
        <v>-10</v>
      </c>
      <c r="O85" s="65">
        <v>92</v>
      </c>
      <c r="P85" s="50">
        <f t="shared" si="7"/>
        <v>-9.1999999999999993</v>
      </c>
      <c r="Q85" s="90"/>
      <c r="R85" s="114">
        <v>43308</v>
      </c>
      <c r="S85" s="47">
        <f>WEEKNUM(R85-RESUMEN!$AB$7)</f>
        <v>9</v>
      </c>
      <c r="T85" s="47">
        <f>_xlfn.DAYS(R85,RESUMEN!$AB$7)</f>
        <v>61</v>
      </c>
      <c r="U85" s="48" t="s">
        <v>274</v>
      </c>
      <c r="V85" s="51">
        <v>-15</v>
      </c>
      <c r="W85" s="65">
        <v>140</v>
      </c>
      <c r="X85" s="50">
        <f t="shared" si="8"/>
        <v>-9.3333333333333339</v>
      </c>
      <c r="Y85" s="90"/>
      <c r="Z85" s="115"/>
      <c r="AA85" s="47" t="e">
        <f>WEEKNUM(Z85-RESUMEN!$AN$7)</f>
        <v>#NUM!</v>
      </c>
      <c r="AB85" s="47">
        <f>_xlfn.DAYS(Z85,RESUMEN!$AN$7)</f>
        <v>-43254</v>
      </c>
      <c r="AC85" s="48"/>
      <c r="AD85" s="54"/>
      <c r="AE85" s="66"/>
      <c r="AF85" s="116" t="e">
        <f t="shared" si="9"/>
        <v>#DIV/0!</v>
      </c>
      <c r="AG85" s="83"/>
      <c r="AH85" s="115"/>
      <c r="AI85" s="47" t="e">
        <f>WEEKNUM(AH85-RESUMEN!$AZ$7)</f>
        <v>#NUM!</v>
      </c>
      <c r="AJ85" s="47">
        <f>_xlfn.DAYS(AH85,RESUMEN!$AZ$7)</f>
        <v>-43261</v>
      </c>
      <c r="AK85" s="79"/>
      <c r="AL85" s="54"/>
      <c r="AM85" s="66"/>
      <c r="AN85" s="50" t="e">
        <f t="shared" si="10"/>
        <v>#DIV/0!</v>
      </c>
      <c r="AO85" s="90"/>
      <c r="AP85" s="115"/>
      <c r="AQ85" s="47" t="e">
        <f>WEEKNUM(AP85-RESUMEN!$BL$7)</f>
        <v>#NUM!</v>
      </c>
      <c r="AR85" s="47">
        <f>_xlfn.DAYS(AP85,RESUMEN!$BL$7)</f>
        <v>-43267</v>
      </c>
      <c r="AS85" s="53"/>
      <c r="AT85" s="54"/>
      <c r="AU85" s="66"/>
      <c r="AV85" s="50" t="e">
        <f t="shared" si="11"/>
        <v>#DIV/0!</v>
      </c>
    </row>
    <row r="86" spans="2:48" x14ac:dyDescent="0.25">
      <c r="B86" s="46">
        <v>43291</v>
      </c>
      <c r="C86" s="47">
        <f>WEEKNUM(B86-RESUMEN!$D$7)</f>
        <v>8</v>
      </c>
      <c r="D86" s="47">
        <f>_xlfn.DAYS(B86,RESUMEN!$D$7)</f>
        <v>53</v>
      </c>
      <c r="E86" s="48" t="s">
        <v>279</v>
      </c>
      <c r="F86" s="51">
        <v>-3</v>
      </c>
      <c r="G86" s="65">
        <v>28</v>
      </c>
      <c r="H86" s="50">
        <f t="shared" si="6"/>
        <v>-9.3333333333333339</v>
      </c>
      <c r="I86" s="90"/>
      <c r="J86" s="114">
        <v>43307</v>
      </c>
      <c r="K86" s="47">
        <f>WEEKNUM(J86-RESUMEN!$P$7)</f>
        <v>10</v>
      </c>
      <c r="L86" s="47">
        <f>_xlfn.DAYS(J86,RESUMEN!$P$7)</f>
        <v>65</v>
      </c>
      <c r="M86" s="48" t="s">
        <v>275</v>
      </c>
      <c r="N86" s="51">
        <v>-5</v>
      </c>
      <c r="O86" s="65">
        <v>55</v>
      </c>
      <c r="P86" s="50">
        <f t="shared" si="7"/>
        <v>-11</v>
      </c>
      <c r="Q86" s="90"/>
      <c r="R86" s="114">
        <v>43308</v>
      </c>
      <c r="S86" s="47">
        <f>WEEKNUM(R86-RESUMEN!$AB$7)</f>
        <v>9</v>
      </c>
      <c r="T86" s="47">
        <f>_xlfn.DAYS(R86,RESUMEN!$AB$7)</f>
        <v>61</v>
      </c>
      <c r="U86" s="48" t="s">
        <v>275</v>
      </c>
      <c r="V86" s="51">
        <v>-10</v>
      </c>
      <c r="W86" s="65">
        <v>103</v>
      </c>
      <c r="X86" s="50">
        <f t="shared" si="8"/>
        <v>-10.3</v>
      </c>
      <c r="Y86" s="90"/>
      <c r="Z86" s="115"/>
      <c r="AA86" s="47" t="e">
        <f>WEEKNUM(Z86-RESUMEN!$AN$7)</f>
        <v>#NUM!</v>
      </c>
      <c r="AB86" s="47">
        <f>_xlfn.DAYS(Z86,RESUMEN!$AN$7)</f>
        <v>-43254</v>
      </c>
      <c r="AC86" s="48"/>
      <c r="AD86" s="54"/>
      <c r="AE86" s="66"/>
      <c r="AF86" s="116" t="e">
        <f t="shared" si="9"/>
        <v>#DIV/0!</v>
      </c>
      <c r="AG86" s="83"/>
      <c r="AH86" s="115"/>
      <c r="AI86" s="47" t="e">
        <f>WEEKNUM(AH86-RESUMEN!$AZ$7)</f>
        <v>#NUM!</v>
      </c>
      <c r="AJ86" s="47">
        <f>_xlfn.DAYS(AH86,RESUMEN!$AZ$7)</f>
        <v>-43261</v>
      </c>
      <c r="AK86" s="79"/>
      <c r="AL86" s="54"/>
      <c r="AM86" s="66"/>
      <c r="AN86" s="50" t="e">
        <f t="shared" si="10"/>
        <v>#DIV/0!</v>
      </c>
      <c r="AO86" s="90"/>
      <c r="AP86" s="115"/>
      <c r="AQ86" s="47" t="e">
        <f>WEEKNUM(AP86-RESUMEN!$BL$7)</f>
        <v>#NUM!</v>
      </c>
      <c r="AR86" s="47">
        <f>_xlfn.DAYS(AP86,RESUMEN!$BL$7)</f>
        <v>-43267</v>
      </c>
      <c r="AS86" s="53"/>
      <c r="AT86" s="54"/>
      <c r="AU86" s="66"/>
      <c r="AV86" s="50" t="e">
        <f t="shared" si="11"/>
        <v>#DIV/0!</v>
      </c>
    </row>
    <row r="87" spans="2:48" x14ac:dyDescent="0.25">
      <c r="B87" s="46">
        <v>43291</v>
      </c>
      <c r="C87" s="47">
        <f>WEEKNUM(B87-RESUMEN!$D$7)</f>
        <v>8</v>
      </c>
      <c r="D87" s="47">
        <f>_xlfn.DAYS(B87,RESUMEN!$D$7)</f>
        <v>53</v>
      </c>
      <c r="E87" s="48" t="s">
        <v>123</v>
      </c>
      <c r="F87" s="51">
        <v>-24</v>
      </c>
      <c r="G87" s="65">
        <v>142</v>
      </c>
      <c r="H87" s="50">
        <f t="shared" si="6"/>
        <v>-5.916666666666667</v>
      </c>
      <c r="I87" s="90"/>
      <c r="J87" s="114">
        <v>43308</v>
      </c>
      <c r="K87" s="47">
        <f>WEEKNUM(J87-RESUMEN!$P$7)</f>
        <v>10</v>
      </c>
      <c r="L87" s="47">
        <f>_xlfn.DAYS(J87,RESUMEN!$P$7)</f>
        <v>66</v>
      </c>
      <c r="M87" s="48" t="s">
        <v>102</v>
      </c>
      <c r="N87" s="51">
        <v>-5</v>
      </c>
      <c r="O87" s="65">
        <v>71</v>
      </c>
      <c r="P87" s="50">
        <f t="shared" si="7"/>
        <v>-14.2</v>
      </c>
      <c r="Q87" s="90"/>
      <c r="R87" s="114">
        <v>43309</v>
      </c>
      <c r="S87" s="47">
        <f>WEEKNUM(R87-RESUMEN!$AB$7)</f>
        <v>9</v>
      </c>
      <c r="T87" s="47">
        <f>_xlfn.DAYS(R87,RESUMEN!$AB$7)</f>
        <v>62</v>
      </c>
      <c r="U87" s="48" t="s">
        <v>274</v>
      </c>
      <c r="V87" s="51">
        <v>-10</v>
      </c>
      <c r="W87" s="65">
        <v>70</v>
      </c>
      <c r="X87" s="50">
        <f t="shared" si="8"/>
        <v>-7</v>
      </c>
      <c r="Y87" s="90"/>
      <c r="Z87" s="115"/>
      <c r="AA87" s="47" t="e">
        <f>WEEKNUM(Z87-RESUMEN!$AN$7)</f>
        <v>#NUM!</v>
      </c>
      <c r="AB87" s="47">
        <f>_xlfn.DAYS(Z87,RESUMEN!$AN$7)</f>
        <v>-43254</v>
      </c>
      <c r="AC87" s="48"/>
      <c r="AD87" s="54"/>
      <c r="AE87" s="66"/>
      <c r="AF87" s="116" t="e">
        <f t="shared" si="9"/>
        <v>#DIV/0!</v>
      </c>
      <c r="AG87" s="83"/>
      <c r="AH87" s="115"/>
      <c r="AI87" s="47" t="e">
        <f>WEEKNUM(AH87-RESUMEN!$AZ$7)</f>
        <v>#NUM!</v>
      </c>
      <c r="AJ87" s="47">
        <f>_xlfn.DAYS(AH87,RESUMEN!$AZ$7)</f>
        <v>-43261</v>
      </c>
      <c r="AK87" s="79"/>
      <c r="AL87" s="54"/>
      <c r="AM87" s="66"/>
      <c r="AN87" s="50" t="e">
        <f t="shared" si="10"/>
        <v>#DIV/0!</v>
      </c>
      <c r="AO87" s="90"/>
      <c r="AP87" s="115"/>
      <c r="AQ87" s="47" t="e">
        <f>WEEKNUM(AP87-RESUMEN!$BL$7)</f>
        <v>#NUM!</v>
      </c>
      <c r="AR87" s="47">
        <f>_xlfn.DAYS(AP87,RESUMEN!$BL$7)</f>
        <v>-43267</v>
      </c>
      <c r="AS87" s="53"/>
      <c r="AT87" s="54"/>
      <c r="AU87" s="66"/>
      <c r="AV87" s="50" t="e">
        <f t="shared" si="11"/>
        <v>#DIV/0!</v>
      </c>
    </row>
    <row r="88" spans="2:48" x14ac:dyDescent="0.25">
      <c r="B88" s="46">
        <v>43292</v>
      </c>
      <c r="C88" s="47">
        <f>WEEKNUM(B88-RESUMEN!$D$7)</f>
        <v>8</v>
      </c>
      <c r="D88" s="47">
        <f>_xlfn.DAYS(B88,RESUMEN!$D$7)</f>
        <v>54</v>
      </c>
      <c r="E88" s="48" t="s">
        <v>165</v>
      </c>
      <c r="F88" s="51">
        <v>-3</v>
      </c>
      <c r="G88" s="65">
        <v>23</v>
      </c>
      <c r="H88" s="50">
        <f t="shared" si="6"/>
        <v>-7.666666666666667</v>
      </c>
      <c r="I88" s="90"/>
      <c r="J88" s="114">
        <v>43308</v>
      </c>
      <c r="K88" s="47">
        <f>WEEKNUM(J88-RESUMEN!$P$7)</f>
        <v>10</v>
      </c>
      <c r="L88" s="47">
        <f>_xlfn.DAYS(J88,RESUMEN!$P$7)</f>
        <v>66</v>
      </c>
      <c r="M88" s="48" t="s">
        <v>277</v>
      </c>
      <c r="N88" s="51">
        <v>-20</v>
      </c>
      <c r="O88" s="65">
        <v>164</v>
      </c>
      <c r="P88" s="50">
        <f t="shared" si="7"/>
        <v>-8.1999999999999993</v>
      </c>
      <c r="Q88" s="90"/>
      <c r="R88" s="114">
        <v>43309</v>
      </c>
      <c r="S88" s="47">
        <f>WEEKNUM(R88-RESUMEN!$AB$7)</f>
        <v>9</v>
      </c>
      <c r="T88" s="47">
        <f>_xlfn.DAYS(R88,RESUMEN!$AB$7)</f>
        <v>62</v>
      </c>
      <c r="U88" s="48" t="s">
        <v>279</v>
      </c>
      <c r="V88" s="51">
        <v>-5</v>
      </c>
      <c r="W88" s="65">
        <v>50</v>
      </c>
      <c r="X88" s="50">
        <f t="shared" si="8"/>
        <v>-10</v>
      </c>
      <c r="Y88" s="90"/>
      <c r="Z88" s="115"/>
      <c r="AA88" s="47" t="e">
        <f>WEEKNUM(Z88-RESUMEN!$AN$7)</f>
        <v>#NUM!</v>
      </c>
      <c r="AB88" s="47">
        <f>_xlfn.DAYS(Z88,RESUMEN!$AN$7)</f>
        <v>-43254</v>
      </c>
      <c r="AC88" s="48"/>
      <c r="AD88" s="54"/>
      <c r="AE88" s="66"/>
      <c r="AF88" s="116" t="e">
        <f t="shared" si="9"/>
        <v>#DIV/0!</v>
      </c>
      <c r="AG88" s="83"/>
      <c r="AH88" s="115"/>
      <c r="AI88" s="47" t="e">
        <f>WEEKNUM(AH88-RESUMEN!$AZ$7)</f>
        <v>#NUM!</v>
      </c>
      <c r="AJ88" s="47">
        <f>_xlfn.DAYS(AH88,RESUMEN!$AZ$7)</f>
        <v>-43261</v>
      </c>
      <c r="AK88" s="79"/>
      <c r="AL88" s="54"/>
      <c r="AM88" s="66"/>
      <c r="AN88" s="50" t="e">
        <f t="shared" si="10"/>
        <v>#DIV/0!</v>
      </c>
      <c r="AO88" s="90"/>
      <c r="AP88" s="115"/>
      <c r="AQ88" s="47" t="e">
        <f>WEEKNUM(AP88-RESUMEN!$BL$7)</f>
        <v>#NUM!</v>
      </c>
      <c r="AR88" s="47">
        <f>_xlfn.DAYS(AP88,RESUMEN!$BL$7)</f>
        <v>-43267</v>
      </c>
      <c r="AS88" s="53"/>
      <c r="AT88" s="54"/>
      <c r="AU88" s="66"/>
      <c r="AV88" s="50" t="e">
        <f t="shared" si="11"/>
        <v>#DIV/0!</v>
      </c>
    </row>
    <row r="89" spans="2:48" x14ac:dyDescent="0.25">
      <c r="B89" s="46">
        <v>43292</v>
      </c>
      <c r="C89" s="47">
        <f>WEEKNUM(B89-RESUMEN!$D$7)</f>
        <v>8</v>
      </c>
      <c r="D89" s="47">
        <f>_xlfn.DAYS(B89,RESUMEN!$D$7)</f>
        <v>54</v>
      </c>
      <c r="E89" s="48" t="s">
        <v>159</v>
      </c>
      <c r="F89" s="51">
        <v>-6</v>
      </c>
      <c r="G89" s="65">
        <v>38</v>
      </c>
      <c r="H89" s="50">
        <f t="shared" si="6"/>
        <v>-6.333333333333333</v>
      </c>
      <c r="I89" s="90"/>
      <c r="J89" s="114">
        <v>43308</v>
      </c>
      <c r="K89" s="47">
        <f>WEEKNUM(J89-RESUMEN!$P$7)</f>
        <v>10</v>
      </c>
      <c r="L89" s="47">
        <f>_xlfn.DAYS(J89,RESUMEN!$P$7)</f>
        <v>66</v>
      </c>
      <c r="M89" s="48" t="s">
        <v>275</v>
      </c>
      <c r="N89" s="51">
        <v>-8</v>
      </c>
      <c r="O89" s="65">
        <v>107</v>
      </c>
      <c r="P89" s="50">
        <f t="shared" si="7"/>
        <v>-13.375</v>
      </c>
      <c r="Q89" s="90"/>
      <c r="R89" s="114">
        <v>43310</v>
      </c>
      <c r="S89" s="47">
        <f>WEEKNUM(R89-RESUMEN!$AB$7)</f>
        <v>9</v>
      </c>
      <c r="T89" s="47">
        <f>_xlfn.DAYS(R89,RESUMEN!$AB$7)</f>
        <v>63</v>
      </c>
      <c r="U89" s="48" t="s">
        <v>274</v>
      </c>
      <c r="V89" s="51">
        <v>-10</v>
      </c>
      <c r="W89" s="65">
        <v>74</v>
      </c>
      <c r="X89" s="50">
        <f t="shared" si="8"/>
        <v>-7.4</v>
      </c>
      <c r="Y89" s="90"/>
      <c r="Z89" s="115"/>
      <c r="AA89" s="47" t="e">
        <f>WEEKNUM(Z89-RESUMEN!$AN$7)</f>
        <v>#NUM!</v>
      </c>
      <c r="AB89" s="47">
        <f>_xlfn.DAYS(Z89,RESUMEN!$AN$7)</f>
        <v>-43254</v>
      </c>
      <c r="AC89" s="48"/>
      <c r="AD89" s="54"/>
      <c r="AE89" s="66"/>
      <c r="AF89" s="116" t="e">
        <f t="shared" si="9"/>
        <v>#DIV/0!</v>
      </c>
      <c r="AG89" s="83"/>
      <c r="AH89" s="115"/>
      <c r="AI89" s="47" t="e">
        <f>WEEKNUM(AH89-RESUMEN!$AZ$7)</f>
        <v>#NUM!</v>
      </c>
      <c r="AJ89" s="47">
        <f>_xlfn.DAYS(AH89,RESUMEN!$AZ$7)</f>
        <v>-43261</v>
      </c>
      <c r="AK89" s="79"/>
      <c r="AL89" s="54"/>
      <c r="AM89" s="66"/>
      <c r="AN89" s="50" t="e">
        <f t="shared" si="10"/>
        <v>#DIV/0!</v>
      </c>
      <c r="AO89" s="90"/>
      <c r="AP89" s="115"/>
      <c r="AQ89" s="47" t="e">
        <f>WEEKNUM(AP89-RESUMEN!$BL$7)</f>
        <v>#NUM!</v>
      </c>
      <c r="AR89" s="47">
        <f>_xlfn.DAYS(AP89,RESUMEN!$BL$7)</f>
        <v>-43267</v>
      </c>
      <c r="AS89" s="53"/>
      <c r="AT89" s="54"/>
      <c r="AU89" s="66"/>
      <c r="AV89" s="50" t="e">
        <f t="shared" si="11"/>
        <v>#DIV/0!</v>
      </c>
    </row>
    <row r="90" spans="2:48" x14ac:dyDescent="0.25">
      <c r="B90" s="46">
        <v>43292</v>
      </c>
      <c r="C90" s="47">
        <f>WEEKNUM(B90-RESUMEN!$D$7)</f>
        <v>8</v>
      </c>
      <c r="D90" s="47">
        <f>_xlfn.DAYS(B90,RESUMEN!$D$7)</f>
        <v>54</v>
      </c>
      <c r="E90" s="48" t="s">
        <v>161</v>
      </c>
      <c r="F90" s="51">
        <v>-7</v>
      </c>
      <c r="G90" s="65">
        <v>23</v>
      </c>
      <c r="H90" s="50">
        <f t="shared" si="6"/>
        <v>-3.2857142857142856</v>
      </c>
      <c r="I90" s="90"/>
      <c r="J90" s="114">
        <v>43309</v>
      </c>
      <c r="K90" s="47">
        <f>WEEKNUM(J90-RESUMEN!$P$7)</f>
        <v>10</v>
      </c>
      <c r="L90" s="47">
        <f>_xlfn.DAYS(J90,RESUMEN!$P$7)</f>
        <v>67</v>
      </c>
      <c r="M90" s="48" t="s">
        <v>277</v>
      </c>
      <c r="N90" s="51">
        <v>-15</v>
      </c>
      <c r="O90" s="65">
        <v>133</v>
      </c>
      <c r="P90" s="50">
        <f t="shared" si="7"/>
        <v>-8.8666666666666671</v>
      </c>
      <c r="Q90" s="90"/>
      <c r="R90" s="114">
        <v>43310</v>
      </c>
      <c r="S90" s="47">
        <f>WEEKNUM(R90-RESUMEN!$AB$7)</f>
        <v>9</v>
      </c>
      <c r="T90" s="47">
        <f>_xlfn.DAYS(R90,RESUMEN!$AB$7)</f>
        <v>63</v>
      </c>
      <c r="U90" s="48" t="s">
        <v>275</v>
      </c>
      <c r="V90" s="51">
        <v>-4</v>
      </c>
      <c r="W90" s="65">
        <v>28</v>
      </c>
      <c r="X90" s="50">
        <f t="shared" si="8"/>
        <v>-7</v>
      </c>
      <c r="Y90" s="90"/>
      <c r="Z90" s="115"/>
      <c r="AA90" s="47" t="e">
        <f>WEEKNUM(Z90-RESUMEN!$AN$7)</f>
        <v>#NUM!</v>
      </c>
      <c r="AB90" s="47">
        <f>_xlfn.DAYS(Z90,RESUMEN!$AN$7)</f>
        <v>-43254</v>
      </c>
      <c r="AC90" s="48"/>
      <c r="AD90" s="54"/>
      <c r="AE90" s="66"/>
      <c r="AF90" s="116" t="e">
        <f t="shared" si="9"/>
        <v>#DIV/0!</v>
      </c>
      <c r="AG90" s="83"/>
      <c r="AH90" s="115"/>
      <c r="AI90" s="47" t="e">
        <f>WEEKNUM(AH90-RESUMEN!$AZ$7)</f>
        <v>#NUM!</v>
      </c>
      <c r="AJ90" s="47">
        <f>_xlfn.DAYS(AH90,RESUMEN!$AZ$7)</f>
        <v>-43261</v>
      </c>
      <c r="AK90" s="79"/>
      <c r="AL90" s="54"/>
      <c r="AM90" s="66"/>
      <c r="AN90" s="50" t="e">
        <f t="shared" si="10"/>
        <v>#DIV/0!</v>
      </c>
      <c r="AO90" s="90"/>
      <c r="AP90" s="115"/>
      <c r="AQ90" s="47" t="e">
        <f>WEEKNUM(AP90-RESUMEN!$BL$7)</f>
        <v>#NUM!</v>
      </c>
      <c r="AR90" s="47">
        <f>_xlfn.DAYS(AP90,RESUMEN!$BL$7)</f>
        <v>-43267</v>
      </c>
      <c r="AS90" s="53"/>
      <c r="AT90" s="54"/>
      <c r="AU90" s="66"/>
      <c r="AV90" s="50" t="e">
        <f t="shared" si="11"/>
        <v>#DIV/0!</v>
      </c>
    </row>
    <row r="91" spans="2:48" x14ac:dyDescent="0.25">
      <c r="B91" s="46">
        <v>43292</v>
      </c>
      <c r="C91" s="47">
        <f>WEEKNUM(B91-RESUMEN!$D$7)</f>
        <v>8</v>
      </c>
      <c r="D91" s="47">
        <f>_xlfn.DAYS(B91,RESUMEN!$D$7)</f>
        <v>54</v>
      </c>
      <c r="E91" s="48" t="s">
        <v>123</v>
      </c>
      <c r="F91" s="51">
        <v>-8</v>
      </c>
      <c r="G91" s="65">
        <v>75</v>
      </c>
      <c r="H91" s="50">
        <f t="shared" si="6"/>
        <v>-9.375</v>
      </c>
      <c r="I91" s="90"/>
      <c r="J91" s="114">
        <v>43309</v>
      </c>
      <c r="K91" s="47">
        <f>WEEKNUM(J91-RESUMEN!$P$7)</f>
        <v>10</v>
      </c>
      <c r="L91" s="47">
        <f>_xlfn.DAYS(J91,RESUMEN!$P$7)</f>
        <v>67</v>
      </c>
      <c r="M91" s="48" t="s">
        <v>279</v>
      </c>
      <c r="N91" s="51">
        <v>-5</v>
      </c>
      <c r="O91" s="65">
        <v>61</v>
      </c>
      <c r="P91" s="50">
        <f t="shared" si="7"/>
        <v>-12.2</v>
      </c>
      <c r="Q91" s="90"/>
      <c r="R91" s="114">
        <v>43311</v>
      </c>
      <c r="S91" s="47">
        <f>WEEKNUM(R91-RESUMEN!$AB$7)</f>
        <v>10</v>
      </c>
      <c r="T91" s="47">
        <f>_xlfn.DAYS(R91,RESUMEN!$AB$7)</f>
        <v>64</v>
      </c>
      <c r="U91" s="48" t="s">
        <v>274</v>
      </c>
      <c r="V91" s="51">
        <v>-10</v>
      </c>
      <c r="W91" s="65">
        <v>70</v>
      </c>
      <c r="X91" s="50">
        <f t="shared" si="8"/>
        <v>-7</v>
      </c>
      <c r="Y91" s="90"/>
      <c r="Z91" s="115"/>
      <c r="AA91" s="47" t="e">
        <f>WEEKNUM(Z91-RESUMEN!$AN$7)</f>
        <v>#NUM!</v>
      </c>
      <c r="AB91" s="47">
        <f>_xlfn.DAYS(Z91,RESUMEN!$AN$7)</f>
        <v>-43254</v>
      </c>
      <c r="AC91" s="48"/>
      <c r="AD91" s="54"/>
      <c r="AE91" s="66"/>
      <c r="AF91" s="116" t="e">
        <f t="shared" si="9"/>
        <v>#DIV/0!</v>
      </c>
      <c r="AG91" s="83"/>
      <c r="AH91" s="115"/>
      <c r="AI91" s="47" t="e">
        <f>WEEKNUM(AH91-RESUMEN!$AZ$7)</f>
        <v>#NUM!</v>
      </c>
      <c r="AJ91" s="47">
        <f>_xlfn.DAYS(AH91,RESUMEN!$AZ$7)</f>
        <v>-43261</v>
      </c>
      <c r="AK91" s="79"/>
      <c r="AL91" s="54"/>
      <c r="AM91" s="66"/>
      <c r="AN91" s="50" t="e">
        <f t="shared" si="10"/>
        <v>#DIV/0!</v>
      </c>
      <c r="AO91" s="90"/>
      <c r="AP91" s="115"/>
      <c r="AQ91" s="47" t="e">
        <f>WEEKNUM(AP91-RESUMEN!$BL$7)</f>
        <v>#NUM!</v>
      </c>
      <c r="AR91" s="47">
        <f>_xlfn.DAYS(AP91,RESUMEN!$BL$7)</f>
        <v>-43267</v>
      </c>
      <c r="AS91" s="53"/>
      <c r="AT91" s="54"/>
      <c r="AU91" s="66"/>
      <c r="AV91" s="50" t="e">
        <f t="shared" si="11"/>
        <v>#DIV/0!</v>
      </c>
    </row>
    <row r="92" spans="2:48" x14ac:dyDescent="0.25">
      <c r="B92" s="46">
        <v>43293</v>
      </c>
      <c r="C92" s="47">
        <f>WEEKNUM(B92-RESUMEN!$D$7)</f>
        <v>8</v>
      </c>
      <c r="D92" s="47">
        <f>_xlfn.DAYS(B92,RESUMEN!$D$7)</f>
        <v>55</v>
      </c>
      <c r="E92" s="48" t="s">
        <v>123</v>
      </c>
      <c r="F92" s="51">
        <v>-10</v>
      </c>
      <c r="G92" s="65">
        <v>67</v>
      </c>
      <c r="H92" s="50">
        <f t="shared" si="6"/>
        <v>-6.7</v>
      </c>
      <c r="I92" s="90"/>
      <c r="J92" s="114">
        <v>43310</v>
      </c>
      <c r="K92" s="47">
        <f>WEEKNUM(J92-RESUMEN!$P$7)</f>
        <v>10</v>
      </c>
      <c r="L92" s="47">
        <f>_xlfn.DAYS(J92,RESUMEN!$P$7)</f>
        <v>68</v>
      </c>
      <c r="M92" s="48" t="s">
        <v>102</v>
      </c>
      <c r="N92" s="51">
        <v>-4</v>
      </c>
      <c r="O92" s="65">
        <v>43</v>
      </c>
      <c r="P92" s="50">
        <f t="shared" si="7"/>
        <v>-10.75</v>
      </c>
      <c r="Q92" s="90"/>
      <c r="R92" s="114">
        <v>43311</v>
      </c>
      <c r="S92" s="47">
        <f>WEEKNUM(R92-RESUMEN!$AB$7)</f>
        <v>10</v>
      </c>
      <c r="T92" s="47">
        <f>_xlfn.DAYS(R92,RESUMEN!$AB$7)</f>
        <v>64</v>
      </c>
      <c r="U92" s="48" t="s">
        <v>102</v>
      </c>
      <c r="V92" s="51">
        <v>-3</v>
      </c>
      <c r="W92" s="65">
        <v>29</v>
      </c>
      <c r="X92" s="50">
        <f t="shared" si="8"/>
        <v>-9.6666666666666661</v>
      </c>
      <c r="Y92" s="90"/>
      <c r="Z92" s="115"/>
      <c r="AA92" s="47" t="e">
        <f>WEEKNUM(Z92-RESUMEN!$AN$7)</f>
        <v>#NUM!</v>
      </c>
      <c r="AB92" s="47">
        <f>_xlfn.DAYS(Z92,RESUMEN!$AN$7)</f>
        <v>-43254</v>
      </c>
      <c r="AC92" s="48"/>
      <c r="AD92" s="54"/>
      <c r="AE92" s="66"/>
      <c r="AF92" s="116" t="e">
        <f t="shared" si="9"/>
        <v>#DIV/0!</v>
      </c>
      <c r="AG92" s="83"/>
      <c r="AH92" s="115"/>
      <c r="AI92" s="47" t="e">
        <f>WEEKNUM(AH92-RESUMEN!$AZ$7)</f>
        <v>#NUM!</v>
      </c>
      <c r="AJ92" s="47">
        <f>_xlfn.DAYS(AH92,RESUMEN!$AZ$7)</f>
        <v>-43261</v>
      </c>
      <c r="AK92" s="79"/>
      <c r="AL92" s="54"/>
      <c r="AM92" s="66"/>
      <c r="AN92" s="50" t="e">
        <f t="shared" si="10"/>
        <v>#DIV/0!</v>
      </c>
      <c r="AO92" s="90"/>
      <c r="AP92" s="115"/>
      <c r="AQ92" s="47" t="e">
        <f>WEEKNUM(AP92-RESUMEN!$BL$7)</f>
        <v>#NUM!</v>
      </c>
      <c r="AR92" s="47">
        <f>_xlfn.DAYS(AP92,RESUMEN!$BL$7)</f>
        <v>-43267</v>
      </c>
      <c r="AS92" s="53"/>
      <c r="AT92" s="54"/>
      <c r="AU92" s="66"/>
      <c r="AV92" s="50" t="e">
        <f t="shared" si="11"/>
        <v>#DIV/0!</v>
      </c>
    </row>
    <row r="93" spans="2:48" x14ac:dyDescent="0.25">
      <c r="B93" s="46">
        <v>43294</v>
      </c>
      <c r="C93" s="47">
        <f>WEEKNUM(B93-RESUMEN!$D$7)</f>
        <v>8</v>
      </c>
      <c r="D93" s="47">
        <f>_xlfn.DAYS(B93,RESUMEN!$D$7)</f>
        <v>56</v>
      </c>
      <c r="E93" s="48" t="s">
        <v>123</v>
      </c>
      <c r="F93" s="51">
        <v>-26</v>
      </c>
      <c r="G93" s="65">
        <v>186</v>
      </c>
      <c r="H93" s="50">
        <f t="shared" si="6"/>
        <v>-7.1538461538461542</v>
      </c>
      <c r="I93" s="90"/>
      <c r="J93" s="115">
        <v>43310</v>
      </c>
      <c r="K93" s="47">
        <f>WEEKNUM(J93-RESUMEN!$P$7)</f>
        <v>10</v>
      </c>
      <c r="L93" s="47">
        <f>_xlfn.DAYS(J93,RESUMEN!$P$7)</f>
        <v>68</v>
      </c>
      <c r="M93" s="48" t="s">
        <v>275</v>
      </c>
      <c r="N93" s="54">
        <v>-9</v>
      </c>
      <c r="O93" s="66">
        <v>67</v>
      </c>
      <c r="P93" s="50">
        <f t="shared" si="7"/>
        <v>-7.4444444444444446</v>
      </c>
      <c r="Q93" s="90"/>
      <c r="R93" s="114">
        <v>43312</v>
      </c>
      <c r="S93" s="47">
        <f>WEEKNUM(R93-RESUMEN!$AB$7)</f>
        <v>10</v>
      </c>
      <c r="T93" s="47">
        <f>_xlfn.DAYS(R93,RESUMEN!$AB$7)</f>
        <v>65</v>
      </c>
      <c r="U93" s="48" t="s">
        <v>271</v>
      </c>
      <c r="V93" s="51">
        <v>-6</v>
      </c>
      <c r="W93" s="65">
        <v>16</v>
      </c>
      <c r="X93" s="50">
        <f t="shared" si="8"/>
        <v>-2.6666666666666665</v>
      </c>
      <c r="Y93" s="90"/>
      <c r="Z93" s="115"/>
      <c r="AA93" s="47" t="e">
        <f>WEEKNUM(Z93-RESUMEN!$AN$7)</f>
        <v>#NUM!</v>
      </c>
      <c r="AB93" s="47">
        <f>_xlfn.DAYS(Z93,RESUMEN!$AN$7)</f>
        <v>-43254</v>
      </c>
      <c r="AC93" s="48"/>
      <c r="AD93" s="54"/>
      <c r="AE93" s="66"/>
      <c r="AF93" s="116" t="e">
        <f t="shared" si="9"/>
        <v>#DIV/0!</v>
      </c>
      <c r="AG93" s="83"/>
      <c r="AH93" s="115"/>
      <c r="AI93" s="47" t="e">
        <f>WEEKNUM(AH93-RESUMEN!$AZ$7)</f>
        <v>#NUM!</v>
      </c>
      <c r="AJ93" s="47">
        <f>_xlfn.DAYS(AH93,RESUMEN!$AZ$7)</f>
        <v>-43261</v>
      </c>
      <c r="AK93" s="79"/>
      <c r="AL93" s="54"/>
      <c r="AM93" s="66"/>
      <c r="AN93" s="50" t="e">
        <f t="shared" si="10"/>
        <v>#DIV/0!</v>
      </c>
      <c r="AO93" s="90"/>
      <c r="AP93" s="115"/>
      <c r="AQ93" s="47" t="e">
        <f>WEEKNUM(AP93-RESUMEN!$BL$7)</f>
        <v>#NUM!</v>
      </c>
      <c r="AR93" s="47">
        <f>_xlfn.DAYS(AP93,RESUMEN!$BL$7)</f>
        <v>-43267</v>
      </c>
      <c r="AS93" s="53"/>
      <c r="AT93" s="54"/>
      <c r="AU93" s="66"/>
      <c r="AV93" s="50" t="e">
        <f t="shared" si="11"/>
        <v>#DIV/0!</v>
      </c>
    </row>
    <row r="94" spans="2:48" x14ac:dyDescent="0.25">
      <c r="B94" s="52">
        <v>43295</v>
      </c>
      <c r="C94" s="47">
        <f>WEEKNUM(B94-RESUMEN!$D$7)</f>
        <v>9</v>
      </c>
      <c r="D94" s="47">
        <f>_xlfn.DAYS(B94,RESUMEN!$D$7)</f>
        <v>57</v>
      </c>
      <c r="E94" s="48" t="s">
        <v>123</v>
      </c>
      <c r="F94" s="54">
        <v>-23</v>
      </c>
      <c r="G94" s="66">
        <v>179</v>
      </c>
      <c r="H94" s="50">
        <f t="shared" si="6"/>
        <v>-7.7826086956521738</v>
      </c>
      <c r="I94" s="90"/>
      <c r="J94" s="115">
        <v>43310</v>
      </c>
      <c r="K94" s="47">
        <f>WEEKNUM(J94-RESUMEN!$P$7)</f>
        <v>10</v>
      </c>
      <c r="L94" s="47">
        <f>_xlfn.DAYS(J94,RESUMEN!$P$7)</f>
        <v>68</v>
      </c>
      <c r="M94" s="48" t="s">
        <v>277</v>
      </c>
      <c r="N94" s="54">
        <v>-8</v>
      </c>
      <c r="O94" s="66">
        <v>52</v>
      </c>
      <c r="P94" s="50">
        <f t="shared" si="7"/>
        <v>-6.5</v>
      </c>
      <c r="Q94" s="90"/>
      <c r="R94" s="114">
        <v>43312</v>
      </c>
      <c r="S94" s="47">
        <f>WEEKNUM(R94-RESUMEN!$AB$7)</f>
        <v>10</v>
      </c>
      <c r="T94" s="47">
        <f>_xlfn.DAYS(R94,RESUMEN!$AB$7)</f>
        <v>65</v>
      </c>
      <c r="U94" s="48" t="s">
        <v>102</v>
      </c>
      <c r="V94" s="51">
        <v>-2</v>
      </c>
      <c r="W94" s="65">
        <v>19</v>
      </c>
      <c r="X94" s="50">
        <f t="shared" si="8"/>
        <v>-9.5</v>
      </c>
      <c r="Y94" s="90"/>
      <c r="Z94" s="115"/>
      <c r="AA94" s="47" t="e">
        <f>WEEKNUM(Z94-RESUMEN!$AN$7)</f>
        <v>#NUM!</v>
      </c>
      <c r="AB94" s="47">
        <f>_xlfn.DAYS(Z94,RESUMEN!$AN$7)</f>
        <v>-43254</v>
      </c>
      <c r="AC94" s="48"/>
      <c r="AD94" s="54"/>
      <c r="AE94" s="66"/>
      <c r="AF94" s="116" t="e">
        <f t="shared" si="9"/>
        <v>#DIV/0!</v>
      </c>
      <c r="AG94" s="83"/>
      <c r="AH94" s="115"/>
      <c r="AI94" s="47" t="e">
        <f>WEEKNUM(AH94-RESUMEN!$AZ$7)</f>
        <v>#NUM!</v>
      </c>
      <c r="AJ94" s="47">
        <f>_xlfn.DAYS(AH94,RESUMEN!$AZ$7)</f>
        <v>-43261</v>
      </c>
      <c r="AK94" s="79"/>
      <c r="AL94" s="54"/>
      <c r="AM94" s="66"/>
      <c r="AN94" s="50" t="e">
        <f t="shared" si="10"/>
        <v>#DIV/0!</v>
      </c>
      <c r="AO94" s="90"/>
      <c r="AP94" s="115"/>
      <c r="AQ94" s="47" t="e">
        <f>WEEKNUM(AP94-RESUMEN!$BL$7)</f>
        <v>#NUM!</v>
      </c>
      <c r="AR94" s="47">
        <f>_xlfn.DAYS(AP94,RESUMEN!$BL$7)</f>
        <v>-43267</v>
      </c>
      <c r="AS94" s="53"/>
      <c r="AT94" s="54"/>
      <c r="AU94" s="66"/>
      <c r="AV94" s="50" t="e">
        <f t="shared" si="11"/>
        <v>#DIV/0!</v>
      </c>
    </row>
    <row r="95" spans="2:48" x14ac:dyDescent="0.25">
      <c r="B95" s="52">
        <v>43296</v>
      </c>
      <c r="C95" s="47">
        <f>WEEKNUM(B95-RESUMEN!$D$7)</f>
        <v>9</v>
      </c>
      <c r="D95" s="47">
        <f>_xlfn.DAYS(B95,RESUMEN!$D$7)</f>
        <v>58</v>
      </c>
      <c r="E95" s="48" t="s">
        <v>123</v>
      </c>
      <c r="F95" s="54">
        <v>-18</v>
      </c>
      <c r="G95" s="66">
        <v>126</v>
      </c>
      <c r="H95" s="50">
        <f t="shared" si="6"/>
        <v>-7</v>
      </c>
      <c r="I95" s="90"/>
      <c r="J95" s="115">
        <v>43311</v>
      </c>
      <c r="K95" s="47">
        <f>WEEKNUM(J95-RESUMEN!$P$7)</f>
        <v>10</v>
      </c>
      <c r="L95" s="47">
        <f>_xlfn.DAYS(J95,RESUMEN!$P$7)</f>
        <v>69</v>
      </c>
      <c r="M95" s="48" t="s">
        <v>277</v>
      </c>
      <c r="N95" s="54">
        <v>-9</v>
      </c>
      <c r="O95" s="66">
        <v>57</v>
      </c>
      <c r="P95" s="50">
        <f t="shared" si="7"/>
        <v>-6.333333333333333</v>
      </c>
      <c r="Q95" s="90"/>
      <c r="R95" s="114">
        <v>43312</v>
      </c>
      <c r="S95" s="47">
        <f>WEEKNUM(R95-RESUMEN!$AB$7)</f>
        <v>10</v>
      </c>
      <c r="T95" s="47">
        <f>_xlfn.DAYS(R95,RESUMEN!$AB$7)</f>
        <v>65</v>
      </c>
      <c r="U95" s="48" t="s">
        <v>274</v>
      </c>
      <c r="V95" s="51">
        <v>-12</v>
      </c>
      <c r="W95" s="65">
        <v>93</v>
      </c>
      <c r="X95" s="50">
        <f t="shared" si="8"/>
        <v>-7.75</v>
      </c>
      <c r="Y95" s="90"/>
      <c r="Z95" s="115"/>
      <c r="AA95" s="47" t="e">
        <f>WEEKNUM(Z95-RESUMEN!$AN$7)</f>
        <v>#NUM!</v>
      </c>
      <c r="AB95" s="47">
        <f>_xlfn.DAYS(Z95,RESUMEN!$AN$7)</f>
        <v>-43254</v>
      </c>
      <c r="AC95" s="48"/>
      <c r="AD95" s="54"/>
      <c r="AE95" s="66"/>
      <c r="AF95" s="116" t="e">
        <f t="shared" si="9"/>
        <v>#DIV/0!</v>
      </c>
      <c r="AG95" s="83"/>
      <c r="AH95" s="115"/>
      <c r="AI95" s="47" t="e">
        <f>WEEKNUM(AH95-RESUMEN!$AZ$7)</f>
        <v>#NUM!</v>
      </c>
      <c r="AJ95" s="47">
        <f>_xlfn.DAYS(AH95,RESUMEN!$AZ$7)</f>
        <v>-43261</v>
      </c>
      <c r="AK95" s="79"/>
      <c r="AL95" s="54"/>
      <c r="AM95" s="66"/>
      <c r="AN95" s="50" t="e">
        <f t="shared" si="10"/>
        <v>#DIV/0!</v>
      </c>
      <c r="AO95" s="90"/>
      <c r="AP95" s="115"/>
      <c r="AQ95" s="47" t="e">
        <f>WEEKNUM(AP95-RESUMEN!$BL$7)</f>
        <v>#NUM!</v>
      </c>
      <c r="AR95" s="47">
        <f>_xlfn.DAYS(AP95,RESUMEN!$BL$7)</f>
        <v>-43267</v>
      </c>
      <c r="AS95" s="53"/>
      <c r="AT95" s="54"/>
      <c r="AU95" s="66"/>
      <c r="AV95" s="50" t="e">
        <f t="shared" si="11"/>
        <v>#DIV/0!</v>
      </c>
    </row>
    <row r="96" spans="2:48" x14ac:dyDescent="0.25">
      <c r="B96" s="52">
        <v>43297</v>
      </c>
      <c r="C96" s="47">
        <f>WEEKNUM(B96-RESUMEN!$D$7)</f>
        <v>9</v>
      </c>
      <c r="D96" s="47">
        <f>_xlfn.DAYS(B96,RESUMEN!$D$7)</f>
        <v>59</v>
      </c>
      <c r="E96" s="48" t="s">
        <v>123</v>
      </c>
      <c r="F96" s="54">
        <v>-23</v>
      </c>
      <c r="G96" s="66">
        <v>186</v>
      </c>
      <c r="H96" s="50">
        <f t="shared" si="6"/>
        <v>-8.0869565217391308</v>
      </c>
      <c r="I96" s="90"/>
      <c r="J96" s="115">
        <v>43311</v>
      </c>
      <c r="K96" s="47">
        <f>WEEKNUM(J96-RESUMEN!$P$7)</f>
        <v>10</v>
      </c>
      <c r="L96" s="47">
        <f>_xlfn.DAYS(J96,RESUMEN!$P$7)</f>
        <v>69</v>
      </c>
      <c r="M96" s="48" t="s">
        <v>272</v>
      </c>
      <c r="N96" s="54">
        <v>-1</v>
      </c>
      <c r="O96" s="66">
        <v>12</v>
      </c>
      <c r="P96" s="50">
        <f t="shared" si="7"/>
        <v>-12</v>
      </c>
      <c r="Q96" s="90"/>
      <c r="R96" s="114">
        <v>43313</v>
      </c>
      <c r="S96" s="47">
        <f>WEEKNUM(R96-RESUMEN!$AB$7)</f>
        <v>10</v>
      </c>
      <c r="T96" s="47">
        <f>_xlfn.DAYS(R96,RESUMEN!$AB$7)</f>
        <v>66</v>
      </c>
      <c r="U96" s="48" t="s">
        <v>271</v>
      </c>
      <c r="V96" s="51">
        <v>-4</v>
      </c>
      <c r="W96" s="65">
        <v>15</v>
      </c>
      <c r="X96" s="50">
        <f t="shared" si="8"/>
        <v>-3.75</v>
      </c>
      <c r="Y96" s="90"/>
      <c r="Z96" s="115"/>
      <c r="AA96" s="47" t="e">
        <f>WEEKNUM(Z96-RESUMEN!$AN$7)</f>
        <v>#NUM!</v>
      </c>
      <c r="AB96" s="47">
        <f>_xlfn.DAYS(Z96,RESUMEN!$AN$7)</f>
        <v>-43254</v>
      </c>
      <c r="AC96" s="48"/>
      <c r="AD96" s="54"/>
      <c r="AE96" s="66"/>
      <c r="AF96" s="116" t="e">
        <f t="shared" si="9"/>
        <v>#DIV/0!</v>
      </c>
      <c r="AG96" s="83"/>
      <c r="AH96" s="115"/>
      <c r="AI96" s="47" t="e">
        <f>WEEKNUM(AH96-RESUMEN!$AZ$7)</f>
        <v>#NUM!</v>
      </c>
      <c r="AJ96" s="47">
        <f>_xlfn.DAYS(AH96,RESUMEN!$AZ$7)</f>
        <v>-43261</v>
      </c>
      <c r="AK96" s="79"/>
      <c r="AL96" s="54"/>
      <c r="AM96" s="66"/>
      <c r="AN96" s="50" t="e">
        <f t="shared" si="10"/>
        <v>#DIV/0!</v>
      </c>
      <c r="AO96" s="90"/>
      <c r="AP96" s="115"/>
      <c r="AQ96" s="47" t="e">
        <f>WEEKNUM(AP96-RESUMEN!$BL$7)</f>
        <v>#NUM!</v>
      </c>
      <c r="AR96" s="47">
        <f>_xlfn.DAYS(AP96,RESUMEN!$BL$7)</f>
        <v>-43267</v>
      </c>
      <c r="AS96" s="53"/>
      <c r="AT96" s="54"/>
      <c r="AU96" s="66"/>
      <c r="AV96" s="50" t="e">
        <f t="shared" si="11"/>
        <v>#DIV/0!</v>
      </c>
    </row>
    <row r="97" spans="2:48" x14ac:dyDescent="0.25">
      <c r="B97" s="52">
        <v>43298</v>
      </c>
      <c r="C97" s="47">
        <f>WEEKNUM(B97-RESUMEN!$D$7)</f>
        <v>9</v>
      </c>
      <c r="D97" s="47">
        <f>_xlfn.DAYS(B97,RESUMEN!$D$7)</f>
        <v>60</v>
      </c>
      <c r="E97" s="48" t="s">
        <v>123</v>
      </c>
      <c r="F97" s="54">
        <v>-18</v>
      </c>
      <c r="G97" s="66">
        <v>128</v>
      </c>
      <c r="H97" s="50">
        <f t="shared" si="6"/>
        <v>-7.1111111111111107</v>
      </c>
      <c r="I97" s="90"/>
      <c r="J97" s="115">
        <v>43311</v>
      </c>
      <c r="K97" s="47">
        <f>WEEKNUM(J97-RESUMEN!$P$7)</f>
        <v>10</v>
      </c>
      <c r="L97" s="47">
        <f>_xlfn.DAYS(J97,RESUMEN!$P$7)</f>
        <v>69</v>
      </c>
      <c r="M97" s="48" t="s">
        <v>102</v>
      </c>
      <c r="N97" s="54">
        <v>-5</v>
      </c>
      <c r="O97" s="66">
        <v>53</v>
      </c>
      <c r="P97" s="50">
        <f t="shared" si="7"/>
        <v>-10.6</v>
      </c>
      <c r="Q97" s="90"/>
      <c r="R97" s="114">
        <v>43313</v>
      </c>
      <c r="S97" s="47">
        <f>WEEKNUM(R97-RESUMEN!$AB$7)</f>
        <v>10</v>
      </c>
      <c r="T97" s="47">
        <f>_xlfn.DAYS(R97,RESUMEN!$AB$7)</f>
        <v>66</v>
      </c>
      <c r="U97" s="48" t="s">
        <v>102</v>
      </c>
      <c r="V97" s="51">
        <v>-4</v>
      </c>
      <c r="W97" s="65">
        <v>29</v>
      </c>
      <c r="X97" s="50">
        <f t="shared" si="8"/>
        <v>-7.25</v>
      </c>
      <c r="Y97" s="90"/>
      <c r="Z97" s="115"/>
      <c r="AA97" s="47" t="e">
        <f>WEEKNUM(Z97-RESUMEN!$AN$7)</f>
        <v>#NUM!</v>
      </c>
      <c r="AB97" s="47">
        <f>_xlfn.DAYS(Z97,RESUMEN!$AN$7)</f>
        <v>-43254</v>
      </c>
      <c r="AC97" s="48"/>
      <c r="AD97" s="54"/>
      <c r="AE97" s="66"/>
      <c r="AF97" s="116" t="e">
        <f t="shared" si="9"/>
        <v>#DIV/0!</v>
      </c>
      <c r="AG97" s="83"/>
      <c r="AH97" s="115"/>
      <c r="AI97" s="47" t="e">
        <f>WEEKNUM(AH97-RESUMEN!$AZ$7)</f>
        <v>#NUM!</v>
      </c>
      <c r="AJ97" s="47">
        <f>_xlfn.DAYS(AH97,RESUMEN!$AZ$7)</f>
        <v>-43261</v>
      </c>
      <c r="AK97" s="79"/>
      <c r="AL97" s="54"/>
      <c r="AM97" s="66"/>
      <c r="AN97" s="50" t="e">
        <f t="shared" si="10"/>
        <v>#DIV/0!</v>
      </c>
      <c r="AO97" s="90"/>
      <c r="AP97" s="115"/>
      <c r="AQ97" s="47" t="e">
        <f>WEEKNUM(AP97-RESUMEN!$BL$7)</f>
        <v>#NUM!</v>
      </c>
      <c r="AR97" s="47">
        <f>_xlfn.DAYS(AP97,RESUMEN!$BL$7)</f>
        <v>-43267</v>
      </c>
      <c r="AS97" s="53"/>
      <c r="AT97" s="54"/>
      <c r="AU97" s="66"/>
      <c r="AV97" s="50" t="e">
        <f t="shared" si="11"/>
        <v>#DIV/0!</v>
      </c>
    </row>
    <row r="98" spans="2:48" x14ac:dyDescent="0.25">
      <c r="B98" s="52">
        <v>43299</v>
      </c>
      <c r="C98" s="47">
        <f>WEEKNUM(B98-RESUMEN!$D$7)</f>
        <v>9</v>
      </c>
      <c r="D98" s="47">
        <f>_xlfn.DAYS(B98,RESUMEN!$D$7)</f>
        <v>61</v>
      </c>
      <c r="E98" s="48" t="s">
        <v>123</v>
      </c>
      <c r="F98" s="54">
        <v>-18</v>
      </c>
      <c r="G98" s="66">
        <v>158</v>
      </c>
      <c r="H98" s="50">
        <f t="shared" si="6"/>
        <v>-8.7777777777777786</v>
      </c>
      <c r="I98" s="90"/>
      <c r="J98" s="115">
        <v>43312</v>
      </c>
      <c r="K98" s="47">
        <f>WEEKNUM(J98-RESUMEN!$P$7)</f>
        <v>10</v>
      </c>
      <c r="L98" s="47">
        <f>_xlfn.DAYS(J98,RESUMEN!$P$7)</f>
        <v>70</v>
      </c>
      <c r="M98" s="48" t="s">
        <v>102</v>
      </c>
      <c r="N98" s="54">
        <v>-2</v>
      </c>
      <c r="O98" s="66">
        <v>29</v>
      </c>
      <c r="P98" s="50">
        <f t="shared" si="7"/>
        <v>-14.5</v>
      </c>
      <c r="Q98" s="90"/>
      <c r="R98" s="114">
        <v>43313</v>
      </c>
      <c r="S98" s="47">
        <f>WEEKNUM(R98-RESUMEN!$AB$7)</f>
        <v>10</v>
      </c>
      <c r="T98" s="47">
        <f>_xlfn.DAYS(R98,RESUMEN!$AB$7)</f>
        <v>66</v>
      </c>
      <c r="U98" s="48" t="s">
        <v>274</v>
      </c>
      <c r="V98" s="51">
        <v>-5</v>
      </c>
      <c r="W98" s="65">
        <v>33</v>
      </c>
      <c r="X98" s="50">
        <f t="shared" si="8"/>
        <v>-6.6</v>
      </c>
      <c r="Y98" s="90"/>
      <c r="Z98" s="115"/>
      <c r="AA98" s="47" t="e">
        <f>WEEKNUM(Z98-RESUMEN!$AN$7)</f>
        <v>#NUM!</v>
      </c>
      <c r="AB98" s="47">
        <f>_xlfn.DAYS(Z98,RESUMEN!$AN$7)</f>
        <v>-43254</v>
      </c>
      <c r="AC98" s="48"/>
      <c r="AD98" s="54"/>
      <c r="AE98" s="66"/>
      <c r="AF98" s="116" t="e">
        <f t="shared" si="9"/>
        <v>#DIV/0!</v>
      </c>
      <c r="AG98" s="83"/>
      <c r="AH98" s="115"/>
      <c r="AI98" s="47" t="e">
        <f>WEEKNUM(AH98-RESUMEN!$AZ$7)</f>
        <v>#NUM!</v>
      </c>
      <c r="AJ98" s="47">
        <f>_xlfn.DAYS(AH98,RESUMEN!$AZ$7)</f>
        <v>-43261</v>
      </c>
      <c r="AK98" s="79"/>
      <c r="AL98" s="54"/>
      <c r="AM98" s="66"/>
      <c r="AN98" s="50" t="e">
        <f t="shared" si="10"/>
        <v>#DIV/0!</v>
      </c>
      <c r="AO98" s="90"/>
      <c r="AP98" s="115"/>
      <c r="AQ98" s="47" t="e">
        <f>WEEKNUM(AP98-RESUMEN!$BL$7)</f>
        <v>#NUM!</v>
      </c>
      <c r="AR98" s="47">
        <f>_xlfn.DAYS(AP98,RESUMEN!$BL$7)</f>
        <v>-43267</v>
      </c>
      <c r="AS98" s="53"/>
      <c r="AT98" s="54"/>
      <c r="AU98" s="66"/>
      <c r="AV98" s="50" t="e">
        <f t="shared" si="11"/>
        <v>#DIV/0!</v>
      </c>
    </row>
    <row r="99" spans="2:48" x14ac:dyDescent="0.25">
      <c r="B99" s="52">
        <v>43300</v>
      </c>
      <c r="C99" s="47">
        <f>WEEKNUM(B99-RESUMEN!$D$7)</f>
        <v>9</v>
      </c>
      <c r="D99" s="47">
        <f>_xlfn.DAYS(B99,RESUMEN!$D$7)</f>
        <v>62</v>
      </c>
      <c r="E99" s="48" t="s">
        <v>123</v>
      </c>
      <c r="F99" s="54">
        <v>-18</v>
      </c>
      <c r="G99" s="66">
        <v>147</v>
      </c>
      <c r="H99" s="50">
        <f t="shared" si="6"/>
        <v>-8.1666666666666661</v>
      </c>
      <c r="I99" s="90"/>
      <c r="J99" s="115">
        <v>43312</v>
      </c>
      <c r="K99" s="47">
        <f>WEEKNUM(J99-RESUMEN!$P$7)</f>
        <v>10</v>
      </c>
      <c r="L99" s="47">
        <f>_xlfn.DAYS(J99,RESUMEN!$P$7)</f>
        <v>70</v>
      </c>
      <c r="M99" s="48" t="s">
        <v>271</v>
      </c>
      <c r="N99" s="54">
        <v>-3</v>
      </c>
      <c r="O99" s="66">
        <v>10</v>
      </c>
      <c r="P99" s="50">
        <f t="shared" si="7"/>
        <v>-3.3333333333333335</v>
      </c>
      <c r="Q99" s="90"/>
      <c r="R99" s="114"/>
      <c r="S99" s="47" t="e">
        <f>WEEKNUM(R99-RESUMEN!$AB$7)</f>
        <v>#NUM!</v>
      </c>
      <c r="T99" s="47">
        <f>_xlfn.DAYS(R99,RESUMEN!$AB$7)</f>
        <v>-43247</v>
      </c>
      <c r="U99" s="48"/>
      <c r="V99" s="51"/>
      <c r="W99" s="65"/>
      <c r="X99" s="50" t="e">
        <f t="shared" si="8"/>
        <v>#DIV/0!</v>
      </c>
      <c r="Y99" s="90"/>
      <c r="Z99" s="115"/>
      <c r="AA99" s="47" t="e">
        <f>WEEKNUM(Z99-RESUMEN!$AN$7)</f>
        <v>#NUM!</v>
      </c>
      <c r="AB99" s="47">
        <f>_xlfn.DAYS(Z99,RESUMEN!$AN$7)</f>
        <v>-43254</v>
      </c>
      <c r="AC99" s="48"/>
      <c r="AD99" s="54"/>
      <c r="AE99" s="66"/>
      <c r="AF99" s="116" t="e">
        <f t="shared" si="9"/>
        <v>#DIV/0!</v>
      </c>
      <c r="AG99" s="83"/>
      <c r="AH99" s="115"/>
      <c r="AI99" s="47" t="e">
        <f>WEEKNUM(AH99-RESUMEN!$AZ$7)</f>
        <v>#NUM!</v>
      </c>
      <c r="AJ99" s="47">
        <f>_xlfn.DAYS(AH99,RESUMEN!$AZ$7)</f>
        <v>-43261</v>
      </c>
      <c r="AK99" s="79"/>
      <c r="AL99" s="54"/>
      <c r="AM99" s="66"/>
      <c r="AN99" s="50" t="e">
        <f t="shared" si="10"/>
        <v>#DIV/0!</v>
      </c>
      <c r="AO99" s="90"/>
      <c r="AP99" s="115"/>
      <c r="AQ99" s="47" t="e">
        <f>WEEKNUM(AP99-RESUMEN!$BL$7)</f>
        <v>#NUM!</v>
      </c>
      <c r="AR99" s="47">
        <f>_xlfn.DAYS(AP99,RESUMEN!$BL$7)</f>
        <v>-43267</v>
      </c>
      <c r="AS99" s="49"/>
      <c r="AT99" s="54"/>
      <c r="AU99" s="66"/>
      <c r="AV99" s="50" t="e">
        <f t="shared" si="11"/>
        <v>#DIV/0!</v>
      </c>
    </row>
    <row r="100" spans="2:48" x14ac:dyDescent="0.25">
      <c r="B100" s="52">
        <v>43301</v>
      </c>
      <c r="C100" s="47">
        <f>WEEKNUM(B100-RESUMEN!$D$7)</f>
        <v>9</v>
      </c>
      <c r="D100" s="47">
        <f>_xlfn.DAYS(B100,RESUMEN!$D$7)</f>
        <v>63</v>
      </c>
      <c r="E100" s="48" t="s">
        <v>123</v>
      </c>
      <c r="F100" s="54">
        <v>-13</v>
      </c>
      <c r="G100" s="66">
        <v>110</v>
      </c>
      <c r="H100" s="50">
        <f t="shared" si="6"/>
        <v>-8.4615384615384617</v>
      </c>
      <c r="I100" s="90"/>
      <c r="J100" s="115">
        <v>43312</v>
      </c>
      <c r="K100" s="47">
        <f>WEEKNUM(J100-RESUMEN!$P$7)</f>
        <v>10</v>
      </c>
      <c r="L100" s="47">
        <f>_xlfn.DAYS(J100,RESUMEN!$P$7)</f>
        <v>70</v>
      </c>
      <c r="M100" s="48" t="s">
        <v>277</v>
      </c>
      <c r="N100" s="54">
        <v>-9</v>
      </c>
      <c r="O100" s="66">
        <v>52</v>
      </c>
      <c r="P100" s="50">
        <f t="shared" si="7"/>
        <v>-5.7777777777777777</v>
      </c>
      <c r="Q100" s="90"/>
      <c r="R100" s="114"/>
      <c r="S100" s="47" t="e">
        <f>WEEKNUM(R100-RESUMEN!$AB$7)</f>
        <v>#NUM!</v>
      </c>
      <c r="T100" s="47">
        <f>_xlfn.DAYS(R100,RESUMEN!$AB$7)</f>
        <v>-43247</v>
      </c>
      <c r="U100" s="48"/>
      <c r="V100" s="51"/>
      <c r="W100" s="65"/>
      <c r="X100" s="50" t="e">
        <f t="shared" si="8"/>
        <v>#DIV/0!</v>
      </c>
      <c r="Y100" s="90"/>
      <c r="Z100" s="115"/>
      <c r="AA100" s="47" t="e">
        <f>WEEKNUM(Z100-RESUMEN!$AN$7)</f>
        <v>#NUM!</v>
      </c>
      <c r="AB100" s="47">
        <f>_xlfn.DAYS(Z100,RESUMEN!$AN$7)</f>
        <v>-43254</v>
      </c>
      <c r="AC100" s="48"/>
      <c r="AD100" s="54"/>
      <c r="AE100" s="66"/>
      <c r="AF100" s="116" t="e">
        <f t="shared" si="9"/>
        <v>#DIV/0!</v>
      </c>
      <c r="AG100" s="83"/>
      <c r="AH100" s="115"/>
      <c r="AI100" s="47" t="e">
        <f>WEEKNUM(AH100-RESUMEN!$AZ$7)</f>
        <v>#NUM!</v>
      </c>
      <c r="AJ100" s="47">
        <f>_xlfn.DAYS(AH100,RESUMEN!$AZ$7)</f>
        <v>-43261</v>
      </c>
      <c r="AK100" s="79"/>
      <c r="AL100" s="54"/>
      <c r="AM100" s="66"/>
      <c r="AN100" s="50" t="e">
        <f t="shared" si="10"/>
        <v>#DIV/0!</v>
      </c>
      <c r="AO100" s="90"/>
      <c r="AP100" s="115"/>
      <c r="AQ100" s="47" t="e">
        <f>WEEKNUM(AP100-RESUMEN!$BL$7)</f>
        <v>#NUM!</v>
      </c>
      <c r="AR100" s="47">
        <f>_xlfn.DAYS(AP100,RESUMEN!$BL$7)</f>
        <v>-43267</v>
      </c>
      <c r="AS100" s="53"/>
      <c r="AT100" s="54"/>
      <c r="AU100" s="66"/>
      <c r="AV100" s="50" t="e">
        <f t="shared" si="11"/>
        <v>#DIV/0!</v>
      </c>
    </row>
    <row r="101" spans="2:48" x14ac:dyDescent="0.25">
      <c r="B101" s="52">
        <v>43301</v>
      </c>
      <c r="C101" s="47">
        <f>WEEKNUM(B101-RESUMEN!$D$7)</f>
        <v>9</v>
      </c>
      <c r="D101" s="47">
        <f>_xlfn.DAYS(B101,RESUMEN!$D$7)</f>
        <v>63</v>
      </c>
      <c r="E101" s="48" t="s">
        <v>159</v>
      </c>
      <c r="F101" s="54">
        <v>-10</v>
      </c>
      <c r="G101" s="66">
        <v>103</v>
      </c>
      <c r="H101" s="50">
        <f t="shared" si="6"/>
        <v>-10.3</v>
      </c>
      <c r="I101" s="90"/>
      <c r="J101" s="115">
        <v>43312</v>
      </c>
      <c r="K101" s="47">
        <f>WEEKNUM(J101-RESUMEN!$P$7)</f>
        <v>10</v>
      </c>
      <c r="L101" s="47">
        <f>_xlfn.DAYS(J101,RESUMEN!$P$7)</f>
        <v>70</v>
      </c>
      <c r="M101" s="48" t="s">
        <v>275</v>
      </c>
      <c r="N101" s="54">
        <v>-2</v>
      </c>
      <c r="O101" s="66">
        <v>24</v>
      </c>
      <c r="P101" s="50">
        <f t="shared" si="7"/>
        <v>-12</v>
      </c>
      <c r="Q101" s="90"/>
      <c r="R101" s="114"/>
      <c r="S101" s="47" t="e">
        <f>WEEKNUM(R101-RESUMEN!$AB$7)</f>
        <v>#NUM!</v>
      </c>
      <c r="T101" s="47">
        <f>_xlfn.DAYS(R101,RESUMEN!$AB$7)</f>
        <v>-43247</v>
      </c>
      <c r="U101" s="48"/>
      <c r="V101" s="51"/>
      <c r="W101" s="65"/>
      <c r="X101" s="50" t="e">
        <f t="shared" si="8"/>
        <v>#DIV/0!</v>
      </c>
      <c r="Y101" s="90"/>
      <c r="Z101" s="115"/>
      <c r="AA101" s="47" t="e">
        <f>WEEKNUM(Z101-RESUMEN!$AN$7)</f>
        <v>#NUM!</v>
      </c>
      <c r="AB101" s="47">
        <f>_xlfn.DAYS(Z101,RESUMEN!$AN$7)</f>
        <v>-43254</v>
      </c>
      <c r="AC101" s="48"/>
      <c r="AD101" s="54"/>
      <c r="AE101" s="66"/>
      <c r="AF101" s="116" t="e">
        <f t="shared" si="9"/>
        <v>#DIV/0!</v>
      </c>
      <c r="AG101" s="83"/>
      <c r="AH101" s="115"/>
      <c r="AI101" s="47" t="e">
        <f>WEEKNUM(AH101-RESUMEN!$AZ$7)</f>
        <v>#NUM!</v>
      </c>
      <c r="AJ101" s="47">
        <f>_xlfn.DAYS(AH101,RESUMEN!$AZ$7)</f>
        <v>-43261</v>
      </c>
      <c r="AK101" s="79"/>
      <c r="AL101" s="54"/>
      <c r="AM101" s="66"/>
      <c r="AN101" s="50" t="e">
        <f t="shared" si="10"/>
        <v>#DIV/0!</v>
      </c>
      <c r="AO101" s="90"/>
      <c r="AP101" s="115"/>
      <c r="AQ101" s="47" t="e">
        <f>WEEKNUM(AP101-RESUMEN!$BL$7)</f>
        <v>#NUM!</v>
      </c>
      <c r="AR101" s="47">
        <f>_xlfn.DAYS(AP101,RESUMEN!$BL$7)</f>
        <v>-43267</v>
      </c>
      <c r="AS101" s="53"/>
      <c r="AT101" s="54"/>
      <c r="AU101" s="66"/>
      <c r="AV101" s="50" t="e">
        <f t="shared" si="11"/>
        <v>#DIV/0!</v>
      </c>
    </row>
    <row r="102" spans="2:48" x14ac:dyDescent="0.25">
      <c r="B102" s="52">
        <v>43301</v>
      </c>
      <c r="C102" s="47">
        <f>WEEKNUM(B102-RESUMEN!$D$7)</f>
        <v>9</v>
      </c>
      <c r="D102" s="47">
        <f>_xlfn.DAYS(B102,RESUMEN!$D$7)</f>
        <v>63</v>
      </c>
      <c r="E102" s="48" t="s">
        <v>271</v>
      </c>
      <c r="F102" s="54">
        <v>-5</v>
      </c>
      <c r="G102" s="66">
        <v>14</v>
      </c>
      <c r="H102" s="50">
        <f t="shared" si="6"/>
        <v>-2.8</v>
      </c>
      <c r="I102" s="90"/>
      <c r="J102" s="115">
        <v>43313</v>
      </c>
      <c r="K102" s="47">
        <f>WEEKNUM(J102-RESUMEN!$P$7)</f>
        <v>11</v>
      </c>
      <c r="L102" s="47">
        <f>_xlfn.DAYS(J102,RESUMEN!$P$7)</f>
        <v>71</v>
      </c>
      <c r="M102" s="48" t="s">
        <v>102</v>
      </c>
      <c r="N102" s="54">
        <v>-3</v>
      </c>
      <c r="O102" s="66">
        <v>34</v>
      </c>
      <c r="P102" s="50">
        <f t="shared" si="7"/>
        <v>-11.333333333333334</v>
      </c>
      <c r="Q102" s="90"/>
      <c r="R102" s="114"/>
      <c r="S102" s="47" t="e">
        <f>WEEKNUM(R102-RESUMEN!$AB$7)</f>
        <v>#NUM!</v>
      </c>
      <c r="T102" s="47">
        <f>_xlfn.DAYS(R102,RESUMEN!$AB$7)</f>
        <v>-43247</v>
      </c>
      <c r="U102" s="48"/>
      <c r="V102" s="51"/>
      <c r="W102" s="65"/>
      <c r="X102" s="50" t="e">
        <f t="shared" si="8"/>
        <v>#DIV/0!</v>
      </c>
      <c r="Y102" s="90"/>
      <c r="Z102" s="115"/>
      <c r="AA102" s="47" t="e">
        <f>WEEKNUM(Z102-RESUMEN!$AN$7)</f>
        <v>#NUM!</v>
      </c>
      <c r="AB102" s="47">
        <f>_xlfn.DAYS(Z102,RESUMEN!$AN$7)</f>
        <v>-43254</v>
      </c>
      <c r="AC102" s="48"/>
      <c r="AD102" s="54"/>
      <c r="AE102" s="66"/>
      <c r="AF102" s="116" t="e">
        <f t="shared" si="9"/>
        <v>#DIV/0!</v>
      </c>
      <c r="AG102" s="83"/>
      <c r="AH102" s="115"/>
      <c r="AI102" s="47" t="e">
        <f>WEEKNUM(AH102-RESUMEN!$AZ$7)</f>
        <v>#NUM!</v>
      </c>
      <c r="AJ102" s="47">
        <f>_xlfn.DAYS(AH102,RESUMEN!$AZ$7)</f>
        <v>-43261</v>
      </c>
      <c r="AK102" s="79"/>
      <c r="AL102" s="54"/>
      <c r="AM102" s="66"/>
      <c r="AN102" s="50" t="e">
        <f t="shared" si="10"/>
        <v>#DIV/0!</v>
      </c>
      <c r="AO102" s="90"/>
      <c r="AP102" s="115"/>
      <c r="AQ102" s="47" t="e">
        <f>WEEKNUM(AP102-RESUMEN!$BL$7)</f>
        <v>#NUM!</v>
      </c>
      <c r="AR102" s="47">
        <f>_xlfn.DAYS(AP102,RESUMEN!$BL$7)</f>
        <v>-43267</v>
      </c>
      <c r="AS102" s="53"/>
      <c r="AT102" s="54"/>
      <c r="AU102" s="66"/>
      <c r="AV102" s="50" t="e">
        <f t="shared" si="11"/>
        <v>#DIV/0!</v>
      </c>
    </row>
    <row r="103" spans="2:48" x14ac:dyDescent="0.25">
      <c r="B103" s="52">
        <v>43302</v>
      </c>
      <c r="C103" s="47">
        <f>WEEKNUM(B103-RESUMEN!$D$7)</f>
        <v>10</v>
      </c>
      <c r="D103" s="47">
        <f>_xlfn.DAYS(B103,RESUMEN!$D$7)</f>
        <v>64</v>
      </c>
      <c r="E103" s="48" t="s">
        <v>123</v>
      </c>
      <c r="F103" s="54">
        <v>-12</v>
      </c>
      <c r="G103" s="66">
        <v>104</v>
      </c>
      <c r="H103" s="50">
        <f t="shared" si="6"/>
        <v>-8.6666666666666661</v>
      </c>
      <c r="I103" s="90"/>
      <c r="J103" s="115">
        <v>43313</v>
      </c>
      <c r="K103" s="47">
        <f>WEEKNUM(J103-RESUMEN!$P$7)</f>
        <v>11</v>
      </c>
      <c r="L103" s="47">
        <f>_xlfn.DAYS(J103,RESUMEN!$P$7)</f>
        <v>71</v>
      </c>
      <c r="M103" s="48" t="s">
        <v>275</v>
      </c>
      <c r="N103" s="54">
        <v>-3</v>
      </c>
      <c r="O103" s="66">
        <v>28</v>
      </c>
      <c r="P103" s="50">
        <f t="shared" si="7"/>
        <v>-9.3333333333333339</v>
      </c>
      <c r="Q103" s="90"/>
      <c r="R103" s="114"/>
      <c r="S103" s="47" t="e">
        <f>WEEKNUM(R103-RESUMEN!$AB$7)</f>
        <v>#NUM!</v>
      </c>
      <c r="T103" s="47">
        <f>_xlfn.DAYS(R103,RESUMEN!$AB$7)</f>
        <v>-43247</v>
      </c>
      <c r="U103" s="48"/>
      <c r="V103" s="51"/>
      <c r="W103" s="65"/>
      <c r="X103" s="50" t="e">
        <f t="shared" si="8"/>
        <v>#DIV/0!</v>
      </c>
      <c r="Y103" s="90"/>
      <c r="Z103" s="115"/>
      <c r="AA103" s="47" t="e">
        <f>WEEKNUM(Z103-RESUMEN!$AN$7)</f>
        <v>#NUM!</v>
      </c>
      <c r="AB103" s="47">
        <f>_xlfn.DAYS(Z103,RESUMEN!$AN$7)</f>
        <v>-43254</v>
      </c>
      <c r="AC103" s="48"/>
      <c r="AD103" s="54"/>
      <c r="AE103" s="66"/>
      <c r="AF103" s="116" t="e">
        <f t="shared" si="9"/>
        <v>#DIV/0!</v>
      </c>
      <c r="AG103" s="83"/>
      <c r="AH103" s="115"/>
      <c r="AI103" s="47" t="e">
        <f>WEEKNUM(AH103-RESUMEN!$AZ$7)</f>
        <v>#NUM!</v>
      </c>
      <c r="AJ103" s="47">
        <f>_xlfn.DAYS(AH103,RESUMEN!$AZ$7)</f>
        <v>-43261</v>
      </c>
      <c r="AK103" s="79"/>
      <c r="AL103" s="54"/>
      <c r="AM103" s="66"/>
      <c r="AN103" s="50" t="e">
        <f t="shared" si="10"/>
        <v>#DIV/0!</v>
      </c>
      <c r="AO103" s="90"/>
      <c r="AP103" s="115"/>
      <c r="AQ103" s="47" t="e">
        <f>WEEKNUM(AP103-RESUMEN!$BL$7)</f>
        <v>#NUM!</v>
      </c>
      <c r="AR103" s="47">
        <f>_xlfn.DAYS(AP103,RESUMEN!$BL$7)</f>
        <v>-43267</v>
      </c>
      <c r="AS103" s="53"/>
      <c r="AT103" s="54"/>
      <c r="AU103" s="66"/>
      <c r="AV103" s="50" t="e">
        <f t="shared" si="11"/>
        <v>#DIV/0!</v>
      </c>
    </row>
    <row r="104" spans="2:48" x14ac:dyDescent="0.25">
      <c r="B104" s="52">
        <v>43302</v>
      </c>
      <c r="C104" s="47">
        <f>WEEKNUM(B104-RESUMEN!$D$7)</f>
        <v>10</v>
      </c>
      <c r="D104" s="47">
        <f>_xlfn.DAYS(B104,RESUMEN!$D$7)</f>
        <v>64</v>
      </c>
      <c r="E104" s="48" t="s">
        <v>159</v>
      </c>
      <c r="F104" s="54">
        <v>-9</v>
      </c>
      <c r="G104" s="66">
        <v>76</v>
      </c>
      <c r="H104" s="50">
        <f t="shared" si="6"/>
        <v>-8.4444444444444446</v>
      </c>
      <c r="I104" s="90"/>
      <c r="J104" s="115">
        <v>43313</v>
      </c>
      <c r="K104" s="47">
        <f>WEEKNUM(J104-RESUMEN!$P$7)</f>
        <v>11</v>
      </c>
      <c r="L104" s="47">
        <f>_xlfn.DAYS(J104,RESUMEN!$P$7)</f>
        <v>71</v>
      </c>
      <c r="M104" s="48" t="s">
        <v>277</v>
      </c>
      <c r="N104" s="54">
        <v>-4</v>
      </c>
      <c r="O104" s="66">
        <v>22</v>
      </c>
      <c r="P104" s="50">
        <f t="shared" si="7"/>
        <v>-5.5</v>
      </c>
      <c r="Q104" s="90"/>
      <c r="R104" s="115"/>
      <c r="S104" s="47" t="e">
        <f>WEEKNUM(R104-RESUMEN!$AB$7)</f>
        <v>#NUM!</v>
      </c>
      <c r="T104" s="47">
        <f>_xlfn.DAYS(R104,RESUMEN!$AB$7)</f>
        <v>-43247</v>
      </c>
      <c r="U104" s="48"/>
      <c r="V104" s="54"/>
      <c r="W104" s="66"/>
      <c r="X104" s="50" t="e">
        <f t="shared" si="8"/>
        <v>#DIV/0!</v>
      </c>
      <c r="Y104" s="90"/>
      <c r="Z104" s="115"/>
      <c r="AA104" s="47" t="e">
        <f>WEEKNUM(Z104-RESUMEN!$AN$7)</f>
        <v>#NUM!</v>
      </c>
      <c r="AB104" s="47">
        <f>_xlfn.DAYS(Z104,RESUMEN!$AN$7)</f>
        <v>-43254</v>
      </c>
      <c r="AC104" s="48"/>
      <c r="AD104" s="54"/>
      <c r="AE104" s="66"/>
      <c r="AF104" s="116" t="e">
        <f t="shared" si="9"/>
        <v>#DIV/0!</v>
      </c>
      <c r="AG104" s="83"/>
      <c r="AH104" s="115"/>
      <c r="AI104" s="47" t="e">
        <f>WEEKNUM(AH104-RESUMEN!$AZ$7)</f>
        <v>#NUM!</v>
      </c>
      <c r="AJ104" s="47">
        <f>_xlfn.DAYS(AH104,RESUMEN!$AZ$7)</f>
        <v>-43261</v>
      </c>
      <c r="AK104" s="79"/>
      <c r="AL104" s="54"/>
      <c r="AM104" s="66"/>
      <c r="AN104" s="50" t="e">
        <f t="shared" si="10"/>
        <v>#DIV/0!</v>
      </c>
      <c r="AO104" s="90"/>
      <c r="AP104" s="115"/>
      <c r="AQ104" s="47" t="e">
        <f>WEEKNUM(AP104-RESUMEN!$BL$7)</f>
        <v>#NUM!</v>
      </c>
      <c r="AR104" s="47">
        <f>_xlfn.DAYS(AP104,RESUMEN!$BL$7)</f>
        <v>-43267</v>
      </c>
      <c r="AS104" s="49"/>
      <c r="AT104" s="54"/>
      <c r="AU104" s="66"/>
      <c r="AV104" s="50" t="e">
        <f t="shared" si="11"/>
        <v>#DIV/0!</v>
      </c>
    </row>
    <row r="105" spans="2:48" x14ac:dyDescent="0.25">
      <c r="B105" s="52">
        <v>43303</v>
      </c>
      <c r="C105" s="47">
        <f>WEEKNUM(B105-RESUMEN!$D$7)</f>
        <v>10</v>
      </c>
      <c r="D105" s="47">
        <f>_xlfn.DAYS(B105,RESUMEN!$D$7)</f>
        <v>65</v>
      </c>
      <c r="E105" s="48" t="s">
        <v>123</v>
      </c>
      <c r="F105" s="54">
        <v>-14</v>
      </c>
      <c r="G105" s="66">
        <v>117</v>
      </c>
      <c r="H105" s="50">
        <f t="shared" si="6"/>
        <v>-8.3571428571428577</v>
      </c>
      <c r="I105" s="90"/>
      <c r="J105" s="115"/>
      <c r="K105" s="47" t="e">
        <f>WEEKNUM(J105-RESUMEN!$P$7)</f>
        <v>#NUM!</v>
      </c>
      <c r="L105" s="47">
        <f>_xlfn.DAYS(J105,RESUMEN!$P$7)</f>
        <v>-43242</v>
      </c>
      <c r="M105" s="48"/>
      <c r="N105" s="54"/>
      <c r="O105" s="66"/>
      <c r="P105" s="50" t="e">
        <f t="shared" si="7"/>
        <v>#DIV/0!</v>
      </c>
      <c r="Q105" s="90"/>
      <c r="R105" s="115"/>
      <c r="S105" s="47" t="e">
        <f>WEEKNUM(R105-RESUMEN!$AB$7)</f>
        <v>#NUM!</v>
      </c>
      <c r="T105" s="47">
        <f>_xlfn.DAYS(R105,RESUMEN!$AB$7)</f>
        <v>-43247</v>
      </c>
      <c r="U105" s="48"/>
      <c r="V105" s="54"/>
      <c r="W105" s="66"/>
      <c r="X105" s="50" t="e">
        <f t="shared" si="8"/>
        <v>#DIV/0!</v>
      </c>
      <c r="Y105" s="90"/>
      <c r="Z105" s="115"/>
      <c r="AA105" s="47" t="e">
        <f>WEEKNUM(Z105-RESUMEN!$AN$7)</f>
        <v>#NUM!</v>
      </c>
      <c r="AB105" s="47">
        <f>_xlfn.DAYS(Z105,RESUMEN!$AN$7)</f>
        <v>-43254</v>
      </c>
      <c r="AC105" s="48"/>
      <c r="AD105" s="54"/>
      <c r="AE105" s="66"/>
      <c r="AF105" s="116" t="e">
        <f t="shared" si="9"/>
        <v>#DIV/0!</v>
      </c>
      <c r="AG105" s="83"/>
      <c r="AH105" s="115"/>
      <c r="AI105" s="47" t="e">
        <f>WEEKNUM(AH105-RESUMEN!$AZ$7)</f>
        <v>#NUM!</v>
      </c>
      <c r="AJ105" s="47">
        <f>_xlfn.DAYS(AH105,RESUMEN!$AZ$7)</f>
        <v>-43261</v>
      </c>
      <c r="AK105" s="79"/>
      <c r="AL105" s="54"/>
      <c r="AM105" s="66"/>
      <c r="AN105" s="50" t="e">
        <f t="shared" si="10"/>
        <v>#DIV/0!</v>
      </c>
      <c r="AO105" s="90"/>
      <c r="AP105" s="115"/>
      <c r="AQ105" s="47" t="e">
        <f>WEEKNUM(AP105-RESUMEN!$BL$7)</f>
        <v>#NUM!</v>
      </c>
      <c r="AR105" s="47">
        <f>_xlfn.DAYS(AP105,RESUMEN!$BL$7)</f>
        <v>-43267</v>
      </c>
      <c r="AS105" s="53"/>
      <c r="AT105" s="54"/>
      <c r="AU105" s="66"/>
      <c r="AV105" s="50" t="e">
        <f t="shared" si="11"/>
        <v>#DIV/0!</v>
      </c>
    </row>
    <row r="106" spans="2:48" x14ac:dyDescent="0.25">
      <c r="B106" s="52">
        <v>43303</v>
      </c>
      <c r="C106" s="47">
        <f>WEEKNUM(B106-RESUMEN!$D$7)</f>
        <v>10</v>
      </c>
      <c r="D106" s="47">
        <f>_xlfn.DAYS(B106,RESUMEN!$D$7)</f>
        <v>65</v>
      </c>
      <c r="E106" s="48" t="s">
        <v>159</v>
      </c>
      <c r="F106" s="54">
        <v>-8</v>
      </c>
      <c r="G106" s="66">
        <v>69</v>
      </c>
      <c r="H106" s="50">
        <f t="shared" si="6"/>
        <v>-8.625</v>
      </c>
      <c r="I106" s="90"/>
      <c r="J106" s="115"/>
      <c r="K106" s="47" t="e">
        <f>WEEKNUM(J106-RESUMEN!$P$7)</f>
        <v>#NUM!</v>
      </c>
      <c r="L106" s="47">
        <f>_xlfn.DAYS(J106,RESUMEN!$P$7)</f>
        <v>-43242</v>
      </c>
      <c r="M106" s="48"/>
      <c r="N106" s="54"/>
      <c r="O106" s="66"/>
      <c r="P106" s="50" t="e">
        <f t="shared" si="7"/>
        <v>#DIV/0!</v>
      </c>
      <c r="Q106" s="90"/>
      <c r="R106" s="115"/>
      <c r="S106" s="47" t="e">
        <f>WEEKNUM(R106-RESUMEN!$AB$7)</f>
        <v>#NUM!</v>
      </c>
      <c r="T106" s="47">
        <f>_xlfn.DAYS(R106,RESUMEN!$AB$7)</f>
        <v>-43247</v>
      </c>
      <c r="U106" s="48"/>
      <c r="V106" s="54"/>
      <c r="W106" s="66"/>
      <c r="X106" s="50" t="e">
        <f t="shared" si="8"/>
        <v>#DIV/0!</v>
      </c>
      <c r="Y106" s="90"/>
      <c r="Z106" s="115"/>
      <c r="AA106" s="47" t="e">
        <f>WEEKNUM(Z106-RESUMEN!$AN$7)</f>
        <v>#NUM!</v>
      </c>
      <c r="AB106" s="47">
        <f>_xlfn.DAYS(Z106,RESUMEN!$AN$7)</f>
        <v>-43254</v>
      </c>
      <c r="AC106" s="48"/>
      <c r="AD106" s="54"/>
      <c r="AE106" s="66"/>
      <c r="AF106" s="116" t="e">
        <f t="shared" si="9"/>
        <v>#DIV/0!</v>
      </c>
      <c r="AG106" s="83"/>
      <c r="AH106" s="115"/>
      <c r="AI106" s="47" t="e">
        <f>WEEKNUM(AH106-RESUMEN!$AZ$7)</f>
        <v>#NUM!</v>
      </c>
      <c r="AJ106" s="47">
        <f>_xlfn.DAYS(AH106,RESUMEN!$AZ$7)</f>
        <v>-43261</v>
      </c>
      <c r="AK106" s="79"/>
      <c r="AL106" s="54"/>
      <c r="AM106" s="66"/>
      <c r="AN106" s="50" t="e">
        <f t="shared" si="10"/>
        <v>#DIV/0!</v>
      </c>
      <c r="AO106" s="90"/>
      <c r="AP106" s="115"/>
      <c r="AQ106" s="47" t="e">
        <f>WEEKNUM(AP106-RESUMEN!$BL$7)</f>
        <v>#NUM!</v>
      </c>
      <c r="AR106" s="47">
        <f>_xlfn.DAYS(AP106,RESUMEN!$BL$7)</f>
        <v>-43267</v>
      </c>
      <c r="AS106" s="53"/>
      <c r="AT106" s="54"/>
      <c r="AU106" s="66"/>
      <c r="AV106" s="50" t="e">
        <f t="shared" si="11"/>
        <v>#DIV/0!</v>
      </c>
    </row>
    <row r="107" spans="2:48" x14ac:dyDescent="0.25">
      <c r="B107" s="52">
        <v>43304</v>
      </c>
      <c r="C107" s="47">
        <f>WEEKNUM(B107-RESUMEN!$D$7)</f>
        <v>10</v>
      </c>
      <c r="D107" s="47">
        <f>_xlfn.DAYS(B107,RESUMEN!$D$7)</f>
        <v>66</v>
      </c>
      <c r="E107" s="48" t="s">
        <v>159</v>
      </c>
      <c r="F107" s="54">
        <v>-10</v>
      </c>
      <c r="G107" s="66">
        <v>98</v>
      </c>
      <c r="H107" s="50">
        <f t="shared" si="6"/>
        <v>-9.8000000000000007</v>
      </c>
      <c r="I107" s="90"/>
      <c r="J107" s="115"/>
      <c r="K107" s="47" t="e">
        <f>WEEKNUM(J107-RESUMEN!$P$7)</f>
        <v>#NUM!</v>
      </c>
      <c r="L107" s="47">
        <f>_xlfn.DAYS(J107,RESUMEN!$P$7)</f>
        <v>-43242</v>
      </c>
      <c r="M107" s="48"/>
      <c r="N107" s="54"/>
      <c r="O107" s="66"/>
      <c r="P107" s="50" t="e">
        <f t="shared" si="7"/>
        <v>#DIV/0!</v>
      </c>
      <c r="Q107" s="90"/>
      <c r="R107" s="115"/>
      <c r="S107" s="47" t="e">
        <f>WEEKNUM(R107-RESUMEN!$AB$7)</f>
        <v>#NUM!</v>
      </c>
      <c r="T107" s="47">
        <f>_xlfn.DAYS(R107,RESUMEN!$AB$7)</f>
        <v>-43247</v>
      </c>
      <c r="U107" s="48"/>
      <c r="V107" s="54"/>
      <c r="W107" s="66"/>
      <c r="X107" s="50" t="e">
        <f t="shared" si="8"/>
        <v>#DIV/0!</v>
      </c>
      <c r="Y107" s="90"/>
      <c r="Z107" s="115"/>
      <c r="AA107" s="47" t="e">
        <f>WEEKNUM(Z107-RESUMEN!$AN$7)</f>
        <v>#NUM!</v>
      </c>
      <c r="AB107" s="47">
        <f>_xlfn.DAYS(Z107,RESUMEN!$AN$7)</f>
        <v>-43254</v>
      </c>
      <c r="AC107" s="48"/>
      <c r="AD107" s="54"/>
      <c r="AE107" s="66"/>
      <c r="AF107" s="116" t="e">
        <f t="shared" si="9"/>
        <v>#DIV/0!</v>
      </c>
      <c r="AG107" s="83"/>
      <c r="AH107" s="115"/>
      <c r="AI107" s="47" t="e">
        <f>WEEKNUM(AH107-RESUMEN!$AZ$7)</f>
        <v>#NUM!</v>
      </c>
      <c r="AJ107" s="47">
        <f>_xlfn.DAYS(AH107,RESUMEN!$AZ$7)</f>
        <v>-43261</v>
      </c>
      <c r="AK107" s="79"/>
      <c r="AL107" s="54"/>
      <c r="AM107" s="66"/>
      <c r="AN107" s="50" t="e">
        <f t="shared" si="10"/>
        <v>#DIV/0!</v>
      </c>
      <c r="AO107" s="90"/>
      <c r="AP107" s="115"/>
      <c r="AQ107" s="47" t="e">
        <f>WEEKNUM(AP107-RESUMEN!$BL$7)</f>
        <v>#NUM!</v>
      </c>
      <c r="AR107" s="47">
        <f>_xlfn.DAYS(AP107,RESUMEN!$BL$7)</f>
        <v>-43267</v>
      </c>
      <c r="AS107" s="53"/>
      <c r="AT107" s="54"/>
      <c r="AU107" s="66"/>
      <c r="AV107" s="50" t="e">
        <f t="shared" si="11"/>
        <v>#DIV/0!</v>
      </c>
    </row>
    <row r="108" spans="2:48" x14ac:dyDescent="0.25">
      <c r="B108" s="52">
        <v>43304</v>
      </c>
      <c r="C108" s="47">
        <f>WEEKNUM(B108-RESUMEN!$D$7)</f>
        <v>10</v>
      </c>
      <c r="D108" s="47">
        <f>_xlfn.DAYS(B108,RESUMEN!$D$7)</f>
        <v>66</v>
      </c>
      <c r="E108" s="48" t="s">
        <v>123</v>
      </c>
      <c r="F108" s="54">
        <v>-12</v>
      </c>
      <c r="G108" s="66">
        <v>76</v>
      </c>
      <c r="H108" s="50">
        <f t="shared" si="6"/>
        <v>-6.333333333333333</v>
      </c>
      <c r="I108" s="90"/>
      <c r="J108" s="115"/>
      <c r="K108" s="47" t="e">
        <f>WEEKNUM(J108-RESUMEN!$P$7)</f>
        <v>#NUM!</v>
      </c>
      <c r="L108" s="47">
        <f>_xlfn.DAYS(J108,RESUMEN!$P$7)</f>
        <v>-43242</v>
      </c>
      <c r="M108" s="48"/>
      <c r="N108" s="54"/>
      <c r="O108" s="66"/>
      <c r="P108" s="50" t="e">
        <f t="shared" si="7"/>
        <v>#DIV/0!</v>
      </c>
      <c r="Q108" s="90"/>
      <c r="R108" s="115"/>
      <c r="S108" s="47" t="e">
        <f>WEEKNUM(R108-RESUMEN!$AB$7)</f>
        <v>#NUM!</v>
      </c>
      <c r="T108" s="47">
        <f>_xlfn.DAYS(R108,RESUMEN!$AB$7)</f>
        <v>-43247</v>
      </c>
      <c r="U108" s="48"/>
      <c r="V108" s="54"/>
      <c r="W108" s="66"/>
      <c r="X108" s="50" t="e">
        <f t="shared" si="8"/>
        <v>#DIV/0!</v>
      </c>
      <c r="Y108" s="90"/>
      <c r="Z108" s="115"/>
      <c r="AA108" s="47" t="e">
        <f>WEEKNUM(Z108-RESUMEN!$AN$7)</f>
        <v>#NUM!</v>
      </c>
      <c r="AB108" s="47">
        <f>_xlfn.DAYS(Z108,RESUMEN!$AN$7)</f>
        <v>-43254</v>
      </c>
      <c r="AC108" s="48"/>
      <c r="AD108" s="54"/>
      <c r="AE108" s="66"/>
      <c r="AF108" s="116" t="e">
        <f t="shared" si="9"/>
        <v>#DIV/0!</v>
      </c>
      <c r="AG108" s="83"/>
      <c r="AH108" s="115"/>
      <c r="AI108" s="47" t="e">
        <f>WEEKNUM(AH108-RESUMEN!$AZ$7)</f>
        <v>#NUM!</v>
      </c>
      <c r="AJ108" s="47">
        <f>_xlfn.DAYS(AH108,RESUMEN!$AZ$7)</f>
        <v>-43261</v>
      </c>
      <c r="AK108" s="79"/>
      <c r="AL108" s="54"/>
      <c r="AM108" s="66"/>
      <c r="AN108" s="50" t="e">
        <f t="shared" si="10"/>
        <v>#DIV/0!</v>
      </c>
      <c r="AO108" s="90"/>
      <c r="AP108" s="115"/>
      <c r="AQ108" s="47" t="e">
        <f>WEEKNUM(AP108-RESUMEN!$BL$7)</f>
        <v>#NUM!</v>
      </c>
      <c r="AR108" s="47">
        <f>_xlfn.DAYS(AP108,RESUMEN!$BL$7)</f>
        <v>-43267</v>
      </c>
      <c r="AS108" s="53"/>
      <c r="AT108" s="54"/>
      <c r="AU108" s="66"/>
      <c r="AV108" s="50" t="e">
        <f t="shared" si="11"/>
        <v>#DIV/0!</v>
      </c>
    </row>
    <row r="109" spans="2:48" x14ac:dyDescent="0.25">
      <c r="B109" s="52">
        <v>43305</v>
      </c>
      <c r="C109" s="47">
        <f>WEEKNUM(B109-RESUMEN!$D$7)</f>
        <v>10</v>
      </c>
      <c r="D109" s="47">
        <f>_xlfn.DAYS(B109,RESUMEN!$D$7)</f>
        <v>67</v>
      </c>
      <c r="E109" s="48" t="s">
        <v>279</v>
      </c>
      <c r="F109" s="54">
        <v>-5</v>
      </c>
      <c r="G109" s="66">
        <v>55</v>
      </c>
      <c r="H109" s="50">
        <f t="shared" si="6"/>
        <v>-11</v>
      </c>
      <c r="I109" s="90"/>
      <c r="J109" s="115"/>
      <c r="K109" s="47" t="e">
        <f>WEEKNUM(J109-RESUMEN!$P$7)</f>
        <v>#NUM!</v>
      </c>
      <c r="L109" s="47">
        <f>_xlfn.DAYS(J109,RESUMEN!$P$7)</f>
        <v>-43242</v>
      </c>
      <c r="M109" s="48"/>
      <c r="N109" s="54"/>
      <c r="O109" s="66"/>
      <c r="P109" s="50" t="e">
        <f t="shared" si="7"/>
        <v>#DIV/0!</v>
      </c>
      <c r="Q109" s="90"/>
      <c r="R109" s="115"/>
      <c r="S109" s="47" t="e">
        <f>WEEKNUM(R109-RESUMEN!$AB$7)</f>
        <v>#NUM!</v>
      </c>
      <c r="T109" s="47">
        <f>_xlfn.DAYS(R109,RESUMEN!$AB$7)</f>
        <v>-43247</v>
      </c>
      <c r="U109" s="48"/>
      <c r="V109" s="54"/>
      <c r="W109" s="66"/>
      <c r="X109" s="50" t="e">
        <f t="shared" si="8"/>
        <v>#DIV/0!</v>
      </c>
      <c r="Y109" s="90"/>
      <c r="Z109" s="115"/>
      <c r="AA109" s="47" t="e">
        <f>WEEKNUM(Z109-RESUMEN!$AN$7)</f>
        <v>#NUM!</v>
      </c>
      <c r="AB109" s="47">
        <f>_xlfn.DAYS(Z109,RESUMEN!$AN$7)</f>
        <v>-43254</v>
      </c>
      <c r="AC109" s="48"/>
      <c r="AD109" s="54"/>
      <c r="AE109" s="66"/>
      <c r="AF109" s="116" t="e">
        <f t="shared" si="9"/>
        <v>#DIV/0!</v>
      </c>
      <c r="AG109" s="83"/>
      <c r="AH109" s="115"/>
      <c r="AI109" s="47" t="e">
        <f>WEEKNUM(AH109-RESUMEN!$AZ$7)</f>
        <v>#NUM!</v>
      </c>
      <c r="AJ109" s="47">
        <f>_xlfn.DAYS(AH109,RESUMEN!$AZ$7)</f>
        <v>-43261</v>
      </c>
      <c r="AK109" s="79"/>
      <c r="AL109" s="54"/>
      <c r="AM109" s="66"/>
      <c r="AN109" s="50" t="e">
        <f t="shared" si="10"/>
        <v>#DIV/0!</v>
      </c>
      <c r="AO109" s="90"/>
      <c r="AP109" s="115"/>
      <c r="AQ109" s="47" t="e">
        <f>WEEKNUM(AP109-RESUMEN!$BL$7)</f>
        <v>#NUM!</v>
      </c>
      <c r="AR109" s="47">
        <f>_xlfn.DAYS(AP109,RESUMEN!$BL$7)</f>
        <v>-43267</v>
      </c>
      <c r="AS109" s="53"/>
      <c r="AT109" s="54"/>
      <c r="AU109" s="66"/>
      <c r="AV109" s="50" t="e">
        <f t="shared" si="11"/>
        <v>#DIV/0!</v>
      </c>
    </row>
    <row r="110" spans="2:48" x14ac:dyDescent="0.25">
      <c r="B110" s="52">
        <v>43305</v>
      </c>
      <c r="C110" s="47">
        <f>WEEKNUM(B110-RESUMEN!$D$7)</f>
        <v>10</v>
      </c>
      <c r="D110" s="47">
        <f>_xlfn.DAYS(B110,RESUMEN!$D$7)</f>
        <v>67</v>
      </c>
      <c r="E110" s="48" t="s">
        <v>123</v>
      </c>
      <c r="F110" s="54">
        <v>-10</v>
      </c>
      <c r="G110" s="66">
        <v>78</v>
      </c>
      <c r="H110" s="50">
        <f t="shared" si="6"/>
        <v>-7.8</v>
      </c>
      <c r="I110" s="90"/>
      <c r="J110" s="115"/>
      <c r="K110" s="47" t="e">
        <f>WEEKNUM(J110-RESUMEN!$P$7)</f>
        <v>#NUM!</v>
      </c>
      <c r="L110" s="47">
        <f>_xlfn.DAYS(J110,RESUMEN!$P$7)</f>
        <v>-43242</v>
      </c>
      <c r="M110" s="48"/>
      <c r="N110" s="54"/>
      <c r="O110" s="66"/>
      <c r="P110" s="50" t="e">
        <f t="shared" si="7"/>
        <v>#DIV/0!</v>
      </c>
      <c r="Q110" s="90"/>
      <c r="R110" s="115"/>
      <c r="S110" s="47" t="e">
        <f>WEEKNUM(R110-RESUMEN!$AB$7)</f>
        <v>#NUM!</v>
      </c>
      <c r="T110" s="47">
        <f>_xlfn.DAYS(R110,RESUMEN!$AB$7)</f>
        <v>-43247</v>
      </c>
      <c r="U110" s="48"/>
      <c r="V110" s="54"/>
      <c r="W110" s="66"/>
      <c r="X110" s="50" t="e">
        <f t="shared" si="8"/>
        <v>#DIV/0!</v>
      </c>
      <c r="Y110" s="90"/>
      <c r="Z110" s="115"/>
      <c r="AA110" s="47" t="e">
        <f>WEEKNUM(Z110-RESUMEN!$AN$7)</f>
        <v>#NUM!</v>
      </c>
      <c r="AB110" s="47">
        <f>_xlfn.DAYS(Z110,RESUMEN!$AN$7)</f>
        <v>-43254</v>
      </c>
      <c r="AC110" s="48"/>
      <c r="AD110" s="54"/>
      <c r="AE110" s="66"/>
      <c r="AF110" s="116" t="e">
        <f t="shared" si="9"/>
        <v>#DIV/0!</v>
      </c>
      <c r="AG110" s="83"/>
      <c r="AH110" s="115"/>
      <c r="AI110" s="47" t="e">
        <f>WEEKNUM(AH110-RESUMEN!$AZ$7)</f>
        <v>#NUM!</v>
      </c>
      <c r="AJ110" s="47">
        <f>_xlfn.DAYS(AH110,RESUMEN!$AZ$7)</f>
        <v>-43261</v>
      </c>
      <c r="AK110" s="79"/>
      <c r="AL110" s="54"/>
      <c r="AM110" s="66"/>
      <c r="AN110" s="50" t="e">
        <f t="shared" si="10"/>
        <v>#DIV/0!</v>
      </c>
      <c r="AO110" s="90"/>
      <c r="AP110" s="115"/>
      <c r="AQ110" s="47" t="e">
        <f>WEEKNUM(AP110-RESUMEN!$BL$7)</f>
        <v>#NUM!</v>
      </c>
      <c r="AR110" s="47">
        <f>_xlfn.DAYS(AP110,RESUMEN!$BL$7)</f>
        <v>-43267</v>
      </c>
      <c r="AS110" s="53"/>
      <c r="AT110" s="54"/>
      <c r="AU110" s="66"/>
      <c r="AV110" s="50" t="e">
        <f t="shared" si="11"/>
        <v>#DIV/0!</v>
      </c>
    </row>
    <row r="111" spans="2:48" x14ac:dyDescent="0.25">
      <c r="B111" s="52">
        <v>43306</v>
      </c>
      <c r="C111" s="47">
        <f>WEEKNUM(B111-RESUMEN!$D$7)</f>
        <v>10</v>
      </c>
      <c r="D111" s="47">
        <f>_xlfn.DAYS(B111,RESUMEN!$D$7)</f>
        <v>68</v>
      </c>
      <c r="E111" s="48" t="s">
        <v>279</v>
      </c>
      <c r="F111" s="54">
        <v>-7</v>
      </c>
      <c r="G111" s="66">
        <v>69</v>
      </c>
      <c r="H111" s="50">
        <f t="shared" si="6"/>
        <v>-9.8571428571428577</v>
      </c>
      <c r="I111" s="90"/>
      <c r="J111" s="115"/>
      <c r="K111" s="47" t="e">
        <f>WEEKNUM(J111-RESUMEN!$P$7)</f>
        <v>#NUM!</v>
      </c>
      <c r="L111" s="47">
        <f>_xlfn.DAYS(J111,RESUMEN!$P$7)</f>
        <v>-43242</v>
      </c>
      <c r="M111" s="48"/>
      <c r="N111" s="54"/>
      <c r="O111" s="66"/>
      <c r="P111" s="50" t="e">
        <f t="shared" si="7"/>
        <v>#DIV/0!</v>
      </c>
      <c r="Q111" s="90"/>
      <c r="R111" s="115"/>
      <c r="S111" s="47" t="e">
        <f>WEEKNUM(R111-RESUMEN!$AB$7)</f>
        <v>#NUM!</v>
      </c>
      <c r="T111" s="47">
        <f>_xlfn.DAYS(R111,RESUMEN!$AB$7)</f>
        <v>-43247</v>
      </c>
      <c r="U111" s="48"/>
      <c r="V111" s="54"/>
      <c r="W111" s="66"/>
      <c r="X111" s="50" t="e">
        <f t="shared" si="8"/>
        <v>#DIV/0!</v>
      </c>
      <c r="Y111" s="90"/>
      <c r="Z111" s="115"/>
      <c r="AA111" s="47" t="e">
        <f>WEEKNUM(Z111-RESUMEN!$AN$7)</f>
        <v>#NUM!</v>
      </c>
      <c r="AB111" s="47">
        <f>_xlfn.DAYS(Z111,RESUMEN!$AN$7)</f>
        <v>-43254</v>
      </c>
      <c r="AC111" s="48"/>
      <c r="AD111" s="54"/>
      <c r="AE111" s="66"/>
      <c r="AF111" s="116" t="e">
        <f t="shared" si="9"/>
        <v>#DIV/0!</v>
      </c>
      <c r="AG111" s="83"/>
      <c r="AH111" s="115"/>
      <c r="AI111" s="47" t="e">
        <f>WEEKNUM(AH111-RESUMEN!$AZ$7)</f>
        <v>#NUM!</v>
      </c>
      <c r="AJ111" s="47">
        <f>_xlfn.DAYS(AH111,RESUMEN!$AZ$7)</f>
        <v>-43261</v>
      </c>
      <c r="AK111" s="79"/>
      <c r="AL111" s="54"/>
      <c r="AM111" s="66"/>
      <c r="AN111" s="50" t="e">
        <f t="shared" si="10"/>
        <v>#DIV/0!</v>
      </c>
      <c r="AO111" s="90"/>
      <c r="AP111" s="115"/>
      <c r="AQ111" s="47" t="e">
        <f>WEEKNUM(AP111-RESUMEN!$BL$7)</f>
        <v>#NUM!</v>
      </c>
      <c r="AR111" s="47">
        <f>_xlfn.DAYS(AP111,RESUMEN!$BL$7)</f>
        <v>-43267</v>
      </c>
      <c r="AS111" s="53"/>
      <c r="AT111" s="54"/>
      <c r="AU111" s="66"/>
      <c r="AV111" s="50" t="e">
        <f t="shared" si="11"/>
        <v>#DIV/0!</v>
      </c>
    </row>
    <row r="112" spans="2:48" x14ac:dyDescent="0.25">
      <c r="B112" s="52">
        <v>43306</v>
      </c>
      <c r="C112" s="47">
        <f>WEEKNUM(B112-RESUMEN!$D$7)</f>
        <v>10</v>
      </c>
      <c r="D112" s="47">
        <f>_xlfn.DAYS(B112,RESUMEN!$D$7)</f>
        <v>68</v>
      </c>
      <c r="E112" s="48" t="s">
        <v>161</v>
      </c>
      <c r="F112" s="54">
        <v>-4</v>
      </c>
      <c r="G112" s="66">
        <v>18</v>
      </c>
      <c r="H112" s="50">
        <f t="shared" si="6"/>
        <v>-4.5</v>
      </c>
      <c r="I112" s="90"/>
      <c r="J112" s="115"/>
      <c r="K112" s="47" t="e">
        <f>WEEKNUM(J112-RESUMEN!$P$7)</f>
        <v>#NUM!</v>
      </c>
      <c r="L112" s="47">
        <f>_xlfn.DAYS(J112,RESUMEN!$P$7)</f>
        <v>-43242</v>
      </c>
      <c r="M112" s="48"/>
      <c r="N112" s="54"/>
      <c r="O112" s="66"/>
      <c r="P112" s="50" t="e">
        <f t="shared" si="7"/>
        <v>#DIV/0!</v>
      </c>
      <c r="Q112" s="90"/>
      <c r="R112" s="115"/>
      <c r="S112" s="47" t="e">
        <f>WEEKNUM(R112-RESUMEN!$AB$7)</f>
        <v>#NUM!</v>
      </c>
      <c r="T112" s="47">
        <f>_xlfn.DAYS(R112,RESUMEN!$AB$7)</f>
        <v>-43247</v>
      </c>
      <c r="U112" s="48"/>
      <c r="V112" s="54"/>
      <c r="W112" s="66"/>
      <c r="X112" s="50" t="e">
        <f t="shared" si="8"/>
        <v>#DIV/0!</v>
      </c>
      <c r="Y112" s="90"/>
      <c r="Z112" s="115"/>
      <c r="AA112" s="47" t="e">
        <f>WEEKNUM(Z112-RESUMEN!$AN$7)</f>
        <v>#NUM!</v>
      </c>
      <c r="AB112" s="47">
        <f>_xlfn.DAYS(Z112,RESUMEN!$AN$7)</f>
        <v>-43254</v>
      </c>
      <c r="AC112" s="48"/>
      <c r="AD112" s="54"/>
      <c r="AE112" s="66"/>
      <c r="AF112" s="116" t="e">
        <f t="shared" si="9"/>
        <v>#DIV/0!</v>
      </c>
      <c r="AG112" s="83"/>
      <c r="AH112" s="115"/>
      <c r="AI112" s="47" t="e">
        <f>WEEKNUM(AH112-RESUMEN!$AZ$7)</f>
        <v>#NUM!</v>
      </c>
      <c r="AJ112" s="47">
        <f>_xlfn.DAYS(AH112,RESUMEN!$AZ$7)</f>
        <v>-43261</v>
      </c>
      <c r="AK112" s="79"/>
      <c r="AL112" s="54"/>
      <c r="AM112" s="66"/>
      <c r="AN112" s="50" t="e">
        <f t="shared" si="10"/>
        <v>#DIV/0!</v>
      </c>
      <c r="AO112" s="90"/>
      <c r="AP112" s="115"/>
      <c r="AQ112" s="47" t="e">
        <f>WEEKNUM(AP112-RESUMEN!$BL$7)</f>
        <v>#NUM!</v>
      </c>
      <c r="AR112" s="47">
        <f>_xlfn.DAYS(AP112,RESUMEN!$BL$7)</f>
        <v>-43267</v>
      </c>
      <c r="AS112" s="53"/>
      <c r="AT112" s="54"/>
      <c r="AU112" s="66"/>
      <c r="AV112" s="50" t="e">
        <f t="shared" si="11"/>
        <v>#DIV/0!</v>
      </c>
    </row>
    <row r="113" spans="2:48" x14ac:dyDescent="0.25">
      <c r="B113" s="52">
        <v>43306</v>
      </c>
      <c r="C113" s="47">
        <f>WEEKNUM(B113-RESUMEN!$D$7)</f>
        <v>10</v>
      </c>
      <c r="D113" s="47">
        <f>_xlfn.DAYS(B113,RESUMEN!$D$7)</f>
        <v>68</v>
      </c>
      <c r="E113" s="48" t="s">
        <v>123</v>
      </c>
      <c r="F113" s="54">
        <v>-8</v>
      </c>
      <c r="G113" s="66">
        <v>62</v>
      </c>
      <c r="H113" s="50">
        <f t="shared" si="6"/>
        <v>-7.75</v>
      </c>
      <c r="I113" s="90"/>
      <c r="J113" s="115"/>
      <c r="K113" s="47" t="e">
        <f>WEEKNUM(J113-RESUMEN!$P$7)</f>
        <v>#NUM!</v>
      </c>
      <c r="L113" s="47">
        <f>_xlfn.DAYS(J113,RESUMEN!$P$7)</f>
        <v>-43242</v>
      </c>
      <c r="M113" s="48"/>
      <c r="N113" s="54"/>
      <c r="O113" s="66"/>
      <c r="P113" s="50" t="e">
        <f t="shared" si="7"/>
        <v>#DIV/0!</v>
      </c>
      <c r="Q113" s="90"/>
      <c r="R113" s="115"/>
      <c r="S113" s="47" t="e">
        <f>WEEKNUM(R113-RESUMEN!$AB$7)</f>
        <v>#NUM!</v>
      </c>
      <c r="T113" s="47">
        <f>_xlfn.DAYS(R113,RESUMEN!$AB$7)</f>
        <v>-43247</v>
      </c>
      <c r="U113" s="48"/>
      <c r="V113" s="54"/>
      <c r="W113" s="66"/>
      <c r="X113" s="50" t="e">
        <f t="shared" si="8"/>
        <v>#DIV/0!</v>
      </c>
      <c r="Y113" s="90"/>
      <c r="Z113" s="115"/>
      <c r="AA113" s="47" t="e">
        <f>WEEKNUM(Z113-RESUMEN!$AN$7)</f>
        <v>#NUM!</v>
      </c>
      <c r="AB113" s="47">
        <f>_xlfn.DAYS(Z113,RESUMEN!$AN$7)</f>
        <v>-43254</v>
      </c>
      <c r="AC113" s="48"/>
      <c r="AD113" s="54"/>
      <c r="AE113" s="66"/>
      <c r="AF113" s="116" t="e">
        <f t="shared" si="9"/>
        <v>#DIV/0!</v>
      </c>
      <c r="AG113" s="83"/>
      <c r="AH113" s="115"/>
      <c r="AI113" s="47" t="e">
        <f>WEEKNUM(AH113-RESUMEN!$AZ$7)</f>
        <v>#NUM!</v>
      </c>
      <c r="AJ113" s="47">
        <f>_xlfn.DAYS(AH113,RESUMEN!$AZ$7)</f>
        <v>-43261</v>
      </c>
      <c r="AK113" s="79"/>
      <c r="AL113" s="54"/>
      <c r="AM113" s="66"/>
      <c r="AN113" s="50" t="e">
        <f t="shared" si="10"/>
        <v>#DIV/0!</v>
      </c>
      <c r="AO113" s="90"/>
      <c r="AP113" s="115"/>
      <c r="AQ113" s="47" t="e">
        <f>WEEKNUM(AP113-RESUMEN!$BL$7)</f>
        <v>#NUM!</v>
      </c>
      <c r="AR113" s="47">
        <f>_xlfn.DAYS(AP113,RESUMEN!$BL$7)</f>
        <v>-43267</v>
      </c>
      <c r="AS113" s="53"/>
      <c r="AT113" s="54"/>
      <c r="AU113" s="66"/>
      <c r="AV113" s="50" t="e">
        <f t="shared" si="11"/>
        <v>#DIV/0!</v>
      </c>
    </row>
    <row r="114" spans="2:48" x14ac:dyDescent="0.25">
      <c r="B114" s="52">
        <v>43307</v>
      </c>
      <c r="C114" s="47">
        <f>WEEKNUM(B114-RESUMEN!$D$7)</f>
        <v>10</v>
      </c>
      <c r="D114" s="47">
        <f>_xlfn.DAYS(B114,RESUMEN!$D$7)</f>
        <v>69</v>
      </c>
      <c r="E114" s="48" t="s">
        <v>279</v>
      </c>
      <c r="F114" s="54">
        <v>-4</v>
      </c>
      <c r="G114" s="66">
        <v>47</v>
      </c>
      <c r="H114" s="50">
        <f t="shared" si="6"/>
        <v>-11.75</v>
      </c>
      <c r="I114" s="90"/>
      <c r="J114" s="115"/>
      <c r="K114" s="47" t="e">
        <f>WEEKNUM(J114-RESUMEN!$P$7)</f>
        <v>#NUM!</v>
      </c>
      <c r="L114" s="47">
        <f>_xlfn.DAYS(J114,RESUMEN!$P$7)</f>
        <v>-43242</v>
      </c>
      <c r="M114" s="48"/>
      <c r="N114" s="54"/>
      <c r="O114" s="66"/>
      <c r="P114" s="50" t="e">
        <f t="shared" si="7"/>
        <v>#DIV/0!</v>
      </c>
      <c r="Q114" s="90"/>
      <c r="R114" s="115"/>
      <c r="S114" s="47" t="e">
        <f>WEEKNUM(R114-RESUMEN!$AB$7)</f>
        <v>#NUM!</v>
      </c>
      <c r="T114" s="47">
        <f>_xlfn.DAYS(R114,RESUMEN!$AB$7)</f>
        <v>-43247</v>
      </c>
      <c r="U114" s="48"/>
      <c r="V114" s="54"/>
      <c r="W114" s="66"/>
      <c r="X114" s="50" t="e">
        <f t="shared" si="8"/>
        <v>#DIV/0!</v>
      </c>
      <c r="Y114" s="90"/>
      <c r="Z114" s="115"/>
      <c r="AA114" s="47" t="e">
        <f>WEEKNUM(Z114-RESUMEN!$AN$7)</f>
        <v>#NUM!</v>
      </c>
      <c r="AB114" s="47">
        <f>_xlfn.DAYS(Z114,RESUMEN!$AN$7)</f>
        <v>-43254</v>
      </c>
      <c r="AC114" s="48"/>
      <c r="AD114" s="54"/>
      <c r="AE114" s="66"/>
      <c r="AF114" s="116" t="e">
        <f t="shared" si="9"/>
        <v>#DIV/0!</v>
      </c>
      <c r="AG114" s="83"/>
      <c r="AH114" s="115"/>
      <c r="AI114" s="47" t="e">
        <f>WEEKNUM(AH114-RESUMEN!$AZ$7)</f>
        <v>#NUM!</v>
      </c>
      <c r="AJ114" s="47">
        <f>_xlfn.DAYS(AH114,RESUMEN!$AZ$7)</f>
        <v>-43261</v>
      </c>
      <c r="AK114" s="79"/>
      <c r="AL114" s="54"/>
      <c r="AM114" s="66"/>
      <c r="AN114" s="50" t="e">
        <f t="shared" si="10"/>
        <v>#DIV/0!</v>
      </c>
      <c r="AO114" s="90"/>
      <c r="AP114" s="115"/>
      <c r="AQ114" s="47" t="e">
        <f>WEEKNUM(AP114-RESUMEN!$BL$7)</f>
        <v>#NUM!</v>
      </c>
      <c r="AR114" s="47">
        <f>_xlfn.DAYS(AP114,RESUMEN!$BL$7)</f>
        <v>-43267</v>
      </c>
      <c r="AS114" s="53"/>
      <c r="AT114" s="54"/>
      <c r="AU114" s="66"/>
      <c r="AV114" s="50" t="e">
        <f t="shared" si="11"/>
        <v>#DIV/0!</v>
      </c>
    </row>
    <row r="115" spans="2:48" x14ac:dyDescent="0.25">
      <c r="B115" s="52">
        <v>43307</v>
      </c>
      <c r="C115" s="47">
        <f>WEEKNUM(B115-RESUMEN!$D$7)</f>
        <v>10</v>
      </c>
      <c r="D115" s="47">
        <f>_xlfn.DAYS(B115,RESUMEN!$D$7)</f>
        <v>69</v>
      </c>
      <c r="E115" s="48" t="s">
        <v>123</v>
      </c>
      <c r="F115" s="54">
        <v>-10</v>
      </c>
      <c r="G115" s="66">
        <v>95</v>
      </c>
      <c r="H115" s="50">
        <f t="shared" si="6"/>
        <v>-9.5</v>
      </c>
      <c r="I115" s="90"/>
      <c r="J115" s="115"/>
      <c r="K115" s="47" t="e">
        <f>WEEKNUM(J115-RESUMEN!$P$7)</f>
        <v>#NUM!</v>
      </c>
      <c r="L115" s="47">
        <f>_xlfn.DAYS(J115,RESUMEN!$P$7)</f>
        <v>-43242</v>
      </c>
      <c r="M115" s="48"/>
      <c r="N115" s="54"/>
      <c r="O115" s="66"/>
      <c r="P115" s="50" t="e">
        <f t="shared" si="7"/>
        <v>#DIV/0!</v>
      </c>
      <c r="Q115" s="90"/>
      <c r="R115" s="115"/>
      <c r="S115" s="47" t="e">
        <f>WEEKNUM(R115-RESUMEN!$AB$7)</f>
        <v>#NUM!</v>
      </c>
      <c r="T115" s="47">
        <f>_xlfn.DAYS(R115,RESUMEN!$AB$7)</f>
        <v>-43247</v>
      </c>
      <c r="U115" s="48"/>
      <c r="V115" s="54"/>
      <c r="W115" s="66"/>
      <c r="X115" s="50" t="e">
        <f t="shared" si="8"/>
        <v>#DIV/0!</v>
      </c>
      <c r="Y115" s="90"/>
      <c r="Z115" s="115"/>
      <c r="AA115" s="47" t="e">
        <f>WEEKNUM(Z115-RESUMEN!$AN$7)</f>
        <v>#NUM!</v>
      </c>
      <c r="AB115" s="47">
        <f>_xlfn.DAYS(Z115,RESUMEN!$AN$7)</f>
        <v>-43254</v>
      </c>
      <c r="AC115" s="48"/>
      <c r="AD115" s="54"/>
      <c r="AE115" s="66"/>
      <c r="AF115" s="116" t="e">
        <f t="shared" si="9"/>
        <v>#DIV/0!</v>
      </c>
      <c r="AG115" s="83"/>
      <c r="AH115" s="115"/>
      <c r="AI115" s="47" t="e">
        <f>WEEKNUM(AH115-RESUMEN!$AZ$7)</f>
        <v>#NUM!</v>
      </c>
      <c r="AJ115" s="47">
        <f>_xlfn.DAYS(AH115,RESUMEN!$AZ$7)</f>
        <v>-43261</v>
      </c>
      <c r="AK115" s="79"/>
      <c r="AL115" s="54"/>
      <c r="AM115" s="66"/>
      <c r="AN115" s="50" t="e">
        <f t="shared" si="10"/>
        <v>#DIV/0!</v>
      </c>
      <c r="AO115" s="90"/>
      <c r="AP115" s="115"/>
      <c r="AQ115" s="47" t="e">
        <f>WEEKNUM(AP115-RESUMEN!$BL$7)</f>
        <v>#NUM!</v>
      </c>
      <c r="AR115" s="47">
        <f>_xlfn.DAYS(AP115,RESUMEN!$BL$7)</f>
        <v>-43267</v>
      </c>
      <c r="AS115" s="53"/>
      <c r="AT115" s="54"/>
      <c r="AU115" s="66"/>
      <c r="AV115" s="50" t="e">
        <f t="shared" si="11"/>
        <v>#DIV/0!</v>
      </c>
    </row>
    <row r="116" spans="2:48" x14ac:dyDescent="0.25">
      <c r="B116" s="52">
        <v>43308</v>
      </c>
      <c r="C116" s="47">
        <f>WEEKNUM(B116-RESUMEN!$D$7)</f>
        <v>10</v>
      </c>
      <c r="D116" s="47">
        <f>_xlfn.DAYS(B116,RESUMEN!$D$7)</f>
        <v>70</v>
      </c>
      <c r="E116" s="48" t="s">
        <v>102</v>
      </c>
      <c r="F116" s="54">
        <v>-5</v>
      </c>
      <c r="G116" s="66">
        <v>67</v>
      </c>
      <c r="H116" s="50">
        <f t="shared" si="6"/>
        <v>-13.4</v>
      </c>
      <c r="I116" s="90"/>
      <c r="J116" s="115"/>
      <c r="K116" s="47" t="e">
        <f>WEEKNUM(J116-RESUMEN!$P$7)</f>
        <v>#NUM!</v>
      </c>
      <c r="L116" s="47">
        <f>_xlfn.DAYS(J116,RESUMEN!$P$7)</f>
        <v>-43242</v>
      </c>
      <c r="M116" s="48"/>
      <c r="N116" s="54"/>
      <c r="O116" s="66"/>
      <c r="P116" s="50" t="e">
        <f t="shared" si="7"/>
        <v>#DIV/0!</v>
      </c>
      <c r="Q116" s="90"/>
      <c r="R116" s="115"/>
      <c r="S116" s="47" t="e">
        <f>WEEKNUM(R116-RESUMEN!$AB$7)</f>
        <v>#NUM!</v>
      </c>
      <c r="T116" s="47">
        <f>_xlfn.DAYS(R116,RESUMEN!$AB$7)</f>
        <v>-43247</v>
      </c>
      <c r="U116" s="48"/>
      <c r="V116" s="54"/>
      <c r="W116" s="66"/>
      <c r="X116" s="50" t="e">
        <f t="shared" si="8"/>
        <v>#DIV/0!</v>
      </c>
      <c r="Y116" s="90"/>
      <c r="Z116" s="115"/>
      <c r="AA116" s="47" t="e">
        <f>WEEKNUM(Z116-RESUMEN!$AN$7)</f>
        <v>#NUM!</v>
      </c>
      <c r="AB116" s="47">
        <f>_xlfn.DAYS(Z116,RESUMEN!$AN$7)</f>
        <v>-43254</v>
      </c>
      <c r="AC116" s="48"/>
      <c r="AD116" s="54"/>
      <c r="AE116" s="66"/>
      <c r="AF116" s="116" t="e">
        <f t="shared" si="9"/>
        <v>#DIV/0!</v>
      </c>
      <c r="AG116" s="83"/>
      <c r="AH116" s="115"/>
      <c r="AI116" s="47" t="e">
        <f>WEEKNUM(AH116-RESUMEN!$AZ$7)</f>
        <v>#NUM!</v>
      </c>
      <c r="AJ116" s="47">
        <f>_xlfn.DAYS(AH116,RESUMEN!$AZ$7)</f>
        <v>-43261</v>
      </c>
      <c r="AK116" s="79"/>
      <c r="AL116" s="54"/>
      <c r="AM116" s="66"/>
      <c r="AN116" s="50" t="e">
        <f t="shared" si="10"/>
        <v>#DIV/0!</v>
      </c>
      <c r="AO116" s="90"/>
      <c r="AP116" s="115"/>
      <c r="AQ116" s="47" t="e">
        <f>WEEKNUM(AP116-RESUMEN!$BL$7)</f>
        <v>#NUM!</v>
      </c>
      <c r="AR116" s="47">
        <f>_xlfn.DAYS(AP116,RESUMEN!$BL$7)</f>
        <v>-43267</v>
      </c>
      <c r="AS116" s="53"/>
      <c r="AT116" s="54"/>
      <c r="AU116" s="66"/>
      <c r="AV116" s="50" t="e">
        <f t="shared" si="11"/>
        <v>#DIV/0!</v>
      </c>
    </row>
    <row r="117" spans="2:48" x14ac:dyDescent="0.25">
      <c r="B117" s="52">
        <v>43308</v>
      </c>
      <c r="C117" s="47">
        <f>WEEKNUM(B117-RESUMEN!$D$7)</f>
        <v>10</v>
      </c>
      <c r="D117" s="47">
        <f>_xlfn.DAYS(B117,RESUMEN!$D$7)</f>
        <v>70</v>
      </c>
      <c r="E117" s="48" t="s">
        <v>274</v>
      </c>
      <c r="F117" s="54">
        <v>-10</v>
      </c>
      <c r="G117" s="66">
        <v>95</v>
      </c>
      <c r="H117" s="50">
        <f t="shared" si="6"/>
        <v>-9.5</v>
      </c>
      <c r="I117" s="90"/>
      <c r="J117" s="115"/>
      <c r="K117" s="47" t="e">
        <f>WEEKNUM(J117-RESUMEN!$P$7)</f>
        <v>#NUM!</v>
      </c>
      <c r="L117" s="47">
        <f>_xlfn.DAYS(J117,RESUMEN!$P$7)</f>
        <v>-43242</v>
      </c>
      <c r="M117" s="48"/>
      <c r="N117" s="54"/>
      <c r="O117" s="66"/>
      <c r="P117" s="50" t="e">
        <f t="shared" si="7"/>
        <v>#DIV/0!</v>
      </c>
      <c r="Q117" s="90"/>
      <c r="R117" s="115"/>
      <c r="S117" s="47" t="e">
        <f>WEEKNUM(R117-RESUMEN!$AB$7)</f>
        <v>#NUM!</v>
      </c>
      <c r="T117" s="47">
        <f>_xlfn.DAYS(R117,RESUMEN!$AB$7)</f>
        <v>-43247</v>
      </c>
      <c r="U117" s="48"/>
      <c r="V117" s="54"/>
      <c r="W117" s="66"/>
      <c r="X117" s="50" t="e">
        <f t="shared" si="8"/>
        <v>#DIV/0!</v>
      </c>
      <c r="Y117" s="90"/>
      <c r="Z117" s="115"/>
      <c r="AA117" s="47" t="e">
        <f>WEEKNUM(Z117-RESUMEN!$AN$7)</f>
        <v>#NUM!</v>
      </c>
      <c r="AB117" s="47">
        <f>_xlfn.DAYS(Z117,RESUMEN!$AN$7)</f>
        <v>-43254</v>
      </c>
      <c r="AC117" s="48"/>
      <c r="AD117" s="54"/>
      <c r="AE117" s="66"/>
      <c r="AF117" s="116" t="e">
        <f t="shared" si="9"/>
        <v>#DIV/0!</v>
      </c>
      <c r="AG117" s="83"/>
      <c r="AH117" s="115"/>
      <c r="AI117" s="47" t="e">
        <f>WEEKNUM(AH117-RESUMEN!$AZ$7)</f>
        <v>#NUM!</v>
      </c>
      <c r="AJ117" s="47">
        <f>_xlfn.DAYS(AH117,RESUMEN!$AZ$7)</f>
        <v>-43261</v>
      </c>
      <c r="AK117" s="79"/>
      <c r="AL117" s="54"/>
      <c r="AM117" s="66"/>
      <c r="AN117" s="50" t="e">
        <f t="shared" si="10"/>
        <v>#DIV/0!</v>
      </c>
      <c r="AO117" s="90"/>
      <c r="AP117" s="115"/>
      <c r="AQ117" s="47" t="e">
        <f>WEEKNUM(AP117-RESUMEN!$BL$7)</f>
        <v>#NUM!</v>
      </c>
      <c r="AR117" s="47">
        <f>_xlfn.DAYS(AP117,RESUMEN!$BL$7)</f>
        <v>-43267</v>
      </c>
      <c r="AS117" s="53"/>
      <c r="AT117" s="54"/>
      <c r="AU117" s="66"/>
      <c r="AV117" s="50" t="e">
        <f t="shared" si="11"/>
        <v>#DIV/0!</v>
      </c>
    </row>
    <row r="118" spans="2:48" x14ac:dyDescent="0.25">
      <c r="B118" s="52">
        <v>43309</v>
      </c>
      <c r="C118" s="47">
        <f>WEEKNUM(B118-RESUMEN!$D$7)</f>
        <v>11</v>
      </c>
      <c r="D118" s="47">
        <f>_xlfn.DAYS(B118,RESUMEN!$D$7)</f>
        <v>71</v>
      </c>
      <c r="E118" s="48" t="s">
        <v>274</v>
      </c>
      <c r="F118" s="54">
        <v>-10</v>
      </c>
      <c r="G118" s="66">
        <v>95</v>
      </c>
      <c r="H118" s="50">
        <f t="shared" si="6"/>
        <v>-9.5</v>
      </c>
      <c r="I118" s="90"/>
      <c r="J118" s="115"/>
      <c r="K118" s="47" t="e">
        <f>WEEKNUM(J118-RESUMEN!$P$7)</f>
        <v>#NUM!</v>
      </c>
      <c r="L118" s="47">
        <f>_xlfn.DAYS(J118,RESUMEN!$P$7)</f>
        <v>-43242</v>
      </c>
      <c r="M118" s="48"/>
      <c r="N118" s="54"/>
      <c r="O118" s="66"/>
      <c r="P118" s="50" t="e">
        <f t="shared" si="7"/>
        <v>#DIV/0!</v>
      </c>
      <c r="Q118" s="90"/>
      <c r="R118" s="115"/>
      <c r="S118" s="47" t="e">
        <f>WEEKNUM(R118-RESUMEN!$AB$7)</f>
        <v>#NUM!</v>
      </c>
      <c r="T118" s="47">
        <f>_xlfn.DAYS(R118,RESUMEN!$AB$7)</f>
        <v>-43247</v>
      </c>
      <c r="U118" s="48"/>
      <c r="V118" s="54"/>
      <c r="W118" s="66"/>
      <c r="X118" s="50" t="e">
        <f t="shared" si="8"/>
        <v>#DIV/0!</v>
      </c>
      <c r="Y118" s="90"/>
      <c r="Z118" s="115"/>
      <c r="AA118" s="47" t="e">
        <f>WEEKNUM(Z118-RESUMEN!$AN$7)</f>
        <v>#NUM!</v>
      </c>
      <c r="AB118" s="47">
        <f>_xlfn.DAYS(Z118,RESUMEN!$AN$7)</f>
        <v>-43254</v>
      </c>
      <c r="AC118" s="48"/>
      <c r="AD118" s="54"/>
      <c r="AE118" s="66"/>
      <c r="AF118" s="116" t="e">
        <f t="shared" si="9"/>
        <v>#DIV/0!</v>
      </c>
      <c r="AG118" s="83"/>
      <c r="AH118" s="115"/>
      <c r="AI118" s="47" t="e">
        <f>WEEKNUM(AH118-RESUMEN!$AZ$7)</f>
        <v>#NUM!</v>
      </c>
      <c r="AJ118" s="47">
        <f>_xlfn.DAYS(AH118,RESUMEN!$AZ$7)</f>
        <v>-43261</v>
      </c>
      <c r="AK118" s="79"/>
      <c r="AL118" s="54"/>
      <c r="AM118" s="66"/>
      <c r="AN118" s="50" t="e">
        <f t="shared" si="10"/>
        <v>#DIV/0!</v>
      </c>
      <c r="AO118" s="90"/>
      <c r="AP118" s="115"/>
      <c r="AQ118" s="47" t="e">
        <f>WEEKNUM(AP118-RESUMEN!$BL$7)</f>
        <v>#NUM!</v>
      </c>
      <c r="AR118" s="47">
        <f>_xlfn.DAYS(AP118,RESUMEN!$BL$7)</f>
        <v>-43267</v>
      </c>
      <c r="AS118" s="49"/>
      <c r="AT118" s="54"/>
      <c r="AU118" s="66"/>
      <c r="AV118" s="50" t="e">
        <f t="shared" si="11"/>
        <v>#DIV/0!</v>
      </c>
    </row>
    <row r="119" spans="2:48" x14ac:dyDescent="0.25">
      <c r="B119" s="52">
        <v>43310</v>
      </c>
      <c r="C119" s="47">
        <f>WEEKNUM(B119-RESUMEN!$D$7)</f>
        <v>11</v>
      </c>
      <c r="D119" s="47">
        <f>_xlfn.DAYS(B119,RESUMEN!$D$7)</f>
        <v>72</v>
      </c>
      <c r="E119" s="48" t="s">
        <v>123</v>
      </c>
      <c r="F119" s="54">
        <v>-13</v>
      </c>
      <c r="G119" s="66">
        <v>107</v>
      </c>
      <c r="H119" s="50">
        <f t="shared" si="6"/>
        <v>-8.2307692307692299</v>
      </c>
      <c r="I119" s="90"/>
      <c r="J119" s="115"/>
      <c r="K119" s="47" t="e">
        <f>WEEKNUM(J119-RESUMEN!$P$7)</f>
        <v>#NUM!</v>
      </c>
      <c r="L119" s="47">
        <f>_xlfn.DAYS(J119,RESUMEN!$P$7)</f>
        <v>-43242</v>
      </c>
      <c r="M119" s="48"/>
      <c r="N119" s="54"/>
      <c r="O119" s="66"/>
      <c r="P119" s="50" t="e">
        <f t="shared" si="7"/>
        <v>#DIV/0!</v>
      </c>
      <c r="Q119" s="90"/>
      <c r="R119" s="115"/>
      <c r="S119" s="47" t="e">
        <f>WEEKNUM(R119-RESUMEN!$AB$7)</f>
        <v>#NUM!</v>
      </c>
      <c r="T119" s="47">
        <f>_xlfn.DAYS(R119,RESUMEN!$AB$7)</f>
        <v>-43247</v>
      </c>
      <c r="U119" s="48"/>
      <c r="V119" s="54"/>
      <c r="W119" s="66"/>
      <c r="X119" s="50" t="e">
        <f t="shared" si="8"/>
        <v>#DIV/0!</v>
      </c>
      <c r="Y119" s="90"/>
      <c r="Z119" s="115"/>
      <c r="AA119" s="47" t="e">
        <f>WEEKNUM(Z119-RESUMEN!$AN$7)</f>
        <v>#NUM!</v>
      </c>
      <c r="AB119" s="47">
        <f>_xlfn.DAYS(Z119,RESUMEN!$AN$7)</f>
        <v>-43254</v>
      </c>
      <c r="AC119" s="48"/>
      <c r="AD119" s="54"/>
      <c r="AE119" s="66"/>
      <c r="AF119" s="116" t="e">
        <f t="shared" si="9"/>
        <v>#DIV/0!</v>
      </c>
      <c r="AG119" s="83"/>
      <c r="AH119" s="115"/>
      <c r="AI119" s="47" t="e">
        <f>WEEKNUM(AH119-RESUMEN!$AZ$7)</f>
        <v>#NUM!</v>
      </c>
      <c r="AJ119" s="47">
        <f>_xlfn.DAYS(AH119,RESUMEN!$AZ$7)</f>
        <v>-43261</v>
      </c>
      <c r="AK119" s="79"/>
      <c r="AL119" s="54"/>
      <c r="AM119" s="66"/>
      <c r="AN119" s="50" t="e">
        <f t="shared" si="10"/>
        <v>#DIV/0!</v>
      </c>
      <c r="AO119" s="90"/>
      <c r="AP119" s="115"/>
      <c r="AQ119" s="47" t="e">
        <f>WEEKNUM(AP119-RESUMEN!$BL$7)</f>
        <v>#NUM!</v>
      </c>
      <c r="AR119" s="47">
        <f>_xlfn.DAYS(AP119,RESUMEN!$BL$7)</f>
        <v>-43267</v>
      </c>
      <c r="AS119" s="53"/>
      <c r="AT119" s="54"/>
      <c r="AU119" s="66"/>
      <c r="AV119" s="50" t="e">
        <f t="shared" si="11"/>
        <v>#DIV/0!</v>
      </c>
    </row>
    <row r="120" spans="2:48" x14ac:dyDescent="0.25">
      <c r="B120" s="52">
        <v>43311</v>
      </c>
      <c r="C120" s="47">
        <f>WEEKNUM(B120-RESUMEN!$D$7)</f>
        <v>11</v>
      </c>
      <c r="D120" s="47">
        <f>_xlfn.DAYS(B120,RESUMEN!$D$7)</f>
        <v>73</v>
      </c>
      <c r="E120" s="48" t="s">
        <v>102</v>
      </c>
      <c r="F120" s="54">
        <v>-3</v>
      </c>
      <c r="G120" s="66">
        <v>39</v>
      </c>
      <c r="H120" s="50">
        <f t="shared" si="6"/>
        <v>-13</v>
      </c>
      <c r="I120" s="90"/>
      <c r="J120" s="115"/>
      <c r="K120" s="47" t="e">
        <f>WEEKNUM(J120-RESUMEN!$P$7)</f>
        <v>#NUM!</v>
      </c>
      <c r="L120" s="47">
        <f>_xlfn.DAYS(J120,RESUMEN!$P$7)</f>
        <v>-43242</v>
      </c>
      <c r="M120" s="48"/>
      <c r="N120" s="54"/>
      <c r="O120" s="66"/>
      <c r="P120" s="50" t="e">
        <f t="shared" si="7"/>
        <v>#DIV/0!</v>
      </c>
      <c r="Q120" s="90"/>
      <c r="R120" s="114"/>
      <c r="S120" s="47" t="e">
        <f>WEEKNUM(R120-RESUMEN!$AB$7)</f>
        <v>#NUM!</v>
      </c>
      <c r="T120" s="47">
        <f>_xlfn.DAYS(R120,RESUMEN!$AB$7)</f>
        <v>-43247</v>
      </c>
      <c r="U120" s="48"/>
      <c r="V120" s="54"/>
      <c r="W120" s="66"/>
      <c r="X120" s="50" t="e">
        <f t="shared" si="8"/>
        <v>#DIV/0!</v>
      </c>
      <c r="Y120" s="90"/>
      <c r="Z120" s="115"/>
      <c r="AA120" s="47" t="e">
        <f>WEEKNUM(Z120-RESUMEN!$AN$7)</f>
        <v>#NUM!</v>
      </c>
      <c r="AB120" s="47">
        <f>_xlfn.DAYS(Z120,RESUMEN!$AN$7)</f>
        <v>-43254</v>
      </c>
      <c r="AC120" s="48"/>
      <c r="AD120" s="54"/>
      <c r="AE120" s="66"/>
      <c r="AF120" s="116" t="e">
        <f t="shared" si="9"/>
        <v>#DIV/0!</v>
      </c>
      <c r="AG120" s="83"/>
      <c r="AH120" s="115"/>
      <c r="AI120" s="47" t="e">
        <f>WEEKNUM(AH120-RESUMEN!$AZ$7)</f>
        <v>#NUM!</v>
      </c>
      <c r="AJ120" s="47">
        <f>_xlfn.DAYS(AH120,RESUMEN!$AZ$7)</f>
        <v>-43261</v>
      </c>
      <c r="AK120" s="79"/>
      <c r="AL120" s="54"/>
      <c r="AM120" s="66"/>
      <c r="AN120" s="50" t="e">
        <f t="shared" si="10"/>
        <v>#DIV/0!</v>
      </c>
      <c r="AO120" s="90"/>
      <c r="AP120" s="115"/>
      <c r="AQ120" s="47" t="e">
        <f>WEEKNUM(AP120-RESUMEN!$BL$7)</f>
        <v>#NUM!</v>
      </c>
      <c r="AR120" s="47">
        <f>_xlfn.DAYS(AP120,RESUMEN!$BL$7)</f>
        <v>-43267</v>
      </c>
      <c r="AS120" s="49"/>
      <c r="AT120" s="54"/>
      <c r="AU120" s="66"/>
      <c r="AV120" s="50" t="e">
        <f t="shared" si="11"/>
        <v>#DIV/0!</v>
      </c>
    </row>
    <row r="121" spans="2:48" x14ac:dyDescent="0.25">
      <c r="B121" s="52">
        <v>43311</v>
      </c>
      <c r="C121" s="47">
        <f>WEEKNUM(B121-RESUMEN!$D$7)</f>
        <v>11</v>
      </c>
      <c r="D121" s="47">
        <f>_xlfn.DAYS(B121,RESUMEN!$D$7)</f>
        <v>73</v>
      </c>
      <c r="E121" s="48" t="s">
        <v>295</v>
      </c>
      <c r="F121" s="54">
        <v>-1</v>
      </c>
      <c r="G121" s="66">
        <v>2</v>
      </c>
      <c r="H121" s="50">
        <f t="shared" si="6"/>
        <v>-2</v>
      </c>
      <c r="I121" s="90"/>
      <c r="J121" s="115"/>
      <c r="K121" s="47" t="e">
        <f>WEEKNUM(J121-RESUMEN!$P$7)</f>
        <v>#NUM!</v>
      </c>
      <c r="L121" s="47">
        <f>_xlfn.DAYS(J121,RESUMEN!$P$7)</f>
        <v>-43242</v>
      </c>
      <c r="M121" s="48"/>
      <c r="N121" s="54"/>
      <c r="O121" s="66"/>
      <c r="P121" s="50" t="e">
        <f t="shared" si="7"/>
        <v>#DIV/0!</v>
      </c>
      <c r="Q121" s="90"/>
      <c r="R121" s="115"/>
      <c r="S121" s="47" t="e">
        <f>WEEKNUM(R121-RESUMEN!$AB$7)</f>
        <v>#NUM!</v>
      </c>
      <c r="T121" s="47">
        <f>_xlfn.DAYS(R121,RESUMEN!$AB$7)</f>
        <v>-43247</v>
      </c>
      <c r="U121" s="48"/>
      <c r="V121" s="54"/>
      <c r="W121" s="66"/>
      <c r="X121" s="50" t="e">
        <f t="shared" si="8"/>
        <v>#DIV/0!</v>
      </c>
      <c r="Y121" s="90"/>
      <c r="Z121" s="115"/>
      <c r="AA121" s="47" t="e">
        <f>WEEKNUM(Z121-RESUMEN!$AN$7)</f>
        <v>#NUM!</v>
      </c>
      <c r="AB121" s="47">
        <f>_xlfn.DAYS(Z121,RESUMEN!$AN$7)</f>
        <v>-43254</v>
      </c>
      <c r="AC121" s="48"/>
      <c r="AD121" s="54"/>
      <c r="AE121" s="66"/>
      <c r="AF121" s="116" t="e">
        <f t="shared" si="9"/>
        <v>#DIV/0!</v>
      </c>
      <c r="AG121" s="83"/>
      <c r="AH121" s="115"/>
      <c r="AI121" s="47" t="e">
        <f>WEEKNUM(AH121-RESUMEN!$AZ$7)</f>
        <v>#NUM!</v>
      </c>
      <c r="AJ121" s="47">
        <f>_xlfn.DAYS(AH121,RESUMEN!$AZ$7)</f>
        <v>-43261</v>
      </c>
      <c r="AK121" s="79"/>
      <c r="AL121" s="54"/>
      <c r="AM121" s="66"/>
      <c r="AN121" s="50" t="e">
        <f t="shared" si="10"/>
        <v>#DIV/0!</v>
      </c>
      <c r="AO121" s="90"/>
      <c r="AP121" s="115"/>
      <c r="AQ121" s="47" t="e">
        <f>WEEKNUM(AP121-RESUMEN!$BL$7)</f>
        <v>#NUM!</v>
      </c>
      <c r="AR121" s="47">
        <f>_xlfn.DAYS(AP121,RESUMEN!$BL$7)</f>
        <v>-43267</v>
      </c>
      <c r="AS121" s="53"/>
      <c r="AT121" s="54"/>
      <c r="AU121" s="66"/>
      <c r="AV121" s="50" t="e">
        <f t="shared" si="11"/>
        <v>#DIV/0!</v>
      </c>
    </row>
    <row r="122" spans="2:48" x14ac:dyDescent="0.25">
      <c r="B122" s="52">
        <v>43311</v>
      </c>
      <c r="C122" s="47">
        <f>WEEKNUM(B122-RESUMEN!$D$7)</f>
        <v>11</v>
      </c>
      <c r="D122" s="47">
        <f>_xlfn.DAYS(B122,RESUMEN!$D$7)</f>
        <v>73</v>
      </c>
      <c r="E122" s="48" t="s">
        <v>123</v>
      </c>
      <c r="F122" s="54">
        <v>-11</v>
      </c>
      <c r="G122" s="66">
        <v>71</v>
      </c>
      <c r="H122" s="50">
        <f t="shared" si="6"/>
        <v>-6.4545454545454541</v>
      </c>
      <c r="I122" s="90"/>
      <c r="J122" s="115"/>
      <c r="K122" s="47" t="e">
        <f>WEEKNUM(J122-RESUMEN!$P$7)</f>
        <v>#NUM!</v>
      </c>
      <c r="L122" s="47">
        <f>_xlfn.DAYS(J122,RESUMEN!$P$7)</f>
        <v>-43242</v>
      </c>
      <c r="M122" s="48"/>
      <c r="N122" s="54"/>
      <c r="O122" s="66"/>
      <c r="P122" s="50" t="e">
        <f t="shared" si="7"/>
        <v>#DIV/0!</v>
      </c>
      <c r="Q122" s="90"/>
      <c r="R122" s="115"/>
      <c r="S122" s="47" t="e">
        <f>WEEKNUM(R122-RESUMEN!$AB$7)</f>
        <v>#NUM!</v>
      </c>
      <c r="T122" s="47">
        <f>_xlfn.DAYS(R122,RESUMEN!$AB$7)</f>
        <v>-43247</v>
      </c>
      <c r="U122" s="48"/>
      <c r="V122" s="54"/>
      <c r="W122" s="66"/>
      <c r="X122" s="50" t="e">
        <f t="shared" si="8"/>
        <v>#DIV/0!</v>
      </c>
      <c r="Y122" s="90"/>
      <c r="Z122" s="115"/>
      <c r="AA122" s="47" t="e">
        <f>WEEKNUM(Z122-RESUMEN!$AN$7)</f>
        <v>#NUM!</v>
      </c>
      <c r="AB122" s="47">
        <f>_xlfn.DAYS(Z122,RESUMEN!$AN$7)</f>
        <v>-43254</v>
      </c>
      <c r="AC122" s="48"/>
      <c r="AD122" s="54"/>
      <c r="AE122" s="66"/>
      <c r="AF122" s="116" t="e">
        <f t="shared" si="9"/>
        <v>#DIV/0!</v>
      </c>
      <c r="AG122" s="83"/>
      <c r="AH122" s="115"/>
      <c r="AI122" s="47" t="e">
        <f>WEEKNUM(AH122-RESUMEN!$AZ$7)</f>
        <v>#NUM!</v>
      </c>
      <c r="AJ122" s="47">
        <f>_xlfn.DAYS(AH122,RESUMEN!$AZ$7)</f>
        <v>-43261</v>
      </c>
      <c r="AK122" s="79"/>
      <c r="AL122" s="54"/>
      <c r="AM122" s="66"/>
      <c r="AN122" s="50" t="e">
        <f t="shared" si="10"/>
        <v>#DIV/0!</v>
      </c>
      <c r="AO122" s="90"/>
      <c r="AP122" s="115"/>
      <c r="AQ122" s="47" t="e">
        <f>WEEKNUM(AP122-RESUMEN!$BL$7)</f>
        <v>#NUM!</v>
      </c>
      <c r="AR122" s="47">
        <f>_xlfn.DAYS(AP122,RESUMEN!$BL$7)</f>
        <v>-43267</v>
      </c>
      <c r="AS122" s="53"/>
      <c r="AT122" s="54"/>
      <c r="AU122" s="66"/>
      <c r="AV122" s="50" t="e">
        <f t="shared" si="11"/>
        <v>#DIV/0!</v>
      </c>
    </row>
    <row r="123" spans="2:48" x14ac:dyDescent="0.25">
      <c r="B123" s="52">
        <v>43312</v>
      </c>
      <c r="C123" s="47">
        <f>WEEKNUM(B123-RESUMEN!$D$7)</f>
        <v>11</v>
      </c>
      <c r="D123" s="47">
        <f>_xlfn.DAYS(B123,RESUMEN!$D$7)</f>
        <v>74</v>
      </c>
      <c r="E123" s="48" t="s">
        <v>102</v>
      </c>
      <c r="F123" s="54">
        <v>-1</v>
      </c>
      <c r="G123" s="66">
        <v>13</v>
      </c>
      <c r="H123" s="50">
        <f t="shared" si="6"/>
        <v>-13</v>
      </c>
      <c r="I123" s="90"/>
      <c r="J123" s="115"/>
      <c r="K123" s="47" t="e">
        <f>WEEKNUM(J123-RESUMEN!$P$7)</f>
        <v>#NUM!</v>
      </c>
      <c r="L123" s="47">
        <f>_xlfn.DAYS(J123,RESUMEN!$P$7)</f>
        <v>-43242</v>
      </c>
      <c r="M123" s="48"/>
      <c r="N123" s="54"/>
      <c r="O123" s="66"/>
      <c r="P123" s="50" t="e">
        <f t="shared" si="7"/>
        <v>#DIV/0!</v>
      </c>
      <c r="Q123" s="90"/>
      <c r="R123" s="115"/>
      <c r="S123" s="47" t="e">
        <f>WEEKNUM(R123-RESUMEN!$AB$7)</f>
        <v>#NUM!</v>
      </c>
      <c r="T123" s="47">
        <f>_xlfn.DAYS(R123,RESUMEN!$AB$7)</f>
        <v>-43247</v>
      </c>
      <c r="U123" s="48"/>
      <c r="V123" s="54"/>
      <c r="W123" s="66"/>
      <c r="X123" s="50" t="e">
        <f t="shared" si="8"/>
        <v>#DIV/0!</v>
      </c>
      <c r="Y123" s="90"/>
      <c r="Z123" s="115"/>
      <c r="AA123" s="47" t="e">
        <f>WEEKNUM(Z123-RESUMEN!$AN$7)</f>
        <v>#NUM!</v>
      </c>
      <c r="AB123" s="47">
        <f>_xlfn.DAYS(Z123,RESUMEN!$AN$7)</f>
        <v>-43254</v>
      </c>
      <c r="AC123" s="48"/>
      <c r="AD123" s="54"/>
      <c r="AE123" s="66"/>
      <c r="AF123" s="116" t="e">
        <f t="shared" si="9"/>
        <v>#DIV/0!</v>
      </c>
      <c r="AG123" s="83"/>
      <c r="AH123" s="115"/>
      <c r="AI123" s="47" t="e">
        <f>WEEKNUM(AH123-RESUMEN!$AZ$7)</f>
        <v>#NUM!</v>
      </c>
      <c r="AJ123" s="47">
        <f>_xlfn.DAYS(AH123,RESUMEN!$AZ$7)</f>
        <v>-43261</v>
      </c>
      <c r="AK123" s="79"/>
      <c r="AL123" s="54"/>
      <c r="AM123" s="66"/>
      <c r="AN123" s="50" t="e">
        <f t="shared" si="10"/>
        <v>#DIV/0!</v>
      </c>
      <c r="AO123" s="90"/>
      <c r="AP123" s="115"/>
      <c r="AQ123" s="47" t="e">
        <f>WEEKNUM(AP123-RESUMEN!$BL$7)</f>
        <v>#NUM!</v>
      </c>
      <c r="AR123" s="47">
        <f>_xlfn.DAYS(AP123,RESUMEN!$BL$7)</f>
        <v>-43267</v>
      </c>
      <c r="AS123" s="53"/>
      <c r="AT123" s="54"/>
      <c r="AU123" s="66"/>
      <c r="AV123" s="50" t="e">
        <f t="shared" si="11"/>
        <v>#DIV/0!</v>
      </c>
    </row>
    <row r="124" spans="2:48" x14ac:dyDescent="0.25">
      <c r="B124" s="52">
        <v>43312</v>
      </c>
      <c r="C124" s="47">
        <f>WEEKNUM(B124-RESUMEN!$D$7)</f>
        <v>11</v>
      </c>
      <c r="D124" s="47">
        <f>_xlfn.DAYS(B124,RESUMEN!$D$7)</f>
        <v>74</v>
      </c>
      <c r="E124" s="48" t="s">
        <v>123</v>
      </c>
      <c r="F124" s="54">
        <v>-6</v>
      </c>
      <c r="G124" s="66">
        <v>38</v>
      </c>
      <c r="H124" s="50">
        <f t="shared" si="6"/>
        <v>-6.333333333333333</v>
      </c>
      <c r="I124" s="90"/>
      <c r="J124" s="115"/>
      <c r="K124" s="47" t="e">
        <f>WEEKNUM(J124-RESUMEN!$P$7)</f>
        <v>#NUM!</v>
      </c>
      <c r="L124" s="47">
        <f>_xlfn.DAYS(J124,RESUMEN!$P$7)</f>
        <v>-43242</v>
      </c>
      <c r="M124" s="48"/>
      <c r="N124" s="54"/>
      <c r="O124" s="66"/>
      <c r="P124" s="50" t="e">
        <f t="shared" si="7"/>
        <v>#DIV/0!</v>
      </c>
      <c r="Q124" s="90"/>
      <c r="R124" s="115"/>
      <c r="S124" s="47" t="e">
        <f>WEEKNUM(R124-RESUMEN!$AB$7)</f>
        <v>#NUM!</v>
      </c>
      <c r="T124" s="47">
        <f>_xlfn.DAYS(R124,RESUMEN!$AB$7)</f>
        <v>-43247</v>
      </c>
      <c r="U124" s="48"/>
      <c r="V124" s="54"/>
      <c r="W124" s="66"/>
      <c r="X124" s="50" t="e">
        <f t="shared" si="8"/>
        <v>#DIV/0!</v>
      </c>
      <c r="Y124" s="90"/>
      <c r="Z124" s="115"/>
      <c r="AA124" s="47" t="e">
        <f>WEEKNUM(Z124-RESUMEN!$AN$7)</f>
        <v>#NUM!</v>
      </c>
      <c r="AB124" s="47">
        <f>_xlfn.DAYS(Z124,RESUMEN!$AN$7)</f>
        <v>-43254</v>
      </c>
      <c r="AC124" s="48"/>
      <c r="AD124" s="54"/>
      <c r="AE124" s="66"/>
      <c r="AF124" s="116" t="e">
        <f t="shared" si="9"/>
        <v>#DIV/0!</v>
      </c>
      <c r="AG124" s="83"/>
      <c r="AH124" s="115"/>
      <c r="AI124" s="47" t="e">
        <f>WEEKNUM(AH124-RESUMEN!$AZ$7)</f>
        <v>#NUM!</v>
      </c>
      <c r="AJ124" s="47">
        <f>_xlfn.DAYS(AH124,RESUMEN!$AZ$7)</f>
        <v>-43261</v>
      </c>
      <c r="AK124" s="79"/>
      <c r="AL124" s="54"/>
      <c r="AM124" s="66"/>
      <c r="AN124" s="50" t="e">
        <f t="shared" si="10"/>
        <v>#DIV/0!</v>
      </c>
      <c r="AO124" s="90"/>
      <c r="AP124" s="115"/>
      <c r="AQ124" s="47" t="e">
        <f>WEEKNUM(AP124-RESUMEN!$BL$7)</f>
        <v>#NUM!</v>
      </c>
      <c r="AR124" s="47">
        <f>_xlfn.DAYS(AP124,RESUMEN!$BL$7)</f>
        <v>-43267</v>
      </c>
      <c r="AS124" s="53"/>
      <c r="AT124" s="54"/>
      <c r="AU124" s="66"/>
      <c r="AV124" s="50" t="e">
        <f t="shared" si="11"/>
        <v>#DIV/0!</v>
      </c>
    </row>
    <row r="125" spans="2:48" x14ac:dyDescent="0.25">
      <c r="B125" s="52">
        <v>43312</v>
      </c>
      <c r="C125" s="47">
        <f>WEEKNUM(B125-RESUMEN!$D$7)</f>
        <v>11</v>
      </c>
      <c r="D125" s="47">
        <f>_xlfn.DAYS(B125,RESUMEN!$D$7)</f>
        <v>74</v>
      </c>
      <c r="E125" s="48" t="s">
        <v>159</v>
      </c>
      <c r="F125" s="54">
        <v>-4</v>
      </c>
      <c r="G125" s="66">
        <v>34</v>
      </c>
      <c r="H125" s="50">
        <f t="shared" si="6"/>
        <v>-8.5</v>
      </c>
      <c r="I125" s="90"/>
      <c r="J125" s="115"/>
      <c r="K125" s="47" t="e">
        <f>WEEKNUM(J125-RESUMEN!$P$7)</f>
        <v>#NUM!</v>
      </c>
      <c r="L125" s="47">
        <f>_xlfn.DAYS(J125,RESUMEN!$P$7)</f>
        <v>-43242</v>
      </c>
      <c r="M125" s="48"/>
      <c r="N125" s="54"/>
      <c r="O125" s="66"/>
      <c r="P125" s="50" t="e">
        <f t="shared" si="7"/>
        <v>#DIV/0!</v>
      </c>
      <c r="Q125" s="90"/>
      <c r="R125" s="115"/>
      <c r="S125" s="47" t="e">
        <f>WEEKNUM(R125-RESUMEN!$AB$7)</f>
        <v>#NUM!</v>
      </c>
      <c r="T125" s="47">
        <f>_xlfn.DAYS(R125,RESUMEN!$AB$7)</f>
        <v>-43247</v>
      </c>
      <c r="U125" s="48"/>
      <c r="V125" s="54"/>
      <c r="W125" s="66"/>
      <c r="X125" s="50" t="e">
        <f t="shared" si="8"/>
        <v>#DIV/0!</v>
      </c>
      <c r="Y125" s="90"/>
      <c r="Z125" s="115"/>
      <c r="AA125" s="47" t="e">
        <f>WEEKNUM(Z125-RESUMEN!$AN$7)</f>
        <v>#NUM!</v>
      </c>
      <c r="AB125" s="47">
        <f>_xlfn.DAYS(Z125,RESUMEN!$AN$7)</f>
        <v>-43254</v>
      </c>
      <c r="AC125" s="48"/>
      <c r="AD125" s="54"/>
      <c r="AE125" s="66"/>
      <c r="AF125" s="116" t="e">
        <f t="shared" si="9"/>
        <v>#DIV/0!</v>
      </c>
      <c r="AG125" s="83"/>
      <c r="AH125" s="115"/>
      <c r="AI125" s="47" t="e">
        <f>WEEKNUM(AH125-RESUMEN!$AZ$7)</f>
        <v>#NUM!</v>
      </c>
      <c r="AJ125" s="47">
        <f>_xlfn.DAYS(AH125,RESUMEN!$AZ$7)</f>
        <v>-43261</v>
      </c>
      <c r="AK125" s="79"/>
      <c r="AL125" s="54"/>
      <c r="AM125" s="66"/>
      <c r="AN125" s="50" t="e">
        <f t="shared" si="10"/>
        <v>#DIV/0!</v>
      </c>
      <c r="AO125" s="90"/>
      <c r="AP125" s="115"/>
      <c r="AQ125" s="47" t="e">
        <f>WEEKNUM(AP125-RESUMEN!$BL$7)</f>
        <v>#NUM!</v>
      </c>
      <c r="AR125" s="47">
        <f>_xlfn.DAYS(AP125,RESUMEN!$BL$7)</f>
        <v>-43267</v>
      </c>
      <c r="AS125" s="53"/>
      <c r="AT125" s="54"/>
      <c r="AU125" s="66"/>
      <c r="AV125" s="50" t="e">
        <f t="shared" si="11"/>
        <v>#DIV/0!</v>
      </c>
    </row>
    <row r="126" spans="2:48" x14ac:dyDescent="0.25">
      <c r="B126" s="52">
        <v>43313</v>
      </c>
      <c r="C126" s="47">
        <f>WEEKNUM(B126-RESUMEN!$D$7)</f>
        <v>11</v>
      </c>
      <c r="D126" s="47">
        <f>_xlfn.DAYS(B126,RESUMEN!$D$7)</f>
        <v>75</v>
      </c>
      <c r="E126" s="48" t="s">
        <v>123</v>
      </c>
      <c r="F126" s="54">
        <v>-9</v>
      </c>
      <c r="G126" s="66">
        <v>65</v>
      </c>
      <c r="H126" s="50">
        <f t="shared" si="6"/>
        <v>-7.2222222222222223</v>
      </c>
      <c r="I126" s="90"/>
      <c r="J126" s="115"/>
      <c r="K126" s="47" t="e">
        <f>WEEKNUM(J126-RESUMEN!$P$7)</f>
        <v>#NUM!</v>
      </c>
      <c r="L126" s="47">
        <f>_xlfn.DAYS(J126,RESUMEN!$P$7)</f>
        <v>-43242</v>
      </c>
      <c r="M126" s="48"/>
      <c r="N126" s="54"/>
      <c r="O126" s="66"/>
      <c r="P126" s="50" t="e">
        <f t="shared" si="7"/>
        <v>#DIV/0!</v>
      </c>
      <c r="Q126" s="90"/>
      <c r="R126" s="115"/>
      <c r="S126" s="47" t="e">
        <f>WEEKNUM(R126-RESUMEN!$AB$7)</f>
        <v>#NUM!</v>
      </c>
      <c r="T126" s="47">
        <f>_xlfn.DAYS(R126,RESUMEN!$AB$7)</f>
        <v>-43247</v>
      </c>
      <c r="U126" s="48"/>
      <c r="V126" s="54"/>
      <c r="W126" s="66"/>
      <c r="X126" s="50" t="e">
        <f t="shared" si="8"/>
        <v>#DIV/0!</v>
      </c>
      <c r="Y126" s="90"/>
      <c r="Z126" s="115"/>
      <c r="AA126" s="47" t="e">
        <f>WEEKNUM(Z126-RESUMEN!$AN$7)</f>
        <v>#NUM!</v>
      </c>
      <c r="AB126" s="47">
        <f>_xlfn.DAYS(Z126,RESUMEN!$AN$7)</f>
        <v>-43254</v>
      </c>
      <c r="AC126" s="48"/>
      <c r="AD126" s="54"/>
      <c r="AE126" s="66"/>
      <c r="AF126" s="116" t="e">
        <f t="shared" si="9"/>
        <v>#DIV/0!</v>
      </c>
      <c r="AG126" s="83"/>
      <c r="AH126" s="115"/>
      <c r="AI126" s="47" t="e">
        <f>WEEKNUM(AH126-RESUMEN!$AZ$7)</f>
        <v>#NUM!</v>
      </c>
      <c r="AJ126" s="47">
        <f>_xlfn.DAYS(AH126,RESUMEN!$AZ$7)</f>
        <v>-43261</v>
      </c>
      <c r="AK126" s="79"/>
      <c r="AL126" s="54"/>
      <c r="AM126" s="66"/>
      <c r="AN126" s="50" t="e">
        <f t="shared" si="10"/>
        <v>#DIV/0!</v>
      </c>
      <c r="AO126" s="90"/>
      <c r="AP126" s="115"/>
      <c r="AQ126" s="47" t="e">
        <f>WEEKNUM(AP126-RESUMEN!$BL$7)</f>
        <v>#NUM!</v>
      </c>
      <c r="AR126" s="47">
        <f>_xlfn.DAYS(AP126,RESUMEN!$BL$7)</f>
        <v>-43267</v>
      </c>
      <c r="AS126" s="53"/>
      <c r="AT126" s="54"/>
      <c r="AU126" s="66"/>
      <c r="AV126" s="50" t="e">
        <f t="shared" si="11"/>
        <v>#DIV/0!</v>
      </c>
    </row>
    <row r="127" spans="2:48" x14ac:dyDescent="0.25">
      <c r="B127" s="52">
        <v>43313</v>
      </c>
      <c r="C127" s="47">
        <f>WEEKNUM(B127-RESUMEN!$D$7)</f>
        <v>11</v>
      </c>
      <c r="D127" s="47">
        <f>_xlfn.DAYS(B127,RESUMEN!$D$7)</f>
        <v>75</v>
      </c>
      <c r="E127" s="48" t="s">
        <v>102</v>
      </c>
      <c r="F127" s="54">
        <v>-1</v>
      </c>
      <c r="G127" s="66">
        <v>13</v>
      </c>
      <c r="H127" s="50">
        <f t="shared" si="6"/>
        <v>-13</v>
      </c>
      <c r="I127" s="90"/>
      <c r="J127" s="115"/>
      <c r="K127" s="47" t="e">
        <f>WEEKNUM(J127-RESUMEN!$P$7)</f>
        <v>#NUM!</v>
      </c>
      <c r="L127" s="47">
        <f>_xlfn.DAYS(J127,RESUMEN!$P$7)</f>
        <v>-43242</v>
      </c>
      <c r="M127" s="48"/>
      <c r="N127" s="54"/>
      <c r="O127" s="66"/>
      <c r="P127" s="50" t="e">
        <f t="shared" si="7"/>
        <v>#DIV/0!</v>
      </c>
      <c r="Q127" s="90"/>
      <c r="R127" s="115"/>
      <c r="S127" s="47" t="e">
        <f>WEEKNUM(R127-RESUMEN!$AB$7)</f>
        <v>#NUM!</v>
      </c>
      <c r="T127" s="47">
        <f>_xlfn.DAYS(R127,RESUMEN!$AB$7)</f>
        <v>-43247</v>
      </c>
      <c r="U127" s="48"/>
      <c r="V127" s="54"/>
      <c r="W127" s="66"/>
      <c r="X127" s="50" t="e">
        <f t="shared" si="8"/>
        <v>#DIV/0!</v>
      </c>
      <c r="Y127" s="90"/>
      <c r="Z127" s="115"/>
      <c r="AA127" s="47" t="e">
        <f>WEEKNUM(Z127-RESUMEN!$AN$7)</f>
        <v>#NUM!</v>
      </c>
      <c r="AB127" s="47">
        <f>_xlfn.DAYS(Z127,RESUMEN!$AN$7)</f>
        <v>-43254</v>
      </c>
      <c r="AC127" s="48"/>
      <c r="AD127" s="54"/>
      <c r="AE127" s="66"/>
      <c r="AF127" s="116" t="e">
        <f t="shared" si="9"/>
        <v>#DIV/0!</v>
      </c>
      <c r="AG127" s="83"/>
      <c r="AH127" s="115"/>
      <c r="AI127" s="47" t="e">
        <f>WEEKNUM(AH127-RESUMEN!$AZ$7)</f>
        <v>#NUM!</v>
      </c>
      <c r="AJ127" s="47">
        <f>_xlfn.DAYS(AH127,RESUMEN!$AZ$7)</f>
        <v>-43261</v>
      </c>
      <c r="AK127" s="79"/>
      <c r="AL127" s="54"/>
      <c r="AM127" s="66"/>
      <c r="AN127" s="50" t="e">
        <f t="shared" si="10"/>
        <v>#DIV/0!</v>
      </c>
      <c r="AO127" s="90"/>
      <c r="AP127" s="115"/>
      <c r="AQ127" s="47" t="e">
        <f>WEEKNUM(AP127-RESUMEN!$BL$7)</f>
        <v>#NUM!</v>
      </c>
      <c r="AR127" s="47">
        <f>_xlfn.DAYS(AP127,RESUMEN!$BL$7)</f>
        <v>-43267</v>
      </c>
      <c r="AS127" s="53"/>
      <c r="AT127" s="54"/>
      <c r="AU127" s="66"/>
      <c r="AV127" s="50" t="e">
        <f t="shared" si="11"/>
        <v>#DIV/0!</v>
      </c>
    </row>
    <row r="128" spans="2:48" x14ac:dyDescent="0.25">
      <c r="B128" s="52"/>
      <c r="C128" s="47" t="e">
        <f>WEEKNUM(B128-RESUMEN!$D$7)</f>
        <v>#NUM!</v>
      </c>
      <c r="D128" s="47">
        <f>_xlfn.DAYS(B128,RESUMEN!$D$7)</f>
        <v>-43238</v>
      </c>
      <c r="E128" s="48"/>
      <c r="F128" s="54"/>
      <c r="G128" s="66"/>
      <c r="H128" s="50" t="e">
        <f t="shared" si="6"/>
        <v>#DIV/0!</v>
      </c>
      <c r="I128" s="90"/>
      <c r="J128" s="115"/>
      <c r="K128" s="47" t="e">
        <f>WEEKNUM(J128-RESUMEN!$P$7)</f>
        <v>#NUM!</v>
      </c>
      <c r="L128" s="47">
        <f>_xlfn.DAYS(J128,RESUMEN!$P$7)</f>
        <v>-43242</v>
      </c>
      <c r="M128" s="48"/>
      <c r="N128" s="54"/>
      <c r="O128" s="66"/>
      <c r="P128" s="50" t="e">
        <f t="shared" si="7"/>
        <v>#DIV/0!</v>
      </c>
      <c r="Q128" s="90"/>
      <c r="R128" s="115"/>
      <c r="S128" s="47" t="e">
        <f>WEEKNUM(R128-RESUMEN!$AB$7)</f>
        <v>#NUM!</v>
      </c>
      <c r="T128" s="47">
        <f>_xlfn.DAYS(R128,RESUMEN!$AB$7)</f>
        <v>-43247</v>
      </c>
      <c r="U128" s="48"/>
      <c r="V128" s="54"/>
      <c r="W128" s="66"/>
      <c r="X128" s="50" t="e">
        <f t="shared" si="8"/>
        <v>#DIV/0!</v>
      </c>
      <c r="Y128" s="90"/>
      <c r="Z128" s="115"/>
      <c r="AA128" s="47" t="e">
        <f>WEEKNUM(Z128-RESUMEN!$AN$7)</f>
        <v>#NUM!</v>
      </c>
      <c r="AB128" s="47">
        <f>_xlfn.DAYS(Z128,RESUMEN!$AN$7)</f>
        <v>-43254</v>
      </c>
      <c r="AC128" s="48"/>
      <c r="AD128" s="54"/>
      <c r="AE128" s="66"/>
      <c r="AF128" s="116" t="e">
        <f t="shared" si="9"/>
        <v>#DIV/0!</v>
      </c>
      <c r="AG128" s="83"/>
      <c r="AH128" s="115"/>
      <c r="AI128" s="47" t="e">
        <f>WEEKNUM(AH128-RESUMEN!$AZ$7)</f>
        <v>#NUM!</v>
      </c>
      <c r="AJ128" s="47">
        <f>_xlfn.DAYS(AH128,RESUMEN!$AZ$7)</f>
        <v>-43261</v>
      </c>
      <c r="AK128" s="79"/>
      <c r="AL128" s="54"/>
      <c r="AM128" s="66"/>
      <c r="AN128" s="50" t="e">
        <f t="shared" si="10"/>
        <v>#DIV/0!</v>
      </c>
      <c r="AO128" s="90"/>
      <c r="AP128" s="115"/>
      <c r="AQ128" s="47" t="e">
        <f>WEEKNUM(AP128-RESUMEN!$BL$7)</f>
        <v>#NUM!</v>
      </c>
      <c r="AR128" s="47">
        <f>_xlfn.DAYS(AP128,RESUMEN!$BL$7)</f>
        <v>-43267</v>
      </c>
      <c r="AS128" s="53"/>
      <c r="AT128" s="54"/>
      <c r="AU128" s="66"/>
      <c r="AV128" s="50" t="e">
        <f t="shared" si="11"/>
        <v>#DIV/0!</v>
      </c>
    </row>
    <row r="129" spans="2:48" x14ac:dyDescent="0.25">
      <c r="B129" s="52"/>
      <c r="C129" s="47" t="e">
        <f>WEEKNUM(B129-RESUMEN!$D$7)</f>
        <v>#NUM!</v>
      </c>
      <c r="D129" s="47">
        <f>_xlfn.DAYS(B129,RESUMEN!$D$7)</f>
        <v>-43238</v>
      </c>
      <c r="E129" s="48"/>
      <c r="F129" s="54"/>
      <c r="G129" s="66"/>
      <c r="H129" s="50" t="e">
        <f t="shared" si="6"/>
        <v>#DIV/0!</v>
      </c>
      <c r="I129" s="90"/>
      <c r="J129" s="115"/>
      <c r="K129" s="47" t="e">
        <f>WEEKNUM(J129-RESUMEN!$P$7)</f>
        <v>#NUM!</v>
      </c>
      <c r="L129" s="47">
        <f>_xlfn.DAYS(J129,RESUMEN!$P$7)</f>
        <v>-43242</v>
      </c>
      <c r="M129" s="48"/>
      <c r="N129" s="54"/>
      <c r="O129" s="66"/>
      <c r="P129" s="50" t="e">
        <f t="shared" si="7"/>
        <v>#DIV/0!</v>
      </c>
      <c r="Q129" s="90"/>
      <c r="R129" s="115"/>
      <c r="S129" s="47" t="e">
        <f>WEEKNUM(R129-RESUMEN!$AB$7)</f>
        <v>#NUM!</v>
      </c>
      <c r="T129" s="47">
        <f>_xlfn.DAYS(R129,RESUMEN!$AB$7)</f>
        <v>-43247</v>
      </c>
      <c r="U129" s="48"/>
      <c r="V129" s="54"/>
      <c r="W129" s="66"/>
      <c r="X129" s="50" t="e">
        <f t="shared" si="8"/>
        <v>#DIV/0!</v>
      </c>
      <c r="Y129" s="90"/>
      <c r="Z129" s="115"/>
      <c r="AA129" s="47" t="e">
        <f>WEEKNUM(Z129-RESUMEN!$AN$7)</f>
        <v>#NUM!</v>
      </c>
      <c r="AB129" s="47">
        <f>_xlfn.DAYS(Z129,RESUMEN!$AN$7)</f>
        <v>-43254</v>
      </c>
      <c r="AC129" s="48"/>
      <c r="AD129" s="54"/>
      <c r="AE129" s="66"/>
      <c r="AF129" s="116" t="e">
        <f t="shared" si="9"/>
        <v>#DIV/0!</v>
      </c>
      <c r="AG129" s="83"/>
      <c r="AH129" s="115"/>
      <c r="AI129" s="47" t="e">
        <f>WEEKNUM(AH129-RESUMEN!$AZ$7)</f>
        <v>#NUM!</v>
      </c>
      <c r="AJ129" s="47">
        <f>_xlfn.DAYS(AH129,RESUMEN!$AZ$7)</f>
        <v>-43261</v>
      </c>
      <c r="AK129" s="79"/>
      <c r="AL129" s="54"/>
      <c r="AM129" s="66"/>
      <c r="AN129" s="50" t="e">
        <f t="shared" si="10"/>
        <v>#DIV/0!</v>
      </c>
      <c r="AO129" s="90"/>
      <c r="AP129" s="115"/>
      <c r="AQ129" s="47" t="e">
        <f>WEEKNUM(AP129-RESUMEN!$BL$7)</f>
        <v>#NUM!</v>
      </c>
      <c r="AR129" s="47">
        <f>_xlfn.DAYS(AP129,RESUMEN!$BL$7)</f>
        <v>-43267</v>
      </c>
      <c r="AS129" s="49"/>
      <c r="AT129" s="54"/>
      <c r="AU129" s="66"/>
      <c r="AV129" s="50" t="e">
        <f t="shared" si="11"/>
        <v>#DIV/0!</v>
      </c>
    </row>
    <row r="130" spans="2:48" x14ac:dyDescent="0.25">
      <c r="B130" s="52"/>
      <c r="C130" s="47" t="e">
        <f>WEEKNUM(B130-RESUMEN!$D$7)</f>
        <v>#NUM!</v>
      </c>
      <c r="D130" s="47">
        <f>_xlfn.DAYS(B130,RESUMEN!$D$7)</f>
        <v>-43238</v>
      </c>
      <c r="E130" s="48"/>
      <c r="F130" s="54"/>
      <c r="G130" s="66"/>
      <c r="H130" s="50" t="e">
        <f t="shared" si="6"/>
        <v>#DIV/0!</v>
      </c>
      <c r="I130" s="90"/>
      <c r="J130" s="115"/>
      <c r="K130" s="47" t="e">
        <f>WEEKNUM(J130-RESUMEN!$P$7)</f>
        <v>#NUM!</v>
      </c>
      <c r="L130" s="47">
        <f>_xlfn.DAYS(J130,RESUMEN!$P$7)</f>
        <v>-43242</v>
      </c>
      <c r="M130" s="48"/>
      <c r="N130" s="54"/>
      <c r="O130" s="66"/>
      <c r="P130" s="50" t="e">
        <f t="shared" si="7"/>
        <v>#DIV/0!</v>
      </c>
      <c r="Q130" s="90"/>
      <c r="R130" s="115"/>
      <c r="S130" s="47" t="e">
        <f>WEEKNUM(R130-RESUMEN!$AB$7)</f>
        <v>#NUM!</v>
      </c>
      <c r="T130" s="47">
        <f>_xlfn.DAYS(R130,RESUMEN!$AB$7)</f>
        <v>-43247</v>
      </c>
      <c r="U130" s="48"/>
      <c r="V130" s="54"/>
      <c r="W130" s="66"/>
      <c r="X130" s="50" t="e">
        <f t="shared" si="8"/>
        <v>#DIV/0!</v>
      </c>
      <c r="Y130" s="90"/>
      <c r="Z130" s="115"/>
      <c r="AA130" s="47" t="e">
        <f>WEEKNUM(Z130-RESUMEN!$AN$7)</f>
        <v>#NUM!</v>
      </c>
      <c r="AB130" s="47">
        <f>_xlfn.DAYS(Z130,RESUMEN!$AN$7)</f>
        <v>-43254</v>
      </c>
      <c r="AC130" s="48"/>
      <c r="AD130" s="54"/>
      <c r="AE130" s="66"/>
      <c r="AF130" s="116" t="e">
        <f t="shared" si="9"/>
        <v>#DIV/0!</v>
      </c>
      <c r="AG130" s="83"/>
      <c r="AH130" s="115"/>
      <c r="AI130" s="47" t="e">
        <f>WEEKNUM(AH130-RESUMEN!$AZ$7)</f>
        <v>#NUM!</v>
      </c>
      <c r="AJ130" s="47">
        <f>_xlfn.DAYS(AH130,RESUMEN!$AZ$7)</f>
        <v>-43261</v>
      </c>
      <c r="AK130" s="79"/>
      <c r="AL130" s="54"/>
      <c r="AM130" s="66"/>
      <c r="AN130" s="50" t="e">
        <f t="shared" si="10"/>
        <v>#DIV/0!</v>
      </c>
      <c r="AO130" s="90"/>
      <c r="AP130" s="115"/>
      <c r="AQ130" s="47" t="e">
        <f>WEEKNUM(AP130-RESUMEN!$BL$7)</f>
        <v>#NUM!</v>
      </c>
      <c r="AR130" s="47">
        <f>_xlfn.DAYS(AP130,RESUMEN!$BL$7)</f>
        <v>-43267</v>
      </c>
      <c r="AS130" s="53"/>
      <c r="AT130" s="54"/>
      <c r="AU130" s="66"/>
      <c r="AV130" s="50" t="e">
        <f t="shared" si="11"/>
        <v>#DIV/0!</v>
      </c>
    </row>
    <row r="131" spans="2:48" x14ac:dyDescent="0.25">
      <c r="B131" s="52"/>
      <c r="C131" s="47" t="e">
        <f>WEEKNUM(B131-RESUMEN!$D$7)</f>
        <v>#NUM!</v>
      </c>
      <c r="D131" s="47">
        <f>_xlfn.DAYS(B131,RESUMEN!$D$7)</f>
        <v>-43238</v>
      </c>
      <c r="E131" s="48"/>
      <c r="F131" s="54"/>
      <c r="G131" s="66"/>
      <c r="H131" s="50" t="e">
        <f t="shared" si="6"/>
        <v>#DIV/0!</v>
      </c>
      <c r="I131" s="90"/>
      <c r="J131" s="115"/>
      <c r="K131" s="47" t="e">
        <f>WEEKNUM(J131-RESUMEN!$P$7)</f>
        <v>#NUM!</v>
      </c>
      <c r="L131" s="47">
        <f>_xlfn.DAYS(J131,RESUMEN!$P$7)</f>
        <v>-43242</v>
      </c>
      <c r="M131" s="48"/>
      <c r="N131" s="54"/>
      <c r="O131" s="66"/>
      <c r="P131" s="50" t="e">
        <f t="shared" si="7"/>
        <v>#DIV/0!</v>
      </c>
      <c r="Q131" s="90"/>
      <c r="R131" s="115"/>
      <c r="S131" s="47" t="e">
        <f>WEEKNUM(R131-RESUMEN!$AB$7)</f>
        <v>#NUM!</v>
      </c>
      <c r="T131" s="47">
        <f>_xlfn.DAYS(R131,RESUMEN!$AB$7)</f>
        <v>-43247</v>
      </c>
      <c r="U131" s="48"/>
      <c r="V131" s="54"/>
      <c r="W131" s="66"/>
      <c r="X131" s="50" t="e">
        <f t="shared" si="8"/>
        <v>#DIV/0!</v>
      </c>
      <c r="Y131" s="90"/>
      <c r="Z131" s="115"/>
      <c r="AA131" s="47" t="e">
        <f>WEEKNUM(Z131-RESUMEN!$AN$7)</f>
        <v>#NUM!</v>
      </c>
      <c r="AB131" s="47">
        <f>_xlfn.DAYS(Z131,RESUMEN!$AN$7)</f>
        <v>-43254</v>
      </c>
      <c r="AC131" s="48"/>
      <c r="AD131" s="54"/>
      <c r="AE131" s="66"/>
      <c r="AF131" s="116" t="e">
        <f t="shared" si="9"/>
        <v>#DIV/0!</v>
      </c>
      <c r="AG131" s="83"/>
      <c r="AH131" s="115"/>
      <c r="AI131" s="47" t="e">
        <f>WEEKNUM(AH131-RESUMEN!$AZ$7)</f>
        <v>#NUM!</v>
      </c>
      <c r="AJ131" s="47">
        <f>_xlfn.DAYS(AH131,RESUMEN!$AZ$7)</f>
        <v>-43261</v>
      </c>
      <c r="AK131" s="79"/>
      <c r="AL131" s="54"/>
      <c r="AM131" s="66"/>
      <c r="AN131" s="50" t="e">
        <f t="shared" si="10"/>
        <v>#DIV/0!</v>
      </c>
      <c r="AO131" s="90"/>
      <c r="AP131" s="115"/>
      <c r="AQ131" s="47" t="e">
        <f>WEEKNUM(AP131-RESUMEN!$BL$7)</f>
        <v>#NUM!</v>
      </c>
      <c r="AR131" s="47">
        <f>_xlfn.DAYS(AP131,RESUMEN!$BL$7)</f>
        <v>-43267</v>
      </c>
      <c r="AS131" s="49"/>
      <c r="AT131" s="54"/>
      <c r="AU131" s="66"/>
      <c r="AV131" s="50" t="e">
        <f t="shared" si="11"/>
        <v>#DIV/0!</v>
      </c>
    </row>
    <row r="132" spans="2:48" x14ac:dyDescent="0.25">
      <c r="B132" s="52"/>
      <c r="C132" s="47" t="e">
        <f>WEEKNUM(B132-RESUMEN!$D$7)</f>
        <v>#NUM!</v>
      </c>
      <c r="D132" s="47">
        <f>_xlfn.DAYS(B132,RESUMEN!$D$7)</f>
        <v>-43238</v>
      </c>
      <c r="E132" s="48"/>
      <c r="F132" s="54"/>
      <c r="G132" s="66"/>
      <c r="H132" s="50" t="e">
        <f t="shared" si="6"/>
        <v>#DIV/0!</v>
      </c>
      <c r="I132" s="90"/>
      <c r="J132" s="115"/>
      <c r="K132" s="47" t="e">
        <f>WEEKNUM(J132-RESUMEN!$P$7)</f>
        <v>#NUM!</v>
      </c>
      <c r="L132" s="47">
        <f>_xlfn.DAYS(J132,RESUMEN!$P$7)</f>
        <v>-43242</v>
      </c>
      <c r="M132" s="48"/>
      <c r="N132" s="54"/>
      <c r="O132" s="66"/>
      <c r="P132" s="50" t="e">
        <f t="shared" si="7"/>
        <v>#DIV/0!</v>
      </c>
      <c r="Q132" s="90"/>
      <c r="R132" s="115"/>
      <c r="S132" s="47" t="e">
        <f>WEEKNUM(R132-RESUMEN!$AB$7)</f>
        <v>#NUM!</v>
      </c>
      <c r="T132" s="47">
        <f>_xlfn.DAYS(R132,RESUMEN!$AB$7)</f>
        <v>-43247</v>
      </c>
      <c r="U132" s="48"/>
      <c r="V132" s="54"/>
      <c r="W132" s="66"/>
      <c r="X132" s="50" t="e">
        <f t="shared" si="8"/>
        <v>#DIV/0!</v>
      </c>
      <c r="Y132" s="90"/>
      <c r="Z132" s="115"/>
      <c r="AA132" s="47" t="e">
        <f>WEEKNUM(Z132-RESUMEN!$AN$7)</f>
        <v>#NUM!</v>
      </c>
      <c r="AB132" s="47">
        <f>_xlfn.DAYS(Z132,RESUMEN!$AN$7)</f>
        <v>-43254</v>
      </c>
      <c r="AC132" s="48"/>
      <c r="AD132" s="54"/>
      <c r="AE132" s="66"/>
      <c r="AF132" s="116" t="e">
        <f t="shared" si="9"/>
        <v>#DIV/0!</v>
      </c>
      <c r="AG132" s="83"/>
      <c r="AH132" s="115"/>
      <c r="AI132" s="47" t="e">
        <f>WEEKNUM(AH132-RESUMEN!$AZ$7)</f>
        <v>#NUM!</v>
      </c>
      <c r="AJ132" s="47">
        <f>_xlfn.DAYS(AH132,RESUMEN!$AZ$7)</f>
        <v>-43261</v>
      </c>
      <c r="AK132" s="79"/>
      <c r="AL132" s="54"/>
      <c r="AM132" s="66"/>
      <c r="AN132" s="50" t="e">
        <f t="shared" si="10"/>
        <v>#DIV/0!</v>
      </c>
      <c r="AO132" s="90"/>
      <c r="AP132" s="115"/>
      <c r="AQ132" s="47" t="e">
        <f>WEEKNUM(AP132-RESUMEN!$BL$7)</f>
        <v>#NUM!</v>
      </c>
      <c r="AR132" s="47">
        <f>_xlfn.DAYS(AP132,RESUMEN!$BL$7)</f>
        <v>-43267</v>
      </c>
      <c r="AS132" s="49"/>
      <c r="AT132" s="54"/>
      <c r="AU132" s="66"/>
      <c r="AV132" s="50" t="e">
        <f t="shared" si="11"/>
        <v>#DIV/0!</v>
      </c>
    </row>
    <row r="133" spans="2:48" x14ac:dyDescent="0.25">
      <c r="B133" s="52"/>
      <c r="C133" s="47" t="e">
        <f>WEEKNUM(B133-RESUMEN!$D$7)</f>
        <v>#NUM!</v>
      </c>
      <c r="D133" s="47">
        <f>_xlfn.DAYS(B133,RESUMEN!$D$7)</f>
        <v>-43238</v>
      </c>
      <c r="E133" s="48"/>
      <c r="F133" s="54"/>
      <c r="G133" s="66"/>
      <c r="H133" s="50" t="e">
        <f t="shared" si="6"/>
        <v>#DIV/0!</v>
      </c>
      <c r="I133" s="90"/>
      <c r="J133" s="115"/>
      <c r="K133" s="47" t="e">
        <f>WEEKNUM(J133-RESUMEN!$P$7)</f>
        <v>#NUM!</v>
      </c>
      <c r="L133" s="47">
        <f>_xlfn.DAYS(J133,RESUMEN!$P$7)</f>
        <v>-43242</v>
      </c>
      <c r="M133" s="48"/>
      <c r="N133" s="54"/>
      <c r="O133" s="66"/>
      <c r="P133" s="50" t="e">
        <f t="shared" si="7"/>
        <v>#DIV/0!</v>
      </c>
      <c r="Q133" s="90"/>
      <c r="R133" s="115"/>
      <c r="S133" s="47" t="e">
        <f>WEEKNUM(R133-RESUMEN!$AB$7)</f>
        <v>#NUM!</v>
      </c>
      <c r="T133" s="47">
        <f>_xlfn.DAYS(R133,RESUMEN!$AB$7)</f>
        <v>-43247</v>
      </c>
      <c r="U133" s="48"/>
      <c r="V133" s="54"/>
      <c r="W133" s="66"/>
      <c r="X133" s="50" t="e">
        <f t="shared" si="8"/>
        <v>#DIV/0!</v>
      </c>
      <c r="Y133" s="90"/>
      <c r="Z133" s="115"/>
      <c r="AA133" s="47" t="e">
        <f>WEEKNUM(Z133-RESUMEN!$AN$7)</f>
        <v>#NUM!</v>
      </c>
      <c r="AB133" s="47">
        <f>_xlfn.DAYS(Z133,RESUMEN!$AN$7)</f>
        <v>-43254</v>
      </c>
      <c r="AC133" s="48"/>
      <c r="AD133" s="54"/>
      <c r="AE133" s="66"/>
      <c r="AF133" s="116" t="e">
        <f t="shared" si="9"/>
        <v>#DIV/0!</v>
      </c>
      <c r="AG133" s="83"/>
      <c r="AH133" s="115"/>
      <c r="AI133" s="47" t="e">
        <f>WEEKNUM(AH133-RESUMEN!$AZ$7)</f>
        <v>#NUM!</v>
      </c>
      <c r="AJ133" s="47">
        <f>_xlfn.DAYS(AH133,RESUMEN!$AZ$7)</f>
        <v>-43261</v>
      </c>
      <c r="AK133" s="79"/>
      <c r="AL133" s="54"/>
      <c r="AM133" s="66"/>
      <c r="AN133" s="50" t="e">
        <f t="shared" si="10"/>
        <v>#DIV/0!</v>
      </c>
      <c r="AO133" s="90"/>
      <c r="AP133" s="115"/>
      <c r="AQ133" s="47" t="e">
        <f>WEEKNUM(AP133-RESUMEN!$BL$7)</f>
        <v>#NUM!</v>
      </c>
      <c r="AR133" s="47">
        <f>_xlfn.DAYS(AP133,RESUMEN!$BL$7)</f>
        <v>-43267</v>
      </c>
      <c r="AS133" s="53"/>
      <c r="AT133" s="54"/>
      <c r="AU133" s="66"/>
      <c r="AV133" s="50" t="e">
        <f t="shared" si="11"/>
        <v>#DIV/0!</v>
      </c>
    </row>
    <row r="134" spans="2:48" x14ac:dyDescent="0.25">
      <c r="B134" s="52"/>
      <c r="C134" s="47" t="e">
        <f>WEEKNUM(B134-RESUMEN!$D$7)</f>
        <v>#NUM!</v>
      </c>
      <c r="D134" s="47">
        <f>_xlfn.DAYS(B134,RESUMEN!$D$7)</f>
        <v>-43238</v>
      </c>
      <c r="E134" s="48"/>
      <c r="F134" s="54"/>
      <c r="G134" s="66"/>
      <c r="H134" s="50" t="e">
        <f t="shared" si="6"/>
        <v>#DIV/0!</v>
      </c>
      <c r="I134" s="90"/>
      <c r="J134" s="115"/>
      <c r="K134" s="47" t="e">
        <f>WEEKNUM(J134-RESUMEN!$P$7)</f>
        <v>#NUM!</v>
      </c>
      <c r="L134" s="47">
        <f>_xlfn.DAYS(J134,RESUMEN!$P$7)</f>
        <v>-43242</v>
      </c>
      <c r="M134" s="48"/>
      <c r="N134" s="54"/>
      <c r="O134" s="66"/>
      <c r="P134" s="50" t="e">
        <f t="shared" si="7"/>
        <v>#DIV/0!</v>
      </c>
      <c r="Q134" s="90"/>
      <c r="R134" s="115"/>
      <c r="S134" s="47" t="e">
        <f>WEEKNUM(R134-RESUMEN!$AB$7)</f>
        <v>#NUM!</v>
      </c>
      <c r="T134" s="47">
        <f>_xlfn.DAYS(R134,RESUMEN!$AB$7)</f>
        <v>-43247</v>
      </c>
      <c r="U134" s="48"/>
      <c r="V134" s="54"/>
      <c r="W134" s="66"/>
      <c r="X134" s="50" t="e">
        <f t="shared" si="8"/>
        <v>#DIV/0!</v>
      </c>
      <c r="Y134" s="90"/>
      <c r="Z134" s="115"/>
      <c r="AA134" s="47" t="e">
        <f>WEEKNUM(Z134-RESUMEN!$AN$7)</f>
        <v>#NUM!</v>
      </c>
      <c r="AB134" s="47">
        <f>_xlfn.DAYS(Z134,RESUMEN!$AN$7)</f>
        <v>-43254</v>
      </c>
      <c r="AC134" s="48"/>
      <c r="AD134" s="54"/>
      <c r="AE134" s="66"/>
      <c r="AF134" s="116" t="e">
        <f t="shared" si="9"/>
        <v>#DIV/0!</v>
      </c>
      <c r="AG134" s="83"/>
      <c r="AH134" s="115"/>
      <c r="AI134" s="47" t="e">
        <f>WEEKNUM(AH134-RESUMEN!$AZ$7)</f>
        <v>#NUM!</v>
      </c>
      <c r="AJ134" s="47">
        <f>_xlfn.DAYS(AH134,RESUMEN!$AZ$7)</f>
        <v>-43261</v>
      </c>
      <c r="AK134" s="79"/>
      <c r="AL134" s="54"/>
      <c r="AM134" s="66"/>
      <c r="AN134" s="50" t="e">
        <f t="shared" si="10"/>
        <v>#DIV/0!</v>
      </c>
      <c r="AO134" s="90"/>
      <c r="AP134" s="115"/>
      <c r="AQ134" s="47" t="e">
        <f>WEEKNUM(AP134-RESUMEN!$BL$7)</f>
        <v>#NUM!</v>
      </c>
      <c r="AR134" s="47">
        <f>_xlfn.DAYS(AP134,RESUMEN!$BL$7)</f>
        <v>-43267</v>
      </c>
      <c r="AS134" s="53"/>
      <c r="AT134" s="54"/>
      <c r="AU134" s="66"/>
      <c r="AV134" s="50" t="e">
        <f t="shared" si="11"/>
        <v>#DIV/0!</v>
      </c>
    </row>
    <row r="135" spans="2:48" x14ac:dyDescent="0.25">
      <c r="B135" s="52"/>
      <c r="C135" s="47" t="e">
        <f>WEEKNUM(B135-RESUMEN!$D$7)</f>
        <v>#NUM!</v>
      </c>
      <c r="D135" s="47">
        <f>_xlfn.DAYS(B135,RESUMEN!$D$7)</f>
        <v>-43238</v>
      </c>
      <c r="E135" s="48"/>
      <c r="F135" s="54"/>
      <c r="G135" s="66"/>
      <c r="H135" s="50" t="e">
        <f t="shared" ref="H135:H198" si="12">G135/F135</f>
        <v>#DIV/0!</v>
      </c>
      <c r="I135" s="90"/>
      <c r="J135" s="115"/>
      <c r="K135" s="47" t="e">
        <f>WEEKNUM(J135-RESUMEN!$P$7)</f>
        <v>#NUM!</v>
      </c>
      <c r="L135" s="47">
        <f>_xlfn.DAYS(J135,RESUMEN!$P$7)</f>
        <v>-43242</v>
      </c>
      <c r="M135" s="48"/>
      <c r="N135" s="54"/>
      <c r="O135" s="66"/>
      <c r="P135" s="50" t="e">
        <f t="shared" ref="P135:P198" si="13">O135/N135</f>
        <v>#DIV/0!</v>
      </c>
      <c r="Q135" s="90"/>
      <c r="R135" s="115"/>
      <c r="S135" s="47" t="e">
        <f>WEEKNUM(R135-RESUMEN!$AB$7)</f>
        <v>#NUM!</v>
      </c>
      <c r="T135" s="47">
        <f>_xlfn.DAYS(R135,RESUMEN!$AB$7)</f>
        <v>-43247</v>
      </c>
      <c r="U135" s="48"/>
      <c r="V135" s="54"/>
      <c r="W135" s="66"/>
      <c r="X135" s="50" t="e">
        <f t="shared" ref="X135:X198" si="14">W135/V135</f>
        <v>#DIV/0!</v>
      </c>
      <c r="Y135" s="90"/>
      <c r="Z135" s="115"/>
      <c r="AA135" s="47" t="e">
        <f>WEEKNUM(Z135-RESUMEN!$AN$7)</f>
        <v>#NUM!</v>
      </c>
      <c r="AB135" s="47">
        <f>_xlfn.DAYS(Z135,RESUMEN!$AN$7)</f>
        <v>-43254</v>
      </c>
      <c r="AC135" s="48"/>
      <c r="AD135" s="54"/>
      <c r="AE135" s="66"/>
      <c r="AF135" s="116" t="e">
        <f t="shared" ref="AF135:AF198" si="15">AE135/AD135</f>
        <v>#DIV/0!</v>
      </c>
      <c r="AG135" s="83"/>
      <c r="AH135" s="115"/>
      <c r="AI135" s="47" t="e">
        <f>WEEKNUM(AH135-RESUMEN!$AZ$7)</f>
        <v>#NUM!</v>
      </c>
      <c r="AJ135" s="47">
        <f>_xlfn.DAYS(AH135,RESUMEN!$AZ$7)</f>
        <v>-43261</v>
      </c>
      <c r="AK135" s="79"/>
      <c r="AL135" s="54"/>
      <c r="AM135" s="66"/>
      <c r="AN135" s="50" t="e">
        <f t="shared" ref="AN135:AN198" si="16">AM135/AL135</f>
        <v>#DIV/0!</v>
      </c>
      <c r="AO135" s="90"/>
      <c r="AP135" s="115"/>
      <c r="AQ135" s="47" t="e">
        <f>WEEKNUM(AP135-RESUMEN!$BL$7)</f>
        <v>#NUM!</v>
      </c>
      <c r="AR135" s="47">
        <f>_xlfn.DAYS(AP135,RESUMEN!$BL$7)</f>
        <v>-43267</v>
      </c>
      <c r="AS135" s="53"/>
      <c r="AT135" s="54"/>
      <c r="AU135" s="66"/>
      <c r="AV135" s="50" t="e">
        <f t="shared" ref="AV135:AV198" si="17">AU135/AT135</f>
        <v>#DIV/0!</v>
      </c>
    </row>
    <row r="136" spans="2:48" x14ac:dyDescent="0.25">
      <c r="B136" s="52"/>
      <c r="C136" s="47" t="e">
        <f>WEEKNUM(B136-RESUMEN!$D$7)</f>
        <v>#NUM!</v>
      </c>
      <c r="D136" s="47">
        <f>_xlfn.DAYS(B136,RESUMEN!$D$7)</f>
        <v>-43238</v>
      </c>
      <c r="E136" s="48"/>
      <c r="F136" s="54"/>
      <c r="G136" s="66"/>
      <c r="H136" s="50" t="e">
        <f t="shared" si="12"/>
        <v>#DIV/0!</v>
      </c>
      <c r="I136" s="90"/>
      <c r="J136" s="115"/>
      <c r="K136" s="47" t="e">
        <f>WEEKNUM(J136-RESUMEN!$P$7)</f>
        <v>#NUM!</v>
      </c>
      <c r="L136" s="47">
        <f>_xlfn.DAYS(J136,RESUMEN!$P$7)</f>
        <v>-43242</v>
      </c>
      <c r="M136" s="48"/>
      <c r="N136" s="54"/>
      <c r="O136" s="66"/>
      <c r="P136" s="50" t="e">
        <f t="shared" si="13"/>
        <v>#DIV/0!</v>
      </c>
      <c r="Q136" s="90"/>
      <c r="R136" s="115"/>
      <c r="S136" s="47" t="e">
        <f>WEEKNUM(R136-RESUMEN!$AB$7)</f>
        <v>#NUM!</v>
      </c>
      <c r="T136" s="47">
        <f>_xlfn.DAYS(R136,RESUMEN!$AB$7)</f>
        <v>-43247</v>
      </c>
      <c r="U136" s="48"/>
      <c r="V136" s="54"/>
      <c r="W136" s="66"/>
      <c r="X136" s="50" t="e">
        <f t="shared" si="14"/>
        <v>#DIV/0!</v>
      </c>
      <c r="Y136" s="90"/>
      <c r="Z136" s="115"/>
      <c r="AA136" s="47" t="e">
        <f>WEEKNUM(Z136-RESUMEN!$AN$7)</f>
        <v>#NUM!</v>
      </c>
      <c r="AB136" s="47">
        <f>_xlfn.DAYS(Z136,RESUMEN!$AN$7)</f>
        <v>-43254</v>
      </c>
      <c r="AC136" s="48"/>
      <c r="AD136" s="54"/>
      <c r="AE136" s="66"/>
      <c r="AF136" s="116" t="e">
        <f t="shared" si="15"/>
        <v>#DIV/0!</v>
      </c>
      <c r="AG136" s="83"/>
      <c r="AH136" s="115"/>
      <c r="AI136" s="47" t="e">
        <f>WEEKNUM(AH136-RESUMEN!$AZ$7)</f>
        <v>#NUM!</v>
      </c>
      <c r="AJ136" s="47">
        <f>_xlfn.DAYS(AH136,RESUMEN!$AZ$7)</f>
        <v>-43261</v>
      </c>
      <c r="AK136" s="79"/>
      <c r="AL136" s="54"/>
      <c r="AM136" s="66"/>
      <c r="AN136" s="50" t="e">
        <f t="shared" si="16"/>
        <v>#DIV/0!</v>
      </c>
      <c r="AO136" s="90"/>
      <c r="AP136" s="115"/>
      <c r="AQ136" s="47" t="e">
        <f>WEEKNUM(AP136-RESUMEN!$BL$7)</f>
        <v>#NUM!</v>
      </c>
      <c r="AR136" s="47">
        <f>_xlfn.DAYS(AP136,RESUMEN!$BL$7)</f>
        <v>-43267</v>
      </c>
      <c r="AS136" s="53"/>
      <c r="AT136" s="54"/>
      <c r="AU136" s="66"/>
      <c r="AV136" s="50" t="e">
        <f t="shared" si="17"/>
        <v>#DIV/0!</v>
      </c>
    </row>
    <row r="137" spans="2:48" x14ac:dyDescent="0.25">
      <c r="B137" s="52"/>
      <c r="C137" s="47" t="e">
        <f>WEEKNUM(B137-RESUMEN!$D$7)</f>
        <v>#NUM!</v>
      </c>
      <c r="D137" s="47">
        <f>_xlfn.DAYS(B137,RESUMEN!$D$7)</f>
        <v>-43238</v>
      </c>
      <c r="E137" s="48"/>
      <c r="F137" s="54"/>
      <c r="G137" s="66"/>
      <c r="H137" s="50" t="e">
        <f t="shared" si="12"/>
        <v>#DIV/0!</v>
      </c>
      <c r="I137" s="90"/>
      <c r="J137" s="115"/>
      <c r="K137" s="47" t="e">
        <f>WEEKNUM(J137-RESUMEN!$P$7)</f>
        <v>#NUM!</v>
      </c>
      <c r="L137" s="47">
        <f>_xlfn.DAYS(J137,RESUMEN!$P$7)</f>
        <v>-43242</v>
      </c>
      <c r="M137" s="48"/>
      <c r="N137" s="54"/>
      <c r="O137" s="66"/>
      <c r="P137" s="50" t="e">
        <f t="shared" si="13"/>
        <v>#DIV/0!</v>
      </c>
      <c r="Q137" s="90"/>
      <c r="R137" s="115"/>
      <c r="S137" s="47" t="e">
        <f>WEEKNUM(R137-RESUMEN!$AB$7)</f>
        <v>#NUM!</v>
      </c>
      <c r="T137" s="47">
        <f>_xlfn.DAYS(R137,RESUMEN!$AB$7)</f>
        <v>-43247</v>
      </c>
      <c r="U137" s="48"/>
      <c r="V137" s="54"/>
      <c r="W137" s="66"/>
      <c r="X137" s="50" t="e">
        <f t="shared" si="14"/>
        <v>#DIV/0!</v>
      </c>
      <c r="Y137" s="90"/>
      <c r="Z137" s="115"/>
      <c r="AA137" s="47" t="e">
        <f>WEEKNUM(Z137-RESUMEN!$AN$7)</f>
        <v>#NUM!</v>
      </c>
      <c r="AB137" s="47">
        <f>_xlfn.DAYS(Z137,RESUMEN!$AN$7)</f>
        <v>-43254</v>
      </c>
      <c r="AC137" s="48"/>
      <c r="AD137" s="54"/>
      <c r="AE137" s="66"/>
      <c r="AF137" s="116" t="e">
        <f t="shared" si="15"/>
        <v>#DIV/0!</v>
      </c>
      <c r="AG137" s="83"/>
      <c r="AH137" s="115"/>
      <c r="AI137" s="47" t="e">
        <f>WEEKNUM(AH137-RESUMEN!$AZ$7)</f>
        <v>#NUM!</v>
      </c>
      <c r="AJ137" s="47">
        <f>_xlfn.DAYS(AH137,RESUMEN!$AZ$7)</f>
        <v>-43261</v>
      </c>
      <c r="AK137" s="79"/>
      <c r="AL137" s="54"/>
      <c r="AM137" s="66"/>
      <c r="AN137" s="50" t="e">
        <f t="shared" si="16"/>
        <v>#DIV/0!</v>
      </c>
      <c r="AO137" s="90"/>
      <c r="AP137" s="115"/>
      <c r="AQ137" s="47" t="e">
        <f>WEEKNUM(AP137-RESUMEN!$BL$7)</f>
        <v>#NUM!</v>
      </c>
      <c r="AR137" s="47">
        <f>_xlfn.DAYS(AP137,RESUMEN!$BL$7)</f>
        <v>-43267</v>
      </c>
      <c r="AS137" s="53"/>
      <c r="AT137" s="54"/>
      <c r="AU137" s="66"/>
      <c r="AV137" s="50" t="e">
        <f t="shared" si="17"/>
        <v>#DIV/0!</v>
      </c>
    </row>
    <row r="138" spans="2:48" x14ac:dyDescent="0.25">
      <c r="B138" s="52"/>
      <c r="C138" s="47" t="e">
        <f>WEEKNUM(B138-RESUMEN!$D$7)</f>
        <v>#NUM!</v>
      </c>
      <c r="D138" s="47">
        <f>_xlfn.DAYS(B138,RESUMEN!$D$7)</f>
        <v>-43238</v>
      </c>
      <c r="E138" s="48"/>
      <c r="F138" s="54"/>
      <c r="G138" s="66"/>
      <c r="H138" s="50" t="e">
        <f t="shared" si="12"/>
        <v>#DIV/0!</v>
      </c>
      <c r="I138" s="90"/>
      <c r="J138" s="115"/>
      <c r="K138" s="47" t="e">
        <f>WEEKNUM(J138-RESUMEN!$P$7)</f>
        <v>#NUM!</v>
      </c>
      <c r="L138" s="47">
        <f>_xlfn.DAYS(J138,RESUMEN!$P$7)</f>
        <v>-43242</v>
      </c>
      <c r="M138" s="48"/>
      <c r="N138" s="54"/>
      <c r="O138" s="66"/>
      <c r="P138" s="50" t="e">
        <f t="shared" si="13"/>
        <v>#DIV/0!</v>
      </c>
      <c r="Q138" s="90"/>
      <c r="R138" s="115"/>
      <c r="S138" s="47" t="e">
        <f>WEEKNUM(R138-RESUMEN!$AB$7)</f>
        <v>#NUM!</v>
      </c>
      <c r="T138" s="47">
        <f>_xlfn.DAYS(R138,RESUMEN!$AB$7)</f>
        <v>-43247</v>
      </c>
      <c r="U138" s="48"/>
      <c r="V138" s="54"/>
      <c r="W138" s="66"/>
      <c r="X138" s="50" t="e">
        <f t="shared" si="14"/>
        <v>#DIV/0!</v>
      </c>
      <c r="Y138" s="90"/>
      <c r="Z138" s="115"/>
      <c r="AA138" s="47" t="e">
        <f>WEEKNUM(Z138-RESUMEN!$AN$7)</f>
        <v>#NUM!</v>
      </c>
      <c r="AB138" s="47">
        <f>_xlfn.DAYS(Z138,RESUMEN!$AN$7)</f>
        <v>-43254</v>
      </c>
      <c r="AC138" s="48"/>
      <c r="AD138" s="54"/>
      <c r="AE138" s="66"/>
      <c r="AF138" s="116" t="e">
        <f t="shared" si="15"/>
        <v>#DIV/0!</v>
      </c>
      <c r="AG138" s="83"/>
      <c r="AH138" s="115"/>
      <c r="AI138" s="47" t="e">
        <f>WEEKNUM(AH138-RESUMEN!$AZ$7)</f>
        <v>#NUM!</v>
      </c>
      <c r="AJ138" s="47">
        <f>_xlfn.DAYS(AH138,RESUMEN!$AZ$7)</f>
        <v>-43261</v>
      </c>
      <c r="AK138" s="79"/>
      <c r="AL138" s="54"/>
      <c r="AM138" s="66"/>
      <c r="AN138" s="50" t="e">
        <f t="shared" si="16"/>
        <v>#DIV/0!</v>
      </c>
      <c r="AO138" s="90"/>
      <c r="AP138" s="115"/>
      <c r="AQ138" s="47" t="e">
        <f>WEEKNUM(AP138-RESUMEN!$BL$7)</f>
        <v>#NUM!</v>
      </c>
      <c r="AR138" s="47">
        <f>_xlfn.DAYS(AP138,RESUMEN!$BL$7)</f>
        <v>-43267</v>
      </c>
      <c r="AS138" s="53"/>
      <c r="AT138" s="54"/>
      <c r="AU138" s="66"/>
      <c r="AV138" s="50" t="e">
        <f t="shared" si="17"/>
        <v>#DIV/0!</v>
      </c>
    </row>
    <row r="139" spans="2:48" x14ac:dyDescent="0.25">
      <c r="B139" s="52"/>
      <c r="C139" s="47" t="e">
        <f>WEEKNUM(B139-RESUMEN!$D$7)</f>
        <v>#NUM!</v>
      </c>
      <c r="D139" s="47">
        <f>_xlfn.DAYS(B139,RESUMEN!$D$7)</f>
        <v>-43238</v>
      </c>
      <c r="E139" s="48"/>
      <c r="F139" s="54"/>
      <c r="G139" s="66"/>
      <c r="H139" s="50" t="e">
        <f t="shared" si="12"/>
        <v>#DIV/0!</v>
      </c>
      <c r="I139" s="90"/>
      <c r="J139" s="115"/>
      <c r="K139" s="47" t="e">
        <f>WEEKNUM(J139-RESUMEN!$P$7)</f>
        <v>#NUM!</v>
      </c>
      <c r="L139" s="47">
        <f>_xlfn.DAYS(J139,RESUMEN!$P$7)</f>
        <v>-43242</v>
      </c>
      <c r="M139" s="48"/>
      <c r="N139" s="54"/>
      <c r="O139" s="66"/>
      <c r="P139" s="50" t="e">
        <f t="shared" si="13"/>
        <v>#DIV/0!</v>
      </c>
      <c r="Q139" s="90"/>
      <c r="R139" s="115"/>
      <c r="S139" s="47" t="e">
        <f>WEEKNUM(R139-RESUMEN!$AB$7)</f>
        <v>#NUM!</v>
      </c>
      <c r="T139" s="47">
        <f>_xlfn.DAYS(R139,RESUMEN!$AB$7)</f>
        <v>-43247</v>
      </c>
      <c r="U139" s="48"/>
      <c r="V139" s="54"/>
      <c r="W139" s="66"/>
      <c r="X139" s="50" t="e">
        <f t="shared" si="14"/>
        <v>#DIV/0!</v>
      </c>
      <c r="Y139" s="90"/>
      <c r="Z139" s="115"/>
      <c r="AA139" s="47" t="e">
        <f>WEEKNUM(Z139-RESUMEN!$AN$7)</f>
        <v>#NUM!</v>
      </c>
      <c r="AB139" s="47">
        <f>_xlfn.DAYS(Z139,RESUMEN!$AN$7)</f>
        <v>-43254</v>
      </c>
      <c r="AC139" s="48"/>
      <c r="AD139" s="54"/>
      <c r="AE139" s="66"/>
      <c r="AF139" s="116" t="e">
        <f t="shared" si="15"/>
        <v>#DIV/0!</v>
      </c>
      <c r="AG139" s="83"/>
      <c r="AH139" s="115"/>
      <c r="AI139" s="47" t="e">
        <f>WEEKNUM(AH139-RESUMEN!$AZ$7)</f>
        <v>#NUM!</v>
      </c>
      <c r="AJ139" s="47">
        <f>_xlfn.DAYS(AH139,RESUMEN!$AZ$7)</f>
        <v>-43261</v>
      </c>
      <c r="AK139" s="79"/>
      <c r="AL139" s="54"/>
      <c r="AM139" s="66"/>
      <c r="AN139" s="50" t="e">
        <f t="shared" si="16"/>
        <v>#DIV/0!</v>
      </c>
      <c r="AO139" s="90"/>
      <c r="AP139" s="115"/>
      <c r="AQ139" s="47" t="e">
        <f>WEEKNUM(AP139-RESUMEN!$BL$7)</f>
        <v>#NUM!</v>
      </c>
      <c r="AR139" s="47">
        <f>_xlfn.DAYS(AP139,RESUMEN!$BL$7)</f>
        <v>-43267</v>
      </c>
      <c r="AS139" s="53"/>
      <c r="AT139" s="54"/>
      <c r="AU139" s="66"/>
      <c r="AV139" s="50" t="e">
        <f t="shared" si="17"/>
        <v>#DIV/0!</v>
      </c>
    </row>
    <row r="140" spans="2:48" x14ac:dyDescent="0.25">
      <c r="B140" s="52"/>
      <c r="C140" s="47" t="e">
        <f>WEEKNUM(B140-RESUMEN!$D$7)</f>
        <v>#NUM!</v>
      </c>
      <c r="D140" s="47">
        <f>_xlfn.DAYS(B140,RESUMEN!$D$7)</f>
        <v>-43238</v>
      </c>
      <c r="E140" s="48"/>
      <c r="F140" s="54"/>
      <c r="G140" s="66"/>
      <c r="H140" s="50" t="e">
        <f t="shared" si="12"/>
        <v>#DIV/0!</v>
      </c>
      <c r="I140" s="90"/>
      <c r="J140" s="115"/>
      <c r="K140" s="47" t="e">
        <f>WEEKNUM(J140-RESUMEN!$P$7)</f>
        <v>#NUM!</v>
      </c>
      <c r="L140" s="47">
        <f>_xlfn.DAYS(J140,RESUMEN!$P$7)</f>
        <v>-43242</v>
      </c>
      <c r="M140" s="48"/>
      <c r="N140" s="54"/>
      <c r="O140" s="66"/>
      <c r="P140" s="50" t="e">
        <f t="shared" si="13"/>
        <v>#DIV/0!</v>
      </c>
      <c r="Q140" s="90"/>
      <c r="R140" s="115"/>
      <c r="S140" s="47" t="e">
        <f>WEEKNUM(R140-RESUMEN!$AB$7)</f>
        <v>#NUM!</v>
      </c>
      <c r="T140" s="47">
        <f>_xlfn.DAYS(R140,RESUMEN!$AB$7)</f>
        <v>-43247</v>
      </c>
      <c r="U140" s="48"/>
      <c r="V140" s="54"/>
      <c r="W140" s="66"/>
      <c r="X140" s="50" t="e">
        <f t="shared" si="14"/>
        <v>#DIV/0!</v>
      </c>
      <c r="Y140" s="90"/>
      <c r="Z140" s="115"/>
      <c r="AA140" s="47" t="e">
        <f>WEEKNUM(Z140-RESUMEN!$AN$7)</f>
        <v>#NUM!</v>
      </c>
      <c r="AB140" s="47">
        <f>_xlfn.DAYS(Z140,RESUMEN!$AN$7)</f>
        <v>-43254</v>
      </c>
      <c r="AC140" s="48"/>
      <c r="AD140" s="54"/>
      <c r="AE140" s="66"/>
      <c r="AF140" s="116" t="e">
        <f t="shared" si="15"/>
        <v>#DIV/0!</v>
      </c>
      <c r="AG140" s="83"/>
      <c r="AH140" s="115"/>
      <c r="AI140" s="47" t="e">
        <f>WEEKNUM(AH140-RESUMEN!$AZ$7)</f>
        <v>#NUM!</v>
      </c>
      <c r="AJ140" s="47">
        <f>_xlfn.DAYS(AH140,RESUMEN!$AZ$7)</f>
        <v>-43261</v>
      </c>
      <c r="AK140" s="79"/>
      <c r="AL140" s="54"/>
      <c r="AM140" s="66"/>
      <c r="AN140" s="50" t="e">
        <f t="shared" si="16"/>
        <v>#DIV/0!</v>
      </c>
      <c r="AO140" s="90"/>
      <c r="AP140" s="115"/>
      <c r="AQ140" s="47" t="e">
        <f>WEEKNUM(AP140-RESUMEN!$BL$7)</f>
        <v>#NUM!</v>
      </c>
      <c r="AR140" s="47">
        <f>_xlfn.DAYS(AP140,RESUMEN!$BL$7)</f>
        <v>-43267</v>
      </c>
      <c r="AS140" s="53"/>
      <c r="AT140" s="54"/>
      <c r="AU140" s="66"/>
      <c r="AV140" s="50" t="e">
        <f t="shared" si="17"/>
        <v>#DIV/0!</v>
      </c>
    </row>
    <row r="141" spans="2:48" x14ac:dyDescent="0.25">
      <c r="B141" s="52"/>
      <c r="C141" s="47" t="e">
        <f>WEEKNUM(B141-RESUMEN!$D$7)</f>
        <v>#NUM!</v>
      </c>
      <c r="D141" s="47">
        <f>_xlfn.DAYS(B141,RESUMEN!$D$7)</f>
        <v>-43238</v>
      </c>
      <c r="E141" s="48"/>
      <c r="F141" s="54"/>
      <c r="G141" s="66"/>
      <c r="H141" s="50" t="e">
        <f t="shared" si="12"/>
        <v>#DIV/0!</v>
      </c>
      <c r="I141" s="90"/>
      <c r="J141" s="115"/>
      <c r="K141" s="47" t="e">
        <f>WEEKNUM(J141-RESUMEN!$P$7)</f>
        <v>#NUM!</v>
      </c>
      <c r="L141" s="47">
        <f>_xlfn.DAYS(J141,RESUMEN!$P$7)</f>
        <v>-43242</v>
      </c>
      <c r="M141" s="48"/>
      <c r="N141" s="54"/>
      <c r="O141" s="66"/>
      <c r="P141" s="50" t="e">
        <f t="shared" si="13"/>
        <v>#DIV/0!</v>
      </c>
      <c r="Q141" s="90"/>
      <c r="R141" s="115"/>
      <c r="S141" s="47" t="e">
        <f>WEEKNUM(R141-RESUMEN!$AB$7)</f>
        <v>#NUM!</v>
      </c>
      <c r="T141" s="47">
        <f>_xlfn.DAYS(R141,RESUMEN!$AB$7)</f>
        <v>-43247</v>
      </c>
      <c r="U141" s="48"/>
      <c r="V141" s="54"/>
      <c r="W141" s="66"/>
      <c r="X141" s="50" t="e">
        <f t="shared" si="14"/>
        <v>#DIV/0!</v>
      </c>
      <c r="Y141" s="90"/>
      <c r="Z141" s="115"/>
      <c r="AA141" s="47" t="e">
        <f>WEEKNUM(Z141-RESUMEN!$AN$7)</f>
        <v>#NUM!</v>
      </c>
      <c r="AB141" s="47">
        <f>_xlfn.DAYS(Z141,RESUMEN!$AN$7)</f>
        <v>-43254</v>
      </c>
      <c r="AC141" s="48"/>
      <c r="AD141" s="54"/>
      <c r="AE141" s="66"/>
      <c r="AF141" s="116" t="e">
        <f t="shared" si="15"/>
        <v>#DIV/0!</v>
      </c>
      <c r="AG141" s="83"/>
      <c r="AH141" s="115"/>
      <c r="AI141" s="47" t="e">
        <f>WEEKNUM(AH141-RESUMEN!$AZ$7)</f>
        <v>#NUM!</v>
      </c>
      <c r="AJ141" s="47">
        <f>_xlfn.DAYS(AH141,RESUMEN!$AZ$7)</f>
        <v>-43261</v>
      </c>
      <c r="AK141" s="79"/>
      <c r="AL141" s="54"/>
      <c r="AM141" s="66"/>
      <c r="AN141" s="50" t="e">
        <f t="shared" si="16"/>
        <v>#DIV/0!</v>
      </c>
      <c r="AO141" s="90"/>
      <c r="AP141" s="115"/>
      <c r="AQ141" s="47" t="e">
        <f>WEEKNUM(AP141-RESUMEN!$BL$7)</f>
        <v>#NUM!</v>
      </c>
      <c r="AR141" s="47">
        <f>_xlfn.DAYS(AP141,RESUMEN!$BL$7)</f>
        <v>-43267</v>
      </c>
      <c r="AS141" s="53"/>
      <c r="AT141" s="54"/>
      <c r="AU141" s="66"/>
      <c r="AV141" s="50" t="e">
        <f t="shared" si="17"/>
        <v>#DIV/0!</v>
      </c>
    </row>
    <row r="142" spans="2:48" x14ac:dyDescent="0.25">
      <c r="B142" s="52"/>
      <c r="C142" s="47" t="e">
        <f>WEEKNUM(B142-RESUMEN!$D$7)</f>
        <v>#NUM!</v>
      </c>
      <c r="D142" s="47">
        <f>_xlfn.DAYS(B142,RESUMEN!$D$7)</f>
        <v>-43238</v>
      </c>
      <c r="E142" s="48"/>
      <c r="F142" s="54"/>
      <c r="G142" s="66"/>
      <c r="H142" s="50" t="e">
        <f t="shared" si="12"/>
        <v>#DIV/0!</v>
      </c>
      <c r="I142" s="90"/>
      <c r="J142" s="115"/>
      <c r="K142" s="47" t="e">
        <f>WEEKNUM(J142-RESUMEN!$P$7)</f>
        <v>#NUM!</v>
      </c>
      <c r="L142" s="47">
        <f>_xlfn.DAYS(J142,RESUMEN!$P$7)</f>
        <v>-43242</v>
      </c>
      <c r="M142" s="48"/>
      <c r="N142" s="54"/>
      <c r="O142" s="66"/>
      <c r="P142" s="50" t="e">
        <f t="shared" si="13"/>
        <v>#DIV/0!</v>
      </c>
      <c r="Q142" s="90"/>
      <c r="R142" s="115"/>
      <c r="S142" s="47" t="e">
        <f>WEEKNUM(R142-RESUMEN!$AB$7)</f>
        <v>#NUM!</v>
      </c>
      <c r="T142" s="47">
        <f>_xlfn.DAYS(R142,RESUMEN!$AB$7)</f>
        <v>-43247</v>
      </c>
      <c r="U142" s="48"/>
      <c r="V142" s="54"/>
      <c r="W142" s="66"/>
      <c r="X142" s="50" t="e">
        <f t="shared" si="14"/>
        <v>#DIV/0!</v>
      </c>
      <c r="Y142" s="90"/>
      <c r="Z142" s="115"/>
      <c r="AA142" s="47" t="e">
        <f>WEEKNUM(Z142-RESUMEN!$AN$7)</f>
        <v>#NUM!</v>
      </c>
      <c r="AB142" s="47">
        <f>_xlfn.DAYS(Z142,RESUMEN!$AN$7)</f>
        <v>-43254</v>
      </c>
      <c r="AC142" s="48"/>
      <c r="AD142" s="54"/>
      <c r="AE142" s="66"/>
      <c r="AF142" s="116" t="e">
        <f t="shared" si="15"/>
        <v>#DIV/0!</v>
      </c>
      <c r="AG142" s="83"/>
      <c r="AH142" s="115"/>
      <c r="AI142" s="47" t="e">
        <f>WEEKNUM(AH142-RESUMEN!$AZ$7)</f>
        <v>#NUM!</v>
      </c>
      <c r="AJ142" s="47">
        <f>_xlfn.DAYS(AH142,RESUMEN!$AZ$7)</f>
        <v>-43261</v>
      </c>
      <c r="AK142" s="79"/>
      <c r="AL142" s="54"/>
      <c r="AM142" s="66"/>
      <c r="AN142" s="50" t="e">
        <f t="shared" si="16"/>
        <v>#DIV/0!</v>
      </c>
      <c r="AO142" s="90"/>
      <c r="AP142" s="115"/>
      <c r="AQ142" s="47" t="e">
        <f>WEEKNUM(AP142-RESUMEN!$BL$7)</f>
        <v>#NUM!</v>
      </c>
      <c r="AR142" s="47">
        <f>_xlfn.DAYS(AP142,RESUMEN!$BL$7)</f>
        <v>-43267</v>
      </c>
      <c r="AS142" s="53"/>
      <c r="AT142" s="54"/>
      <c r="AU142" s="66"/>
      <c r="AV142" s="50" t="e">
        <f t="shared" si="17"/>
        <v>#DIV/0!</v>
      </c>
    </row>
    <row r="143" spans="2:48" x14ac:dyDescent="0.25">
      <c r="B143" s="52"/>
      <c r="C143" s="47" t="e">
        <f>WEEKNUM(B143-RESUMEN!$D$7)</f>
        <v>#NUM!</v>
      </c>
      <c r="D143" s="47">
        <f>_xlfn.DAYS(B143,RESUMEN!$D$7)</f>
        <v>-43238</v>
      </c>
      <c r="E143" s="48"/>
      <c r="F143" s="54"/>
      <c r="G143" s="66"/>
      <c r="H143" s="50" t="e">
        <f t="shared" si="12"/>
        <v>#DIV/0!</v>
      </c>
      <c r="I143" s="90"/>
      <c r="J143" s="115"/>
      <c r="K143" s="47" t="e">
        <f>WEEKNUM(J143-RESUMEN!$P$7)</f>
        <v>#NUM!</v>
      </c>
      <c r="L143" s="47">
        <f>_xlfn.DAYS(J143,RESUMEN!$P$7)</f>
        <v>-43242</v>
      </c>
      <c r="M143" s="48"/>
      <c r="N143" s="54"/>
      <c r="O143" s="66"/>
      <c r="P143" s="50" t="e">
        <f t="shared" si="13"/>
        <v>#DIV/0!</v>
      </c>
      <c r="Q143" s="90"/>
      <c r="R143" s="115"/>
      <c r="S143" s="47" t="e">
        <f>WEEKNUM(R143-RESUMEN!$AB$7)</f>
        <v>#NUM!</v>
      </c>
      <c r="T143" s="47">
        <f>_xlfn.DAYS(R143,RESUMEN!$AB$7)</f>
        <v>-43247</v>
      </c>
      <c r="U143" s="48"/>
      <c r="V143" s="54"/>
      <c r="W143" s="66"/>
      <c r="X143" s="50" t="e">
        <f t="shared" si="14"/>
        <v>#DIV/0!</v>
      </c>
      <c r="Y143" s="90"/>
      <c r="Z143" s="115"/>
      <c r="AA143" s="47" t="e">
        <f>WEEKNUM(Z143-RESUMEN!$AN$7)</f>
        <v>#NUM!</v>
      </c>
      <c r="AB143" s="47">
        <f>_xlfn.DAYS(Z143,RESUMEN!$AN$7)</f>
        <v>-43254</v>
      </c>
      <c r="AC143" s="48"/>
      <c r="AD143" s="54"/>
      <c r="AE143" s="66"/>
      <c r="AF143" s="116" t="e">
        <f t="shared" si="15"/>
        <v>#DIV/0!</v>
      </c>
      <c r="AG143" s="83"/>
      <c r="AH143" s="115"/>
      <c r="AI143" s="47" t="e">
        <f>WEEKNUM(AH143-RESUMEN!$AZ$7)</f>
        <v>#NUM!</v>
      </c>
      <c r="AJ143" s="47">
        <f>_xlfn.DAYS(AH143,RESUMEN!$AZ$7)</f>
        <v>-43261</v>
      </c>
      <c r="AK143" s="79"/>
      <c r="AL143" s="54"/>
      <c r="AM143" s="66"/>
      <c r="AN143" s="50" t="e">
        <f t="shared" si="16"/>
        <v>#DIV/0!</v>
      </c>
      <c r="AO143" s="90"/>
      <c r="AP143" s="115"/>
      <c r="AQ143" s="47" t="e">
        <f>WEEKNUM(AP143-RESUMEN!$BL$7)</f>
        <v>#NUM!</v>
      </c>
      <c r="AR143" s="47">
        <f>_xlfn.DAYS(AP143,RESUMEN!$BL$7)</f>
        <v>-43267</v>
      </c>
      <c r="AS143" s="53"/>
      <c r="AT143" s="54"/>
      <c r="AU143" s="66"/>
      <c r="AV143" s="50" t="e">
        <f t="shared" si="17"/>
        <v>#DIV/0!</v>
      </c>
    </row>
    <row r="144" spans="2:48" x14ac:dyDescent="0.25">
      <c r="B144" s="52"/>
      <c r="C144" s="47" t="e">
        <f>WEEKNUM(B144-RESUMEN!$D$7)</f>
        <v>#NUM!</v>
      </c>
      <c r="D144" s="47">
        <f>_xlfn.DAYS(B144,RESUMEN!$D$7)</f>
        <v>-43238</v>
      </c>
      <c r="E144" s="48"/>
      <c r="F144" s="54"/>
      <c r="G144" s="66"/>
      <c r="H144" s="50" t="e">
        <f t="shared" si="12"/>
        <v>#DIV/0!</v>
      </c>
      <c r="I144" s="90"/>
      <c r="J144" s="115"/>
      <c r="K144" s="47" t="e">
        <f>WEEKNUM(J144-RESUMEN!$P$7)</f>
        <v>#NUM!</v>
      </c>
      <c r="L144" s="47">
        <f>_xlfn.DAYS(J144,RESUMEN!$P$7)</f>
        <v>-43242</v>
      </c>
      <c r="M144" s="48"/>
      <c r="N144" s="54"/>
      <c r="O144" s="66"/>
      <c r="P144" s="50" t="e">
        <f t="shared" si="13"/>
        <v>#DIV/0!</v>
      </c>
      <c r="Q144" s="90"/>
      <c r="R144" s="115"/>
      <c r="S144" s="47" t="e">
        <f>WEEKNUM(R144-RESUMEN!$AB$7)</f>
        <v>#NUM!</v>
      </c>
      <c r="T144" s="47">
        <f>_xlfn.DAYS(R144,RESUMEN!$AB$7)</f>
        <v>-43247</v>
      </c>
      <c r="U144" s="48"/>
      <c r="V144" s="54"/>
      <c r="W144" s="66"/>
      <c r="X144" s="50" t="e">
        <f t="shared" si="14"/>
        <v>#DIV/0!</v>
      </c>
      <c r="Y144" s="90"/>
      <c r="Z144" s="115"/>
      <c r="AA144" s="47" t="e">
        <f>WEEKNUM(Z144-RESUMEN!$AN$7)</f>
        <v>#NUM!</v>
      </c>
      <c r="AB144" s="47">
        <f>_xlfn.DAYS(Z144,RESUMEN!$AN$7)</f>
        <v>-43254</v>
      </c>
      <c r="AC144" s="48"/>
      <c r="AD144" s="54"/>
      <c r="AE144" s="66"/>
      <c r="AF144" s="116" t="e">
        <f t="shared" si="15"/>
        <v>#DIV/0!</v>
      </c>
      <c r="AG144" s="83"/>
      <c r="AH144" s="115"/>
      <c r="AI144" s="47" t="e">
        <f>WEEKNUM(AH144-RESUMEN!$AZ$7)</f>
        <v>#NUM!</v>
      </c>
      <c r="AJ144" s="47">
        <f>_xlfn.DAYS(AH144,RESUMEN!$AZ$7)</f>
        <v>-43261</v>
      </c>
      <c r="AK144" s="79"/>
      <c r="AL144" s="54"/>
      <c r="AM144" s="66"/>
      <c r="AN144" s="50" t="e">
        <f t="shared" si="16"/>
        <v>#DIV/0!</v>
      </c>
      <c r="AO144" s="90"/>
      <c r="AP144" s="115"/>
      <c r="AQ144" s="47" t="e">
        <f>WEEKNUM(AP144-RESUMEN!$BL$7)</f>
        <v>#NUM!</v>
      </c>
      <c r="AR144" s="47">
        <f>_xlfn.DAYS(AP144,RESUMEN!$BL$7)</f>
        <v>-43267</v>
      </c>
      <c r="AS144" s="53"/>
      <c r="AT144" s="54"/>
      <c r="AU144" s="66"/>
      <c r="AV144" s="50" t="e">
        <f t="shared" si="17"/>
        <v>#DIV/0!</v>
      </c>
    </row>
    <row r="145" spans="2:48" x14ac:dyDescent="0.25">
      <c r="B145" s="52"/>
      <c r="C145" s="47" t="e">
        <f>WEEKNUM(B145-RESUMEN!$D$7)</f>
        <v>#NUM!</v>
      </c>
      <c r="D145" s="47">
        <f>_xlfn.DAYS(B145,RESUMEN!$D$7)</f>
        <v>-43238</v>
      </c>
      <c r="E145" s="48"/>
      <c r="F145" s="54"/>
      <c r="G145" s="66"/>
      <c r="H145" s="50" t="e">
        <f t="shared" si="12"/>
        <v>#DIV/0!</v>
      </c>
      <c r="I145" s="90"/>
      <c r="J145" s="115"/>
      <c r="K145" s="47" t="e">
        <f>WEEKNUM(J145-RESUMEN!$P$7)</f>
        <v>#NUM!</v>
      </c>
      <c r="L145" s="47">
        <f>_xlfn.DAYS(J145,RESUMEN!$P$7)</f>
        <v>-43242</v>
      </c>
      <c r="M145" s="48"/>
      <c r="N145" s="54"/>
      <c r="O145" s="66"/>
      <c r="P145" s="50" t="e">
        <f t="shared" si="13"/>
        <v>#DIV/0!</v>
      </c>
      <c r="Q145" s="90"/>
      <c r="R145" s="115"/>
      <c r="S145" s="47" t="e">
        <f>WEEKNUM(R145-RESUMEN!$AB$7)</f>
        <v>#NUM!</v>
      </c>
      <c r="T145" s="47">
        <f>_xlfn.DAYS(R145,RESUMEN!$AB$7)</f>
        <v>-43247</v>
      </c>
      <c r="U145" s="48"/>
      <c r="V145" s="54"/>
      <c r="W145" s="66"/>
      <c r="X145" s="50" t="e">
        <f t="shared" si="14"/>
        <v>#DIV/0!</v>
      </c>
      <c r="Y145" s="90"/>
      <c r="Z145" s="115"/>
      <c r="AA145" s="47" t="e">
        <f>WEEKNUM(Z145-RESUMEN!$AN$7)</f>
        <v>#NUM!</v>
      </c>
      <c r="AB145" s="47">
        <f>_xlfn.DAYS(Z145,RESUMEN!$AN$7)</f>
        <v>-43254</v>
      </c>
      <c r="AC145" s="48"/>
      <c r="AD145" s="54"/>
      <c r="AE145" s="66"/>
      <c r="AF145" s="116" t="e">
        <f t="shared" si="15"/>
        <v>#DIV/0!</v>
      </c>
      <c r="AG145" s="83"/>
      <c r="AH145" s="115"/>
      <c r="AI145" s="47" t="e">
        <f>WEEKNUM(AH145-RESUMEN!$AZ$7)</f>
        <v>#NUM!</v>
      </c>
      <c r="AJ145" s="47">
        <f>_xlfn.DAYS(AH145,RESUMEN!$AZ$7)</f>
        <v>-43261</v>
      </c>
      <c r="AK145" s="79"/>
      <c r="AL145" s="54"/>
      <c r="AM145" s="66"/>
      <c r="AN145" s="50" t="e">
        <f t="shared" si="16"/>
        <v>#DIV/0!</v>
      </c>
      <c r="AO145" s="90"/>
      <c r="AP145" s="115"/>
      <c r="AQ145" s="47" t="e">
        <f>WEEKNUM(AP145-RESUMEN!$BL$7)</f>
        <v>#NUM!</v>
      </c>
      <c r="AR145" s="47">
        <f>_xlfn.DAYS(AP145,RESUMEN!$BL$7)</f>
        <v>-43267</v>
      </c>
      <c r="AS145" s="53"/>
      <c r="AT145" s="54"/>
      <c r="AU145" s="66"/>
      <c r="AV145" s="50" t="e">
        <f t="shared" si="17"/>
        <v>#DIV/0!</v>
      </c>
    </row>
    <row r="146" spans="2:48" x14ac:dyDescent="0.25">
      <c r="B146" s="52"/>
      <c r="C146" s="47" t="e">
        <f>WEEKNUM(B146-RESUMEN!$D$7)</f>
        <v>#NUM!</v>
      </c>
      <c r="D146" s="47">
        <f>_xlfn.DAYS(B146,RESUMEN!$D$7)</f>
        <v>-43238</v>
      </c>
      <c r="E146" s="48"/>
      <c r="F146" s="54"/>
      <c r="G146" s="66"/>
      <c r="H146" s="50" t="e">
        <f t="shared" si="12"/>
        <v>#DIV/0!</v>
      </c>
      <c r="I146" s="90"/>
      <c r="J146" s="115"/>
      <c r="K146" s="47" t="e">
        <f>WEEKNUM(J146-RESUMEN!$P$7)</f>
        <v>#NUM!</v>
      </c>
      <c r="L146" s="47">
        <f>_xlfn.DAYS(J146,RESUMEN!$P$7)</f>
        <v>-43242</v>
      </c>
      <c r="M146" s="48"/>
      <c r="N146" s="54"/>
      <c r="O146" s="66"/>
      <c r="P146" s="50" t="e">
        <f t="shared" si="13"/>
        <v>#DIV/0!</v>
      </c>
      <c r="Q146" s="90"/>
      <c r="R146" s="115"/>
      <c r="S146" s="47" t="e">
        <f>WEEKNUM(R146-RESUMEN!$AB$7)</f>
        <v>#NUM!</v>
      </c>
      <c r="T146" s="47">
        <f>_xlfn.DAYS(R146,RESUMEN!$AB$7)</f>
        <v>-43247</v>
      </c>
      <c r="U146" s="48"/>
      <c r="V146" s="54"/>
      <c r="W146" s="66"/>
      <c r="X146" s="50" t="e">
        <f t="shared" si="14"/>
        <v>#DIV/0!</v>
      </c>
      <c r="Y146" s="90"/>
      <c r="Z146" s="115"/>
      <c r="AA146" s="47" t="e">
        <f>WEEKNUM(Z146-RESUMEN!$AN$7)</f>
        <v>#NUM!</v>
      </c>
      <c r="AB146" s="47">
        <f>_xlfn.DAYS(Z146,RESUMEN!$AN$7)</f>
        <v>-43254</v>
      </c>
      <c r="AC146" s="48"/>
      <c r="AD146" s="54"/>
      <c r="AE146" s="66"/>
      <c r="AF146" s="116" t="e">
        <f t="shared" si="15"/>
        <v>#DIV/0!</v>
      </c>
      <c r="AG146" s="83"/>
      <c r="AH146" s="115"/>
      <c r="AI146" s="47" t="e">
        <f>WEEKNUM(AH146-RESUMEN!$AZ$7)</f>
        <v>#NUM!</v>
      </c>
      <c r="AJ146" s="47">
        <f>_xlfn.DAYS(AH146,RESUMEN!$AZ$7)</f>
        <v>-43261</v>
      </c>
      <c r="AK146" s="79"/>
      <c r="AL146" s="54"/>
      <c r="AM146" s="66"/>
      <c r="AN146" s="50" t="e">
        <f t="shared" si="16"/>
        <v>#DIV/0!</v>
      </c>
      <c r="AO146" s="90"/>
      <c r="AP146" s="115"/>
      <c r="AQ146" s="47" t="e">
        <f>WEEKNUM(AP146-RESUMEN!$BL$7)</f>
        <v>#NUM!</v>
      </c>
      <c r="AR146" s="47">
        <f>_xlfn.DAYS(AP146,RESUMEN!$BL$7)</f>
        <v>-43267</v>
      </c>
      <c r="AS146" s="53"/>
      <c r="AT146" s="54"/>
      <c r="AU146" s="66"/>
      <c r="AV146" s="50" t="e">
        <f t="shared" si="17"/>
        <v>#DIV/0!</v>
      </c>
    </row>
    <row r="147" spans="2:48" x14ac:dyDescent="0.25">
      <c r="B147" s="52"/>
      <c r="C147" s="47" t="e">
        <f>WEEKNUM(B147-RESUMEN!$D$7)</f>
        <v>#NUM!</v>
      </c>
      <c r="D147" s="47">
        <f>_xlfn.DAYS(B147,RESUMEN!$D$7)</f>
        <v>-43238</v>
      </c>
      <c r="E147" s="48"/>
      <c r="F147" s="54"/>
      <c r="G147" s="66"/>
      <c r="H147" s="50" t="e">
        <f t="shared" si="12"/>
        <v>#DIV/0!</v>
      </c>
      <c r="I147" s="90"/>
      <c r="J147" s="115"/>
      <c r="K147" s="47" t="e">
        <f>WEEKNUM(J147-RESUMEN!$P$7)</f>
        <v>#NUM!</v>
      </c>
      <c r="L147" s="47">
        <f>_xlfn.DAYS(J147,RESUMEN!$P$7)</f>
        <v>-43242</v>
      </c>
      <c r="M147" s="48"/>
      <c r="N147" s="54"/>
      <c r="O147" s="66"/>
      <c r="P147" s="50" t="e">
        <f t="shared" si="13"/>
        <v>#DIV/0!</v>
      </c>
      <c r="Q147" s="90"/>
      <c r="R147" s="115"/>
      <c r="S147" s="47" t="e">
        <f>WEEKNUM(R147-RESUMEN!$AB$7)</f>
        <v>#NUM!</v>
      </c>
      <c r="T147" s="47">
        <f>_xlfn.DAYS(R147,RESUMEN!$AB$7)</f>
        <v>-43247</v>
      </c>
      <c r="U147" s="48"/>
      <c r="V147" s="54"/>
      <c r="W147" s="66"/>
      <c r="X147" s="50" t="e">
        <f t="shared" si="14"/>
        <v>#DIV/0!</v>
      </c>
      <c r="Y147" s="90"/>
      <c r="Z147" s="115"/>
      <c r="AA147" s="47" t="e">
        <f>WEEKNUM(Z147-RESUMEN!$AN$7)</f>
        <v>#NUM!</v>
      </c>
      <c r="AB147" s="47">
        <f>_xlfn.DAYS(Z147,RESUMEN!$AN$7)</f>
        <v>-43254</v>
      </c>
      <c r="AC147" s="48"/>
      <c r="AD147" s="54"/>
      <c r="AE147" s="66"/>
      <c r="AF147" s="116" t="e">
        <f t="shared" si="15"/>
        <v>#DIV/0!</v>
      </c>
      <c r="AG147" s="83"/>
      <c r="AH147" s="115"/>
      <c r="AI147" s="47" t="e">
        <f>WEEKNUM(AH147-RESUMEN!$AZ$7)</f>
        <v>#NUM!</v>
      </c>
      <c r="AJ147" s="47">
        <f>_xlfn.DAYS(AH147,RESUMEN!$AZ$7)</f>
        <v>-43261</v>
      </c>
      <c r="AK147" s="79"/>
      <c r="AL147" s="54"/>
      <c r="AM147" s="66"/>
      <c r="AN147" s="50" t="e">
        <f t="shared" si="16"/>
        <v>#DIV/0!</v>
      </c>
      <c r="AO147" s="90"/>
      <c r="AP147" s="115"/>
      <c r="AQ147" s="47" t="e">
        <f>WEEKNUM(AP147-RESUMEN!$BL$7)</f>
        <v>#NUM!</v>
      </c>
      <c r="AR147" s="47">
        <f>_xlfn.DAYS(AP147,RESUMEN!$BL$7)</f>
        <v>-43267</v>
      </c>
      <c r="AS147" s="53"/>
      <c r="AT147" s="54"/>
      <c r="AU147" s="66"/>
      <c r="AV147" s="50" t="e">
        <f t="shared" si="17"/>
        <v>#DIV/0!</v>
      </c>
    </row>
    <row r="148" spans="2:48" x14ac:dyDescent="0.25">
      <c r="B148" s="52"/>
      <c r="C148" s="47" t="e">
        <f>WEEKNUM(B148-RESUMEN!$D$7)</f>
        <v>#NUM!</v>
      </c>
      <c r="D148" s="47">
        <f>_xlfn.DAYS(B148,RESUMEN!$D$7)</f>
        <v>-43238</v>
      </c>
      <c r="E148" s="48"/>
      <c r="F148" s="54"/>
      <c r="G148" s="66"/>
      <c r="H148" s="50" t="e">
        <f t="shared" si="12"/>
        <v>#DIV/0!</v>
      </c>
      <c r="I148" s="90"/>
      <c r="J148" s="115"/>
      <c r="K148" s="47" t="e">
        <f>WEEKNUM(J148-RESUMEN!$P$7)</f>
        <v>#NUM!</v>
      </c>
      <c r="L148" s="47">
        <f>_xlfn.DAYS(J148,RESUMEN!$P$7)</f>
        <v>-43242</v>
      </c>
      <c r="M148" s="48"/>
      <c r="N148" s="54"/>
      <c r="O148" s="66"/>
      <c r="P148" s="50" t="e">
        <f t="shared" si="13"/>
        <v>#DIV/0!</v>
      </c>
      <c r="Q148" s="90"/>
      <c r="R148" s="115"/>
      <c r="S148" s="47" t="e">
        <f>WEEKNUM(R148-RESUMEN!$AB$7)</f>
        <v>#NUM!</v>
      </c>
      <c r="T148" s="47">
        <f>_xlfn.DAYS(R148,RESUMEN!$AB$7)</f>
        <v>-43247</v>
      </c>
      <c r="U148" s="48"/>
      <c r="V148" s="54"/>
      <c r="W148" s="66"/>
      <c r="X148" s="50" t="e">
        <f t="shared" si="14"/>
        <v>#DIV/0!</v>
      </c>
      <c r="Y148" s="90"/>
      <c r="Z148" s="115"/>
      <c r="AA148" s="47" t="e">
        <f>WEEKNUM(Z148-RESUMEN!$AN$7)</f>
        <v>#NUM!</v>
      </c>
      <c r="AB148" s="47">
        <f>_xlfn.DAYS(Z148,RESUMEN!$AN$7)</f>
        <v>-43254</v>
      </c>
      <c r="AC148" s="48"/>
      <c r="AD148" s="54"/>
      <c r="AE148" s="66"/>
      <c r="AF148" s="116" t="e">
        <f t="shared" si="15"/>
        <v>#DIV/0!</v>
      </c>
      <c r="AG148" s="83"/>
      <c r="AH148" s="115"/>
      <c r="AI148" s="47" t="e">
        <f>WEEKNUM(AH148-RESUMEN!$AZ$7)</f>
        <v>#NUM!</v>
      </c>
      <c r="AJ148" s="47">
        <f>_xlfn.DAYS(AH148,RESUMEN!$AZ$7)</f>
        <v>-43261</v>
      </c>
      <c r="AK148" s="79"/>
      <c r="AL148" s="54"/>
      <c r="AM148" s="66"/>
      <c r="AN148" s="50" t="e">
        <f t="shared" si="16"/>
        <v>#DIV/0!</v>
      </c>
      <c r="AO148" s="90"/>
      <c r="AP148" s="115"/>
      <c r="AQ148" s="47" t="e">
        <f>WEEKNUM(AP148-RESUMEN!$BL$7)</f>
        <v>#NUM!</v>
      </c>
      <c r="AR148" s="47">
        <f>_xlfn.DAYS(AP148,RESUMEN!$BL$7)</f>
        <v>-43267</v>
      </c>
      <c r="AS148" s="53"/>
      <c r="AT148" s="54"/>
      <c r="AU148" s="66"/>
      <c r="AV148" s="50" t="e">
        <f t="shared" si="17"/>
        <v>#DIV/0!</v>
      </c>
    </row>
    <row r="149" spans="2:48" x14ac:dyDescent="0.25">
      <c r="B149" s="52"/>
      <c r="C149" s="47" t="e">
        <f>WEEKNUM(B149-RESUMEN!$D$7)</f>
        <v>#NUM!</v>
      </c>
      <c r="D149" s="47">
        <f>_xlfn.DAYS(B149,RESUMEN!$D$7)</f>
        <v>-43238</v>
      </c>
      <c r="E149" s="48"/>
      <c r="F149" s="54"/>
      <c r="G149" s="66"/>
      <c r="H149" s="50" t="e">
        <f t="shared" si="12"/>
        <v>#DIV/0!</v>
      </c>
      <c r="I149" s="90"/>
      <c r="J149" s="115"/>
      <c r="K149" s="47" t="e">
        <f>WEEKNUM(J149-RESUMEN!$P$7)</f>
        <v>#NUM!</v>
      </c>
      <c r="L149" s="47">
        <f>_xlfn.DAYS(J149,RESUMEN!$P$7)</f>
        <v>-43242</v>
      </c>
      <c r="M149" s="48"/>
      <c r="N149" s="54"/>
      <c r="O149" s="66"/>
      <c r="P149" s="50" t="e">
        <f t="shared" si="13"/>
        <v>#DIV/0!</v>
      </c>
      <c r="Q149" s="90"/>
      <c r="R149" s="115"/>
      <c r="S149" s="47" t="e">
        <f>WEEKNUM(R149-RESUMEN!$AB$7)</f>
        <v>#NUM!</v>
      </c>
      <c r="T149" s="47">
        <f>_xlfn.DAYS(R149,RESUMEN!$AB$7)</f>
        <v>-43247</v>
      </c>
      <c r="U149" s="48"/>
      <c r="V149" s="54"/>
      <c r="W149" s="66"/>
      <c r="X149" s="50" t="e">
        <f t="shared" si="14"/>
        <v>#DIV/0!</v>
      </c>
      <c r="Y149" s="90"/>
      <c r="Z149" s="115"/>
      <c r="AA149" s="47" t="e">
        <f>WEEKNUM(Z149-RESUMEN!$AN$7)</f>
        <v>#NUM!</v>
      </c>
      <c r="AB149" s="47">
        <f>_xlfn.DAYS(Z149,RESUMEN!$AN$7)</f>
        <v>-43254</v>
      </c>
      <c r="AC149" s="48"/>
      <c r="AD149" s="54"/>
      <c r="AE149" s="66"/>
      <c r="AF149" s="116" t="e">
        <f t="shared" si="15"/>
        <v>#DIV/0!</v>
      </c>
      <c r="AG149" s="83"/>
      <c r="AH149" s="115"/>
      <c r="AI149" s="47" t="e">
        <f>WEEKNUM(AH149-RESUMEN!$AZ$7)</f>
        <v>#NUM!</v>
      </c>
      <c r="AJ149" s="47">
        <f>_xlfn.DAYS(AH149,RESUMEN!$AZ$7)</f>
        <v>-43261</v>
      </c>
      <c r="AK149" s="79"/>
      <c r="AL149" s="54"/>
      <c r="AM149" s="66"/>
      <c r="AN149" s="50" t="e">
        <f t="shared" si="16"/>
        <v>#DIV/0!</v>
      </c>
      <c r="AO149" s="90"/>
      <c r="AP149" s="115"/>
      <c r="AQ149" s="47" t="e">
        <f>WEEKNUM(AP149-RESUMEN!$BL$7)</f>
        <v>#NUM!</v>
      </c>
      <c r="AR149" s="47">
        <f>_xlfn.DAYS(AP149,RESUMEN!$BL$7)</f>
        <v>-43267</v>
      </c>
      <c r="AS149" s="53"/>
      <c r="AT149" s="54"/>
      <c r="AU149" s="66"/>
      <c r="AV149" s="50" t="e">
        <f t="shared" si="17"/>
        <v>#DIV/0!</v>
      </c>
    </row>
    <row r="150" spans="2:48" x14ac:dyDescent="0.25">
      <c r="B150" s="52"/>
      <c r="C150" s="47" t="e">
        <f>WEEKNUM(B150-RESUMEN!$D$7)</f>
        <v>#NUM!</v>
      </c>
      <c r="D150" s="47">
        <f>_xlfn.DAYS(B150,RESUMEN!$D$7)</f>
        <v>-43238</v>
      </c>
      <c r="E150" s="48"/>
      <c r="F150" s="54"/>
      <c r="G150" s="66"/>
      <c r="H150" s="50" t="e">
        <f t="shared" si="12"/>
        <v>#DIV/0!</v>
      </c>
      <c r="I150" s="90"/>
      <c r="J150" s="115"/>
      <c r="K150" s="47" t="e">
        <f>WEEKNUM(J150-RESUMEN!$P$7)</f>
        <v>#NUM!</v>
      </c>
      <c r="L150" s="47">
        <f>_xlfn.DAYS(J150,RESUMEN!$P$7)</f>
        <v>-43242</v>
      </c>
      <c r="M150" s="48"/>
      <c r="N150" s="54"/>
      <c r="O150" s="66"/>
      <c r="P150" s="50" t="e">
        <f t="shared" si="13"/>
        <v>#DIV/0!</v>
      </c>
      <c r="Q150" s="90"/>
      <c r="R150" s="115"/>
      <c r="S150" s="47" t="e">
        <f>WEEKNUM(R150-RESUMEN!$AB$7)</f>
        <v>#NUM!</v>
      </c>
      <c r="T150" s="47">
        <f>_xlfn.DAYS(R150,RESUMEN!$AB$7)</f>
        <v>-43247</v>
      </c>
      <c r="U150" s="48"/>
      <c r="V150" s="54"/>
      <c r="W150" s="66"/>
      <c r="X150" s="50" t="e">
        <f t="shared" si="14"/>
        <v>#DIV/0!</v>
      </c>
      <c r="Y150" s="90"/>
      <c r="Z150" s="115"/>
      <c r="AA150" s="47" t="e">
        <f>WEEKNUM(Z150-RESUMEN!$AN$7)</f>
        <v>#NUM!</v>
      </c>
      <c r="AB150" s="47">
        <f>_xlfn.DAYS(Z150,RESUMEN!$AN$7)</f>
        <v>-43254</v>
      </c>
      <c r="AC150" s="48"/>
      <c r="AD150" s="54"/>
      <c r="AE150" s="66"/>
      <c r="AF150" s="116" t="e">
        <f t="shared" si="15"/>
        <v>#DIV/0!</v>
      </c>
      <c r="AG150" s="83"/>
      <c r="AH150" s="115"/>
      <c r="AI150" s="47" t="e">
        <f>WEEKNUM(AH150-RESUMEN!$AZ$7)</f>
        <v>#NUM!</v>
      </c>
      <c r="AJ150" s="47">
        <f>_xlfn.DAYS(AH150,RESUMEN!$AZ$7)</f>
        <v>-43261</v>
      </c>
      <c r="AK150" s="79"/>
      <c r="AL150" s="54"/>
      <c r="AM150" s="66"/>
      <c r="AN150" s="50" t="e">
        <f t="shared" si="16"/>
        <v>#DIV/0!</v>
      </c>
      <c r="AO150" s="90"/>
      <c r="AP150" s="115"/>
      <c r="AQ150" s="47" t="e">
        <f>WEEKNUM(AP150-RESUMEN!$BL$7)</f>
        <v>#NUM!</v>
      </c>
      <c r="AR150" s="47">
        <f>_xlfn.DAYS(AP150,RESUMEN!$BL$7)</f>
        <v>-43267</v>
      </c>
      <c r="AS150" s="53"/>
      <c r="AT150" s="54"/>
      <c r="AU150" s="66"/>
      <c r="AV150" s="50" t="e">
        <f t="shared" si="17"/>
        <v>#DIV/0!</v>
      </c>
    </row>
    <row r="151" spans="2:48" x14ac:dyDescent="0.25">
      <c r="B151" s="52"/>
      <c r="C151" s="47" t="e">
        <f>WEEKNUM(B151-RESUMEN!$D$7)</f>
        <v>#NUM!</v>
      </c>
      <c r="D151" s="47">
        <f>_xlfn.DAYS(B151,RESUMEN!$D$7)</f>
        <v>-43238</v>
      </c>
      <c r="E151" s="48"/>
      <c r="F151" s="54"/>
      <c r="G151" s="66"/>
      <c r="H151" s="50" t="e">
        <f t="shared" si="12"/>
        <v>#DIV/0!</v>
      </c>
      <c r="I151" s="90"/>
      <c r="J151" s="115"/>
      <c r="K151" s="47" t="e">
        <f>WEEKNUM(J151-RESUMEN!$P$7)</f>
        <v>#NUM!</v>
      </c>
      <c r="L151" s="47">
        <f>_xlfn.DAYS(J151,RESUMEN!$P$7)</f>
        <v>-43242</v>
      </c>
      <c r="M151" s="48"/>
      <c r="N151" s="54"/>
      <c r="O151" s="66"/>
      <c r="P151" s="50" t="e">
        <f t="shared" si="13"/>
        <v>#DIV/0!</v>
      </c>
      <c r="Q151" s="90"/>
      <c r="R151" s="115"/>
      <c r="S151" s="47" t="e">
        <f>WEEKNUM(R151-RESUMEN!$AB$7)</f>
        <v>#NUM!</v>
      </c>
      <c r="T151" s="47">
        <f>_xlfn.DAYS(R151,RESUMEN!$AB$7)</f>
        <v>-43247</v>
      </c>
      <c r="U151" s="48"/>
      <c r="V151" s="54"/>
      <c r="W151" s="66"/>
      <c r="X151" s="50" t="e">
        <f t="shared" si="14"/>
        <v>#DIV/0!</v>
      </c>
      <c r="Y151" s="90"/>
      <c r="Z151" s="115"/>
      <c r="AA151" s="47" t="e">
        <f>WEEKNUM(Z151-RESUMEN!$AN$7)</f>
        <v>#NUM!</v>
      </c>
      <c r="AB151" s="47">
        <f>_xlfn.DAYS(Z151,RESUMEN!$AN$7)</f>
        <v>-43254</v>
      </c>
      <c r="AC151" s="48"/>
      <c r="AD151" s="54"/>
      <c r="AE151" s="66"/>
      <c r="AF151" s="116" t="e">
        <f t="shared" si="15"/>
        <v>#DIV/0!</v>
      </c>
      <c r="AG151" s="83"/>
      <c r="AH151" s="115"/>
      <c r="AI151" s="47" t="e">
        <f>WEEKNUM(AH151-RESUMEN!$AZ$7)</f>
        <v>#NUM!</v>
      </c>
      <c r="AJ151" s="47">
        <f>_xlfn.DAYS(AH151,RESUMEN!$AZ$7)</f>
        <v>-43261</v>
      </c>
      <c r="AK151" s="79"/>
      <c r="AL151" s="54"/>
      <c r="AM151" s="66"/>
      <c r="AN151" s="50" t="e">
        <f t="shared" si="16"/>
        <v>#DIV/0!</v>
      </c>
      <c r="AO151" s="90"/>
      <c r="AP151" s="115"/>
      <c r="AQ151" s="47" t="e">
        <f>WEEKNUM(AP151-RESUMEN!$BL$7)</f>
        <v>#NUM!</v>
      </c>
      <c r="AR151" s="47">
        <f>_xlfn.DAYS(AP151,RESUMEN!$BL$7)</f>
        <v>-43267</v>
      </c>
      <c r="AS151" s="53"/>
      <c r="AT151" s="54"/>
      <c r="AU151" s="66"/>
      <c r="AV151" s="50" t="e">
        <f t="shared" si="17"/>
        <v>#DIV/0!</v>
      </c>
    </row>
    <row r="152" spans="2:48" x14ac:dyDescent="0.25">
      <c r="B152" s="52"/>
      <c r="C152" s="47" t="e">
        <f>WEEKNUM(B152-RESUMEN!$D$7)</f>
        <v>#NUM!</v>
      </c>
      <c r="D152" s="47">
        <f>_xlfn.DAYS(B152,RESUMEN!$D$7)</f>
        <v>-43238</v>
      </c>
      <c r="E152" s="48"/>
      <c r="F152" s="54"/>
      <c r="G152" s="66"/>
      <c r="H152" s="50" t="e">
        <f t="shared" si="12"/>
        <v>#DIV/0!</v>
      </c>
      <c r="I152" s="90"/>
      <c r="J152" s="115"/>
      <c r="K152" s="47" t="e">
        <f>WEEKNUM(J152-RESUMEN!$P$7)</f>
        <v>#NUM!</v>
      </c>
      <c r="L152" s="47">
        <f>_xlfn.DAYS(J152,RESUMEN!$P$7)</f>
        <v>-43242</v>
      </c>
      <c r="M152" s="48"/>
      <c r="N152" s="54"/>
      <c r="O152" s="66"/>
      <c r="P152" s="50" t="e">
        <f t="shared" si="13"/>
        <v>#DIV/0!</v>
      </c>
      <c r="Q152" s="90"/>
      <c r="R152" s="115"/>
      <c r="S152" s="47" t="e">
        <f>WEEKNUM(R152-RESUMEN!$AB$7)</f>
        <v>#NUM!</v>
      </c>
      <c r="T152" s="47">
        <f>_xlfn.DAYS(R152,RESUMEN!$AB$7)</f>
        <v>-43247</v>
      </c>
      <c r="U152" s="48"/>
      <c r="V152" s="54"/>
      <c r="W152" s="66"/>
      <c r="X152" s="50" t="e">
        <f t="shared" si="14"/>
        <v>#DIV/0!</v>
      </c>
      <c r="Y152" s="90"/>
      <c r="Z152" s="115"/>
      <c r="AA152" s="47" t="e">
        <f>WEEKNUM(Z152-RESUMEN!$AN$7)</f>
        <v>#NUM!</v>
      </c>
      <c r="AB152" s="47">
        <f>_xlfn.DAYS(Z152,RESUMEN!$AN$7)</f>
        <v>-43254</v>
      </c>
      <c r="AC152" s="48"/>
      <c r="AD152" s="54"/>
      <c r="AE152" s="66"/>
      <c r="AF152" s="116" t="e">
        <f t="shared" si="15"/>
        <v>#DIV/0!</v>
      </c>
      <c r="AG152" s="83"/>
      <c r="AH152" s="115"/>
      <c r="AI152" s="47" t="e">
        <f>WEEKNUM(AH152-RESUMEN!$AZ$7)</f>
        <v>#NUM!</v>
      </c>
      <c r="AJ152" s="47">
        <f>_xlfn.DAYS(AH152,RESUMEN!$AZ$7)</f>
        <v>-43261</v>
      </c>
      <c r="AK152" s="79"/>
      <c r="AL152" s="54"/>
      <c r="AM152" s="66"/>
      <c r="AN152" s="50" t="e">
        <f t="shared" si="16"/>
        <v>#DIV/0!</v>
      </c>
      <c r="AO152" s="90"/>
      <c r="AP152" s="115"/>
      <c r="AQ152" s="47" t="e">
        <f>WEEKNUM(AP152-RESUMEN!$BL$7)</f>
        <v>#NUM!</v>
      </c>
      <c r="AR152" s="47">
        <f>_xlfn.DAYS(AP152,RESUMEN!$BL$7)</f>
        <v>-43267</v>
      </c>
      <c r="AS152" s="53"/>
      <c r="AT152" s="54"/>
      <c r="AU152" s="66"/>
      <c r="AV152" s="50" t="e">
        <f t="shared" si="17"/>
        <v>#DIV/0!</v>
      </c>
    </row>
    <row r="153" spans="2:48" x14ac:dyDescent="0.25">
      <c r="B153" s="52"/>
      <c r="C153" s="47" t="e">
        <f>WEEKNUM(B153-RESUMEN!$D$7)</f>
        <v>#NUM!</v>
      </c>
      <c r="D153" s="47">
        <f>_xlfn.DAYS(B153,RESUMEN!$D$7)</f>
        <v>-43238</v>
      </c>
      <c r="E153" s="48"/>
      <c r="F153" s="54"/>
      <c r="G153" s="66"/>
      <c r="H153" s="50" t="e">
        <f t="shared" si="12"/>
        <v>#DIV/0!</v>
      </c>
      <c r="I153" s="90"/>
      <c r="J153" s="115"/>
      <c r="K153" s="47" t="e">
        <f>WEEKNUM(J153-RESUMEN!$P$7)</f>
        <v>#NUM!</v>
      </c>
      <c r="L153" s="47">
        <f>_xlfn.DAYS(J153,RESUMEN!$P$7)</f>
        <v>-43242</v>
      </c>
      <c r="M153" s="48"/>
      <c r="N153" s="54"/>
      <c r="O153" s="66"/>
      <c r="P153" s="50" t="e">
        <f t="shared" si="13"/>
        <v>#DIV/0!</v>
      </c>
      <c r="Q153" s="90"/>
      <c r="R153" s="115"/>
      <c r="S153" s="47" t="e">
        <f>WEEKNUM(R153-RESUMEN!$AB$7)</f>
        <v>#NUM!</v>
      </c>
      <c r="T153" s="47">
        <f>_xlfn.DAYS(R153,RESUMEN!$AB$7)</f>
        <v>-43247</v>
      </c>
      <c r="U153" s="48"/>
      <c r="V153" s="54"/>
      <c r="W153" s="66"/>
      <c r="X153" s="50" t="e">
        <f t="shared" si="14"/>
        <v>#DIV/0!</v>
      </c>
      <c r="Y153" s="90"/>
      <c r="Z153" s="115"/>
      <c r="AA153" s="47" t="e">
        <f>WEEKNUM(Z153-RESUMEN!$AN$7)</f>
        <v>#NUM!</v>
      </c>
      <c r="AB153" s="47">
        <f>_xlfn.DAYS(Z153,RESUMEN!$AN$7)</f>
        <v>-43254</v>
      </c>
      <c r="AC153" s="48"/>
      <c r="AD153" s="54"/>
      <c r="AE153" s="66"/>
      <c r="AF153" s="116" t="e">
        <f t="shared" si="15"/>
        <v>#DIV/0!</v>
      </c>
      <c r="AG153" s="83"/>
      <c r="AH153" s="115"/>
      <c r="AI153" s="47" t="e">
        <f>WEEKNUM(AH153-RESUMEN!$AZ$7)</f>
        <v>#NUM!</v>
      </c>
      <c r="AJ153" s="47">
        <f>_xlfn.DAYS(AH153,RESUMEN!$AZ$7)</f>
        <v>-43261</v>
      </c>
      <c r="AK153" s="79"/>
      <c r="AL153" s="54"/>
      <c r="AM153" s="66"/>
      <c r="AN153" s="50" t="e">
        <f t="shared" si="16"/>
        <v>#DIV/0!</v>
      </c>
      <c r="AO153" s="90"/>
      <c r="AP153" s="115"/>
      <c r="AQ153" s="47" t="e">
        <f>WEEKNUM(AP153-RESUMEN!$BL$7)</f>
        <v>#NUM!</v>
      </c>
      <c r="AR153" s="47">
        <f>_xlfn.DAYS(AP153,RESUMEN!$BL$7)</f>
        <v>-43267</v>
      </c>
      <c r="AS153" s="53"/>
      <c r="AT153" s="54"/>
      <c r="AU153" s="66"/>
      <c r="AV153" s="50" t="e">
        <f t="shared" si="17"/>
        <v>#DIV/0!</v>
      </c>
    </row>
    <row r="154" spans="2:48" x14ac:dyDescent="0.25">
      <c r="B154" s="52"/>
      <c r="C154" s="47" t="e">
        <f>WEEKNUM(B154-RESUMEN!$D$7)</f>
        <v>#NUM!</v>
      </c>
      <c r="D154" s="47">
        <f>_xlfn.DAYS(B154,RESUMEN!$D$7)</f>
        <v>-43238</v>
      </c>
      <c r="E154" s="48"/>
      <c r="F154" s="54"/>
      <c r="G154" s="66"/>
      <c r="H154" s="50" t="e">
        <f t="shared" si="12"/>
        <v>#DIV/0!</v>
      </c>
      <c r="I154" s="90"/>
      <c r="J154" s="115"/>
      <c r="K154" s="47" t="e">
        <f>WEEKNUM(J154-RESUMEN!$P$7)</f>
        <v>#NUM!</v>
      </c>
      <c r="L154" s="47">
        <f>_xlfn.DAYS(J154,RESUMEN!$P$7)</f>
        <v>-43242</v>
      </c>
      <c r="M154" s="48"/>
      <c r="N154" s="54"/>
      <c r="O154" s="66"/>
      <c r="P154" s="50" t="e">
        <f t="shared" si="13"/>
        <v>#DIV/0!</v>
      </c>
      <c r="Q154" s="90"/>
      <c r="R154" s="115"/>
      <c r="S154" s="47" t="e">
        <f>WEEKNUM(R154-RESUMEN!$AB$7)</f>
        <v>#NUM!</v>
      </c>
      <c r="T154" s="47">
        <f>_xlfn.DAYS(R154,RESUMEN!$AB$7)</f>
        <v>-43247</v>
      </c>
      <c r="U154" s="48"/>
      <c r="V154" s="54"/>
      <c r="W154" s="66"/>
      <c r="X154" s="50" t="e">
        <f t="shared" si="14"/>
        <v>#DIV/0!</v>
      </c>
      <c r="Y154" s="90"/>
      <c r="Z154" s="115"/>
      <c r="AA154" s="47" t="e">
        <f>WEEKNUM(Z154-RESUMEN!$AN$7)</f>
        <v>#NUM!</v>
      </c>
      <c r="AB154" s="47">
        <f>_xlfn.DAYS(Z154,RESUMEN!$AN$7)</f>
        <v>-43254</v>
      </c>
      <c r="AC154" s="48"/>
      <c r="AD154" s="54"/>
      <c r="AE154" s="66"/>
      <c r="AF154" s="116" t="e">
        <f t="shared" si="15"/>
        <v>#DIV/0!</v>
      </c>
      <c r="AG154" s="83"/>
      <c r="AH154" s="115"/>
      <c r="AI154" s="47" t="e">
        <f>WEEKNUM(AH154-RESUMEN!$AZ$7)</f>
        <v>#NUM!</v>
      </c>
      <c r="AJ154" s="47">
        <f>_xlfn.DAYS(AH154,RESUMEN!$AZ$7)</f>
        <v>-43261</v>
      </c>
      <c r="AK154" s="79"/>
      <c r="AL154" s="54"/>
      <c r="AM154" s="66"/>
      <c r="AN154" s="50" t="e">
        <f t="shared" si="16"/>
        <v>#DIV/0!</v>
      </c>
      <c r="AO154" s="90"/>
      <c r="AP154" s="115"/>
      <c r="AQ154" s="47" t="e">
        <f>WEEKNUM(AP154-RESUMEN!$BL$7)</f>
        <v>#NUM!</v>
      </c>
      <c r="AR154" s="47">
        <f>_xlfn.DAYS(AP154,RESUMEN!$BL$7)</f>
        <v>-43267</v>
      </c>
      <c r="AS154" s="53"/>
      <c r="AT154" s="54"/>
      <c r="AU154" s="66"/>
      <c r="AV154" s="50" t="e">
        <f t="shared" si="17"/>
        <v>#DIV/0!</v>
      </c>
    </row>
    <row r="155" spans="2:48" x14ac:dyDescent="0.25">
      <c r="B155" s="52"/>
      <c r="C155" s="47" t="e">
        <f>WEEKNUM(B155-RESUMEN!$D$7)</f>
        <v>#NUM!</v>
      </c>
      <c r="D155" s="47">
        <f>_xlfn.DAYS(B155,RESUMEN!$D$7)</f>
        <v>-43238</v>
      </c>
      <c r="E155" s="48"/>
      <c r="F155" s="54"/>
      <c r="G155" s="66"/>
      <c r="H155" s="50" t="e">
        <f t="shared" si="12"/>
        <v>#DIV/0!</v>
      </c>
      <c r="I155" s="90"/>
      <c r="J155" s="115"/>
      <c r="K155" s="47" t="e">
        <f>WEEKNUM(J155-RESUMEN!$P$7)</f>
        <v>#NUM!</v>
      </c>
      <c r="L155" s="47">
        <f>_xlfn.DAYS(J155,RESUMEN!$P$7)</f>
        <v>-43242</v>
      </c>
      <c r="M155" s="48"/>
      <c r="N155" s="54"/>
      <c r="O155" s="66"/>
      <c r="P155" s="50" t="e">
        <f t="shared" si="13"/>
        <v>#DIV/0!</v>
      </c>
      <c r="Q155" s="90"/>
      <c r="R155" s="115"/>
      <c r="S155" s="47" t="e">
        <f>WEEKNUM(R155-RESUMEN!$AB$7)</f>
        <v>#NUM!</v>
      </c>
      <c r="T155" s="47">
        <f>_xlfn.DAYS(R155,RESUMEN!$AB$7)</f>
        <v>-43247</v>
      </c>
      <c r="U155" s="48"/>
      <c r="V155" s="54"/>
      <c r="W155" s="66"/>
      <c r="X155" s="50" t="e">
        <f t="shared" si="14"/>
        <v>#DIV/0!</v>
      </c>
      <c r="Y155" s="90"/>
      <c r="Z155" s="115"/>
      <c r="AA155" s="47" t="e">
        <f>WEEKNUM(Z155-RESUMEN!$AN$7)</f>
        <v>#NUM!</v>
      </c>
      <c r="AB155" s="47">
        <f>_xlfn.DAYS(Z155,RESUMEN!$AN$7)</f>
        <v>-43254</v>
      </c>
      <c r="AC155" s="48"/>
      <c r="AD155" s="54"/>
      <c r="AE155" s="66"/>
      <c r="AF155" s="116" t="e">
        <f t="shared" si="15"/>
        <v>#DIV/0!</v>
      </c>
      <c r="AG155" s="83"/>
      <c r="AH155" s="115"/>
      <c r="AI155" s="47" t="e">
        <f>WEEKNUM(AH155-RESUMEN!$AZ$7)</f>
        <v>#NUM!</v>
      </c>
      <c r="AJ155" s="47">
        <f>_xlfn.DAYS(AH155,RESUMEN!$AZ$7)</f>
        <v>-43261</v>
      </c>
      <c r="AK155" s="79"/>
      <c r="AL155" s="54"/>
      <c r="AM155" s="66"/>
      <c r="AN155" s="50" t="e">
        <f t="shared" si="16"/>
        <v>#DIV/0!</v>
      </c>
      <c r="AO155" s="90"/>
      <c r="AP155" s="115"/>
      <c r="AQ155" s="47" t="e">
        <f>WEEKNUM(AP155-RESUMEN!$BL$7)</f>
        <v>#NUM!</v>
      </c>
      <c r="AR155" s="47">
        <f>_xlfn.DAYS(AP155,RESUMEN!$BL$7)</f>
        <v>-43267</v>
      </c>
      <c r="AS155" s="53"/>
      <c r="AT155" s="54"/>
      <c r="AU155" s="66"/>
      <c r="AV155" s="50" t="e">
        <f t="shared" si="17"/>
        <v>#DIV/0!</v>
      </c>
    </row>
    <row r="156" spans="2:48" x14ac:dyDescent="0.25">
      <c r="B156" s="52"/>
      <c r="C156" s="47" t="e">
        <f>WEEKNUM(B156-RESUMEN!$D$7)</f>
        <v>#NUM!</v>
      </c>
      <c r="D156" s="47">
        <f>_xlfn.DAYS(B156,RESUMEN!$D$7)</f>
        <v>-43238</v>
      </c>
      <c r="E156" s="48"/>
      <c r="F156" s="54"/>
      <c r="G156" s="66"/>
      <c r="H156" s="50" t="e">
        <f t="shared" si="12"/>
        <v>#DIV/0!</v>
      </c>
      <c r="I156" s="90"/>
      <c r="J156" s="115"/>
      <c r="K156" s="47" t="e">
        <f>WEEKNUM(J156-RESUMEN!$P$7)</f>
        <v>#NUM!</v>
      </c>
      <c r="L156" s="47">
        <f>_xlfn.DAYS(J156,RESUMEN!$P$7)</f>
        <v>-43242</v>
      </c>
      <c r="M156" s="48"/>
      <c r="N156" s="54"/>
      <c r="O156" s="66"/>
      <c r="P156" s="50" t="e">
        <f t="shared" si="13"/>
        <v>#DIV/0!</v>
      </c>
      <c r="Q156" s="90"/>
      <c r="R156" s="115"/>
      <c r="S156" s="47" t="e">
        <f>WEEKNUM(R156-RESUMEN!$AB$7)</f>
        <v>#NUM!</v>
      </c>
      <c r="T156" s="47">
        <f>_xlfn.DAYS(R156,RESUMEN!$AB$7)</f>
        <v>-43247</v>
      </c>
      <c r="U156" s="48"/>
      <c r="V156" s="54"/>
      <c r="W156" s="66"/>
      <c r="X156" s="50" t="e">
        <f t="shared" si="14"/>
        <v>#DIV/0!</v>
      </c>
      <c r="Y156" s="90"/>
      <c r="Z156" s="115"/>
      <c r="AA156" s="47" t="e">
        <f>WEEKNUM(Z156-RESUMEN!$AN$7)</f>
        <v>#NUM!</v>
      </c>
      <c r="AB156" s="47">
        <f>_xlfn.DAYS(Z156,RESUMEN!$AN$7)</f>
        <v>-43254</v>
      </c>
      <c r="AC156" s="48"/>
      <c r="AD156" s="54"/>
      <c r="AE156" s="66"/>
      <c r="AF156" s="116" t="e">
        <f t="shared" si="15"/>
        <v>#DIV/0!</v>
      </c>
      <c r="AG156" s="83"/>
      <c r="AH156" s="115"/>
      <c r="AI156" s="47" t="e">
        <f>WEEKNUM(AH156-RESUMEN!$AZ$7)</f>
        <v>#NUM!</v>
      </c>
      <c r="AJ156" s="47">
        <f>_xlfn.DAYS(AH156,RESUMEN!$AZ$7)</f>
        <v>-43261</v>
      </c>
      <c r="AK156" s="79"/>
      <c r="AL156" s="54"/>
      <c r="AM156" s="66"/>
      <c r="AN156" s="50" t="e">
        <f t="shared" si="16"/>
        <v>#DIV/0!</v>
      </c>
      <c r="AO156" s="90"/>
      <c r="AP156" s="115"/>
      <c r="AQ156" s="47" t="e">
        <f>WEEKNUM(AP156-RESUMEN!$BL$7)</f>
        <v>#NUM!</v>
      </c>
      <c r="AR156" s="47">
        <f>_xlfn.DAYS(AP156,RESUMEN!$BL$7)</f>
        <v>-43267</v>
      </c>
      <c r="AS156" s="53"/>
      <c r="AT156" s="54"/>
      <c r="AU156" s="66"/>
      <c r="AV156" s="50" t="e">
        <f t="shared" si="17"/>
        <v>#DIV/0!</v>
      </c>
    </row>
    <row r="157" spans="2:48" x14ac:dyDescent="0.25">
      <c r="B157" s="52"/>
      <c r="C157" s="47" t="e">
        <f>WEEKNUM(B157-RESUMEN!$D$7)</f>
        <v>#NUM!</v>
      </c>
      <c r="D157" s="47">
        <f>_xlfn.DAYS(B157,RESUMEN!$D$7)</f>
        <v>-43238</v>
      </c>
      <c r="E157" s="48"/>
      <c r="F157" s="54"/>
      <c r="G157" s="66"/>
      <c r="H157" s="50" t="e">
        <f t="shared" si="12"/>
        <v>#DIV/0!</v>
      </c>
      <c r="I157" s="90"/>
      <c r="J157" s="115"/>
      <c r="K157" s="47" t="e">
        <f>WEEKNUM(J157-RESUMEN!$P$7)</f>
        <v>#NUM!</v>
      </c>
      <c r="L157" s="47">
        <f>_xlfn.DAYS(J157,RESUMEN!$P$7)</f>
        <v>-43242</v>
      </c>
      <c r="M157" s="48"/>
      <c r="N157" s="54"/>
      <c r="O157" s="66"/>
      <c r="P157" s="50" t="e">
        <f t="shared" si="13"/>
        <v>#DIV/0!</v>
      </c>
      <c r="Q157" s="90"/>
      <c r="R157" s="115"/>
      <c r="S157" s="47" t="e">
        <f>WEEKNUM(R157-RESUMEN!$AB$7)</f>
        <v>#NUM!</v>
      </c>
      <c r="T157" s="47">
        <f>_xlfn.DAYS(R157,RESUMEN!$AB$7)</f>
        <v>-43247</v>
      </c>
      <c r="U157" s="48"/>
      <c r="V157" s="54"/>
      <c r="W157" s="66"/>
      <c r="X157" s="50" t="e">
        <f t="shared" si="14"/>
        <v>#DIV/0!</v>
      </c>
      <c r="Y157" s="90"/>
      <c r="Z157" s="115"/>
      <c r="AA157" s="47" t="e">
        <f>WEEKNUM(Z157-RESUMEN!$AN$7)</f>
        <v>#NUM!</v>
      </c>
      <c r="AB157" s="47">
        <f>_xlfn.DAYS(Z157,RESUMEN!$AN$7)</f>
        <v>-43254</v>
      </c>
      <c r="AC157" s="48"/>
      <c r="AD157" s="54"/>
      <c r="AE157" s="66"/>
      <c r="AF157" s="116" t="e">
        <f t="shared" si="15"/>
        <v>#DIV/0!</v>
      </c>
      <c r="AG157" s="83"/>
      <c r="AH157" s="115"/>
      <c r="AI157" s="47" t="e">
        <f>WEEKNUM(AH157-RESUMEN!$AZ$7)</f>
        <v>#NUM!</v>
      </c>
      <c r="AJ157" s="47">
        <f>_xlfn.DAYS(AH157,RESUMEN!$AZ$7)</f>
        <v>-43261</v>
      </c>
      <c r="AK157" s="79"/>
      <c r="AL157" s="54"/>
      <c r="AM157" s="66"/>
      <c r="AN157" s="50" t="e">
        <f t="shared" si="16"/>
        <v>#DIV/0!</v>
      </c>
      <c r="AO157" s="90"/>
      <c r="AP157" s="115"/>
      <c r="AQ157" s="47" t="e">
        <f>WEEKNUM(AP157-RESUMEN!$BL$7)</f>
        <v>#NUM!</v>
      </c>
      <c r="AR157" s="47">
        <f>_xlfn.DAYS(AP157,RESUMEN!$BL$7)</f>
        <v>-43267</v>
      </c>
      <c r="AS157" s="53"/>
      <c r="AT157" s="54"/>
      <c r="AU157" s="66"/>
      <c r="AV157" s="50" t="e">
        <f t="shared" si="17"/>
        <v>#DIV/0!</v>
      </c>
    </row>
    <row r="158" spans="2:48" x14ac:dyDescent="0.25">
      <c r="B158" s="52"/>
      <c r="C158" s="47" t="e">
        <f>WEEKNUM(B158-RESUMEN!$D$7)</f>
        <v>#NUM!</v>
      </c>
      <c r="D158" s="47">
        <f>_xlfn.DAYS(B158,RESUMEN!$D$7)</f>
        <v>-43238</v>
      </c>
      <c r="E158" s="48"/>
      <c r="F158" s="54"/>
      <c r="G158" s="66"/>
      <c r="H158" s="50" t="e">
        <f t="shared" si="12"/>
        <v>#DIV/0!</v>
      </c>
      <c r="I158" s="90"/>
      <c r="J158" s="115"/>
      <c r="K158" s="47" t="e">
        <f>WEEKNUM(J158-RESUMEN!$P$7)</f>
        <v>#NUM!</v>
      </c>
      <c r="L158" s="47">
        <f>_xlfn.DAYS(J158,RESUMEN!$P$7)</f>
        <v>-43242</v>
      </c>
      <c r="M158" s="48"/>
      <c r="N158" s="54"/>
      <c r="O158" s="66"/>
      <c r="P158" s="50" t="e">
        <f t="shared" si="13"/>
        <v>#DIV/0!</v>
      </c>
      <c r="Q158" s="90"/>
      <c r="R158" s="115"/>
      <c r="S158" s="47" t="e">
        <f>WEEKNUM(R158-RESUMEN!$AB$7)</f>
        <v>#NUM!</v>
      </c>
      <c r="T158" s="47">
        <f>_xlfn.DAYS(R158,RESUMEN!$AB$7)</f>
        <v>-43247</v>
      </c>
      <c r="U158" s="48"/>
      <c r="V158" s="54"/>
      <c r="W158" s="66"/>
      <c r="X158" s="50" t="e">
        <f t="shared" si="14"/>
        <v>#DIV/0!</v>
      </c>
      <c r="Y158" s="90"/>
      <c r="Z158" s="115"/>
      <c r="AA158" s="47" t="e">
        <f>WEEKNUM(Z158-RESUMEN!$AN$7)</f>
        <v>#NUM!</v>
      </c>
      <c r="AB158" s="47">
        <f>_xlfn.DAYS(Z158,RESUMEN!$AN$7)</f>
        <v>-43254</v>
      </c>
      <c r="AC158" s="48"/>
      <c r="AD158" s="54"/>
      <c r="AE158" s="66"/>
      <c r="AF158" s="116" t="e">
        <f t="shared" si="15"/>
        <v>#DIV/0!</v>
      </c>
      <c r="AG158" s="83"/>
      <c r="AH158" s="115"/>
      <c r="AI158" s="47" t="e">
        <f>WEEKNUM(AH158-RESUMEN!$AZ$7)</f>
        <v>#NUM!</v>
      </c>
      <c r="AJ158" s="47">
        <f>_xlfn.DAYS(AH158,RESUMEN!$AZ$7)</f>
        <v>-43261</v>
      </c>
      <c r="AK158" s="79"/>
      <c r="AL158" s="54"/>
      <c r="AM158" s="66"/>
      <c r="AN158" s="50" t="e">
        <f t="shared" si="16"/>
        <v>#DIV/0!</v>
      </c>
      <c r="AO158" s="90"/>
      <c r="AP158" s="115"/>
      <c r="AQ158" s="47" t="e">
        <f>WEEKNUM(AP158-RESUMEN!$BL$7)</f>
        <v>#NUM!</v>
      </c>
      <c r="AR158" s="47">
        <f>_xlfn.DAYS(AP158,RESUMEN!$BL$7)</f>
        <v>-43267</v>
      </c>
      <c r="AS158" s="53"/>
      <c r="AT158" s="54"/>
      <c r="AU158" s="66"/>
      <c r="AV158" s="50" t="e">
        <f t="shared" si="17"/>
        <v>#DIV/0!</v>
      </c>
    </row>
    <row r="159" spans="2:48" x14ac:dyDescent="0.25">
      <c r="B159" s="52"/>
      <c r="C159" s="47" t="e">
        <f>WEEKNUM(B159-RESUMEN!$D$7)</f>
        <v>#NUM!</v>
      </c>
      <c r="D159" s="47">
        <f>_xlfn.DAYS(B159,RESUMEN!$D$7)</f>
        <v>-43238</v>
      </c>
      <c r="E159" s="48"/>
      <c r="F159" s="54"/>
      <c r="G159" s="66"/>
      <c r="H159" s="50" t="e">
        <f t="shared" si="12"/>
        <v>#DIV/0!</v>
      </c>
      <c r="I159" s="90"/>
      <c r="J159" s="115"/>
      <c r="K159" s="47" t="e">
        <f>WEEKNUM(J159-RESUMEN!$P$7)</f>
        <v>#NUM!</v>
      </c>
      <c r="L159" s="47">
        <f>_xlfn.DAYS(J159,RESUMEN!$P$7)</f>
        <v>-43242</v>
      </c>
      <c r="M159" s="48"/>
      <c r="N159" s="54"/>
      <c r="O159" s="66"/>
      <c r="P159" s="50" t="e">
        <f t="shared" si="13"/>
        <v>#DIV/0!</v>
      </c>
      <c r="Q159" s="90"/>
      <c r="R159" s="115"/>
      <c r="S159" s="47" t="e">
        <f>WEEKNUM(R159-RESUMEN!$AB$7)</f>
        <v>#NUM!</v>
      </c>
      <c r="T159" s="47">
        <f>_xlfn.DAYS(R159,RESUMEN!$AB$7)</f>
        <v>-43247</v>
      </c>
      <c r="U159" s="48"/>
      <c r="V159" s="54"/>
      <c r="W159" s="66"/>
      <c r="X159" s="50" t="e">
        <f t="shared" si="14"/>
        <v>#DIV/0!</v>
      </c>
      <c r="Y159" s="90"/>
      <c r="Z159" s="115"/>
      <c r="AA159" s="47" t="e">
        <f>WEEKNUM(Z159-RESUMEN!$AN$7)</f>
        <v>#NUM!</v>
      </c>
      <c r="AB159" s="47">
        <f>_xlfn.DAYS(Z159,RESUMEN!$AN$7)</f>
        <v>-43254</v>
      </c>
      <c r="AC159" s="48"/>
      <c r="AD159" s="54"/>
      <c r="AE159" s="66"/>
      <c r="AF159" s="116" t="e">
        <f t="shared" si="15"/>
        <v>#DIV/0!</v>
      </c>
      <c r="AG159" s="83"/>
      <c r="AH159" s="115"/>
      <c r="AI159" s="47" t="e">
        <f>WEEKNUM(AH159-RESUMEN!$AZ$7)</f>
        <v>#NUM!</v>
      </c>
      <c r="AJ159" s="47">
        <f>_xlfn.DAYS(AH159,RESUMEN!$AZ$7)</f>
        <v>-43261</v>
      </c>
      <c r="AK159" s="79"/>
      <c r="AL159" s="54"/>
      <c r="AM159" s="66"/>
      <c r="AN159" s="50" t="e">
        <f t="shared" si="16"/>
        <v>#DIV/0!</v>
      </c>
      <c r="AO159" s="90"/>
      <c r="AP159" s="115"/>
      <c r="AQ159" s="47" t="e">
        <f>WEEKNUM(AP159-RESUMEN!$BL$7)</f>
        <v>#NUM!</v>
      </c>
      <c r="AR159" s="47">
        <f>_xlfn.DAYS(AP159,RESUMEN!$BL$7)</f>
        <v>-43267</v>
      </c>
      <c r="AS159" s="53"/>
      <c r="AT159" s="54"/>
      <c r="AU159" s="66"/>
      <c r="AV159" s="50" t="e">
        <f t="shared" si="17"/>
        <v>#DIV/0!</v>
      </c>
    </row>
    <row r="160" spans="2:48" x14ac:dyDescent="0.25">
      <c r="B160" s="52"/>
      <c r="C160" s="47" t="e">
        <f>WEEKNUM(B160-RESUMEN!$D$7)</f>
        <v>#NUM!</v>
      </c>
      <c r="D160" s="47">
        <f>_xlfn.DAYS(B160,RESUMEN!$D$7)</f>
        <v>-43238</v>
      </c>
      <c r="E160" s="48"/>
      <c r="F160" s="54"/>
      <c r="G160" s="66"/>
      <c r="H160" s="50" t="e">
        <f t="shared" si="12"/>
        <v>#DIV/0!</v>
      </c>
      <c r="I160" s="90"/>
      <c r="J160" s="115"/>
      <c r="K160" s="47" t="e">
        <f>WEEKNUM(J160-RESUMEN!$P$7)</f>
        <v>#NUM!</v>
      </c>
      <c r="L160" s="47">
        <f>_xlfn.DAYS(J160,RESUMEN!$P$7)</f>
        <v>-43242</v>
      </c>
      <c r="M160" s="48"/>
      <c r="N160" s="54"/>
      <c r="O160" s="66"/>
      <c r="P160" s="50" t="e">
        <f t="shared" si="13"/>
        <v>#DIV/0!</v>
      </c>
      <c r="Q160" s="90"/>
      <c r="R160" s="115"/>
      <c r="S160" s="47" t="e">
        <f>WEEKNUM(R160-RESUMEN!$AB$7)</f>
        <v>#NUM!</v>
      </c>
      <c r="T160" s="47">
        <f>_xlfn.DAYS(R160,RESUMEN!$AB$7)</f>
        <v>-43247</v>
      </c>
      <c r="U160" s="48"/>
      <c r="V160" s="54"/>
      <c r="W160" s="66"/>
      <c r="X160" s="50" t="e">
        <f t="shared" si="14"/>
        <v>#DIV/0!</v>
      </c>
      <c r="Y160" s="90"/>
      <c r="Z160" s="115"/>
      <c r="AA160" s="47" t="e">
        <f>WEEKNUM(Z160-RESUMEN!$AN$7)</f>
        <v>#NUM!</v>
      </c>
      <c r="AB160" s="47">
        <f>_xlfn.DAYS(Z160,RESUMEN!$AN$7)</f>
        <v>-43254</v>
      </c>
      <c r="AC160" s="48"/>
      <c r="AD160" s="54"/>
      <c r="AE160" s="66"/>
      <c r="AF160" s="116" t="e">
        <f t="shared" si="15"/>
        <v>#DIV/0!</v>
      </c>
      <c r="AG160" s="83"/>
      <c r="AH160" s="115"/>
      <c r="AI160" s="47" t="e">
        <f>WEEKNUM(AH160-RESUMEN!$AZ$7)</f>
        <v>#NUM!</v>
      </c>
      <c r="AJ160" s="47">
        <f>_xlfn.DAYS(AH160,RESUMEN!$AZ$7)</f>
        <v>-43261</v>
      </c>
      <c r="AK160" s="79"/>
      <c r="AL160" s="54"/>
      <c r="AM160" s="66"/>
      <c r="AN160" s="50" t="e">
        <f t="shared" si="16"/>
        <v>#DIV/0!</v>
      </c>
      <c r="AO160" s="90"/>
      <c r="AP160" s="115"/>
      <c r="AQ160" s="47" t="e">
        <f>WEEKNUM(AP160-RESUMEN!$BL$7)</f>
        <v>#NUM!</v>
      </c>
      <c r="AR160" s="47">
        <f>_xlfn.DAYS(AP160,RESUMEN!$BL$7)</f>
        <v>-43267</v>
      </c>
      <c r="AS160" s="53"/>
      <c r="AT160" s="54"/>
      <c r="AU160" s="66"/>
      <c r="AV160" s="50" t="e">
        <f t="shared" si="17"/>
        <v>#DIV/0!</v>
      </c>
    </row>
    <row r="161" spans="2:48" x14ac:dyDescent="0.25">
      <c r="B161" s="52"/>
      <c r="C161" s="47" t="e">
        <f>WEEKNUM(B161-RESUMEN!$D$7)</f>
        <v>#NUM!</v>
      </c>
      <c r="D161" s="47">
        <f>_xlfn.DAYS(B161,RESUMEN!$D$7)</f>
        <v>-43238</v>
      </c>
      <c r="E161" s="48"/>
      <c r="F161" s="54"/>
      <c r="G161" s="66"/>
      <c r="H161" s="50" t="e">
        <f t="shared" si="12"/>
        <v>#DIV/0!</v>
      </c>
      <c r="I161" s="90"/>
      <c r="J161" s="115"/>
      <c r="K161" s="47" t="e">
        <f>WEEKNUM(J161-RESUMEN!$P$7)</f>
        <v>#NUM!</v>
      </c>
      <c r="L161" s="47">
        <f>_xlfn.DAYS(J161,RESUMEN!$P$7)</f>
        <v>-43242</v>
      </c>
      <c r="M161" s="48"/>
      <c r="N161" s="54"/>
      <c r="O161" s="66"/>
      <c r="P161" s="50" t="e">
        <f t="shared" si="13"/>
        <v>#DIV/0!</v>
      </c>
      <c r="Q161" s="90"/>
      <c r="R161" s="115"/>
      <c r="S161" s="47" t="e">
        <f>WEEKNUM(R161-RESUMEN!$AB$7)</f>
        <v>#NUM!</v>
      </c>
      <c r="T161" s="47">
        <f>_xlfn.DAYS(R161,RESUMEN!$AB$7)</f>
        <v>-43247</v>
      </c>
      <c r="U161" s="48"/>
      <c r="V161" s="54"/>
      <c r="W161" s="66"/>
      <c r="X161" s="50" t="e">
        <f t="shared" si="14"/>
        <v>#DIV/0!</v>
      </c>
      <c r="Y161" s="90"/>
      <c r="Z161" s="115"/>
      <c r="AA161" s="47" t="e">
        <f>WEEKNUM(Z161-RESUMEN!$AN$7)</f>
        <v>#NUM!</v>
      </c>
      <c r="AB161" s="47">
        <f>_xlfn.DAYS(Z161,RESUMEN!$AN$7)</f>
        <v>-43254</v>
      </c>
      <c r="AC161" s="48"/>
      <c r="AD161" s="54"/>
      <c r="AE161" s="66"/>
      <c r="AF161" s="116" t="e">
        <f t="shared" si="15"/>
        <v>#DIV/0!</v>
      </c>
      <c r="AG161" s="83"/>
      <c r="AH161" s="115"/>
      <c r="AI161" s="47" t="e">
        <f>WEEKNUM(AH161-RESUMEN!$AZ$7)</f>
        <v>#NUM!</v>
      </c>
      <c r="AJ161" s="47">
        <f>_xlfn.DAYS(AH161,RESUMEN!$AZ$7)</f>
        <v>-43261</v>
      </c>
      <c r="AK161" s="79"/>
      <c r="AL161" s="54"/>
      <c r="AM161" s="66"/>
      <c r="AN161" s="50" t="e">
        <f t="shared" si="16"/>
        <v>#DIV/0!</v>
      </c>
      <c r="AO161" s="90"/>
      <c r="AP161" s="115"/>
      <c r="AQ161" s="47" t="e">
        <f>WEEKNUM(AP161-RESUMEN!$BL$7)</f>
        <v>#NUM!</v>
      </c>
      <c r="AR161" s="47">
        <f>_xlfn.DAYS(AP161,RESUMEN!$BL$7)</f>
        <v>-43267</v>
      </c>
      <c r="AS161" s="53"/>
      <c r="AT161" s="54"/>
      <c r="AU161" s="66"/>
      <c r="AV161" s="50" t="e">
        <f t="shared" si="17"/>
        <v>#DIV/0!</v>
      </c>
    </row>
    <row r="162" spans="2:48" x14ac:dyDescent="0.25">
      <c r="B162" s="52"/>
      <c r="C162" s="47" t="e">
        <f>WEEKNUM(B162-RESUMEN!$D$7)</f>
        <v>#NUM!</v>
      </c>
      <c r="D162" s="47">
        <f>_xlfn.DAYS(B162,RESUMEN!$D$7)</f>
        <v>-43238</v>
      </c>
      <c r="E162" s="48"/>
      <c r="F162" s="54"/>
      <c r="G162" s="66"/>
      <c r="H162" s="50" t="e">
        <f t="shared" si="12"/>
        <v>#DIV/0!</v>
      </c>
      <c r="I162" s="90"/>
      <c r="J162" s="115"/>
      <c r="K162" s="47" t="e">
        <f>WEEKNUM(J162-RESUMEN!$P$7)</f>
        <v>#NUM!</v>
      </c>
      <c r="L162" s="47">
        <f>_xlfn.DAYS(J162,RESUMEN!$P$7)</f>
        <v>-43242</v>
      </c>
      <c r="M162" s="48"/>
      <c r="N162" s="54"/>
      <c r="O162" s="66"/>
      <c r="P162" s="50" t="e">
        <f t="shared" si="13"/>
        <v>#DIV/0!</v>
      </c>
      <c r="Q162" s="90"/>
      <c r="R162" s="115"/>
      <c r="S162" s="47" t="e">
        <f>WEEKNUM(R162-RESUMEN!$AB$7)</f>
        <v>#NUM!</v>
      </c>
      <c r="T162" s="47">
        <f>_xlfn.DAYS(R162,RESUMEN!$AB$7)</f>
        <v>-43247</v>
      </c>
      <c r="U162" s="48"/>
      <c r="V162" s="54"/>
      <c r="W162" s="66"/>
      <c r="X162" s="50" t="e">
        <f t="shared" si="14"/>
        <v>#DIV/0!</v>
      </c>
      <c r="Y162" s="90"/>
      <c r="Z162" s="115"/>
      <c r="AA162" s="47" t="e">
        <f>WEEKNUM(Z162-RESUMEN!$AN$7)</f>
        <v>#NUM!</v>
      </c>
      <c r="AB162" s="47">
        <f>_xlfn.DAYS(Z162,RESUMEN!$AN$7)</f>
        <v>-43254</v>
      </c>
      <c r="AC162" s="48"/>
      <c r="AD162" s="54"/>
      <c r="AE162" s="66"/>
      <c r="AF162" s="116" t="e">
        <f t="shared" si="15"/>
        <v>#DIV/0!</v>
      </c>
      <c r="AG162" s="83"/>
      <c r="AH162" s="115"/>
      <c r="AI162" s="47" t="e">
        <f>WEEKNUM(AH162-RESUMEN!$AZ$7)</f>
        <v>#NUM!</v>
      </c>
      <c r="AJ162" s="47">
        <f>_xlfn.DAYS(AH162,RESUMEN!$AZ$7)</f>
        <v>-43261</v>
      </c>
      <c r="AK162" s="79"/>
      <c r="AL162" s="54"/>
      <c r="AM162" s="66"/>
      <c r="AN162" s="50" t="e">
        <f t="shared" si="16"/>
        <v>#DIV/0!</v>
      </c>
      <c r="AO162" s="90"/>
      <c r="AP162" s="115"/>
      <c r="AQ162" s="47" t="e">
        <f>WEEKNUM(AP162-RESUMEN!$BL$7)</f>
        <v>#NUM!</v>
      </c>
      <c r="AR162" s="47">
        <f>_xlfn.DAYS(AP162,RESUMEN!$BL$7)</f>
        <v>-43267</v>
      </c>
      <c r="AS162" s="53"/>
      <c r="AT162" s="54"/>
      <c r="AU162" s="66"/>
      <c r="AV162" s="50" t="e">
        <f t="shared" si="17"/>
        <v>#DIV/0!</v>
      </c>
    </row>
    <row r="163" spans="2:48" x14ac:dyDescent="0.25">
      <c r="B163" s="52"/>
      <c r="C163" s="47" t="e">
        <f>WEEKNUM(B163-RESUMEN!$D$7)</f>
        <v>#NUM!</v>
      </c>
      <c r="D163" s="47">
        <f>_xlfn.DAYS(B163,RESUMEN!$D$7)</f>
        <v>-43238</v>
      </c>
      <c r="E163" s="48"/>
      <c r="F163" s="54"/>
      <c r="G163" s="66"/>
      <c r="H163" s="50" t="e">
        <f t="shared" si="12"/>
        <v>#DIV/0!</v>
      </c>
      <c r="I163" s="90"/>
      <c r="J163" s="115"/>
      <c r="K163" s="47" t="e">
        <f>WEEKNUM(J163-RESUMEN!$P$7)</f>
        <v>#NUM!</v>
      </c>
      <c r="L163" s="47">
        <f>_xlfn.DAYS(J163,RESUMEN!$P$7)</f>
        <v>-43242</v>
      </c>
      <c r="M163" s="48"/>
      <c r="N163" s="54"/>
      <c r="O163" s="66"/>
      <c r="P163" s="50" t="e">
        <f t="shared" si="13"/>
        <v>#DIV/0!</v>
      </c>
      <c r="Q163" s="90"/>
      <c r="R163" s="115"/>
      <c r="S163" s="47" t="e">
        <f>WEEKNUM(R163-RESUMEN!$AB$7)</f>
        <v>#NUM!</v>
      </c>
      <c r="T163" s="47">
        <f>_xlfn.DAYS(R163,RESUMEN!$AB$7)</f>
        <v>-43247</v>
      </c>
      <c r="U163" s="48"/>
      <c r="V163" s="54"/>
      <c r="W163" s="66"/>
      <c r="X163" s="50" t="e">
        <f t="shared" si="14"/>
        <v>#DIV/0!</v>
      </c>
      <c r="Y163" s="90"/>
      <c r="Z163" s="115"/>
      <c r="AA163" s="47" t="e">
        <f>WEEKNUM(Z163-RESUMEN!$AN$7)</f>
        <v>#NUM!</v>
      </c>
      <c r="AB163" s="47">
        <f>_xlfn.DAYS(Z163,RESUMEN!$AN$7)</f>
        <v>-43254</v>
      </c>
      <c r="AC163" s="48"/>
      <c r="AD163" s="54"/>
      <c r="AE163" s="66"/>
      <c r="AF163" s="116" t="e">
        <f t="shared" si="15"/>
        <v>#DIV/0!</v>
      </c>
      <c r="AG163" s="83"/>
      <c r="AH163" s="115"/>
      <c r="AI163" s="47" t="e">
        <f>WEEKNUM(AH163-RESUMEN!$AZ$7)</f>
        <v>#NUM!</v>
      </c>
      <c r="AJ163" s="47">
        <f>_xlfn.DAYS(AH163,RESUMEN!$AZ$7)</f>
        <v>-43261</v>
      </c>
      <c r="AK163" s="79"/>
      <c r="AL163" s="54"/>
      <c r="AM163" s="66"/>
      <c r="AN163" s="50" t="e">
        <f t="shared" si="16"/>
        <v>#DIV/0!</v>
      </c>
      <c r="AO163" s="90"/>
      <c r="AP163" s="115"/>
      <c r="AQ163" s="47" t="e">
        <f>WEEKNUM(AP163-RESUMEN!$BL$7)</f>
        <v>#NUM!</v>
      </c>
      <c r="AR163" s="47">
        <f>_xlfn.DAYS(AP163,RESUMEN!$BL$7)</f>
        <v>-43267</v>
      </c>
      <c r="AS163" s="53"/>
      <c r="AT163" s="54"/>
      <c r="AU163" s="66"/>
      <c r="AV163" s="50" t="e">
        <f t="shared" si="17"/>
        <v>#DIV/0!</v>
      </c>
    </row>
    <row r="164" spans="2:48" x14ac:dyDescent="0.25">
      <c r="B164" s="52"/>
      <c r="C164" s="47" t="e">
        <f>WEEKNUM(B164-RESUMEN!$D$7)</f>
        <v>#NUM!</v>
      </c>
      <c r="D164" s="47">
        <f>_xlfn.DAYS(B164,RESUMEN!$D$7)</f>
        <v>-43238</v>
      </c>
      <c r="E164" s="48"/>
      <c r="F164" s="54"/>
      <c r="G164" s="66"/>
      <c r="H164" s="50" t="e">
        <f t="shared" si="12"/>
        <v>#DIV/0!</v>
      </c>
      <c r="I164" s="90"/>
      <c r="J164" s="115"/>
      <c r="K164" s="47" t="e">
        <f>WEEKNUM(J164-RESUMEN!$P$7)</f>
        <v>#NUM!</v>
      </c>
      <c r="L164" s="47">
        <f>_xlfn.DAYS(J164,RESUMEN!$P$7)</f>
        <v>-43242</v>
      </c>
      <c r="M164" s="48"/>
      <c r="N164" s="54"/>
      <c r="O164" s="66"/>
      <c r="P164" s="50" t="e">
        <f t="shared" si="13"/>
        <v>#DIV/0!</v>
      </c>
      <c r="Q164" s="90"/>
      <c r="R164" s="115"/>
      <c r="S164" s="47" t="e">
        <f>WEEKNUM(R164-RESUMEN!$AB$7)</f>
        <v>#NUM!</v>
      </c>
      <c r="T164" s="47">
        <f>_xlfn.DAYS(R164,RESUMEN!$AB$7)</f>
        <v>-43247</v>
      </c>
      <c r="U164" s="48"/>
      <c r="V164" s="54"/>
      <c r="W164" s="66"/>
      <c r="X164" s="50" t="e">
        <f t="shared" si="14"/>
        <v>#DIV/0!</v>
      </c>
      <c r="Y164" s="90"/>
      <c r="Z164" s="115"/>
      <c r="AA164" s="47" t="e">
        <f>WEEKNUM(Z164-RESUMEN!$AN$7)</f>
        <v>#NUM!</v>
      </c>
      <c r="AB164" s="47">
        <f>_xlfn.DAYS(Z164,RESUMEN!$AN$7)</f>
        <v>-43254</v>
      </c>
      <c r="AC164" s="48"/>
      <c r="AD164" s="54"/>
      <c r="AE164" s="66"/>
      <c r="AF164" s="116" t="e">
        <f t="shared" si="15"/>
        <v>#DIV/0!</v>
      </c>
      <c r="AG164" s="83"/>
      <c r="AH164" s="115"/>
      <c r="AI164" s="47" t="e">
        <f>WEEKNUM(AH164-RESUMEN!$AZ$7)</f>
        <v>#NUM!</v>
      </c>
      <c r="AJ164" s="47">
        <f>_xlfn.DAYS(AH164,RESUMEN!$AZ$7)</f>
        <v>-43261</v>
      </c>
      <c r="AK164" s="79"/>
      <c r="AL164" s="54"/>
      <c r="AM164" s="66"/>
      <c r="AN164" s="50" t="e">
        <f t="shared" si="16"/>
        <v>#DIV/0!</v>
      </c>
      <c r="AO164" s="90"/>
      <c r="AP164" s="115"/>
      <c r="AQ164" s="47" t="e">
        <f>WEEKNUM(AP164-RESUMEN!$BL$7)</f>
        <v>#NUM!</v>
      </c>
      <c r="AR164" s="47">
        <f>_xlfn.DAYS(AP164,RESUMEN!$BL$7)</f>
        <v>-43267</v>
      </c>
      <c r="AS164" s="53"/>
      <c r="AT164" s="54"/>
      <c r="AU164" s="66"/>
      <c r="AV164" s="50" t="e">
        <f t="shared" si="17"/>
        <v>#DIV/0!</v>
      </c>
    </row>
    <row r="165" spans="2:48" x14ac:dyDescent="0.25">
      <c r="B165" s="52"/>
      <c r="C165" s="47" t="e">
        <f>WEEKNUM(B165-RESUMEN!$D$7)</f>
        <v>#NUM!</v>
      </c>
      <c r="D165" s="47">
        <f>_xlfn.DAYS(B165,RESUMEN!$D$7)</f>
        <v>-43238</v>
      </c>
      <c r="E165" s="48"/>
      <c r="F165" s="54"/>
      <c r="G165" s="66"/>
      <c r="H165" s="50" t="e">
        <f t="shared" si="12"/>
        <v>#DIV/0!</v>
      </c>
      <c r="I165" s="90"/>
      <c r="J165" s="115"/>
      <c r="K165" s="47" t="e">
        <f>WEEKNUM(J165-RESUMEN!$P$7)</f>
        <v>#NUM!</v>
      </c>
      <c r="L165" s="47">
        <f>_xlfn.DAYS(J165,RESUMEN!$P$7)</f>
        <v>-43242</v>
      </c>
      <c r="M165" s="48"/>
      <c r="N165" s="54"/>
      <c r="O165" s="66"/>
      <c r="P165" s="50" t="e">
        <f t="shared" si="13"/>
        <v>#DIV/0!</v>
      </c>
      <c r="Q165" s="90"/>
      <c r="R165" s="115"/>
      <c r="S165" s="47" t="e">
        <f>WEEKNUM(R165-RESUMEN!$AB$7)</f>
        <v>#NUM!</v>
      </c>
      <c r="T165" s="47">
        <f>_xlfn.DAYS(R165,RESUMEN!$AB$7)</f>
        <v>-43247</v>
      </c>
      <c r="U165" s="48"/>
      <c r="V165" s="54"/>
      <c r="W165" s="66"/>
      <c r="X165" s="50" t="e">
        <f t="shared" si="14"/>
        <v>#DIV/0!</v>
      </c>
      <c r="Y165" s="90"/>
      <c r="Z165" s="115"/>
      <c r="AA165" s="47" t="e">
        <f>WEEKNUM(Z165-RESUMEN!$AN$7)</f>
        <v>#NUM!</v>
      </c>
      <c r="AB165" s="47">
        <f>_xlfn.DAYS(Z165,RESUMEN!$AN$7)</f>
        <v>-43254</v>
      </c>
      <c r="AC165" s="48"/>
      <c r="AD165" s="54"/>
      <c r="AE165" s="66"/>
      <c r="AF165" s="116" t="e">
        <f t="shared" si="15"/>
        <v>#DIV/0!</v>
      </c>
      <c r="AG165" s="83"/>
      <c r="AH165" s="115"/>
      <c r="AI165" s="47" t="e">
        <f>WEEKNUM(AH165-RESUMEN!$AZ$7)</f>
        <v>#NUM!</v>
      </c>
      <c r="AJ165" s="47">
        <f>_xlfn.DAYS(AH165,RESUMEN!$AZ$7)</f>
        <v>-43261</v>
      </c>
      <c r="AK165" s="79"/>
      <c r="AL165" s="54"/>
      <c r="AM165" s="66"/>
      <c r="AN165" s="50" t="e">
        <f t="shared" si="16"/>
        <v>#DIV/0!</v>
      </c>
      <c r="AO165" s="90"/>
      <c r="AP165" s="115"/>
      <c r="AQ165" s="47" t="e">
        <f>WEEKNUM(AP165-RESUMEN!$BL$7)</f>
        <v>#NUM!</v>
      </c>
      <c r="AR165" s="47">
        <f>_xlfn.DAYS(AP165,RESUMEN!$BL$7)</f>
        <v>-43267</v>
      </c>
      <c r="AS165" s="53"/>
      <c r="AT165" s="54"/>
      <c r="AU165" s="66"/>
      <c r="AV165" s="50" t="e">
        <f t="shared" si="17"/>
        <v>#DIV/0!</v>
      </c>
    </row>
    <row r="166" spans="2:48" x14ac:dyDescent="0.25">
      <c r="B166" s="52"/>
      <c r="C166" s="47" t="e">
        <f>WEEKNUM(B166-RESUMEN!$D$7)</f>
        <v>#NUM!</v>
      </c>
      <c r="D166" s="47">
        <f>_xlfn.DAYS(B166,RESUMEN!$D$7)</f>
        <v>-43238</v>
      </c>
      <c r="E166" s="48"/>
      <c r="F166" s="54"/>
      <c r="G166" s="66"/>
      <c r="H166" s="50" t="e">
        <f t="shared" si="12"/>
        <v>#DIV/0!</v>
      </c>
      <c r="I166" s="90"/>
      <c r="J166" s="115"/>
      <c r="K166" s="47" t="e">
        <f>WEEKNUM(J166-RESUMEN!$P$7)</f>
        <v>#NUM!</v>
      </c>
      <c r="L166" s="47">
        <f>_xlfn.DAYS(J166,RESUMEN!$P$7)</f>
        <v>-43242</v>
      </c>
      <c r="M166" s="48"/>
      <c r="N166" s="54"/>
      <c r="O166" s="66"/>
      <c r="P166" s="50" t="e">
        <f t="shared" si="13"/>
        <v>#DIV/0!</v>
      </c>
      <c r="Q166" s="90"/>
      <c r="R166" s="115"/>
      <c r="S166" s="47" t="e">
        <f>WEEKNUM(R166-RESUMEN!$AB$7)</f>
        <v>#NUM!</v>
      </c>
      <c r="T166" s="47">
        <f>_xlfn.DAYS(R166,RESUMEN!$AB$7)</f>
        <v>-43247</v>
      </c>
      <c r="U166" s="48"/>
      <c r="V166" s="54"/>
      <c r="W166" s="66"/>
      <c r="X166" s="50" t="e">
        <f t="shared" si="14"/>
        <v>#DIV/0!</v>
      </c>
      <c r="Y166" s="90"/>
      <c r="Z166" s="115"/>
      <c r="AA166" s="47" t="e">
        <f>WEEKNUM(Z166-RESUMEN!$AN$7)</f>
        <v>#NUM!</v>
      </c>
      <c r="AB166" s="47">
        <f>_xlfn.DAYS(Z166,RESUMEN!$AN$7)</f>
        <v>-43254</v>
      </c>
      <c r="AC166" s="48"/>
      <c r="AD166" s="54"/>
      <c r="AE166" s="66"/>
      <c r="AF166" s="116" t="e">
        <f t="shared" si="15"/>
        <v>#DIV/0!</v>
      </c>
      <c r="AG166" s="83"/>
      <c r="AH166" s="115"/>
      <c r="AI166" s="47" t="e">
        <f>WEEKNUM(AH166-RESUMEN!$AZ$7)</f>
        <v>#NUM!</v>
      </c>
      <c r="AJ166" s="47">
        <f>_xlfn.DAYS(AH166,RESUMEN!$AZ$7)</f>
        <v>-43261</v>
      </c>
      <c r="AK166" s="79"/>
      <c r="AL166" s="54"/>
      <c r="AM166" s="66"/>
      <c r="AN166" s="50" t="e">
        <f t="shared" si="16"/>
        <v>#DIV/0!</v>
      </c>
      <c r="AO166" s="90"/>
      <c r="AP166" s="115"/>
      <c r="AQ166" s="47" t="e">
        <f>WEEKNUM(AP166-RESUMEN!$BL$7)</f>
        <v>#NUM!</v>
      </c>
      <c r="AR166" s="47">
        <f>_xlfn.DAYS(AP166,RESUMEN!$BL$7)</f>
        <v>-43267</v>
      </c>
      <c r="AS166" s="53"/>
      <c r="AT166" s="54"/>
      <c r="AU166" s="66"/>
      <c r="AV166" s="50" t="e">
        <f t="shared" si="17"/>
        <v>#DIV/0!</v>
      </c>
    </row>
    <row r="167" spans="2:48" x14ac:dyDescent="0.25">
      <c r="B167" s="52"/>
      <c r="C167" s="47" t="e">
        <f>WEEKNUM(B167-RESUMEN!$D$7)</f>
        <v>#NUM!</v>
      </c>
      <c r="D167" s="47">
        <f>_xlfn.DAYS(B167,RESUMEN!$D$7)</f>
        <v>-43238</v>
      </c>
      <c r="E167" s="48"/>
      <c r="F167" s="54"/>
      <c r="G167" s="66"/>
      <c r="H167" s="50" t="e">
        <f t="shared" si="12"/>
        <v>#DIV/0!</v>
      </c>
      <c r="I167" s="90"/>
      <c r="J167" s="115"/>
      <c r="K167" s="47" t="e">
        <f>WEEKNUM(J167-RESUMEN!$P$7)</f>
        <v>#NUM!</v>
      </c>
      <c r="L167" s="47">
        <f>_xlfn.DAYS(J167,RESUMEN!$P$7)</f>
        <v>-43242</v>
      </c>
      <c r="M167" s="48"/>
      <c r="N167" s="54"/>
      <c r="O167" s="66"/>
      <c r="P167" s="50" t="e">
        <f t="shared" si="13"/>
        <v>#DIV/0!</v>
      </c>
      <c r="Q167" s="90"/>
      <c r="R167" s="115"/>
      <c r="S167" s="47" t="e">
        <f>WEEKNUM(R167-RESUMEN!$AB$7)</f>
        <v>#NUM!</v>
      </c>
      <c r="T167" s="47">
        <f>_xlfn.DAYS(R167,RESUMEN!$AB$7)</f>
        <v>-43247</v>
      </c>
      <c r="U167" s="48"/>
      <c r="V167" s="54"/>
      <c r="W167" s="66"/>
      <c r="X167" s="50" t="e">
        <f t="shared" si="14"/>
        <v>#DIV/0!</v>
      </c>
      <c r="Y167" s="90"/>
      <c r="Z167" s="115"/>
      <c r="AA167" s="47" t="e">
        <f>WEEKNUM(Z167-RESUMEN!$AN$7)</f>
        <v>#NUM!</v>
      </c>
      <c r="AB167" s="47">
        <f>_xlfn.DAYS(Z167,RESUMEN!$AN$7)</f>
        <v>-43254</v>
      </c>
      <c r="AC167" s="48"/>
      <c r="AD167" s="54"/>
      <c r="AE167" s="66"/>
      <c r="AF167" s="116" t="e">
        <f t="shared" si="15"/>
        <v>#DIV/0!</v>
      </c>
      <c r="AG167" s="83"/>
      <c r="AH167" s="115"/>
      <c r="AI167" s="47" t="e">
        <f>WEEKNUM(AH167-RESUMEN!$AZ$7)</f>
        <v>#NUM!</v>
      </c>
      <c r="AJ167" s="47">
        <f>_xlfn.DAYS(AH167,RESUMEN!$AZ$7)</f>
        <v>-43261</v>
      </c>
      <c r="AK167" s="79"/>
      <c r="AL167" s="54"/>
      <c r="AM167" s="66"/>
      <c r="AN167" s="50" t="e">
        <f t="shared" si="16"/>
        <v>#DIV/0!</v>
      </c>
      <c r="AO167" s="90"/>
      <c r="AP167" s="115"/>
      <c r="AQ167" s="47" t="e">
        <f>WEEKNUM(AP167-RESUMEN!$BL$7)</f>
        <v>#NUM!</v>
      </c>
      <c r="AR167" s="47">
        <f>_xlfn.DAYS(AP167,RESUMEN!$BL$7)</f>
        <v>-43267</v>
      </c>
      <c r="AS167" s="53"/>
      <c r="AT167" s="54"/>
      <c r="AU167" s="66"/>
      <c r="AV167" s="50" t="e">
        <f t="shared" si="17"/>
        <v>#DIV/0!</v>
      </c>
    </row>
    <row r="168" spans="2:48" x14ac:dyDescent="0.25">
      <c r="B168" s="52"/>
      <c r="C168" s="47" t="e">
        <f>WEEKNUM(B168-RESUMEN!$D$7)</f>
        <v>#NUM!</v>
      </c>
      <c r="D168" s="47">
        <f>_xlfn.DAYS(B168,RESUMEN!$D$7)</f>
        <v>-43238</v>
      </c>
      <c r="E168" s="48"/>
      <c r="F168" s="54"/>
      <c r="G168" s="66"/>
      <c r="H168" s="50" t="e">
        <f t="shared" si="12"/>
        <v>#DIV/0!</v>
      </c>
      <c r="I168" s="90"/>
      <c r="J168" s="115"/>
      <c r="K168" s="47" t="e">
        <f>WEEKNUM(J168-RESUMEN!$P$7)</f>
        <v>#NUM!</v>
      </c>
      <c r="L168" s="47">
        <f>_xlfn.DAYS(J168,RESUMEN!$P$7)</f>
        <v>-43242</v>
      </c>
      <c r="M168" s="48"/>
      <c r="N168" s="54"/>
      <c r="O168" s="66"/>
      <c r="P168" s="50" t="e">
        <f t="shared" si="13"/>
        <v>#DIV/0!</v>
      </c>
      <c r="Q168" s="90"/>
      <c r="R168" s="115"/>
      <c r="S168" s="47" t="e">
        <f>WEEKNUM(R168-RESUMEN!$AB$7)</f>
        <v>#NUM!</v>
      </c>
      <c r="T168" s="47">
        <f>_xlfn.DAYS(R168,RESUMEN!$AB$7)</f>
        <v>-43247</v>
      </c>
      <c r="U168" s="48"/>
      <c r="V168" s="54"/>
      <c r="W168" s="66"/>
      <c r="X168" s="50" t="e">
        <f t="shared" si="14"/>
        <v>#DIV/0!</v>
      </c>
      <c r="Y168" s="90"/>
      <c r="Z168" s="115"/>
      <c r="AA168" s="47" t="e">
        <f>WEEKNUM(Z168-RESUMEN!$AN$7)</f>
        <v>#NUM!</v>
      </c>
      <c r="AB168" s="47">
        <f>_xlfn.DAYS(Z168,RESUMEN!$AN$7)</f>
        <v>-43254</v>
      </c>
      <c r="AC168" s="48"/>
      <c r="AD168" s="54"/>
      <c r="AE168" s="66"/>
      <c r="AF168" s="116" t="e">
        <f t="shared" si="15"/>
        <v>#DIV/0!</v>
      </c>
      <c r="AG168" s="83"/>
      <c r="AH168" s="115"/>
      <c r="AI168" s="47" t="e">
        <f>WEEKNUM(AH168-RESUMEN!$AZ$7)</f>
        <v>#NUM!</v>
      </c>
      <c r="AJ168" s="47">
        <f>_xlfn.DAYS(AH168,RESUMEN!$AZ$7)</f>
        <v>-43261</v>
      </c>
      <c r="AK168" s="79"/>
      <c r="AL168" s="54"/>
      <c r="AM168" s="66"/>
      <c r="AN168" s="50" t="e">
        <f t="shared" si="16"/>
        <v>#DIV/0!</v>
      </c>
      <c r="AO168" s="90"/>
      <c r="AP168" s="115"/>
      <c r="AQ168" s="47" t="e">
        <f>WEEKNUM(AP168-RESUMEN!$BL$7)</f>
        <v>#NUM!</v>
      </c>
      <c r="AR168" s="47">
        <f>_xlfn.DAYS(AP168,RESUMEN!$BL$7)</f>
        <v>-43267</v>
      </c>
      <c r="AS168" s="53"/>
      <c r="AT168" s="54"/>
      <c r="AU168" s="66"/>
      <c r="AV168" s="50" t="e">
        <f t="shared" si="17"/>
        <v>#DIV/0!</v>
      </c>
    </row>
    <row r="169" spans="2:48" x14ac:dyDescent="0.25">
      <c r="B169" s="52"/>
      <c r="C169" s="47" t="e">
        <f>WEEKNUM(B169-RESUMEN!$D$7)</f>
        <v>#NUM!</v>
      </c>
      <c r="D169" s="47">
        <f>_xlfn.DAYS(B169,RESUMEN!$D$7)</f>
        <v>-43238</v>
      </c>
      <c r="E169" s="48"/>
      <c r="F169" s="54"/>
      <c r="G169" s="66"/>
      <c r="H169" s="50" t="e">
        <f t="shared" si="12"/>
        <v>#DIV/0!</v>
      </c>
      <c r="I169" s="90"/>
      <c r="J169" s="115"/>
      <c r="K169" s="47" t="e">
        <f>WEEKNUM(J169-RESUMEN!$P$7)</f>
        <v>#NUM!</v>
      </c>
      <c r="L169" s="47">
        <f>_xlfn.DAYS(J169,RESUMEN!$P$7)</f>
        <v>-43242</v>
      </c>
      <c r="M169" s="48"/>
      <c r="N169" s="54"/>
      <c r="O169" s="66"/>
      <c r="P169" s="50" t="e">
        <f t="shared" si="13"/>
        <v>#DIV/0!</v>
      </c>
      <c r="Q169" s="90"/>
      <c r="R169" s="115"/>
      <c r="S169" s="47" t="e">
        <f>WEEKNUM(R169-RESUMEN!$AB$7)</f>
        <v>#NUM!</v>
      </c>
      <c r="T169" s="47">
        <f>_xlfn.DAYS(R169,RESUMEN!$AB$7)</f>
        <v>-43247</v>
      </c>
      <c r="U169" s="48"/>
      <c r="V169" s="54"/>
      <c r="W169" s="66"/>
      <c r="X169" s="50" t="e">
        <f t="shared" si="14"/>
        <v>#DIV/0!</v>
      </c>
      <c r="Y169" s="90"/>
      <c r="Z169" s="115"/>
      <c r="AA169" s="47" t="e">
        <f>WEEKNUM(Z169-RESUMEN!$AN$7)</f>
        <v>#NUM!</v>
      </c>
      <c r="AB169" s="47">
        <f>_xlfn.DAYS(Z169,RESUMEN!$AN$7)</f>
        <v>-43254</v>
      </c>
      <c r="AC169" s="48"/>
      <c r="AD169" s="54"/>
      <c r="AE169" s="66"/>
      <c r="AF169" s="116" t="e">
        <f t="shared" si="15"/>
        <v>#DIV/0!</v>
      </c>
      <c r="AG169" s="83"/>
      <c r="AH169" s="115"/>
      <c r="AI169" s="47" t="e">
        <f>WEEKNUM(AH169-RESUMEN!$AZ$7)</f>
        <v>#NUM!</v>
      </c>
      <c r="AJ169" s="47">
        <f>_xlfn.DAYS(AH169,RESUMEN!$AZ$7)</f>
        <v>-43261</v>
      </c>
      <c r="AK169" s="79"/>
      <c r="AL169" s="54"/>
      <c r="AM169" s="66"/>
      <c r="AN169" s="50" t="e">
        <f t="shared" si="16"/>
        <v>#DIV/0!</v>
      </c>
      <c r="AO169" s="90"/>
      <c r="AP169" s="115"/>
      <c r="AQ169" s="47" t="e">
        <f>WEEKNUM(AP169-RESUMEN!$BL$7)</f>
        <v>#NUM!</v>
      </c>
      <c r="AR169" s="47">
        <f>_xlfn.DAYS(AP169,RESUMEN!$BL$7)</f>
        <v>-43267</v>
      </c>
      <c r="AS169" s="53"/>
      <c r="AT169" s="54"/>
      <c r="AU169" s="66"/>
      <c r="AV169" s="50" t="e">
        <f t="shared" si="17"/>
        <v>#DIV/0!</v>
      </c>
    </row>
    <row r="170" spans="2:48" x14ac:dyDescent="0.25">
      <c r="B170" s="52"/>
      <c r="C170" s="47" t="e">
        <f>WEEKNUM(B170-RESUMEN!$D$7)</f>
        <v>#NUM!</v>
      </c>
      <c r="D170" s="47">
        <f>_xlfn.DAYS(B170,RESUMEN!$D$7)</f>
        <v>-43238</v>
      </c>
      <c r="E170" s="48"/>
      <c r="F170" s="54"/>
      <c r="G170" s="66"/>
      <c r="H170" s="50" t="e">
        <f t="shared" si="12"/>
        <v>#DIV/0!</v>
      </c>
      <c r="I170" s="90"/>
      <c r="J170" s="115"/>
      <c r="K170" s="47" t="e">
        <f>WEEKNUM(J170-RESUMEN!$P$7)</f>
        <v>#NUM!</v>
      </c>
      <c r="L170" s="47">
        <f>_xlfn.DAYS(J170,RESUMEN!$P$7)</f>
        <v>-43242</v>
      </c>
      <c r="M170" s="48"/>
      <c r="N170" s="54"/>
      <c r="O170" s="66"/>
      <c r="P170" s="50" t="e">
        <f t="shared" si="13"/>
        <v>#DIV/0!</v>
      </c>
      <c r="Q170" s="90"/>
      <c r="R170" s="115"/>
      <c r="S170" s="47" t="e">
        <f>WEEKNUM(R170-RESUMEN!$AB$7)</f>
        <v>#NUM!</v>
      </c>
      <c r="T170" s="47">
        <f>_xlfn.DAYS(R170,RESUMEN!$AB$7)</f>
        <v>-43247</v>
      </c>
      <c r="U170" s="48"/>
      <c r="V170" s="54"/>
      <c r="W170" s="66"/>
      <c r="X170" s="50" t="e">
        <f t="shared" si="14"/>
        <v>#DIV/0!</v>
      </c>
      <c r="Y170" s="90"/>
      <c r="Z170" s="115"/>
      <c r="AA170" s="47" t="e">
        <f>WEEKNUM(Z170-RESUMEN!$AN$7)</f>
        <v>#NUM!</v>
      </c>
      <c r="AB170" s="47">
        <f>_xlfn.DAYS(Z170,RESUMEN!$AN$7)</f>
        <v>-43254</v>
      </c>
      <c r="AC170" s="48"/>
      <c r="AD170" s="54"/>
      <c r="AE170" s="66"/>
      <c r="AF170" s="116" t="e">
        <f t="shared" si="15"/>
        <v>#DIV/0!</v>
      </c>
      <c r="AG170" s="83"/>
      <c r="AH170" s="115"/>
      <c r="AI170" s="47" t="e">
        <f>WEEKNUM(AH170-RESUMEN!$AZ$7)</f>
        <v>#NUM!</v>
      </c>
      <c r="AJ170" s="47">
        <f>_xlfn.DAYS(AH170,RESUMEN!$AZ$7)</f>
        <v>-43261</v>
      </c>
      <c r="AK170" s="79"/>
      <c r="AL170" s="54"/>
      <c r="AM170" s="66"/>
      <c r="AN170" s="50" t="e">
        <f t="shared" si="16"/>
        <v>#DIV/0!</v>
      </c>
      <c r="AO170" s="90"/>
      <c r="AP170" s="115"/>
      <c r="AQ170" s="47" t="e">
        <f>WEEKNUM(AP170-RESUMEN!$BL$7)</f>
        <v>#NUM!</v>
      </c>
      <c r="AR170" s="47">
        <f>_xlfn.DAYS(AP170,RESUMEN!$BL$7)</f>
        <v>-43267</v>
      </c>
      <c r="AS170" s="53"/>
      <c r="AT170" s="54"/>
      <c r="AU170" s="66"/>
      <c r="AV170" s="50" t="e">
        <f t="shared" si="17"/>
        <v>#DIV/0!</v>
      </c>
    </row>
    <row r="171" spans="2:48" x14ac:dyDescent="0.25">
      <c r="B171" s="52"/>
      <c r="C171" s="47" t="e">
        <f>WEEKNUM(B171-RESUMEN!$D$7)</f>
        <v>#NUM!</v>
      </c>
      <c r="D171" s="47">
        <f>_xlfn.DAYS(B171,RESUMEN!$D$7)</f>
        <v>-43238</v>
      </c>
      <c r="E171" s="48"/>
      <c r="F171" s="54"/>
      <c r="G171" s="66"/>
      <c r="H171" s="50" t="e">
        <f t="shared" si="12"/>
        <v>#DIV/0!</v>
      </c>
      <c r="I171" s="90"/>
      <c r="J171" s="115"/>
      <c r="K171" s="47" t="e">
        <f>WEEKNUM(J171-RESUMEN!$P$7)</f>
        <v>#NUM!</v>
      </c>
      <c r="L171" s="47">
        <f>_xlfn.DAYS(J171,RESUMEN!$P$7)</f>
        <v>-43242</v>
      </c>
      <c r="M171" s="48"/>
      <c r="N171" s="54"/>
      <c r="O171" s="66"/>
      <c r="P171" s="50" t="e">
        <f t="shared" si="13"/>
        <v>#DIV/0!</v>
      </c>
      <c r="Q171" s="90"/>
      <c r="R171" s="115"/>
      <c r="S171" s="47" t="e">
        <f>WEEKNUM(R171-RESUMEN!$AB$7)</f>
        <v>#NUM!</v>
      </c>
      <c r="T171" s="47">
        <f>_xlfn.DAYS(R171,RESUMEN!$AB$7)</f>
        <v>-43247</v>
      </c>
      <c r="U171" s="48"/>
      <c r="V171" s="54"/>
      <c r="W171" s="66"/>
      <c r="X171" s="50" t="e">
        <f t="shared" si="14"/>
        <v>#DIV/0!</v>
      </c>
      <c r="Y171" s="90"/>
      <c r="Z171" s="115"/>
      <c r="AA171" s="47" t="e">
        <f>WEEKNUM(Z171-RESUMEN!$AN$7)</f>
        <v>#NUM!</v>
      </c>
      <c r="AB171" s="47">
        <f>_xlfn.DAYS(Z171,RESUMEN!$AN$7)</f>
        <v>-43254</v>
      </c>
      <c r="AC171" s="48"/>
      <c r="AD171" s="54"/>
      <c r="AE171" s="66"/>
      <c r="AF171" s="116" t="e">
        <f t="shared" si="15"/>
        <v>#DIV/0!</v>
      </c>
      <c r="AG171" s="83"/>
      <c r="AH171" s="115"/>
      <c r="AI171" s="47" t="e">
        <f>WEEKNUM(AH171-RESUMEN!$AZ$7)</f>
        <v>#NUM!</v>
      </c>
      <c r="AJ171" s="47">
        <f>_xlfn.DAYS(AH171,RESUMEN!$AZ$7)</f>
        <v>-43261</v>
      </c>
      <c r="AK171" s="79"/>
      <c r="AL171" s="54"/>
      <c r="AM171" s="66"/>
      <c r="AN171" s="50" t="e">
        <f t="shared" si="16"/>
        <v>#DIV/0!</v>
      </c>
      <c r="AO171" s="90"/>
      <c r="AP171" s="115"/>
      <c r="AQ171" s="47" t="e">
        <f>WEEKNUM(AP171-RESUMEN!$BL$7)</f>
        <v>#NUM!</v>
      </c>
      <c r="AR171" s="47">
        <f>_xlfn.DAYS(AP171,RESUMEN!$BL$7)</f>
        <v>-43267</v>
      </c>
      <c r="AS171" s="53"/>
      <c r="AT171" s="54"/>
      <c r="AU171" s="66"/>
      <c r="AV171" s="50" t="e">
        <f t="shared" si="17"/>
        <v>#DIV/0!</v>
      </c>
    </row>
    <row r="172" spans="2:48" x14ac:dyDescent="0.25">
      <c r="B172" s="52"/>
      <c r="C172" s="47" t="e">
        <f>WEEKNUM(B172-RESUMEN!$D$7)</f>
        <v>#NUM!</v>
      </c>
      <c r="D172" s="47">
        <f>_xlfn.DAYS(B172,RESUMEN!$D$7)</f>
        <v>-43238</v>
      </c>
      <c r="E172" s="48"/>
      <c r="F172" s="54"/>
      <c r="G172" s="66"/>
      <c r="H172" s="50" t="e">
        <f t="shared" si="12"/>
        <v>#DIV/0!</v>
      </c>
      <c r="I172" s="90"/>
      <c r="J172" s="115"/>
      <c r="K172" s="47" t="e">
        <f>WEEKNUM(J172-RESUMEN!$P$7)</f>
        <v>#NUM!</v>
      </c>
      <c r="L172" s="47">
        <f>_xlfn.DAYS(J172,RESUMEN!$P$7)</f>
        <v>-43242</v>
      </c>
      <c r="M172" s="48"/>
      <c r="N172" s="54"/>
      <c r="O172" s="66"/>
      <c r="P172" s="50" t="e">
        <f t="shared" si="13"/>
        <v>#DIV/0!</v>
      </c>
      <c r="Q172" s="90"/>
      <c r="R172" s="115"/>
      <c r="S172" s="47" t="e">
        <f>WEEKNUM(R172-RESUMEN!$AB$7)</f>
        <v>#NUM!</v>
      </c>
      <c r="T172" s="47">
        <f>_xlfn.DAYS(R172,RESUMEN!$AB$7)</f>
        <v>-43247</v>
      </c>
      <c r="U172" s="48"/>
      <c r="V172" s="54"/>
      <c r="W172" s="66"/>
      <c r="X172" s="50" t="e">
        <f t="shared" si="14"/>
        <v>#DIV/0!</v>
      </c>
      <c r="Y172" s="90"/>
      <c r="Z172" s="115"/>
      <c r="AA172" s="47" t="e">
        <f>WEEKNUM(Z172-RESUMEN!$AN$7)</f>
        <v>#NUM!</v>
      </c>
      <c r="AB172" s="47">
        <f>_xlfn.DAYS(Z172,RESUMEN!$AN$7)</f>
        <v>-43254</v>
      </c>
      <c r="AC172" s="48"/>
      <c r="AD172" s="54"/>
      <c r="AE172" s="66"/>
      <c r="AF172" s="116" t="e">
        <f t="shared" si="15"/>
        <v>#DIV/0!</v>
      </c>
      <c r="AG172" s="83"/>
      <c r="AH172" s="115"/>
      <c r="AI172" s="47" t="e">
        <f>WEEKNUM(AH172-RESUMEN!$AZ$7)</f>
        <v>#NUM!</v>
      </c>
      <c r="AJ172" s="47">
        <f>_xlfn.DAYS(AH172,RESUMEN!$AZ$7)</f>
        <v>-43261</v>
      </c>
      <c r="AK172" s="79"/>
      <c r="AL172" s="54"/>
      <c r="AM172" s="66"/>
      <c r="AN172" s="50" t="e">
        <f t="shared" si="16"/>
        <v>#DIV/0!</v>
      </c>
      <c r="AO172" s="90"/>
      <c r="AP172" s="115"/>
      <c r="AQ172" s="47" t="e">
        <f>WEEKNUM(AP172-RESUMEN!$BL$7)</f>
        <v>#NUM!</v>
      </c>
      <c r="AR172" s="47">
        <f>_xlfn.DAYS(AP172,RESUMEN!$BL$7)</f>
        <v>-43267</v>
      </c>
      <c r="AS172" s="53"/>
      <c r="AT172" s="54"/>
      <c r="AU172" s="66"/>
      <c r="AV172" s="50" t="e">
        <f t="shared" si="17"/>
        <v>#DIV/0!</v>
      </c>
    </row>
    <row r="173" spans="2:48" x14ac:dyDescent="0.25">
      <c r="B173" s="52"/>
      <c r="C173" s="47" t="e">
        <f>WEEKNUM(B173-RESUMEN!$D$7)</f>
        <v>#NUM!</v>
      </c>
      <c r="D173" s="47">
        <f>_xlfn.DAYS(B173,RESUMEN!$D$7)</f>
        <v>-43238</v>
      </c>
      <c r="E173" s="48"/>
      <c r="F173" s="54"/>
      <c r="G173" s="66"/>
      <c r="H173" s="50" t="e">
        <f t="shared" si="12"/>
        <v>#DIV/0!</v>
      </c>
      <c r="I173" s="90"/>
      <c r="J173" s="115"/>
      <c r="K173" s="47" t="e">
        <f>WEEKNUM(J173-RESUMEN!$P$7)</f>
        <v>#NUM!</v>
      </c>
      <c r="L173" s="47">
        <f>_xlfn.DAYS(J173,RESUMEN!$P$7)</f>
        <v>-43242</v>
      </c>
      <c r="M173" s="48"/>
      <c r="N173" s="54"/>
      <c r="O173" s="66"/>
      <c r="P173" s="50" t="e">
        <f t="shared" si="13"/>
        <v>#DIV/0!</v>
      </c>
      <c r="Q173" s="90"/>
      <c r="R173" s="115"/>
      <c r="S173" s="47" t="e">
        <f>WEEKNUM(R173-RESUMEN!$AB$7)</f>
        <v>#NUM!</v>
      </c>
      <c r="T173" s="47">
        <f>_xlfn.DAYS(R173,RESUMEN!$AB$7)</f>
        <v>-43247</v>
      </c>
      <c r="U173" s="48"/>
      <c r="V173" s="54"/>
      <c r="W173" s="66"/>
      <c r="X173" s="50" t="e">
        <f t="shared" si="14"/>
        <v>#DIV/0!</v>
      </c>
      <c r="Y173" s="90"/>
      <c r="Z173" s="115"/>
      <c r="AA173" s="47" t="e">
        <f>WEEKNUM(Z173-RESUMEN!$AN$7)</f>
        <v>#NUM!</v>
      </c>
      <c r="AB173" s="47">
        <f>_xlfn.DAYS(Z173,RESUMEN!$AN$7)</f>
        <v>-43254</v>
      </c>
      <c r="AC173" s="48"/>
      <c r="AD173" s="54"/>
      <c r="AE173" s="66"/>
      <c r="AF173" s="116" t="e">
        <f t="shared" si="15"/>
        <v>#DIV/0!</v>
      </c>
      <c r="AG173" s="83"/>
      <c r="AH173" s="115"/>
      <c r="AI173" s="47" t="e">
        <f>WEEKNUM(AH173-RESUMEN!$AZ$7)</f>
        <v>#NUM!</v>
      </c>
      <c r="AJ173" s="47">
        <f>_xlfn.DAYS(AH173,RESUMEN!$AZ$7)</f>
        <v>-43261</v>
      </c>
      <c r="AK173" s="79"/>
      <c r="AL173" s="54"/>
      <c r="AM173" s="66"/>
      <c r="AN173" s="50" t="e">
        <f t="shared" si="16"/>
        <v>#DIV/0!</v>
      </c>
      <c r="AO173" s="90"/>
      <c r="AP173" s="115"/>
      <c r="AQ173" s="47" t="e">
        <f>WEEKNUM(AP173-RESUMEN!$BL$7)</f>
        <v>#NUM!</v>
      </c>
      <c r="AR173" s="47">
        <f>_xlfn.DAYS(AP173,RESUMEN!$BL$7)</f>
        <v>-43267</v>
      </c>
      <c r="AS173" s="53"/>
      <c r="AT173" s="54"/>
      <c r="AU173" s="66"/>
      <c r="AV173" s="50" t="e">
        <f t="shared" si="17"/>
        <v>#DIV/0!</v>
      </c>
    </row>
    <row r="174" spans="2:48" x14ac:dyDescent="0.25">
      <c r="B174" s="52"/>
      <c r="C174" s="47" t="e">
        <f>WEEKNUM(B174-RESUMEN!$D$7)</f>
        <v>#NUM!</v>
      </c>
      <c r="D174" s="47">
        <f>_xlfn.DAYS(B174,RESUMEN!$D$7)</f>
        <v>-43238</v>
      </c>
      <c r="E174" s="48"/>
      <c r="F174" s="54"/>
      <c r="G174" s="66"/>
      <c r="H174" s="50" t="e">
        <f t="shared" si="12"/>
        <v>#DIV/0!</v>
      </c>
      <c r="I174" s="90"/>
      <c r="J174" s="115"/>
      <c r="K174" s="47" t="e">
        <f>WEEKNUM(J174-RESUMEN!$P$7)</f>
        <v>#NUM!</v>
      </c>
      <c r="L174" s="47">
        <f>_xlfn.DAYS(J174,RESUMEN!$P$7)</f>
        <v>-43242</v>
      </c>
      <c r="M174" s="48"/>
      <c r="N174" s="54"/>
      <c r="O174" s="66"/>
      <c r="P174" s="50" t="e">
        <f t="shared" si="13"/>
        <v>#DIV/0!</v>
      </c>
      <c r="Q174" s="90"/>
      <c r="R174" s="115"/>
      <c r="S174" s="47" t="e">
        <f>WEEKNUM(R174-RESUMEN!$AB$7)</f>
        <v>#NUM!</v>
      </c>
      <c r="T174" s="47">
        <f>_xlfn.DAYS(R174,RESUMEN!$AB$7)</f>
        <v>-43247</v>
      </c>
      <c r="U174" s="48"/>
      <c r="V174" s="54"/>
      <c r="W174" s="66"/>
      <c r="X174" s="50" t="e">
        <f t="shared" si="14"/>
        <v>#DIV/0!</v>
      </c>
      <c r="Y174" s="90"/>
      <c r="Z174" s="115"/>
      <c r="AA174" s="47" t="e">
        <f>WEEKNUM(Z174-RESUMEN!$AN$7)</f>
        <v>#NUM!</v>
      </c>
      <c r="AB174" s="47">
        <f>_xlfn.DAYS(Z174,RESUMEN!$AN$7)</f>
        <v>-43254</v>
      </c>
      <c r="AC174" s="48"/>
      <c r="AD174" s="54"/>
      <c r="AE174" s="66"/>
      <c r="AF174" s="116" t="e">
        <f t="shared" si="15"/>
        <v>#DIV/0!</v>
      </c>
      <c r="AG174" s="83"/>
      <c r="AH174" s="115"/>
      <c r="AI174" s="47" t="e">
        <f>WEEKNUM(AH174-RESUMEN!$AZ$7)</f>
        <v>#NUM!</v>
      </c>
      <c r="AJ174" s="47">
        <f>_xlfn.DAYS(AH174,RESUMEN!$AZ$7)</f>
        <v>-43261</v>
      </c>
      <c r="AK174" s="79"/>
      <c r="AL174" s="54"/>
      <c r="AM174" s="66"/>
      <c r="AN174" s="50" t="e">
        <f t="shared" si="16"/>
        <v>#DIV/0!</v>
      </c>
      <c r="AO174" s="90"/>
      <c r="AP174" s="115"/>
      <c r="AQ174" s="47" t="e">
        <f>WEEKNUM(AP174-RESUMEN!$BL$7)</f>
        <v>#NUM!</v>
      </c>
      <c r="AR174" s="47">
        <f>_xlfn.DAYS(AP174,RESUMEN!$BL$7)</f>
        <v>-43267</v>
      </c>
      <c r="AS174" s="53"/>
      <c r="AT174" s="54"/>
      <c r="AU174" s="66"/>
      <c r="AV174" s="50" t="e">
        <f t="shared" si="17"/>
        <v>#DIV/0!</v>
      </c>
    </row>
    <row r="175" spans="2:48" x14ac:dyDescent="0.25">
      <c r="B175" s="52"/>
      <c r="C175" s="47" t="e">
        <f>WEEKNUM(B175-RESUMEN!$D$7)</f>
        <v>#NUM!</v>
      </c>
      <c r="D175" s="47">
        <f>_xlfn.DAYS(B175,RESUMEN!$D$7)</f>
        <v>-43238</v>
      </c>
      <c r="E175" s="48"/>
      <c r="F175" s="54"/>
      <c r="G175" s="66"/>
      <c r="H175" s="50" t="e">
        <f t="shared" si="12"/>
        <v>#DIV/0!</v>
      </c>
      <c r="I175" s="90"/>
      <c r="J175" s="115"/>
      <c r="K175" s="47" t="e">
        <f>WEEKNUM(J175-RESUMEN!$P$7)</f>
        <v>#NUM!</v>
      </c>
      <c r="L175" s="47">
        <f>_xlfn.DAYS(J175,RESUMEN!$P$7)</f>
        <v>-43242</v>
      </c>
      <c r="M175" s="48"/>
      <c r="N175" s="54"/>
      <c r="O175" s="66"/>
      <c r="P175" s="50" t="e">
        <f t="shared" si="13"/>
        <v>#DIV/0!</v>
      </c>
      <c r="Q175" s="90"/>
      <c r="R175" s="115"/>
      <c r="S175" s="47" t="e">
        <f>WEEKNUM(R175-RESUMEN!$AB$7)</f>
        <v>#NUM!</v>
      </c>
      <c r="T175" s="47">
        <f>_xlfn.DAYS(R175,RESUMEN!$AB$7)</f>
        <v>-43247</v>
      </c>
      <c r="U175" s="48"/>
      <c r="V175" s="54"/>
      <c r="W175" s="66"/>
      <c r="X175" s="50" t="e">
        <f t="shared" si="14"/>
        <v>#DIV/0!</v>
      </c>
      <c r="Y175" s="90"/>
      <c r="Z175" s="115"/>
      <c r="AA175" s="47" t="e">
        <f>WEEKNUM(Z175-RESUMEN!$AN$7)</f>
        <v>#NUM!</v>
      </c>
      <c r="AB175" s="47">
        <f>_xlfn.DAYS(Z175,RESUMEN!$AN$7)</f>
        <v>-43254</v>
      </c>
      <c r="AC175" s="48"/>
      <c r="AD175" s="54"/>
      <c r="AE175" s="66"/>
      <c r="AF175" s="116" t="e">
        <f t="shared" si="15"/>
        <v>#DIV/0!</v>
      </c>
      <c r="AG175" s="83"/>
      <c r="AH175" s="115"/>
      <c r="AI175" s="47" t="e">
        <f>WEEKNUM(AH175-RESUMEN!$AZ$7)</f>
        <v>#NUM!</v>
      </c>
      <c r="AJ175" s="47">
        <f>_xlfn.DAYS(AH175,RESUMEN!$AZ$7)</f>
        <v>-43261</v>
      </c>
      <c r="AK175" s="79"/>
      <c r="AL175" s="54"/>
      <c r="AM175" s="66"/>
      <c r="AN175" s="50" t="e">
        <f t="shared" si="16"/>
        <v>#DIV/0!</v>
      </c>
      <c r="AO175" s="90"/>
      <c r="AP175" s="115"/>
      <c r="AQ175" s="47" t="e">
        <f>WEEKNUM(AP175-RESUMEN!$BL$7)</f>
        <v>#NUM!</v>
      </c>
      <c r="AR175" s="47">
        <f>_xlfn.DAYS(AP175,RESUMEN!$BL$7)</f>
        <v>-43267</v>
      </c>
      <c r="AS175" s="53"/>
      <c r="AT175" s="54"/>
      <c r="AU175" s="66"/>
      <c r="AV175" s="50" t="e">
        <f t="shared" si="17"/>
        <v>#DIV/0!</v>
      </c>
    </row>
    <row r="176" spans="2:48" x14ac:dyDescent="0.25">
      <c r="B176" s="52"/>
      <c r="C176" s="47" t="e">
        <f>WEEKNUM(B176-RESUMEN!$D$7)</f>
        <v>#NUM!</v>
      </c>
      <c r="D176" s="47">
        <f>_xlfn.DAYS(B176,RESUMEN!$D$7)</f>
        <v>-43238</v>
      </c>
      <c r="E176" s="48"/>
      <c r="F176" s="54"/>
      <c r="G176" s="66"/>
      <c r="H176" s="50" t="e">
        <f t="shared" si="12"/>
        <v>#DIV/0!</v>
      </c>
      <c r="I176" s="90"/>
      <c r="J176" s="115"/>
      <c r="K176" s="47" t="e">
        <f>WEEKNUM(J176-RESUMEN!$P$7)</f>
        <v>#NUM!</v>
      </c>
      <c r="L176" s="47">
        <f>_xlfn.DAYS(J176,RESUMEN!$P$7)</f>
        <v>-43242</v>
      </c>
      <c r="M176" s="48"/>
      <c r="N176" s="54"/>
      <c r="O176" s="66"/>
      <c r="P176" s="50" t="e">
        <f t="shared" si="13"/>
        <v>#DIV/0!</v>
      </c>
      <c r="Q176" s="90"/>
      <c r="R176" s="115"/>
      <c r="S176" s="47" t="e">
        <f>WEEKNUM(R176-RESUMEN!$AB$7)</f>
        <v>#NUM!</v>
      </c>
      <c r="T176" s="47">
        <f>_xlfn.DAYS(R176,RESUMEN!$AB$7)</f>
        <v>-43247</v>
      </c>
      <c r="U176" s="48"/>
      <c r="V176" s="54"/>
      <c r="W176" s="66"/>
      <c r="X176" s="50" t="e">
        <f t="shared" si="14"/>
        <v>#DIV/0!</v>
      </c>
      <c r="Y176" s="90"/>
      <c r="Z176" s="115"/>
      <c r="AA176" s="47" t="e">
        <f>WEEKNUM(Z176-RESUMEN!$AN$7)</f>
        <v>#NUM!</v>
      </c>
      <c r="AB176" s="47">
        <f>_xlfn.DAYS(Z176,RESUMEN!$AN$7)</f>
        <v>-43254</v>
      </c>
      <c r="AC176" s="48"/>
      <c r="AD176" s="54"/>
      <c r="AE176" s="66"/>
      <c r="AF176" s="116" t="e">
        <f t="shared" si="15"/>
        <v>#DIV/0!</v>
      </c>
      <c r="AG176" s="83"/>
      <c r="AH176" s="115"/>
      <c r="AI176" s="47" t="e">
        <f>WEEKNUM(AH176-RESUMEN!$AZ$7)</f>
        <v>#NUM!</v>
      </c>
      <c r="AJ176" s="47">
        <f>_xlfn.DAYS(AH176,RESUMEN!$AZ$7)</f>
        <v>-43261</v>
      </c>
      <c r="AK176" s="79"/>
      <c r="AL176" s="54"/>
      <c r="AM176" s="66"/>
      <c r="AN176" s="50" t="e">
        <f t="shared" si="16"/>
        <v>#DIV/0!</v>
      </c>
      <c r="AO176" s="90"/>
      <c r="AP176" s="115"/>
      <c r="AQ176" s="47" t="e">
        <f>WEEKNUM(AP176-RESUMEN!$BL$7)</f>
        <v>#NUM!</v>
      </c>
      <c r="AR176" s="47">
        <f>_xlfn.DAYS(AP176,RESUMEN!$BL$7)</f>
        <v>-43267</v>
      </c>
      <c r="AS176" s="53"/>
      <c r="AT176" s="54"/>
      <c r="AU176" s="66"/>
      <c r="AV176" s="50" t="e">
        <f t="shared" si="17"/>
        <v>#DIV/0!</v>
      </c>
    </row>
    <row r="177" spans="2:48" x14ac:dyDescent="0.25">
      <c r="B177" s="52"/>
      <c r="C177" s="47" t="e">
        <f>WEEKNUM(B177-RESUMEN!$D$7)</f>
        <v>#NUM!</v>
      </c>
      <c r="D177" s="47">
        <f>_xlfn.DAYS(B177,RESUMEN!$D$7)</f>
        <v>-43238</v>
      </c>
      <c r="E177" s="48"/>
      <c r="F177" s="54"/>
      <c r="G177" s="66"/>
      <c r="H177" s="50" t="e">
        <f t="shared" si="12"/>
        <v>#DIV/0!</v>
      </c>
      <c r="I177" s="90"/>
      <c r="J177" s="115"/>
      <c r="K177" s="47" t="e">
        <f>WEEKNUM(J177-RESUMEN!$P$7)</f>
        <v>#NUM!</v>
      </c>
      <c r="L177" s="47">
        <f>_xlfn.DAYS(J177,RESUMEN!$P$7)</f>
        <v>-43242</v>
      </c>
      <c r="M177" s="48"/>
      <c r="N177" s="54"/>
      <c r="O177" s="66"/>
      <c r="P177" s="50" t="e">
        <f t="shared" si="13"/>
        <v>#DIV/0!</v>
      </c>
      <c r="Q177" s="90"/>
      <c r="R177" s="115"/>
      <c r="S177" s="47" t="e">
        <f>WEEKNUM(R177-RESUMEN!$AB$7)</f>
        <v>#NUM!</v>
      </c>
      <c r="T177" s="47">
        <f>_xlfn.DAYS(R177,RESUMEN!$AB$7)</f>
        <v>-43247</v>
      </c>
      <c r="U177" s="48"/>
      <c r="V177" s="54"/>
      <c r="W177" s="66"/>
      <c r="X177" s="50" t="e">
        <f t="shared" si="14"/>
        <v>#DIV/0!</v>
      </c>
      <c r="Y177" s="90"/>
      <c r="Z177" s="115"/>
      <c r="AA177" s="47" t="e">
        <f>WEEKNUM(Z177-RESUMEN!$AN$7)</f>
        <v>#NUM!</v>
      </c>
      <c r="AB177" s="47">
        <f>_xlfn.DAYS(Z177,RESUMEN!$AN$7)</f>
        <v>-43254</v>
      </c>
      <c r="AC177" s="48"/>
      <c r="AD177" s="54"/>
      <c r="AE177" s="66"/>
      <c r="AF177" s="116" t="e">
        <f t="shared" si="15"/>
        <v>#DIV/0!</v>
      </c>
      <c r="AG177" s="83"/>
      <c r="AH177" s="115"/>
      <c r="AI177" s="47" t="e">
        <f>WEEKNUM(AH177-RESUMEN!$AZ$7)</f>
        <v>#NUM!</v>
      </c>
      <c r="AJ177" s="47">
        <f>_xlfn.DAYS(AH177,RESUMEN!$AZ$7)</f>
        <v>-43261</v>
      </c>
      <c r="AK177" s="79"/>
      <c r="AL177" s="54"/>
      <c r="AM177" s="66"/>
      <c r="AN177" s="50" t="e">
        <f t="shared" si="16"/>
        <v>#DIV/0!</v>
      </c>
      <c r="AO177" s="90"/>
      <c r="AP177" s="115"/>
      <c r="AQ177" s="47" t="e">
        <f>WEEKNUM(AP177-RESUMEN!$BL$7)</f>
        <v>#NUM!</v>
      </c>
      <c r="AR177" s="47">
        <f>_xlfn.DAYS(AP177,RESUMEN!$BL$7)</f>
        <v>-43267</v>
      </c>
      <c r="AS177" s="53"/>
      <c r="AT177" s="54"/>
      <c r="AU177" s="66"/>
      <c r="AV177" s="50" t="e">
        <f t="shared" si="17"/>
        <v>#DIV/0!</v>
      </c>
    </row>
    <row r="178" spans="2:48" x14ac:dyDescent="0.25">
      <c r="B178" s="52"/>
      <c r="C178" s="47" t="e">
        <f>WEEKNUM(B178-RESUMEN!$D$7)</f>
        <v>#NUM!</v>
      </c>
      <c r="D178" s="47">
        <f>_xlfn.DAYS(B178,RESUMEN!$D$7)</f>
        <v>-43238</v>
      </c>
      <c r="E178" s="48"/>
      <c r="F178" s="54"/>
      <c r="G178" s="66"/>
      <c r="H178" s="50" t="e">
        <f t="shared" si="12"/>
        <v>#DIV/0!</v>
      </c>
      <c r="I178" s="90"/>
      <c r="J178" s="115"/>
      <c r="K178" s="47" t="e">
        <f>WEEKNUM(J178-RESUMEN!$P$7)</f>
        <v>#NUM!</v>
      </c>
      <c r="L178" s="47">
        <f>_xlfn.DAYS(J178,RESUMEN!$P$7)</f>
        <v>-43242</v>
      </c>
      <c r="M178" s="48"/>
      <c r="N178" s="54"/>
      <c r="O178" s="66"/>
      <c r="P178" s="50" t="e">
        <f t="shared" si="13"/>
        <v>#DIV/0!</v>
      </c>
      <c r="Q178" s="90"/>
      <c r="R178" s="115"/>
      <c r="S178" s="47" t="e">
        <f>WEEKNUM(R178-RESUMEN!$AB$7)</f>
        <v>#NUM!</v>
      </c>
      <c r="T178" s="47">
        <f>_xlfn.DAYS(R178,RESUMEN!$AB$7)</f>
        <v>-43247</v>
      </c>
      <c r="U178" s="48"/>
      <c r="V178" s="54"/>
      <c r="W178" s="66"/>
      <c r="X178" s="50" t="e">
        <f t="shared" si="14"/>
        <v>#DIV/0!</v>
      </c>
      <c r="Y178" s="90"/>
      <c r="Z178" s="115"/>
      <c r="AA178" s="47" t="e">
        <f>WEEKNUM(Z178-RESUMEN!$AN$7)</f>
        <v>#NUM!</v>
      </c>
      <c r="AB178" s="47">
        <f>_xlfn.DAYS(Z178,RESUMEN!$AN$7)</f>
        <v>-43254</v>
      </c>
      <c r="AC178" s="48"/>
      <c r="AD178" s="54"/>
      <c r="AE178" s="66"/>
      <c r="AF178" s="116" t="e">
        <f t="shared" si="15"/>
        <v>#DIV/0!</v>
      </c>
      <c r="AG178" s="83"/>
      <c r="AH178" s="115"/>
      <c r="AI178" s="47" t="e">
        <f>WEEKNUM(AH178-RESUMEN!$AZ$7)</f>
        <v>#NUM!</v>
      </c>
      <c r="AJ178" s="47">
        <f>_xlfn.DAYS(AH178,RESUMEN!$AZ$7)</f>
        <v>-43261</v>
      </c>
      <c r="AK178" s="79"/>
      <c r="AL178" s="54"/>
      <c r="AM178" s="66"/>
      <c r="AN178" s="50" t="e">
        <f t="shared" si="16"/>
        <v>#DIV/0!</v>
      </c>
      <c r="AO178" s="90"/>
      <c r="AP178" s="115"/>
      <c r="AQ178" s="47" t="e">
        <f>WEEKNUM(AP178-RESUMEN!$BL$7)</f>
        <v>#NUM!</v>
      </c>
      <c r="AR178" s="47">
        <f>_xlfn.DAYS(AP178,RESUMEN!$BL$7)</f>
        <v>-43267</v>
      </c>
      <c r="AS178" s="53"/>
      <c r="AT178" s="54"/>
      <c r="AU178" s="66"/>
      <c r="AV178" s="50" t="e">
        <f t="shared" si="17"/>
        <v>#DIV/0!</v>
      </c>
    </row>
    <row r="179" spans="2:48" x14ac:dyDescent="0.25">
      <c r="B179" s="52"/>
      <c r="C179" s="47" t="e">
        <f>WEEKNUM(B179-RESUMEN!$D$7)</f>
        <v>#NUM!</v>
      </c>
      <c r="D179" s="47">
        <f>_xlfn.DAYS(B179,RESUMEN!$D$7)</f>
        <v>-43238</v>
      </c>
      <c r="E179" s="48"/>
      <c r="F179" s="54"/>
      <c r="G179" s="66"/>
      <c r="H179" s="50" t="e">
        <f t="shared" si="12"/>
        <v>#DIV/0!</v>
      </c>
      <c r="I179" s="90"/>
      <c r="J179" s="115"/>
      <c r="K179" s="47" t="e">
        <f>WEEKNUM(J179-RESUMEN!$P$7)</f>
        <v>#NUM!</v>
      </c>
      <c r="L179" s="47">
        <f>_xlfn.DAYS(J179,RESUMEN!$P$7)</f>
        <v>-43242</v>
      </c>
      <c r="M179" s="48"/>
      <c r="N179" s="54"/>
      <c r="O179" s="66"/>
      <c r="P179" s="50" t="e">
        <f t="shared" si="13"/>
        <v>#DIV/0!</v>
      </c>
      <c r="Q179" s="90"/>
      <c r="R179" s="115"/>
      <c r="S179" s="47" t="e">
        <f>WEEKNUM(R179-RESUMEN!$AB$7)</f>
        <v>#NUM!</v>
      </c>
      <c r="T179" s="47">
        <f>_xlfn.DAYS(R179,RESUMEN!$AB$7)</f>
        <v>-43247</v>
      </c>
      <c r="U179" s="48"/>
      <c r="V179" s="54"/>
      <c r="W179" s="66"/>
      <c r="X179" s="50" t="e">
        <f t="shared" si="14"/>
        <v>#DIV/0!</v>
      </c>
      <c r="Y179" s="90"/>
      <c r="Z179" s="115"/>
      <c r="AA179" s="47" t="e">
        <f>WEEKNUM(Z179-RESUMEN!$AN$7)</f>
        <v>#NUM!</v>
      </c>
      <c r="AB179" s="47">
        <f>_xlfn.DAYS(Z179,RESUMEN!$AN$7)</f>
        <v>-43254</v>
      </c>
      <c r="AC179" s="48"/>
      <c r="AD179" s="54"/>
      <c r="AE179" s="66"/>
      <c r="AF179" s="116" t="e">
        <f t="shared" si="15"/>
        <v>#DIV/0!</v>
      </c>
      <c r="AG179" s="83"/>
      <c r="AH179" s="115"/>
      <c r="AI179" s="47" t="e">
        <f>WEEKNUM(AH179-RESUMEN!$AZ$7)</f>
        <v>#NUM!</v>
      </c>
      <c r="AJ179" s="47">
        <f>_xlfn.DAYS(AH179,RESUMEN!$AZ$7)</f>
        <v>-43261</v>
      </c>
      <c r="AK179" s="79"/>
      <c r="AL179" s="54"/>
      <c r="AM179" s="66"/>
      <c r="AN179" s="50" t="e">
        <f t="shared" si="16"/>
        <v>#DIV/0!</v>
      </c>
      <c r="AO179" s="90"/>
      <c r="AP179" s="115"/>
      <c r="AQ179" s="47" t="e">
        <f>WEEKNUM(AP179-RESUMEN!$BL$7)</f>
        <v>#NUM!</v>
      </c>
      <c r="AR179" s="47">
        <f>_xlfn.DAYS(AP179,RESUMEN!$BL$7)</f>
        <v>-43267</v>
      </c>
      <c r="AS179" s="53"/>
      <c r="AT179" s="54"/>
      <c r="AU179" s="66"/>
      <c r="AV179" s="50" t="e">
        <f t="shared" si="17"/>
        <v>#DIV/0!</v>
      </c>
    </row>
    <row r="180" spans="2:48" x14ac:dyDescent="0.25">
      <c r="B180" s="52"/>
      <c r="C180" s="47" t="e">
        <f>WEEKNUM(B180-RESUMEN!$D$7)</f>
        <v>#NUM!</v>
      </c>
      <c r="D180" s="47">
        <f>_xlfn.DAYS(B180,RESUMEN!$D$7)</f>
        <v>-43238</v>
      </c>
      <c r="E180" s="48"/>
      <c r="F180" s="54"/>
      <c r="G180" s="66"/>
      <c r="H180" s="50" t="e">
        <f t="shared" si="12"/>
        <v>#DIV/0!</v>
      </c>
      <c r="I180" s="90"/>
      <c r="J180" s="115"/>
      <c r="K180" s="47" t="e">
        <f>WEEKNUM(J180-RESUMEN!$P$7)</f>
        <v>#NUM!</v>
      </c>
      <c r="L180" s="47">
        <f>_xlfn.DAYS(J180,RESUMEN!$P$7)</f>
        <v>-43242</v>
      </c>
      <c r="M180" s="48"/>
      <c r="N180" s="54"/>
      <c r="O180" s="66"/>
      <c r="P180" s="50" t="e">
        <f t="shared" si="13"/>
        <v>#DIV/0!</v>
      </c>
      <c r="Q180" s="90"/>
      <c r="R180" s="115"/>
      <c r="S180" s="47" t="e">
        <f>WEEKNUM(R180-RESUMEN!$AB$7)</f>
        <v>#NUM!</v>
      </c>
      <c r="T180" s="47">
        <f>_xlfn.DAYS(R180,RESUMEN!$AB$7)</f>
        <v>-43247</v>
      </c>
      <c r="U180" s="48"/>
      <c r="V180" s="54"/>
      <c r="W180" s="66"/>
      <c r="X180" s="50" t="e">
        <f t="shared" si="14"/>
        <v>#DIV/0!</v>
      </c>
      <c r="Y180" s="90"/>
      <c r="Z180" s="115"/>
      <c r="AA180" s="47" t="e">
        <f>WEEKNUM(Z180-RESUMEN!$AN$7)</f>
        <v>#NUM!</v>
      </c>
      <c r="AB180" s="47">
        <f>_xlfn.DAYS(Z180,RESUMEN!$AN$7)</f>
        <v>-43254</v>
      </c>
      <c r="AC180" s="48"/>
      <c r="AD180" s="54"/>
      <c r="AE180" s="66"/>
      <c r="AF180" s="116" t="e">
        <f t="shared" si="15"/>
        <v>#DIV/0!</v>
      </c>
      <c r="AG180" s="83"/>
      <c r="AH180" s="115"/>
      <c r="AI180" s="47" t="e">
        <f>WEEKNUM(AH180-RESUMEN!$AZ$7)</f>
        <v>#NUM!</v>
      </c>
      <c r="AJ180" s="47">
        <f>_xlfn.DAYS(AH180,RESUMEN!$AZ$7)</f>
        <v>-43261</v>
      </c>
      <c r="AK180" s="79"/>
      <c r="AL180" s="54"/>
      <c r="AM180" s="66"/>
      <c r="AN180" s="50" t="e">
        <f t="shared" si="16"/>
        <v>#DIV/0!</v>
      </c>
      <c r="AO180" s="90"/>
      <c r="AP180" s="115"/>
      <c r="AQ180" s="47" t="e">
        <f>WEEKNUM(AP180-RESUMEN!$BL$7)</f>
        <v>#NUM!</v>
      </c>
      <c r="AR180" s="47">
        <f>_xlfn.DAYS(AP180,RESUMEN!$BL$7)</f>
        <v>-43267</v>
      </c>
      <c r="AS180" s="53"/>
      <c r="AT180" s="54"/>
      <c r="AU180" s="66"/>
      <c r="AV180" s="50" t="e">
        <f t="shared" si="17"/>
        <v>#DIV/0!</v>
      </c>
    </row>
    <row r="181" spans="2:48" x14ac:dyDescent="0.25">
      <c r="B181" s="52"/>
      <c r="C181" s="47" t="e">
        <f>WEEKNUM(B181-RESUMEN!$D$7)</f>
        <v>#NUM!</v>
      </c>
      <c r="D181" s="47">
        <f>_xlfn.DAYS(B181,RESUMEN!$D$7)</f>
        <v>-43238</v>
      </c>
      <c r="E181" s="48"/>
      <c r="F181" s="54"/>
      <c r="G181" s="66"/>
      <c r="H181" s="50" t="e">
        <f t="shared" si="12"/>
        <v>#DIV/0!</v>
      </c>
      <c r="I181" s="90"/>
      <c r="J181" s="115"/>
      <c r="K181" s="47" t="e">
        <f>WEEKNUM(J181-RESUMEN!$P$7)</f>
        <v>#NUM!</v>
      </c>
      <c r="L181" s="47">
        <f>_xlfn.DAYS(J181,RESUMEN!$P$7)</f>
        <v>-43242</v>
      </c>
      <c r="M181" s="48"/>
      <c r="N181" s="54"/>
      <c r="O181" s="66"/>
      <c r="P181" s="50" t="e">
        <f t="shared" si="13"/>
        <v>#DIV/0!</v>
      </c>
      <c r="Q181" s="90"/>
      <c r="R181" s="115"/>
      <c r="S181" s="47" t="e">
        <f>WEEKNUM(R181-RESUMEN!$AB$7)</f>
        <v>#NUM!</v>
      </c>
      <c r="T181" s="47">
        <f>_xlfn.DAYS(R181,RESUMEN!$AB$7)</f>
        <v>-43247</v>
      </c>
      <c r="U181" s="48"/>
      <c r="V181" s="54"/>
      <c r="W181" s="66"/>
      <c r="X181" s="50" t="e">
        <f t="shared" si="14"/>
        <v>#DIV/0!</v>
      </c>
      <c r="Y181" s="90"/>
      <c r="Z181" s="115"/>
      <c r="AA181" s="47" t="e">
        <f>WEEKNUM(Z181-RESUMEN!$AN$7)</f>
        <v>#NUM!</v>
      </c>
      <c r="AB181" s="47">
        <f>_xlfn.DAYS(Z181,RESUMEN!$AN$7)</f>
        <v>-43254</v>
      </c>
      <c r="AC181" s="48"/>
      <c r="AD181" s="54"/>
      <c r="AE181" s="66"/>
      <c r="AF181" s="116" t="e">
        <f t="shared" si="15"/>
        <v>#DIV/0!</v>
      </c>
      <c r="AG181" s="83"/>
      <c r="AH181" s="115"/>
      <c r="AI181" s="47" t="e">
        <f>WEEKNUM(AH181-RESUMEN!$AZ$7)</f>
        <v>#NUM!</v>
      </c>
      <c r="AJ181" s="47">
        <f>_xlfn.DAYS(AH181,RESUMEN!$AZ$7)</f>
        <v>-43261</v>
      </c>
      <c r="AK181" s="79"/>
      <c r="AL181" s="54"/>
      <c r="AM181" s="66"/>
      <c r="AN181" s="50" t="e">
        <f t="shared" si="16"/>
        <v>#DIV/0!</v>
      </c>
      <c r="AO181" s="90"/>
      <c r="AP181" s="115"/>
      <c r="AQ181" s="47" t="e">
        <f>WEEKNUM(AP181-RESUMEN!$BL$7)</f>
        <v>#NUM!</v>
      </c>
      <c r="AR181" s="47">
        <f>_xlfn.DAYS(AP181,RESUMEN!$BL$7)</f>
        <v>-43267</v>
      </c>
      <c r="AS181" s="53"/>
      <c r="AT181" s="54"/>
      <c r="AU181" s="66"/>
      <c r="AV181" s="50" t="e">
        <f t="shared" si="17"/>
        <v>#DIV/0!</v>
      </c>
    </row>
    <row r="182" spans="2:48" x14ac:dyDescent="0.25">
      <c r="B182" s="52"/>
      <c r="C182" s="47" t="e">
        <f>WEEKNUM(B182-RESUMEN!$D$7)</f>
        <v>#NUM!</v>
      </c>
      <c r="D182" s="47">
        <f>_xlfn.DAYS(B182,RESUMEN!$D$7)</f>
        <v>-43238</v>
      </c>
      <c r="E182" s="48"/>
      <c r="F182" s="54"/>
      <c r="G182" s="66"/>
      <c r="H182" s="50" t="e">
        <f t="shared" si="12"/>
        <v>#DIV/0!</v>
      </c>
      <c r="I182" s="90"/>
      <c r="J182" s="115"/>
      <c r="K182" s="47" t="e">
        <f>WEEKNUM(J182-RESUMEN!$P$7)</f>
        <v>#NUM!</v>
      </c>
      <c r="L182" s="47">
        <f>_xlfn.DAYS(J182,RESUMEN!$P$7)</f>
        <v>-43242</v>
      </c>
      <c r="M182" s="48"/>
      <c r="N182" s="54"/>
      <c r="O182" s="66"/>
      <c r="P182" s="50" t="e">
        <f t="shared" si="13"/>
        <v>#DIV/0!</v>
      </c>
      <c r="Q182" s="90"/>
      <c r="R182" s="115"/>
      <c r="S182" s="47" t="e">
        <f>WEEKNUM(R182-RESUMEN!$AB$7)</f>
        <v>#NUM!</v>
      </c>
      <c r="T182" s="47">
        <f>_xlfn.DAYS(R182,RESUMEN!$AB$7)</f>
        <v>-43247</v>
      </c>
      <c r="U182" s="48"/>
      <c r="V182" s="54"/>
      <c r="W182" s="66"/>
      <c r="X182" s="50" t="e">
        <f t="shared" si="14"/>
        <v>#DIV/0!</v>
      </c>
      <c r="Y182" s="90"/>
      <c r="Z182" s="114"/>
      <c r="AA182" s="47" t="e">
        <f>WEEKNUM(Z182-RESUMEN!$AN$7)</f>
        <v>#NUM!</v>
      </c>
      <c r="AB182" s="47">
        <f>_xlfn.DAYS(Z182,RESUMEN!$AN$7)</f>
        <v>-43254</v>
      </c>
      <c r="AC182" s="48"/>
      <c r="AD182" s="54"/>
      <c r="AE182" s="66"/>
      <c r="AF182" s="116" t="e">
        <f t="shared" si="15"/>
        <v>#DIV/0!</v>
      </c>
      <c r="AG182" s="83"/>
      <c r="AH182" s="115"/>
      <c r="AI182" s="47" t="e">
        <f>WEEKNUM(AH182-RESUMEN!$AZ$7)</f>
        <v>#NUM!</v>
      </c>
      <c r="AJ182" s="47">
        <f>_xlfn.DAYS(AH182,RESUMEN!$AZ$7)</f>
        <v>-43261</v>
      </c>
      <c r="AK182" s="79"/>
      <c r="AL182" s="54"/>
      <c r="AM182" s="66"/>
      <c r="AN182" s="50" t="e">
        <f t="shared" si="16"/>
        <v>#DIV/0!</v>
      </c>
      <c r="AO182" s="90"/>
      <c r="AP182" s="115"/>
      <c r="AQ182" s="47" t="e">
        <f>WEEKNUM(AP182-RESUMEN!$BL$7)</f>
        <v>#NUM!</v>
      </c>
      <c r="AR182" s="47">
        <f>_xlfn.DAYS(AP182,RESUMEN!$BL$7)</f>
        <v>-43267</v>
      </c>
      <c r="AS182" s="53"/>
      <c r="AT182" s="54"/>
      <c r="AU182" s="66"/>
      <c r="AV182" s="50" t="e">
        <f t="shared" si="17"/>
        <v>#DIV/0!</v>
      </c>
    </row>
    <row r="183" spans="2:48" x14ac:dyDescent="0.25">
      <c r="B183" s="52"/>
      <c r="C183" s="47" t="e">
        <f>WEEKNUM(B183-RESUMEN!$D$7)</f>
        <v>#NUM!</v>
      </c>
      <c r="D183" s="47">
        <f>_xlfn.DAYS(B183,RESUMEN!$D$7)</f>
        <v>-43238</v>
      </c>
      <c r="E183" s="48"/>
      <c r="F183" s="54"/>
      <c r="G183" s="66"/>
      <c r="H183" s="50" t="e">
        <f t="shared" si="12"/>
        <v>#DIV/0!</v>
      </c>
      <c r="I183" s="90"/>
      <c r="J183" s="115"/>
      <c r="K183" s="47" t="e">
        <f>WEEKNUM(J183-RESUMEN!$P$7)</f>
        <v>#NUM!</v>
      </c>
      <c r="L183" s="47">
        <f>_xlfn.DAYS(J183,RESUMEN!$P$7)</f>
        <v>-43242</v>
      </c>
      <c r="M183" s="48"/>
      <c r="N183" s="54"/>
      <c r="O183" s="66"/>
      <c r="P183" s="50" t="e">
        <f t="shared" si="13"/>
        <v>#DIV/0!</v>
      </c>
      <c r="Q183" s="90"/>
      <c r="R183" s="115"/>
      <c r="S183" s="47" t="e">
        <f>WEEKNUM(R183-RESUMEN!$AB$7)</f>
        <v>#NUM!</v>
      </c>
      <c r="T183" s="47">
        <f>_xlfn.DAYS(R183,RESUMEN!$AB$7)</f>
        <v>-43247</v>
      </c>
      <c r="U183" s="48"/>
      <c r="V183" s="54"/>
      <c r="W183" s="66"/>
      <c r="X183" s="50" t="e">
        <f t="shared" si="14"/>
        <v>#DIV/0!</v>
      </c>
      <c r="Y183" s="90"/>
      <c r="Z183" s="115"/>
      <c r="AA183" s="47" t="e">
        <f>WEEKNUM(Z183-RESUMEN!$AN$7)</f>
        <v>#NUM!</v>
      </c>
      <c r="AB183" s="47">
        <f>_xlfn.DAYS(Z183,RESUMEN!$AN$7)</f>
        <v>-43254</v>
      </c>
      <c r="AC183" s="48"/>
      <c r="AD183" s="54"/>
      <c r="AE183" s="66"/>
      <c r="AF183" s="116" t="e">
        <f t="shared" si="15"/>
        <v>#DIV/0!</v>
      </c>
      <c r="AG183" s="83"/>
      <c r="AH183" s="115"/>
      <c r="AI183" s="47" t="e">
        <f>WEEKNUM(AH183-RESUMEN!$AZ$7)</f>
        <v>#NUM!</v>
      </c>
      <c r="AJ183" s="47">
        <f>_xlfn.DAYS(AH183,RESUMEN!$AZ$7)</f>
        <v>-43261</v>
      </c>
      <c r="AK183" s="79"/>
      <c r="AL183" s="54"/>
      <c r="AM183" s="66"/>
      <c r="AN183" s="50" t="e">
        <f t="shared" si="16"/>
        <v>#DIV/0!</v>
      </c>
      <c r="AO183" s="90"/>
      <c r="AP183" s="115"/>
      <c r="AQ183" s="47" t="e">
        <f>WEEKNUM(AP183-RESUMEN!$BL$7)</f>
        <v>#NUM!</v>
      </c>
      <c r="AR183" s="47">
        <f>_xlfn.DAYS(AP183,RESUMEN!$BL$7)</f>
        <v>-43267</v>
      </c>
      <c r="AS183" s="53"/>
      <c r="AT183" s="54"/>
      <c r="AU183" s="66"/>
      <c r="AV183" s="50" t="e">
        <f t="shared" si="17"/>
        <v>#DIV/0!</v>
      </c>
    </row>
    <row r="184" spans="2:48" x14ac:dyDescent="0.25">
      <c r="B184" s="52"/>
      <c r="C184" s="47" t="e">
        <f>WEEKNUM(B184-RESUMEN!$D$7)</f>
        <v>#NUM!</v>
      </c>
      <c r="D184" s="47">
        <f>_xlfn.DAYS(B184,RESUMEN!$D$7)</f>
        <v>-43238</v>
      </c>
      <c r="E184" s="48"/>
      <c r="F184" s="54"/>
      <c r="G184" s="66"/>
      <c r="H184" s="50" t="e">
        <f t="shared" si="12"/>
        <v>#DIV/0!</v>
      </c>
      <c r="I184" s="90"/>
      <c r="J184" s="115"/>
      <c r="K184" s="47" t="e">
        <f>WEEKNUM(J184-RESUMEN!$P$7)</f>
        <v>#NUM!</v>
      </c>
      <c r="L184" s="47">
        <f>_xlfn.DAYS(J184,RESUMEN!$P$7)</f>
        <v>-43242</v>
      </c>
      <c r="M184" s="48"/>
      <c r="N184" s="54"/>
      <c r="O184" s="66"/>
      <c r="P184" s="50" t="e">
        <f t="shared" si="13"/>
        <v>#DIV/0!</v>
      </c>
      <c r="Q184" s="90"/>
      <c r="R184" s="115"/>
      <c r="S184" s="47" t="e">
        <f>WEEKNUM(R184-RESUMEN!$AB$7)</f>
        <v>#NUM!</v>
      </c>
      <c r="T184" s="47">
        <f>_xlfn.DAYS(R184,RESUMEN!$AB$7)</f>
        <v>-43247</v>
      </c>
      <c r="U184" s="48"/>
      <c r="V184" s="54"/>
      <c r="W184" s="66"/>
      <c r="X184" s="50" t="e">
        <f t="shared" si="14"/>
        <v>#DIV/0!</v>
      </c>
      <c r="Y184" s="90"/>
      <c r="Z184" s="115"/>
      <c r="AA184" s="47" t="e">
        <f>WEEKNUM(Z184-RESUMEN!$AN$7)</f>
        <v>#NUM!</v>
      </c>
      <c r="AB184" s="47">
        <f>_xlfn.DAYS(Z184,RESUMEN!$AN$7)</f>
        <v>-43254</v>
      </c>
      <c r="AC184" s="48"/>
      <c r="AD184" s="54"/>
      <c r="AE184" s="66"/>
      <c r="AF184" s="116" t="e">
        <f t="shared" si="15"/>
        <v>#DIV/0!</v>
      </c>
      <c r="AG184" s="83"/>
      <c r="AH184" s="115"/>
      <c r="AI184" s="47" t="e">
        <f>WEEKNUM(AH184-RESUMEN!$AZ$7)</f>
        <v>#NUM!</v>
      </c>
      <c r="AJ184" s="47">
        <f>_xlfn.DAYS(AH184,RESUMEN!$AZ$7)</f>
        <v>-43261</v>
      </c>
      <c r="AK184" s="79"/>
      <c r="AL184" s="54"/>
      <c r="AM184" s="66"/>
      <c r="AN184" s="50" t="e">
        <f t="shared" si="16"/>
        <v>#DIV/0!</v>
      </c>
      <c r="AO184" s="90"/>
      <c r="AP184" s="115"/>
      <c r="AQ184" s="47" t="e">
        <f>WEEKNUM(AP184-RESUMEN!$BL$7)</f>
        <v>#NUM!</v>
      </c>
      <c r="AR184" s="47">
        <f>_xlfn.DAYS(AP184,RESUMEN!$BL$7)</f>
        <v>-43267</v>
      </c>
      <c r="AS184" s="53"/>
      <c r="AT184" s="54"/>
      <c r="AU184" s="66"/>
      <c r="AV184" s="50" t="e">
        <f t="shared" si="17"/>
        <v>#DIV/0!</v>
      </c>
    </row>
    <row r="185" spans="2:48" x14ac:dyDescent="0.25">
      <c r="B185" s="52"/>
      <c r="C185" s="47" t="e">
        <f>WEEKNUM(B185-RESUMEN!$D$7)</f>
        <v>#NUM!</v>
      </c>
      <c r="D185" s="47">
        <f>_xlfn.DAYS(B185,RESUMEN!$D$7)</f>
        <v>-43238</v>
      </c>
      <c r="E185" s="48"/>
      <c r="F185" s="54"/>
      <c r="G185" s="66"/>
      <c r="H185" s="50" t="e">
        <f t="shared" si="12"/>
        <v>#DIV/0!</v>
      </c>
      <c r="I185" s="90"/>
      <c r="J185" s="115"/>
      <c r="K185" s="47" t="e">
        <f>WEEKNUM(J185-RESUMEN!$P$7)</f>
        <v>#NUM!</v>
      </c>
      <c r="L185" s="47">
        <f>_xlfn.DAYS(J185,RESUMEN!$P$7)</f>
        <v>-43242</v>
      </c>
      <c r="M185" s="48"/>
      <c r="N185" s="54"/>
      <c r="O185" s="66"/>
      <c r="P185" s="50" t="e">
        <f t="shared" si="13"/>
        <v>#DIV/0!</v>
      </c>
      <c r="Q185" s="90"/>
      <c r="R185" s="115"/>
      <c r="S185" s="47" t="e">
        <f>WEEKNUM(R185-RESUMEN!$AB$7)</f>
        <v>#NUM!</v>
      </c>
      <c r="T185" s="47">
        <f>_xlfn.DAYS(R185,RESUMEN!$AB$7)</f>
        <v>-43247</v>
      </c>
      <c r="U185" s="48"/>
      <c r="V185" s="54"/>
      <c r="W185" s="66"/>
      <c r="X185" s="50" t="e">
        <f t="shared" si="14"/>
        <v>#DIV/0!</v>
      </c>
      <c r="Y185" s="90"/>
      <c r="Z185" s="115"/>
      <c r="AA185" s="47" t="e">
        <f>WEEKNUM(Z185-RESUMEN!$AN$7)</f>
        <v>#NUM!</v>
      </c>
      <c r="AB185" s="47">
        <f>_xlfn.DAYS(Z185,RESUMEN!$AN$7)</f>
        <v>-43254</v>
      </c>
      <c r="AC185" s="48"/>
      <c r="AD185" s="54"/>
      <c r="AE185" s="66"/>
      <c r="AF185" s="116" t="e">
        <f t="shared" si="15"/>
        <v>#DIV/0!</v>
      </c>
      <c r="AG185" s="83"/>
      <c r="AH185" s="115"/>
      <c r="AI185" s="47" t="e">
        <f>WEEKNUM(AH185-RESUMEN!$AZ$7)</f>
        <v>#NUM!</v>
      </c>
      <c r="AJ185" s="47">
        <f>_xlfn.DAYS(AH185,RESUMEN!$AZ$7)</f>
        <v>-43261</v>
      </c>
      <c r="AK185" s="79"/>
      <c r="AL185" s="54"/>
      <c r="AM185" s="66"/>
      <c r="AN185" s="50" t="e">
        <f t="shared" si="16"/>
        <v>#DIV/0!</v>
      </c>
      <c r="AO185" s="90"/>
      <c r="AP185" s="115"/>
      <c r="AQ185" s="47" t="e">
        <f>WEEKNUM(AP185-RESUMEN!$BL$7)</f>
        <v>#NUM!</v>
      </c>
      <c r="AR185" s="47">
        <f>_xlfn.DAYS(AP185,RESUMEN!$BL$7)</f>
        <v>-43267</v>
      </c>
      <c r="AS185" s="53"/>
      <c r="AT185" s="54"/>
      <c r="AU185" s="66"/>
      <c r="AV185" s="50" t="e">
        <f t="shared" si="17"/>
        <v>#DIV/0!</v>
      </c>
    </row>
    <row r="186" spans="2:48" x14ac:dyDescent="0.25">
      <c r="B186" s="52"/>
      <c r="C186" s="47" t="e">
        <f>WEEKNUM(B186-RESUMEN!$D$7)</f>
        <v>#NUM!</v>
      </c>
      <c r="D186" s="47">
        <f>_xlfn.DAYS(B186,RESUMEN!$D$7)</f>
        <v>-43238</v>
      </c>
      <c r="E186" s="48"/>
      <c r="F186" s="54"/>
      <c r="G186" s="66"/>
      <c r="H186" s="50" t="e">
        <f t="shared" si="12"/>
        <v>#DIV/0!</v>
      </c>
      <c r="I186" s="90"/>
      <c r="J186" s="115"/>
      <c r="K186" s="47" t="e">
        <f>WEEKNUM(J186-RESUMEN!$P$7)</f>
        <v>#NUM!</v>
      </c>
      <c r="L186" s="47">
        <f>_xlfn.DAYS(J186,RESUMEN!$P$7)</f>
        <v>-43242</v>
      </c>
      <c r="M186" s="48"/>
      <c r="N186" s="54"/>
      <c r="O186" s="66"/>
      <c r="P186" s="50" t="e">
        <f t="shared" si="13"/>
        <v>#DIV/0!</v>
      </c>
      <c r="Q186" s="90"/>
      <c r="R186" s="115"/>
      <c r="S186" s="47" t="e">
        <f>WEEKNUM(R186-RESUMEN!$AB$7)</f>
        <v>#NUM!</v>
      </c>
      <c r="T186" s="47">
        <f>_xlfn.DAYS(R186,RESUMEN!$AB$7)</f>
        <v>-43247</v>
      </c>
      <c r="U186" s="48"/>
      <c r="V186" s="54"/>
      <c r="W186" s="66"/>
      <c r="X186" s="50" t="e">
        <f t="shared" si="14"/>
        <v>#DIV/0!</v>
      </c>
      <c r="Y186" s="90"/>
      <c r="Z186" s="115"/>
      <c r="AA186" s="47" t="e">
        <f>WEEKNUM(Z186-RESUMEN!$AN$7)</f>
        <v>#NUM!</v>
      </c>
      <c r="AB186" s="47">
        <f>_xlfn.DAYS(Z186,RESUMEN!$AN$7)</f>
        <v>-43254</v>
      </c>
      <c r="AC186" s="48"/>
      <c r="AD186" s="54"/>
      <c r="AE186" s="66"/>
      <c r="AF186" s="116" t="e">
        <f t="shared" si="15"/>
        <v>#DIV/0!</v>
      </c>
      <c r="AG186" s="83"/>
      <c r="AH186" s="115"/>
      <c r="AI186" s="47" t="e">
        <f>WEEKNUM(AH186-RESUMEN!$AZ$7)</f>
        <v>#NUM!</v>
      </c>
      <c r="AJ186" s="47">
        <f>_xlfn.DAYS(AH186,RESUMEN!$AZ$7)</f>
        <v>-43261</v>
      </c>
      <c r="AK186" s="79"/>
      <c r="AL186" s="54"/>
      <c r="AM186" s="66"/>
      <c r="AN186" s="50" t="e">
        <f t="shared" si="16"/>
        <v>#DIV/0!</v>
      </c>
      <c r="AO186" s="90"/>
      <c r="AP186" s="115"/>
      <c r="AQ186" s="47" t="e">
        <f>WEEKNUM(AP186-RESUMEN!$BL$7)</f>
        <v>#NUM!</v>
      </c>
      <c r="AR186" s="47">
        <f>_xlfn.DAYS(AP186,RESUMEN!$BL$7)</f>
        <v>-43267</v>
      </c>
      <c r="AS186" s="53"/>
      <c r="AT186" s="54"/>
      <c r="AU186" s="66"/>
      <c r="AV186" s="50" t="e">
        <f t="shared" si="17"/>
        <v>#DIV/0!</v>
      </c>
    </row>
    <row r="187" spans="2:48" x14ac:dyDescent="0.25">
      <c r="B187" s="52"/>
      <c r="C187" s="47" t="e">
        <f>WEEKNUM(B187-RESUMEN!$D$7)</f>
        <v>#NUM!</v>
      </c>
      <c r="D187" s="47">
        <f>_xlfn.DAYS(B187,RESUMEN!$D$7)</f>
        <v>-43238</v>
      </c>
      <c r="E187" s="48"/>
      <c r="F187" s="54"/>
      <c r="G187" s="66"/>
      <c r="H187" s="50" t="e">
        <f t="shared" si="12"/>
        <v>#DIV/0!</v>
      </c>
      <c r="I187" s="90"/>
      <c r="J187" s="115"/>
      <c r="K187" s="47" t="e">
        <f>WEEKNUM(J187-RESUMEN!$P$7)</f>
        <v>#NUM!</v>
      </c>
      <c r="L187" s="47">
        <f>_xlfn.DAYS(J187,RESUMEN!$P$7)</f>
        <v>-43242</v>
      </c>
      <c r="M187" s="48"/>
      <c r="N187" s="54"/>
      <c r="O187" s="66"/>
      <c r="P187" s="50" t="e">
        <f t="shared" si="13"/>
        <v>#DIV/0!</v>
      </c>
      <c r="Q187" s="90"/>
      <c r="R187" s="115"/>
      <c r="S187" s="47" t="e">
        <f>WEEKNUM(R187-RESUMEN!$AB$7)</f>
        <v>#NUM!</v>
      </c>
      <c r="T187" s="47">
        <f>_xlfn.DAYS(R187,RESUMEN!$AB$7)</f>
        <v>-43247</v>
      </c>
      <c r="U187" s="48"/>
      <c r="V187" s="54"/>
      <c r="W187" s="66"/>
      <c r="X187" s="50" t="e">
        <f t="shared" si="14"/>
        <v>#DIV/0!</v>
      </c>
      <c r="Y187" s="90"/>
      <c r="Z187" s="115"/>
      <c r="AA187" s="47" t="e">
        <f>WEEKNUM(Z187-RESUMEN!$AN$7)</f>
        <v>#NUM!</v>
      </c>
      <c r="AB187" s="47">
        <f>_xlfn.DAYS(Z187,RESUMEN!$AN$7)</f>
        <v>-43254</v>
      </c>
      <c r="AC187" s="48"/>
      <c r="AD187" s="54"/>
      <c r="AE187" s="66"/>
      <c r="AF187" s="116" t="e">
        <f t="shared" si="15"/>
        <v>#DIV/0!</v>
      </c>
      <c r="AG187" s="83"/>
      <c r="AH187" s="115"/>
      <c r="AI187" s="47" t="e">
        <f>WEEKNUM(AH187-RESUMEN!$AZ$7)</f>
        <v>#NUM!</v>
      </c>
      <c r="AJ187" s="47">
        <f>_xlfn.DAYS(AH187,RESUMEN!$AZ$7)</f>
        <v>-43261</v>
      </c>
      <c r="AK187" s="79"/>
      <c r="AL187" s="54"/>
      <c r="AM187" s="66"/>
      <c r="AN187" s="50" t="e">
        <f t="shared" si="16"/>
        <v>#DIV/0!</v>
      </c>
      <c r="AO187" s="90"/>
      <c r="AP187" s="115"/>
      <c r="AQ187" s="47" t="e">
        <f>WEEKNUM(AP187-RESUMEN!$BL$7)</f>
        <v>#NUM!</v>
      </c>
      <c r="AR187" s="47">
        <f>_xlfn.DAYS(AP187,RESUMEN!$BL$7)</f>
        <v>-43267</v>
      </c>
      <c r="AS187" s="53"/>
      <c r="AT187" s="54"/>
      <c r="AU187" s="66"/>
      <c r="AV187" s="50" t="e">
        <f t="shared" si="17"/>
        <v>#DIV/0!</v>
      </c>
    </row>
    <row r="188" spans="2:48" x14ac:dyDescent="0.25">
      <c r="B188" s="52"/>
      <c r="C188" s="47" t="e">
        <f>WEEKNUM(B188-RESUMEN!$D$7)</f>
        <v>#NUM!</v>
      </c>
      <c r="D188" s="47">
        <f>_xlfn.DAYS(B188,RESUMEN!$D$7)</f>
        <v>-43238</v>
      </c>
      <c r="E188" s="48"/>
      <c r="F188" s="54"/>
      <c r="G188" s="66"/>
      <c r="H188" s="50" t="e">
        <f t="shared" si="12"/>
        <v>#DIV/0!</v>
      </c>
      <c r="I188" s="90"/>
      <c r="J188" s="115"/>
      <c r="K188" s="47" t="e">
        <f>WEEKNUM(J188-RESUMEN!$P$7)</f>
        <v>#NUM!</v>
      </c>
      <c r="L188" s="47">
        <f>_xlfn.DAYS(J188,RESUMEN!$P$7)</f>
        <v>-43242</v>
      </c>
      <c r="M188" s="48"/>
      <c r="N188" s="54"/>
      <c r="O188" s="66"/>
      <c r="P188" s="50" t="e">
        <f t="shared" si="13"/>
        <v>#DIV/0!</v>
      </c>
      <c r="Q188" s="90"/>
      <c r="R188" s="115"/>
      <c r="S188" s="47" t="e">
        <f>WEEKNUM(R188-RESUMEN!$AB$7)</f>
        <v>#NUM!</v>
      </c>
      <c r="T188" s="47">
        <f>_xlfn.DAYS(R188,RESUMEN!$AB$7)</f>
        <v>-43247</v>
      </c>
      <c r="U188" s="48"/>
      <c r="V188" s="54"/>
      <c r="W188" s="66"/>
      <c r="X188" s="50" t="e">
        <f t="shared" si="14"/>
        <v>#DIV/0!</v>
      </c>
      <c r="Y188" s="90"/>
      <c r="Z188" s="115"/>
      <c r="AA188" s="47" t="e">
        <f>WEEKNUM(Z188-RESUMEN!$AN$7)</f>
        <v>#NUM!</v>
      </c>
      <c r="AB188" s="47">
        <f>_xlfn.DAYS(Z188,RESUMEN!$AN$7)</f>
        <v>-43254</v>
      </c>
      <c r="AC188" s="48"/>
      <c r="AD188" s="54"/>
      <c r="AE188" s="66"/>
      <c r="AF188" s="116" t="e">
        <f t="shared" si="15"/>
        <v>#DIV/0!</v>
      </c>
      <c r="AG188" s="83"/>
      <c r="AH188" s="115"/>
      <c r="AI188" s="47" t="e">
        <f>WEEKNUM(AH188-RESUMEN!$AZ$7)</f>
        <v>#NUM!</v>
      </c>
      <c r="AJ188" s="47">
        <f>_xlfn.DAYS(AH188,RESUMEN!$AZ$7)</f>
        <v>-43261</v>
      </c>
      <c r="AK188" s="79"/>
      <c r="AL188" s="54"/>
      <c r="AM188" s="66"/>
      <c r="AN188" s="50" t="e">
        <f t="shared" si="16"/>
        <v>#DIV/0!</v>
      </c>
      <c r="AO188" s="90"/>
      <c r="AP188" s="115"/>
      <c r="AQ188" s="47" t="e">
        <f>WEEKNUM(AP188-RESUMEN!$BL$7)</f>
        <v>#NUM!</v>
      </c>
      <c r="AR188" s="47">
        <f>_xlfn.DAYS(AP188,RESUMEN!$BL$7)</f>
        <v>-43267</v>
      </c>
      <c r="AS188" s="53"/>
      <c r="AT188" s="54"/>
      <c r="AU188" s="66"/>
      <c r="AV188" s="50" t="e">
        <f t="shared" si="17"/>
        <v>#DIV/0!</v>
      </c>
    </row>
    <row r="189" spans="2:48" x14ac:dyDescent="0.25">
      <c r="B189" s="52"/>
      <c r="C189" s="47" t="e">
        <f>WEEKNUM(B189-RESUMEN!$D$7)</f>
        <v>#NUM!</v>
      </c>
      <c r="D189" s="47">
        <f>_xlfn.DAYS(B189,RESUMEN!$D$7)</f>
        <v>-43238</v>
      </c>
      <c r="E189" s="48"/>
      <c r="F189" s="54"/>
      <c r="G189" s="66"/>
      <c r="H189" s="50" t="e">
        <f t="shared" si="12"/>
        <v>#DIV/0!</v>
      </c>
      <c r="I189" s="90"/>
      <c r="J189" s="115"/>
      <c r="K189" s="47" t="e">
        <f>WEEKNUM(J189-RESUMEN!$P$7)</f>
        <v>#NUM!</v>
      </c>
      <c r="L189" s="47">
        <f>_xlfn.DAYS(J189,RESUMEN!$P$7)</f>
        <v>-43242</v>
      </c>
      <c r="M189" s="48"/>
      <c r="N189" s="54"/>
      <c r="O189" s="66"/>
      <c r="P189" s="50" t="e">
        <f t="shared" si="13"/>
        <v>#DIV/0!</v>
      </c>
      <c r="Q189" s="90"/>
      <c r="R189" s="115"/>
      <c r="S189" s="47" t="e">
        <f>WEEKNUM(R189-RESUMEN!$AB$7)</f>
        <v>#NUM!</v>
      </c>
      <c r="T189" s="47">
        <f>_xlfn.DAYS(R189,RESUMEN!$AB$7)</f>
        <v>-43247</v>
      </c>
      <c r="U189" s="48"/>
      <c r="V189" s="54"/>
      <c r="W189" s="66"/>
      <c r="X189" s="50" t="e">
        <f t="shared" si="14"/>
        <v>#DIV/0!</v>
      </c>
      <c r="Y189" s="90"/>
      <c r="Z189" s="115"/>
      <c r="AA189" s="47" t="e">
        <f>WEEKNUM(Z189-RESUMEN!$AN$7)</f>
        <v>#NUM!</v>
      </c>
      <c r="AB189" s="47">
        <f>_xlfn.DAYS(Z189,RESUMEN!$AN$7)</f>
        <v>-43254</v>
      </c>
      <c r="AC189" s="48"/>
      <c r="AD189" s="54"/>
      <c r="AE189" s="66"/>
      <c r="AF189" s="116" t="e">
        <f t="shared" si="15"/>
        <v>#DIV/0!</v>
      </c>
      <c r="AG189" s="83"/>
      <c r="AH189" s="115"/>
      <c r="AI189" s="47" t="e">
        <f>WEEKNUM(AH189-RESUMEN!$AZ$7)</f>
        <v>#NUM!</v>
      </c>
      <c r="AJ189" s="47">
        <f>_xlfn.DAYS(AH189,RESUMEN!$AZ$7)</f>
        <v>-43261</v>
      </c>
      <c r="AK189" s="79"/>
      <c r="AL189" s="54"/>
      <c r="AM189" s="66"/>
      <c r="AN189" s="50" t="e">
        <f t="shared" si="16"/>
        <v>#DIV/0!</v>
      </c>
      <c r="AO189" s="90"/>
      <c r="AP189" s="115"/>
      <c r="AQ189" s="47" t="e">
        <f>WEEKNUM(AP189-RESUMEN!$BL$7)</f>
        <v>#NUM!</v>
      </c>
      <c r="AR189" s="47">
        <f>_xlfn.DAYS(AP189,RESUMEN!$BL$7)</f>
        <v>-43267</v>
      </c>
      <c r="AS189" s="53"/>
      <c r="AT189" s="54"/>
      <c r="AU189" s="66"/>
      <c r="AV189" s="50" t="e">
        <f t="shared" si="17"/>
        <v>#DIV/0!</v>
      </c>
    </row>
    <row r="190" spans="2:48" x14ac:dyDescent="0.25">
      <c r="B190" s="52"/>
      <c r="C190" s="47" t="e">
        <f>WEEKNUM(B190-RESUMEN!$D$7)</f>
        <v>#NUM!</v>
      </c>
      <c r="D190" s="47">
        <f>_xlfn.DAYS(B190,RESUMEN!$D$7)</f>
        <v>-43238</v>
      </c>
      <c r="E190" s="48"/>
      <c r="F190" s="54"/>
      <c r="G190" s="66"/>
      <c r="H190" s="50" t="e">
        <f t="shared" si="12"/>
        <v>#DIV/0!</v>
      </c>
      <c r="I190" s="90"/>
      <c r="J190" s="115"/>
      <c r="K190" s="47" t="e">
        <f>WEEKNUM(J190-RESUMEN!$P$7)</f>
        <v>#NUM!</v>
      </c>
      <c r="L190" s="47">
        <f>_xlfn.DAYS(J190,RESUMEN!$P$7)</f>
        <v>-43242</v>
      </c>
      <c r="M190" s="48"/>
      <c r="N190" s="54"/>
      <c r="O190" s="66"/>
      <c r="P190" s="50" t="e">
        <f t="shared" si="13"/>
        <v>#DIV/0!</v>
      </c>
      <c r="Q190" s="90"/>
      <c r="R190" s="115"/>
      <c r="S190" s="47" t="e">
        <f>WEEKNUM(R190-RESUMEN!$AB$7)</f>
        <v>#NUM!</v>
      </c>
      <c r="T190" s="47">
        <f>_xlfn.DAYS(R190,RESUMEN!$AB$7)</f>
        <v>-43247</v>
      </c>
      <c r="U190" s="48"/>
      <c r="V190" s="54"/>
      <c r="W190" s="66"/>
      <c r="X190" s="50" t="e">
        <f t="shared" si="14"/>
        <v>#DIV/0!</v>
      </c>
      <c r="Y190" s="90"/>
      <c r="Z190" s="115"/>
      <c r="AA190" s="47" t="e">
        <f>WEEKNUM(Z190-RESUMEN!$AN$7)</f>
        <v>#NUM!</v>
      </c>
      <c r="AB190" s="47">
        <f>_xlfn.DAYS(Z190,RESUMEN!$AN$7)</f>
        <v>-43254</v>
      </c>
      <c r="AC190" s="48"/>
      <c r="AD190" s="54"/>
      <c r="AE190" s="66"/>
      <c r="AF190" s="116" t="e">
        <f t="shared" si="15"/>
        <v>#DIV/0!</v>
      </c>
      <c r="AG190" s="83"/>
      <c r="AH190" s="115"/>
      <c r="AI190" s="47" t="e">
        <f>WEEKNUM(AH190-RESUMEN!$AZ$7)</f>
        <v>#NUM!</v>
      </c>
      <c r="AJ190" s="47">
        <f>_xlfn.DAYS(AH190,RESUMEN!$AZ$7)</f>
        <v>-43261</v>
      </c>
      <c r="AK190" s="79"/>
      <c r="AL190" s="54"/>
      <c r="AM190" s="66"/>
      <c r="AN190" s="50" t="e">
        <f t="shared" si="16"/>
        <v>#DIV/0!</v>
      </c>
      <c r="AO190" s="90"/>
      <c r="AP190" s="115"/>
      <c r="AQ190" s="47" t="e">
        <f>WEEKNUM(AP190-RESUMEN!$BL$7)</f>
        <v>#NUM!</v>
      </c>
      <c r="AR190" s="47">
        <f>_xlfn.DAYS(AP190,RESUMEN!$BL$7)</f>
        <v>-43267</v>
      </c>
      <c r="AS190" s="53"/>
      <c r="AT190" s="54"/>
      <c r="AU190" s="66"/>
      <c r="AV190" s="50" t="e">
        <f t="shared" si="17"/>
        <v>#DIV/0!</v>
      </c>
    </row>
    <row r="191" spans="2:48" x14ac:dyDescent="0.25">
      <c r="B191" s="52"/>
      <c r="C191" s="47" t="e">
        <f>WEEKNUM(B191-RESUMEN!$D$7)</f>
        <v>#NUM!</v>
      </c>
      <c r="D191" s="47">
        <f>_xlfn.DAYS(B191,RESUMEN!$D$7)</f>
        <v>-43238</v>
      </c>
      <c r="E191" s="48"/>
      <c r="F191" s="54"/>
      <c r="G191" s="66"/>
      <c r="H191" s="50" t="e">
        <f t="shared" si="12"/>
        <v>#DIV/0!</v>
      </c>
      <c r="I191" s="90"/>
      <c r="J191" s="115"/>
      <c r="K191" s="47" t="e">
        <f>WEEKNUM(J191-RESUMEN!$P$7)</f>
        <v>#NUM!</v>
      </c>
      <c r="L191" s="47">
        <f>_xlfn.DAYS(J191,RESUMEN!$P$7)</f>
        <v>-43242</v>
      </c>
      <c r="M191" s="48"/>
      <c r="N191" s="54"/>
      <c r="O191" s="66"/>
      <c r="P191" s="50" t="e">
        <f t="shared" si="13"/>
        <v>#DIV/0!</v>
      </c>
      <c r="Q191" s="90"/>
      <c r="R191" s="115"/>
      <c r="S191" s="47" t="e">
        <f>WEEKNUM(R191-RESUMEN!$AB$7)</f>
        <v>#NUM!</v>
      </c>
      <c r="T191" s="47">
        <f>_xlfn.DAYS(R191,RESUMEN!$AB$7)</f>
        <v>-43247</v>
      </c>
      <c r="U191" s="48"/>
      <c r="V191" s="54"/>
      <c r="W191" s="66"/>
      <c r="X191" s="50" t="e">
        <f t="shared" si="14"/>
        <v>#DIV/0!</v>
      </c>
      <c r="Y191" s="90"/>
      <c r="Z191" s="115"/>
      <c r="AA191" s="47" t="e">
        <f>WEEKNUM(Z191-RESUMEN!$AN$7)</f>
        <v>#NUM!</v>
      </c>
      <c r="AB191" s="47">
        <f>_xlfn.DAYS(Z191,RESUMEN!$AN$7)</f>
        <v>-43254</v>
      </c>
      <c r="AC191" s="48"/>
      <c r="AD191" s="54"/>
      <c r="AE191" s="66"/>
      <c r="AF191" s="116" t="e">
        <f t="shared" si="15"/>
        <v>#DIV/0!</v>
      </c>
      <c r="AG191" s="83"/>
      <c r="AH191" s="115"/>
      <c r="AI191" s="47" t="e">
        <f>WEEKNUM(AH191-RESUMEN!$AZ$7)</f>
        <v>#NUM!</v>
      </c>
      <c r="AJ191" s="47">
        <f>_xlfn.DAYS(AH191,RESUMEN!$AZ$7)</f>
        <v>-43261</v>
      </c>
      <c r="AK191" s="79"/>
      <c r="AL191" s="54"/>
      <c r="AM191" s="66"/>
      <c r="AN191" s="50" t="e">
        <f t="shared" si="16"/>
        <v>#DIV/0!</v>
      </c>
      <c r="AO191" s="90"/>
      <c r="AP191" s="115"/>
      <c r="AQ191" s="47" t="e">
        <f>WEEKNUM(AP191-RESUMEN!$BL$7)</f>
        <v>#NUM!</v>
      </c>
      <c r="AR191" s="47">
        <f>_xlfn.DAYS(AP191,RESUMEN!$BL$7)</f>
        <v>-43267</v>
      </c>
      <c r="AS191" s="53"/>
      <c r="AT191" s="54"/>
      <c r="AU191" s="66"/>
      <c r="AV191" s="50" t="e">
        <f t="shared" si="17"/>
        <v>#DIV/0!</v>
      </c>
    </row>
    <row r="192" spans="2:48" x14ac:dyDescent="0.25">
      <c r="B192" s="52"/>
      <c r="C192" s="47" t="e">
        <f>WEEKNUM(B192-RESUMEN!$D$7)</f>
        <v>#NUM!</v>
      </c>
      <c r="D192" s="47">
        <f>_xlfn.DAYS(B192,RESUMEN!$D$7)</f>
        <v>-43238</v>
      </c>
      <c r="E192" s="48"/>
      <c r="F192" s="54"/>
      <c r="G192" s="66"/>
      <c r="H192" s="50" t="e">
        <f t="shared" si="12"/>
        <v>#DIV/0!</v>
      </c>
      <c r="I192" s="90"/>
      <c r="J192" s="115"/>
      <c r="K192" s="47" t="e">
        <f>WEEKNUM(J192-RESUMEN!$P$7)</f>
        <v>#NUM!</v>
      </c>
      <c r="L192" s="47">
        <f>_xlfn.DAYS(J192,RESUMEN!$P$7)</f>
        <v>-43242</v>
      </c>
      <c r="M192" s="48"/>
      <c r="N192" s="54"/>
      <c r="O192" s="66"/>
      <c r="P192" s="50" t="e">
        <f t="shared" si="13"/>
        <v>#DIV/0!</v>
      </c>
      <c r="Q192" s="90"/>
      <c r="R192" s="115"/>
      <c r="S192" s="47" t="e">
        <f>WEEKNUM(R192-RESUMEN!$AB$7)</f>
        <v>#NUM!</v>
      </c>
      <c r="T192" s="47">
        <f>_xlfn.DAYS(R192,RESUMEN!$AB$7)</f>
        <v>-43247</v>
      </c>
      <c r="U192" s="48"/>
      <c r="V192" s="54"/>
      <c r="W192" s="66"/>
      <c r="X192" s="50" t="e">
        <f t="shared" si="14"/>
        <v>#DIV/0!</v>
      </c>
      <c r="Y192" s="90"/>
      <c r="Z192" s="115"/>
      <c r="AA192" s="47" t="e">
        <f>WEEKNUM(Z192-RESUMEN!$AN$7)</f>
        <v>#NUM!</v>
      </c>
      <c r="AB192" s="47">
        <f>_xlfn.DAYS(Z192,RESUMEN!$AN$7)</f>
        <v>-43254</v>
      </c>
      <c r="AC192" s="48"/>
      <c r="AD192" s="54"/>
      <c r="AE192" s="66"/>
      <c r="AF192" s="116" t="e">
        <f t="shared" si="15"/>
        <v>#DIV/0!</v>
      </c>
      <c r="AG192" s="83"/>
      <c r="AH192" s="115"/>
      <c r="AI192" s="47" t="e">
        <f>WEEKNUM(AH192-RESUMEN!$AZ$7)</f>
        <v>#NUM!</v>
      </c>
      <c r="AJ192" s="47">
        <f>_xlfn.DAYS(AH192,RESUMEN!$AZ$7)</f>
        <v>-43261</v>
      </c>
      <c r="AK192" s="79"/>
      <c r="AL192" s="54"/>
      <c r="AM192" s="66"/>
      <c r="AN192" s="50" t="e">
        <f t="shared" si="16"/>
        <v>#DIV/0!</v>
      </c>
      <c r="AO192" s="90"/>
      <c r="AP192" s="115"/>
      <c r="AQ192" s="47" t="e">
        <f>WEEKNUM(AP192-RESUMEN!$BL$7)</f>
        <v>#NUM!</v>
      </c>
      <c r="AR192" s="47">
        <f>_xlfn.DAYS(AP192,RESUMEN!$BL$7)</f>
        <v>-43267</v>
      </c>
      <c r="AS192" s="53"/>
      <c r="AT192" s="54"/>
      <c r="AU192" s="66"/>
      <c r="AV192" s="50" t="e">
        <f t="shared" si="17"/>
        <v>#DIV/0!</v>
      </c>
    </row>
    <row r="193" spans="2:48" x14ac:dyDescent="0.25">
      <c r="B193" s="52"/>
      <c r="C193" s="47" t="e">
        <f>WEEKNUM(B193-RESUMEN!$D$7)</f>
        <v>#NUM!</v>
      </c>
      <c r="D193" s="47">
        <f>_xlfn.DAYS(B193,RESUMEN!$D$7)</f>
        <v>-43238</v>
      </c>
      <c r="E193" s="48"/>
      <c r="F193" s="54"/>
      <c r="G193" s="66"/>
      <c r="H193" s="50" t="e">
        <f t="shared" si="12"/>
        <v>#DIV/0!</v>
      </c>
      <c r="I193" s="90"/>
      <c r="J193" s="115"/>
      <c r="K193" s="47" t="e">
        <f>WEEKNUM(J193-RESUMEN!$P$7)</f>
        <v>#NUM!</v>
      </c>
      <c r="L193" s="47">
        <f>_xlfn.DAYS(J193,RESUMEN!$P$7)</f>
        <v>-43242</v>
      </c>
      <c r="M193" s="48"/>
      <c r="N193" s="54"/>
      <c r="O193" s="66"/>
      <c r="P193" s="50" t="e">
        <f t="shared" si="13"/>
        <v>#DIV/0!</v>
      </c>
      <c r="Q193" s="90"/>
      <c r="R193" s="115"/>
      <c r="S193" s="47" t="e">
        <f>WEEKNUM(R193-RESUMEN!$AB$7)</f>
        <v>#NUM!</v>
      </c>
      <c r="T193" s="47">
        <f>_xlfn.DAYS(R193,RESUMEN!$AB$7)</f>
        <v>-43247</v>
      </c>
      <c r="U193" s="48"/>
      <c r="V193" s="54"/>
      <c r="W193" s="66"/>
      <c r="X193" s="50" t="e">
        <f t="shared" si="14"/>
        <v>#DIV/0!</v>
      </c>
      <c r="Y193" s="90"/>
      <c r="Z193" s="115"/>
      <c r="AA193" s="47" t="e">
        <f>WEEKNUM(Z193-RESUMEN!$AN$7)</f>
        <v>#NUM!</v>
      </c>
      <c r="AB193" s="47">
        <f>_xlfn.DAYS(Z193,RESUMEN!$AN$7)</f>
        <v>-43254</v>
      </c>
      <c r="AC193" s="48"/>
      <c r="AD193" s="54"/>
      <c r="AE193" s="66"/>
      <c r="AF193" s="116" t="e">
        <f t="shared" si="15"/>
        <v>#DIV/0!</v>
      </c>
      <c r="AG193" s="83"/>
      <c r="AH193" s="115"/>
      <c r="AI193" s="47" t="e">
        <f>WEEKNUM(AH193-RESUMEN!$AZ$7)</f>
        <v>#NUM!</v>
      </c>
      <c r="AJ193" s="47">
        <f>_xlfn.DAYS(AH193,RESUMEN!$AZ$7)</f>
        <v>-43261</v>
      </c>
      <c r="AK193" s="79"/>
      <c r="AL193" s="54"/>
      <c r="AM193" s="66"/>
      <c r="AN193" s="50" t="e">
        <f t="shared" si="16"/>
        <v>#DIV/0!</v>
      </c>
      <c r="AO193" s="90"/>
      <c r="AP193" s="115"/>
      <c r="AQ193" s="47" t="e">
        <f>WEEKNUM(AP193-RESUMEN!$BL$7)</f>
        <v>#NUM!</v>
      </c>
      <c r="AR193" s="47">
        <f>_xlfn.DAYS(AP193,RESUMEN!$BL$7)</f>
        <v>-43267</v>
      </c>
      <c r="AS193" s="53"/>
      <c r="AT193" s="54"/>
      <c r="AU193" s="66"/>
      <c r="AV193" s="50" t="e">
        <f t="shared" si="17"/>
        <v>#DIV/0!</v>
      </c>
    </row>
    <row r="194" spans="2:48" x14ac:dyDescent="0.25">
      <c r="B194" s="52"/>
      <c r="C194" s="47" t="e">
        <f>WEEKNUM(B194-RESUMEN!$D$7)</f>
        <v>#NUM!</v>
      </c>
      <c r="D194" s="47">
        <f>_xlfn.DAYS(B194,RESUMEN!$D$7)</f>
        <v>-43238</v>
      </c>
      <c r="E194" s="48"/>
      <c r="F194" s="54"/>
      <c r="G194" s="66"/>
      <c r="H194" s="50" t="e">
        <f t="shared" si="12"/>
        <v>#DIV/0!</v>
      </c>
      <c r="I194" s="90"/>
      <c r="J194" s="115"/>
      <c r="K194" s="47" t="e">
        <f>WEEKNUM(J194-RESUMEN!$P$7)</f>
        <v>#NUM!</v>
      </c>
      <c r="L194" s="47">
        <f>_xlfn.DAYS(J194,RESUMEN!$P$7)</f>
        <v>-43242</v>
      </c>
      <c r="M194" s="48"/>
      <c r="N194" s="54"/>
      <c r="O194" s="66"/>
      <c r="P194" s="50" t="e">
        <f t="shared" si="13"/>
        <v>#DIV/0!</v>
      </c>
      <c r="Q194" s="90"/>
      <c r="R194" s="115"/>
      <c r="S194" s="47" t="e">
        <f>WEEKNUM(R194-RESUMEN!$AB$7)</f>
        <v>#NUM!</v>
      </c>
      <c r="T194" s="47">
        <f>_xlfn.DAYS(R194,RESUMEN!$AB$7)</f>
        <v>-43247</v>
      </c>
      <c r="U194" s="48"/>
      <c r="V194" s="54"/>
      <c r="W194" s="66"/>
      <c r="X194" s="50" t="e">
        <f t="shared" si="14"/>
        <v>#DIV/0!</v>
      </c>
      <c r="Y194" s="90"/>
      <c r="Z194" s="115"/>
      <c r="AA194" s="47" t="e">
        <f>WEEKNUM(Z194-RESUMEN!$AN$7)</f>
        <v>#NUM!</v>
      </c>
      <c r="AB194" s="47">
        <f>_xlfn.DAYS(Z194,RESUMEN!$AN$7)</f>
        <v>-43254</v>
      </c>
      <c r="AC194" s="48"/>
      <c r="AD194" s="54"/>
      <c r="AE194" s="66"/>
      <c r="AF194" s="116" t="e">
        <f t="shared" si="15"/>
        <v>#DIV/0!</v>
      </c>
      <c r="AG194" s="83"/>
      <c r="AH194" s="115"/>
      <c r="AI194" s="47" t="e">
        <f>WEEKNUM(AH194-RESUMEN!$AZ$7)</f>
        <v>#NUM!</v>
      </c>
      <c r="AJ194" s="47">
        <f>_xlfn.DAYS(AH194,RESUMEN!$AZ$7)</f>
        <v>-43261</v>
      </c>
      <c r="AK194" s="79"/>
      <c r="AL194" s="54"/>
      <c r="AM194" s="66"/>
      <c r="AN194" s="50" t="e">
        <f t="shared" si="16"/>
        <v>#DIV/0!</v>
      </c>
      <c r="AO194" s="90"/>
      <c r="AP194" s="115"/>
      <c r="AQ194" s="47" t="e">
        <f>WEEKNUM(AP194-RESUMEN!$BL$7)</f>
        <v>#NUM!</v>
      </c>
      <c r="AR194" s="47">
        <f>_xlfn.DAYS(AP194,RESUMEN!$BL$7)</f>
        <v>-43267</v>
      </c>
      <c r="AS194" s="53"/>
      <c r="AT194" s="54"/>
      <c r="AU194" s="66"/>
      <c r="AV194" s="50" t="e">
        <f t="shared" si="17"/>
        <v>#DIV/0!</v>
      </c>
    </row>
    <row r="195" spans="2:48" x14ac:dyDescent="0.25">
      <c r="B195" s="52"/>
      <c r="C195" s="47" t="e">
        <f>WEEKNUM(B195-RESUMEN!$D$7)</f>
        <v>#NUM!</v>
      </c>
      <c r="D195" s="47">
        <f>_xlfn.DAYS(B195,RESUMEN!$D$7)</f>
        <v>-43238</v>
      </c>
      <c r="E195" s="48"/>
      <c r="F195" s="54"/>
      <c r="G195" s="66"/>
      <c r="H195" s="50" t="e">
        <f t="shared" si="12"/>
        <v>#DIV/0!</v>
      </c>
      <c r="I195" s="90"/>
      <c r="J195" s="115"/>
      <c r="K195" s="47" t="e">
        <f>WEEKNUM(J195-RESUMEN!$P$7)</f>
        <v>#NUM!</v>
      </c>
      <c r="L195" s="47">
        <f>_xlfn.DAYS(J195,RESUMEN!$P$7)</f>
        <v>-43242</v>
      </c>
      <c r="M195" s="48"/>
      <c r="N195" s="54"/>
      <c r="O195" s="66"/>
      <c r="P195" s="50" t="e">
        <f t="shared" si="13"/>
        <v>#DIV/0!</v>
      </c>
      <c r="Q195" s="90"/>
      <c r="R195" s="115"/>
      <c r="S195" s="47" t="e">
        <f>WEEKNUM(R195-RESUMEN!$AB$7)</f>
        <v>#NUM!</v>
      </c>
      <c r="T195" s="47">
        <f>_xlfn.DAYS(R195,RESUMEN!$AB$7)</f>
        <v>-43247</v>
      </c>
      <c r="U195" s="48"/>
      <c r="V195" s="54"/>
      <c r="W195" s="66"/>
      <c r="X195" s="50" t="e">
        <f t="shared" si="14"/>
        <v>#DIV/0!</v>
      </c>
      <c r="Y195" s="90"/>
      <c r="Z195" s="115"/>
      <c r="AA195" s="47" t="e">
        <f>WEEKNUM(Z195-RESUMEN!$AN$7)</f>
        <v>#NUM!</v>
      </c>
      <c r="AB195" s="47">
        <f>_xlfn.DAYS(Z195,RESUMEN!$AN$7)</f>
        <v>-43254</v>
      </c>
      <c r="AC195" s="48"/>
      <c r="AD195" s="54"/>
      <c r="AE195" s="66"/>
      <c r="AF195" s="116" t="e">
        <f t="shared" si="15"/>
        <v>#DIV/0!</v>
      </c>
      <c r="AG195" s="83"/>
      <c r="AH195" s="115"/>
      <c r="AI195" s="47" t="e">
        <f>WEEKNUM(AH195-RESUMEN!$AZ$7)</f>
        <v>#NUM!</v>
      </c>
      <c r="AJ195" s="47">
        <f>_xlfn.DAYS(AH195,RESUMEN!$AZ$7)</f>
        <v>-43261</v>
      </c>
      <c r="AK195" s="79"/>
      <c r="AL195" s="54"/>
      <c r="AM195" s="66"/>
      <c r="AN195" s="50" t="e">
        <f t="shared" si="16"/>
        <v>#DIV/0!</v>
      </c>
      <c r="AO195" s="90"/>
      <c r="AP195" s="115"/>
      <c r="AQ195" s="47" t="e">
        <f>WEEKNUM(AP195-RESUMEN!$BL$7)</f>
        <v>#NUM!</v>
      </c>
      <c r="AR195" s="47">
        <f>_xlfn.DAYS(AP195,RESUMEN!$BL$7)</f>
        <v>-43267</v>
      </c>
      <c r="AS195" s="53"/>
      <c r="AT195" s="54"/>
      <c r="AU195" s="66"/>
      <c r="AV195" s="50" t="e">
        <f t="shared" si="17"/>
        <v>#DIV/0!</v>
      </c>
    </row>
    <row r="196" spans="2:48" x14ac:dyDescent="0.25">
      <c r="B196" s="52"/>
      <c r="C196" s="47" t="e">
        <f>WEEKNUM(B196-RESUMEN!$D$7)</f>
        <v>#NUM!</v>
      </c>
      <c r="D196" s="47">
        <f>_xlfn.DAYS(B196,RESUMEN!$D$7)</f>
        <v>-43238</v>
      </c>
      <c r="E196" s="48"/>
      <c r="F196" s="54"/>
      <c r="G196" s="66"/>
      <c r="H196" s="50" t="e">
        <f t="shared" si="12"/>
        <v>#DIV/0!</v>
      </c>
      <c r="I196" s="90"/>
      <c r="J196" s="115"/>
      <c r="K196" s="47" t="e">
        <f>WEEKNUM(J196-RESUMEN!$P$7)</f>
        <v>#NUM!</v>
      </c>
      <c r="L196" s="47">
        <f>_xlfn.DAYS(J196,RESUMEN!$P$7)</f>
        <v>-43242</v>
      </c>
      <c r="M196" s="48"/>
      <c r="N196" s="54"/>
      <c r="O196" s="66"/>
      <c r="P196" s="50" t="e">
        <f t="shared" si="13"/>
        <v>#DIV/0!</v>
      </c>
      <c r="Q196" s="90"/>
      <c r="R196" s="115"/>
      <c r="S196" s="47" t="e">
        <f>WEEKNUM(R196-RESUMEN!$AB$7)</f>
        <v>#NUM!</v>
      </c>
      <c r="T196" s="47">
        <f>_xlfn.DAYS(R196,RESUMEN!$AB$7)</f>
        <v>-43247</v>
      </c>
      <c r="U196" s="48"/>
      <c r="V196" s="54"/>
      <c r="W196" s="66"/>
      <c r="X196" s="50" t="e">
        <f t="shared" si="14"/>
        <v>#DIV/0!</v>
      </c>
      <c r="Y196" s="90"/>
      <c r="Z196" s="115"/>
      <c r="AA196" s="47" t="e">
        <f>WEEKNUM(Z196-RESUMEN!$AN$7)</f>
        <v>#NUM!</v>
      </c>
      <c r="AB196" s="47">
        <f>_xlfn.DAYS(Z196,RESUMEN!$AN$7)</f>
        <v>-43254</v>
      </c>
      <c r="AC196" s="48"/>
      <c r="AD196" s="54"/>
      <c r="AE196" s="66"/>
      <c r="AF196" s="116" t="e">
        <f t="shared" si="15"/>
        <v>#DIV/0!</v>
      </c>
      <c r="AG196" s="83"/>
      <c r="AH196" s="115"/>
      <c r="AI196" s="47" t="e">
        <f>WEEKNUM(AH196-RESUMEN!$AZ$7)</f>
        <v>#NUM!</v>
      </c>
      <c r="AJ196" s="47">
        <f>_xlfn.DAYS(AH196,RESUMEN!$AZ$7)</f>
        <v>-43261</v>
      </c>
      <c r="AK196" s="79"/>
      <c r="AL196" s="54"/>
      <c r="AM196" s="66"/>
      <c r="AN196" s="50" t="e">
        <f t="shared" si="16"/>
        <v>#DIV/0!</v>
      </c>
      <c r="AO196" s="90"/>
      <c r="AP196" s="115"/>
      <c r="AQ196" s="47" t="e">
        <f>WEEKNUM(AP196-RESUMEN!$BL$7)</f>
        <v>#NUM!</v>
      </c>
      <c r="AR196" s="47">
        <f>_xlfn.DAYS(AP196,RESUMEN!$BL$7)</f>
        <v>-43267</v>
      </c>
      <c r="AS196" s="53"/>
      <c r="AT196" s="54"/>
      <c r="AU196" s="66"/>
      <c r="AV196" s="50" t="e">
        <f t="shared" si="17"/>
        <v>#DIV/0!</v>
      </c>
    </row>
    <row r="197" spans="2:48" x14ac:dyDescent="0.25">
      <c r="B197" s="52"/>
      <c r="C197" s="47" t="e">
        <f>WEEKNUM(B197-RESUMEN!$D$7)</f>
        <v>#NUM!</v>
      </c>
      <c r="D197" s="47">
        <f>_xlfn.DAYS(B197,RESUMEN!$D$7)</f>
        <v>-43238</v>
      </c>
      <c r="E197" s="48"/>
      <c r="F197" s="54"/>
      <c r="G197" s="66"/>
      <c r="H197" s="50" t="e">
        <f t="shared" si="12"/>
        <v>#DIV/0!</v>
      </c>
      <c r="I197" s="90"/>
      <c r="J197" s="115"/>
      <c r="K197" s="47" t="e">
        <f>WEEKNUM(J197-RESUMEN!$P$7)</f>
        <v>#NUM!</v>
      </c>
      <c r="L197" s="47">
        <f>_xlfn.DAYS(J197,RESUMEN!$P$7)</f>
        <v>-43242</v>
      </c>
      <c r="M197" s="48"/>
      <c r="N197" s="54"/>
      <c r="O197" s="66"/>
      <c r="P197" s="50" t="e">
        <f t="shared" si="13"/>
        <v>#DIV/0!</v>
      </c>
      <c r="Q197" s="90"/>
      <c r="R197" s="115"/>
      <c r="S197" s="47" t="e">
        <f>WEEKNUM(R197-RESUMEN!$AB$7)</f>
        <v>#NUM!</v>
      </c>
      <c r="T197" s="47">
        <f>_xlfn.DAYS(R197,RESUMEN!$AB$7)</f>
        <v>-43247</v>
      </c>
      <c r="U197" s="48"/>
      <c r="V197" s="54"/>
      <c r="W197" s="66"/>
      <c r="X197" s="50" t="e">
        <f t="shared" si="14"/>
        <v>#DIV/0!</v>
      </c>
      <c r="Y197" s="90"/>
      <c r="Z197" s="115"/>
      <c r="AA197" s="47" t="e">
        <f>WEEKNUM(Z197-RESUMEN!$AN$7)</f>
        <v>#NUM!</v>
      </c>
      <c r="AB197" s="47">
        <f>_xlfn.DAYS(Z197,RESUMEN!$AN$7)</f>
        <v>-43254</v>
      </c>
      <c r="AC197" s="48"/>
      <c r="AD197" s="54"/>
      <c r="AE197" s="66"/>
      <c r="AF197" s="116" t="e">
        <f t="shared" si="15"/>
        <v>#DIV/0!</v>
      </c>
      <c r="AG197" s="83"/>
      <c r="AH197" s="115"/>
      <c r="AI197" s="47" t="e">
        <f>WEEKNUM(AH197-RESUMEN!$AZ$7)</f>
        <v>#NUM!</v>
      </c>
      <c r="AJ197" s="47">
        <f>_xlfn.DAYS(AH197,RESUMEN!$AZ$7)</f>
        <v>-43261</v>
      </c>
      <c r="AK197" s="79"/>
      <c r="AL197" s="54"/>
      <c r="AM197" s="66"/>
      <c r="AN197" s="50" t="e">
        <f t="shared" si="16"/>
        <v>#DIV/0!</v>
      </c>
      <c r="AO197" s="90"/>
      <c r="AP197" s="115"/>
      <c r="AQ197" s="47" t="e">
        <f>WEEKNUM(AP197-RESUMEN!$BL$7)</f>
        <v>#NUM!</v>
      </c>
      <c r="AR197" s="47">
        <f>_xlfn.DAYS(AP197,RESUMEN!$BL$7)</f>
        <v>-43267</v>
      </c>
      <c r="AS197" s="53"/>
      <c r="AT197" s="54"/>
      <c r="AU197" s="66"/>
      <c r="AV197" s="50" t="e">
        <f t="shared" si="17"/>
        <v>#DIV/0!</v>
      </c>
    </row>
    <row r="198" spans="2:48" x14ac:dyDescent="0.25">
      <c r="B198" s="52"/>
      <c r="C198" s="47" t="e">
        <f>WEEKNUM(B198-RESUMEN!$D$7)</f>
        <v>#NUM!</v>
      </c>
      <c r="D198" s="47">
        <f>_xlfn.DAYS(B198,RESUMEN!$D$7)</f>
        <v>-43238</v>
      </c>
      <c r="E198" s="48"/>
      <c r="F198" s="54"/>
      <c r="G198" s="66"/>
      <c r="H198" s="50" t="e">
        <f t="shared" si="12"/>
        <v>#DIV/0!</v>
      </c>
      <c r="I198" s="90"/>
      <c r="J198" s="115"/>
      <c r="K198" s="47" t="e">
        <f>WEEKNUM(J198-RESUMEN!$P$7)</f>
        <v>#NUM!</v>
      </c>
      <c r="L198" s="47">
        <f>_xlfn.DAYS(J198,RESUMEN!$P$7)</f>
        <v>-43242</v>
      </c>
      <c r="M198" s="48"/>
      <c r="N198" s="54"/>
      <c r="O198" s="66"/>
      <c r="P198" s="50" t="e">
        <f t="shared" si="13"/>
        <v>#DIV/0!</v>
      </c>
      <c r="Q198" s="90"/>
      <c r="R198" s="115"/>
      <c r="S198" s="47" t="e">
        <f>WEEKNUM(R198-RESUMEN!$AB$7)</f>
        <v>#NUM!</v>
      </c>
      <c r="T198" s="47">
        <f>_xlfn.DAYS(R198,RESUMEN!$AB$7)</f>
        <v>-43247</v>
      </c>
      <c r="U198" s="48"/>
      <c r="V198" s="54"/>
      <c r="W198" s="66"/>
      <c r="X198" s="50" t="e">
        <f t="shared" si="14"/>
        <v>#DIV/0!</v>
      </c>
      <c r="Y198" s="90"/>
      <c r="Z198" s="115"/>
      <c r="AA198" s="47" t="e">
        <f>WEEKNUM(Z198-RESUMEN!$AN$7)</f>
        <v>#NUM!</v>
      </c>
      <c r="AB198" s="47">
        <f>_xlfn.DAYS(Z198,RESUMEN!$AN$7)</f>
        <v>-43254</v>
      </c>
      <c r="AC198" s="48"/>
      <c r="AD198" s="54"/>
      <c r="AE198" s="66"/>
      <c r="AF198" s="116" t="e">
        <f t="shared" si="15"/>
        <v>#DIV/0!</v>
      </c>
      <c r="AG198" s="83"/>
      <c r="AH198" s="115"/>
      <c r="AI198" s="47" t="e">
        <f>WEEKNUM(AH198-RESUMEN!$AZ$7)</f>
        <v>#NUM!</v>
      </c>
      <c r="AJ198" s="47">
        <f>_xlfn.DAYS(AH198,RESUMEN!$AZ$7)</f>
        <v>-43261</v>
      </c>
      <c r="AK198" s="79"/>
      <c r="AL198" s="54"/>
      <c r="AM198" s="66"/>
      <c r="AN198" s="50" t="e">
        <f t="shared" si="16"/>
        <v>#DIV/0!</v>
      </c>
      <c r="AO198" s="90"/>
      <c r="AP198" s="114"/>
      <c r="AQ198" s="47" t="e">
        <f>WEEKNUM(AP198-RESUMEN!$BL$7)</f>
        <v>#NUM!</v>
      </c>
      <c r="AR198" s="47">
        <f>_xlfn.DAYS(AP198,RESUMEN!$BL$7)</f>
        <v>-43267</v>
      </c>
      <c r="AS198" s="53"/>
      <c r="AT198" s="54"/>
      <c r="AU198" s="66"/>
      <c r="AV198" s="50" t="e">
        <f t="shared" si="17"/>
        <v>#DIV/0!</v>
      </c>
    </row>
    <row r="199" spans="2:48" x14ac:dyDescent="0.25">
      <c r="B199" s="52"/>
      <c r="C199" s="47" t="e">
        <f>WEEKNUM(B199-RESUMEN!$D$7)</f>
        <v>#NUM!</v>
      </c>
      <c r="D199" s="47">
        <f>_xlfn.DAYS(B199,RESUMEN!$D$7)</f>
        <v>-43238</v>
      </c>
      <c r="E199" s="48"/>
      <c r="F199" s="54"/>
      <c r="G199" s="66"/>
      <c r="H199" s="50" t="e">
        <f t="shared" ref="H199:H200" si="18">G199/F199</f>
        <v>#DIV/0!</v>
      </c>
      <c r="I199" s="90"/>
      <c r="J199" s="115"/>
      <c r="K199" s="47" t="e">
        <f>WEEKNUM(J199-RESUMEN!$P$7)</f>
        <v>#NUM!</v>
      </c>
      <c r="L199" s="47">
        <f>_xlfn.DAYS(J199,RESUMEN!$P$7)</f>
        <v>-43242</v>
      </c>
      <c r="M199" s="48"/>
      <c r="N199" s="54"/>
      <c r="O199" s="66"/>
      <c r="P199" s="50" t="e">
        <f t="shared" ref="P199:P200" si="19">O199/N199</f>
        <v>#DIV/0!</v>
      </c>
      <c r="Q199" s="90"/>
      <c r="R199" s="115"/>
      <c r="S199" s="47" t="e">
        <f>WEEKNUM(R199-RESUMEN!$AB$7)</f>
        <v>#NUM!</v>
      </c>
      <c r="T199" s="47">
        <f>_xlfn.DAYS(R199,RESUMEN!$AB$7)</f>
        <v>-43247</v>
      </c>
      <c r="U199" s="48"/>
      <c r="V199" s="54"/>
      <c r="W199" s="66"/>
      <c r="X199" s="50" t="e">
        <f t="shared" ref="X199:X200" si="20">W199/V199</f>
        <v>#DIV/0!</v>
      </c>
      <c r="Y199" s="90"/>
      <c r="Z199" s="115"/>
      <c r="AA199" s="47" t="e">
        <f>WEEKNUM(Z199-RESUMEN!$AN$7)</f>
        <v>#NUM!</v>
      </c>
      <c r="AB199" s="47">
        <f>_xlfn.DAYS(Z199,RESUMEN!$AN$7)</f>
        <v>-43254</v>
      </c>
      <c r="AC199" s="48"/>
      <c r="AD199" s="54"/>
      <c r="AE199" s="66"/>
      <c r="AF199" s="116" t="e">
        <f t="shared" ref="AF199:AF200" si="21">AE199/AD199</f>
        <v>#DIV/0!</v>
      </c>
      <c r="AG199" s="83"/>
      <c r="AH199" s="115"/>
      <c r="AI199" s="47" t="e">
        <f>WEEKNUM(AH199-RESUMEN!$AZ$7)</f>
        <v>#NUM!</v>
      </c>
      <c r="AJ199" s="47">
        <f>_xlfn.DAYS(AH199,RESUMEN!$AZ$7)</f>
        <v>-43261</v>
      </c>
      <c r="AK199" s="79"/>
      <c r="AL199" s="54"/>
      <c r="AM199" s="66"/>
      <c r="AN199" s="50" t="e">
        <f t="shared" ref="AN199:AN200" si="22">AM199/AL199</f>
        <v>#DIV/0!</v>
      </c>
      <c r="AO199" s="90"/>
      <c r="AP199" s="115"/>
      <c r="AQ199" s="47" t="e">
        <f>WEEKNUM(AP199-RESUMEN!$BL$7)</f>
        <v>#NUM!</v>
      </c>
      <c r="AR199" s="47">
        <f>_xlfn.DAYS(AP199,RESUMEN!$BL$7)</f>
        <v>-43267</v>
      </c>
      <c r="AS199" s="53"/>
      <c r="AT199" s="54"/>
      <c r="AU199" s="66"/>
      <c r="AV199" s="50" t="e">
        <f t="shared" ref="AV199:AV248" si="23">AU199/AT199</f>
        <v>#DIV/0!</v>
      </c>
    </row>
    <row r="200" spans="2:48" x14ac:dyDescent="0.25">
      <c r="B200" s="52"/>
      <c r="C200" s="47" t="e">
        <f>WEEKNUM(B200-RESUMEN!$D$7)</f>
        <v>#NUM!</v>
      </c>
      <c r="D200" s="47">
        <f>_xlfn.DAYS(B200,RESUMEN!$D$7)</f>
        <v>-43238</v>
      </c>
      <c r="E200" s="48"/>
      <c r="F200" s="54"/>
      <c r="G200" s="66"/>
      <c r="H200" s="50" t="e">
        <f t="shared" si="18"/>
        <v>#DIV/0!</v>
      </c>
      <c r="I200" s="90"/>
      <c r="J200" s="115"/>
      <c r="K200" s="47" t="e">
        <f>WEEKNUM(J200-RESUMEN!$P$7)</f>
        <v>#NUM!</v>
      </c>
      <c r="L200" s="47">
        <f>_xlfn.DAYS(J200,RESUMEN!$P$7)</f>
        <v>-43242</v>
      </c>
      <c r="M200" s="48"/>
      <c r="N200" s="54"/>
      <c r="O200" s="66"/>
      <c r="P200" s="50" t="e">
        <f t="shared" si="19"/>
        <v>#DIV/0!</v>
      </c>
      <c r="Q200" s="90"/>
      <c r="R200" s="115"/>
      <c r="S200" s="47" t="e">
        <f>WEEKNUM(R200-RESUMEN!$AB$7)</f>
        <v>#NUM!</v>
      </c>
      <c r="T200" s="47">
        <f>_xlfn.DAYS(R200,RESUMEN!$AB$7)</f>
        <v>-43247</v>
      </c>
      <c r="U200" s="48"/>
      <c r="V200" s="54"/>
      <c r="W200" s="66"/>
      <c r="X200" s="50" t="e">
        <f t="shared" si="20"/>
        <v>#DIV/0!</v>
      </c>
      <c r="Y200" s="90"/>
      <c r="Z200" s="115"/>
      <c r="AA200" s="47" t="e">
        <f>WEEKNUM(Z200-RESUMEN!$AN$7)</f>
        <v>#NUM!</v>
      </c>
      <c r="AB200" s="47">
        <f>_xlfn.DAYS(Z200,RESUMEN!$AN$7)</f>
        <v>-43254</v>
      </c>
      <c r="AC200" s="48"/>
      <c r="AD200" s="54"/>
      <c r="AE200" s="66"/>
      <c r="AF200" s="116" t="e">
        <f t="shared" si="21"/>
        <v>#DIV/0!</v>
      </c>
      <c r="AG200" s="83"/>
      <c r="AH200" s="115"/>
      <c r="AI200" s="47" t="e">
        <f>WEEKNUM(AH200-RESUMEN!$AZ$7)</f>
        <v>#NUM!</v>
      </c>
      <c r="AJ200" s="47">
        <f>_xlfn.DAYS(AH200,RESUMEN!$AZ$7)</f>
        <v>-43261</v>
      </c>
      <c r="AK200" s="79"/>
      <c r="AL200" s="54"/>
      <c r="AM200" s="66"/>
      <c r="AN200" s="50" t="e">
        <f t="shared" si="22"/>
        <v>#DIV/0!</v>
      </c>
      <c r="AO200" s="90"/>
      <c r="AP200" s="115"/>
      <c r="AQ200" s="47" t="e">
        <f>WEEKNUM(AP200-RESUMEN!$BL$7)</f>
        <v>#NUM!</v>
      </c>
      <c r="AR200" s="47">
        <f>_xlfn.DAYS(AP200,RESUMEN!$BL$7)</f>
        <v>-43267</v>
      </c>
      <c r="AS200" s="53"/>
      <c r="AT200" s="54"/>
      <c r="AU200" s="66"/>
      <c r="AV200" s="50" t="e">
        <f t="shared" si="23"/>
        <v>#DIV/0!</v>
      </c>
    </row>
    <row r="201" spans="2:48" x14ac:dyDescent="0.25">
      <c r="B201" s="52"/>
      <c r="C201" s="47" t="e">
        <f>WEEKNUM(B201-RESUMEN!$D$7)</f>
        <v>#NUM!</v>
      </c>
      <c r="D201" s="47">
        <f>_xlfn.DAYS(B201,RESUMEN!$D$7)</f>
        <v>-43238</v>
      </c>
      <c r="E201" s="48"/>
      <c r="F201" s="54"/>
      <c r="G201" s="66"/>
      <c r="H201" s="50" t="e">
        <f t="shared" ref="H201:H248" si="24">G201/F201</f>
        <v>#DIV/0!</v>
      </c>
      <c r="I201" s="83"/>
      <c r="J201" s="115"/>
      <c r="K201" s="47" t="e">
        <f>WEEKNUM(J201-RESUMEN!$P$7)</f>
        <v>#NUM!</v>
      </c>
      <c r="L201" s="47">
        <f>_xlfn.DAYS(J201,RESUMEN!$P$7)</f>
        <v>-43242</v>
      </c>
      <c r="M201" s="48"/>
      <c r="N201" s="54"/>
      <c r="O201" s="66"/>
      <c r="P201" s="50" t="e">
        <f t="shared" ref="P201:P248" si="25">O201/N201</f>
        <v>#DIV/0!</v>
      </c>
      <c r="Q201" s="83"/>
      <c r="R201" s="115"/>
      <c r="S201" s="47" t="e">
        <f>WEEKNUM(R201-RESUMEN!$AB$7)</f>
        <v>#NUM!</v>
      </c>
      <c r="T201" s="47">
        <f>_xlfn.DAYS(R201,RESUMEN!$AB$7)</f>
        <v>-43247</v>
      </c>
      <c r="U201" s="48"/>
      <c r="V201" s="54"/>
      <c r="W201" s="66"/>
      <c r="X201" s="50" t="e">
        <f t="shared" ref="X201:X247" si="26">W201/V201</f>
        <v>#DIV/0!</v>
      </c>
      <c r="Y201" s="83"/>
      <c r="Z201" s="115"/>
      <c r="AA201" s="47" t="e">
        <f>WEEKNUM(Z201-RESUMEN!$AN$7)</f>
        <v>#NUM!</v>
      </c>
      <c r="AB201" s="47">
        <f>_xlfn.DAYS(Z201,RESUMEN!$AN$7)</f>
        <v>-43254</v>
      </c>
      <c r="AC201" s="48"/>
      <c r="AD201" s="54"/>
      <c r="AE201" s="66"/>
      <c r="AF201" s="116" t="e">
        <f t="shared" ref="AF201:AF248" si="27">AE201/AD201</f>
        <v>#DIV/0!</v>
      </c>
      <c r="AG201" s="83"/>
      <c r="AH201" s="115"/>
      <c r="AI201" s="47" t="e">
        <f>WEEKNUM(AH201-RESUMEN!$AZ$7)</f>
        <v>#NUM!</v>
      </c>
      <c r="AJ201" s="47">
        <f>_xlfn.DAYS(AH201,RESUMEN!$AZ$7)</f>
        <v>-43261</v>
      </c>
      <c r="AK201" s="79"/>
      <c r="AL201" s="54"/>
      <c r="AM201" s="66"/>
      <c r="AN201" s="50" t="e">
        <f t="shared" ref="AN201:AN202" si="28">AM201/AL201</f>
        <v>#DIV/0!</v>
      </c>
      <c r="AO201" s="83"/>
      <c r="AP201" s="73"/>
      <c r="AQ201" s="47" t="e">
        <f>WEEKNUM(AP201-RESUMEN!$BL$7)</f>
        <v>#NUM!</v>
      </c>
      <c r="AR201" s="47">
        <f>_xlfn.DAYS(AP201,RESUMEN!$BL$7)</f>
        <v>-43267</v>
      </c>
      <c r="AS201" s="53"/>
      <c r="AT201" s="54"/>
      <c r="AU201" s="66"/>
      <c r="AV201" s="50" t="e">
        <f t="shared" si="23"/>
        <v>#DIV/0!</v>
      </c>
    </row>
    <row r="202" spans="2:48" x14ac:dyDescent="0.25">
      <c r="B202" s="52"/>
      <c r="C202" s="47" t="e">
        <f>WEEKNUM(B202-RESUMEN!$D$7)</f>
        <v>#NUM!</v>
      </c>
      <c r="D202" s="47">
        <f>_xlfn.DAYS(B202,RESUMEN!$D$7)</f>
        <v>-43238</v>
      </c>
      <c r="E202" s="48"/>
      <c r="F202" s="54"/>
      <c r="G202" s="66"/>
      <c r="H202" s="50" t="e">
        <f t="shared" si="24"/>
        <v>#DIV/0!</v>
      </c>
      <c r="I202" s="83"/>
      <c r="J202" s="115"/>
      <c r="K202" s="47" t="e">
        <f>WEEKNUM(J202-RESUMEN!$P$7)</f>
        <v>#NUM!</v>
      </c>
      <c r="L202" s="47">
        <f>_xlfn.DAYS(J202,RESUMEN!$P$7)</f>
        <v>-43242</v>
      </c>
      <c r="M202" s="48"/>
      <c r="N202" s="54"/>
      <c r="O202" s="66"/>
      <c r="P202" s="50" t="e">
        <f t="shared" si="25"/>
        <v>#DIV/0!</v>
      </c>
      <c r="Q202" s="83"/>
      <c r="R202" s="115"/>
      <c r="S202" s="47" t="e">
        <f>WEEKNUM(R202-RESUMEN!$AB$7)</f>
        <v>#NUM!</v>
      </c>
      <c r="T202" s="47">
        <f>_xlfn.DAYS(R202,RESUMEN!$AB$7)</f>
        <v>-43247</v>
      </c>
      <c r="U202" s="48"/>
      <c r="V202" s="54"/>
      <c r="W202" s="66"/>
      <c r="X202" s="50" t="e">
        <f t="shared" si="26"/>
        <v>#DIV/0!</v>
      </c>
      <c r="Y202" s="83"/>
      <c r="Z202" s="115"/>
      <c r="AA202" s="47" t="e">
        <f>WEEKNUM(Z202-RESUMEN!$AN$7)</f>
        <v>#NUM!</v>
      </c>
      <c r="AB202" s="47">
        <f>_xlfn.DAYS(Z202,RESUMEN!$AN$7)</f>
        <v>-43254</v>
      </c>
      <c r="AC202" s="48"/>
      <c r="AD202" s="54"/>
      <c r="AE202" s="66"/>
      <c r="AF202" s="116" t="e">
        <f t="shared" si="27"/>
        <v>#DIV/0!</v>
      </c>
      <c r="AG202" s="83"/>
      <c r="AH202" s="115"/>
      <c r="AI202" s="47" t="e">
        <f>WEEKNUM(AH202-RESUMEN!$AZ$7)</f>
        <v>#NUM!</v>
      </c>
      <c r="AJ202" s="47">
        <f>_xlfn.DAYS(AH202,RESUMEN!$AZ$7)</f>
        <v>-43261</v>
      </c>
      <c r="AK202" s="79"/>
      <c r="AL202" s="54"/>
      <c r="AM202" s="66"/>
      <c r="AN202" s="50" t="e">
        <f t="shared" si="28"/>
        <v>#DIV/0!</v>
      </c>
      <c r="AO202" s="83"/>
      <c r="AP202" s="73"/>
      <c r="AQ202" s="47" t="e">
        <f>WEEKNUM(AP202-RESUMEN!$BL$7)</f>
        <v>#NUM!</v>
      </c>
      <c r="AR202" s="47">
        <f>_xlfn.DAYS(AP202,RESUMEN!$BL$7)</f>
        <v>-43267</v>
      </c>
      <c r="AS202" s="53"/>
      <c r="AT202" s="54"/>
      <c r="AU202" s="66"/>
      <c r="AV202" s="50" t="e">
        <f t="shared" si="23"/>
        <v>#DIV/0!</v>
      </c>
    </row>
    <row r="203" spans="2:48" x14ac:dyDescent="0.25">
      <c r="B203" s="52"/>
      <c r="C203" s="47" t="e">
        <f>WEEKNUM(B203-RESUMEN!$D$7)</f>
        <v>#NUM!</v>
      </c>
      <c r="D203" s="47">
        <f>_xlfn.DAYS(B203,RESUMEN!$D$7)</f>
        <v>-43238</v>
      </c>
      <c r="E203" s="48"/>
      <c r="F203" s="54"/>
      <c r="G203" s="66"/>
      <c r="H203" s="50" t="e">
        <f t="shared" si="24"/>
        <v>#DIV/0!</v>
      </c>
      <c r="I203" s="83"/>
      <c r="J203" s="115"/>
      <c r="K203" s="47" t="e">
        <f>WEEKNUM(J203-RESUMEN!$P$7)</f>
        <v>#NUM!</v>
      </c>
      <c r="L203" s="47">
        <f>_xlfn.DAYS(J203,RESUMEN!$P$7)</f>
        <v>-43242</v>
      </c>
      <c r="M203" s="48"/>
      <c r="N203" s="54"/>
      <c r="O203" s="66"/>
      <c r="P203" s="50" t="e">
        <f t="shared" si="25"/>
        <v>#DIV/0!</v>
      </c>
      <c r="Q203" s="83"/>
      <c r="R203" s="115"/>
      <c r="S203" s="47" t="e">
        <f>WEEKNUM(R203-RESUMEN!$AB$7)</f>
        <v>#NUM!</v>
      </c>
      <c r="T203" s="47">
        <f>_xlfn.DAYS(R203,RESUMEN!$AB$7)</f>
        <v>-43247</v>
      </c>
      <c r="U203" s="48"/>
      <c r="V203" s="54"/>
      <c r="W203" s="66"/>
      <c r="X203" s="50" t="e">
        <f t="shared" si="26"/>
        <v>#DIV/0!</v>
      </c>
      <c r="Y203" s="83"/>
      <c r="Z203" s="115"/>
      <c r="AA203" s="47" t="e">
        <f>WEEKNUM(Z203-RESUMEN!$AN$7)</f>
        <v>#NUM!</v>
      </c>
      <c r="AB203" s="47">
        <f>_xlfn.DAYS(Z203,RESUMEN!$AN$7)</f>
        <v>-43254</v>
      </c>
      <c r="AC203" s="48"/>
      <c r="AD203" s="54"/>
      <c r="AE203" s="66"/>
      <c r="AF203" s="116" t="e">
        <f t="shared" si="27"/>
        <v>#DIV/0!</v>
      </c>
      <c r="AG203" s="83"/>
      <c r="AH203" s="115"/>
      <c r="AI203" s="47" t="e">
        <f>WEEKNUM(AH203-RESUMEN!$AZ$7)</f>
        <v>#NUM!</v>
      </c>
      <c r="AJ203" s="47">
        <f>_xlfn.DAYS(AH203,RESUMEN!$AZ$7)</f>
        <v>-43261</v>
      </c>
      <c r="AK203" s="79"/>
      <c r="AL203" s="54"/>
      <c r="AM203" s="66"/>
      <c r="AN203" s="50" t="e">
        <f t="shared" ref="AN203:AN248" si="29">AM203/AL203</f>
        <v>#DIV/0!</v>
      </c>
      <c r="AO203" s="83"/>
      <c r="AP203" s="73"/>
      <c r="AQ203" s="47" t="e">
        <f>WEEKNUM(AP203-RESUMEN!$BL$7)</f>
        <v>#NUM!</v>
      </c>
      <c r="AR203" s="47">
        <f>_xlfn.DAYS(AP203,RESUMEN!$BL$7)</f>
        <v>-43267</v>
      </c>
      <c r="AS203" s="53"/>
      <c r="AT203" s="54"/>
      <c r="AU203" s="66"/>
      <c r="AV203" s="50" t="e">
        <f t="shared" si="23"/>
        <v>#DIV/0!</v>
      </c>
    </row>
    <row r="204" spans="2:48" x14ac:dyDescent="0.25">
      <c r="B204" s="52"/>
      <c r="C204" s="47" t="e">
        <f>WEEKNUM(B204-RESUMEN!$D$7)</f>
        <v>#NUM!</v>
      </c>
      <c r="D204" s="47">
        <f>_xlfn.DAYS(B204,RESUMEN!$D$7)</f>
        <v>-43238</v>
      </c>
      <c r="E204" s="48"/>
      <c r="F204" s="54"/>
      <c r="G204" s="66"/>
      <c r="H204" s="50" t="e">
        <f t="shared" si="24"/>
        <v>#DIV/0!</v>
      </c>
      <c r="I204" s="83"/>
      <c r="J204" s="115"/>
      <c r="K204" s="47" t="e">
        <f>WEEKNUM(J204-RESUMEN!$P$7)</f>
        <v>#NUM!</v>
      </c>
      <c r="L204" s="47">
        <f>_xlfn.DAYS(J204,RESUMEN!$P$7)</f>
        <v>-43242</v>
      </c>
      <c r="M204" s="48"/>
      <c r="N204" s="54"/>
      <c r="O204" s="66"/>
      <c r="P204" s="50" t="e">
        <f t="shared" si="25"/>
        <v>#DIV/0!</v>
      </c>
      <c r="Q204" s="83"/>
      <c r="R204" s="115"/>
      <c r="S204" s="47" t="e">
        <f>WEEKNUM(R204-RESUMEN!$AB$7)</f>
        <v>#NUM!</v>
      </c>
      <c r="T204" s="47">
        <f>_xlfn.DAYS(R204,RESUMEN!$AB$7)</f>
        <v>-43247</v>
      </c>
      <c r="U204" s="48"/>
      <c r="V204" s="54"/>
      <c r="W204" s="66"/>
      <c r="X204" s="50" t="e">
        <f t="shared" si="26"/>
        <v>#DIV/0!</v>
      </c>
      <c r="Y204" s="83"/>
      <c r="Z204" s="115"/>
      <c r="AA204" s="47" t="e">
        <f>WEEKNUM(Z204-RESUMEN!$AN$7)</f>
        <v>#NUM!</v>
      </c>
      <c r="AB204" s="47">
        <f>_xlfn.DAYS(Z204,RESUMEN!$AN$7)</f>
        <v>-43254</v>
      </c>
      <c r="AC204" s="48"/>
      <c r="AD204" s="54"/>
      <c r="AE204" s="66"/>
      <c r="AF204" s="116" t="e">
        <f t="shared" si="27"/>
        <v>#DIV/0!</v>
      </c>
      <c r="AG204" s="83"/>
      <c r="AH204" s="115"/>
      <c r="AI204" s="47" t="e">
        <f>WEEKNUM(AH204-RESUMEN!$AZ$7)</f>
        <v>#NUM!</v>
      </c>
      <c r="AJ204" s="47">
        <f>_xlfn.DAYS(AH204,RESUMEN!$AZ$7)</f>
        <v>-43261</v>
      </c>
      <c r="AK204" s="79"/>
      <c r="AL204" s="54"/>
      <c r="AM204" s="66"/>
      <c r="AN204" s="50" t="e">
        <f t="shared" si="29"/>
        <v>#DIV/0!</v>
      </c>
      <c r="AO204" s="83"/>
      <c r="AP204" s="73"/>
      <c r="AQ204" s="47" t="e">
        <f>WEEKNUM(AP204-RESUMEN!$BL$7)</f>
        <v>#NUM!</v>
      </c>
      <c r="AR204" s="47">
        <f>_xlfn.DAYS(AP204,RESUMEN!$BL$7)</f>
        <v>-43267</v>
      </c>
      <c r="AS204" s="53"/>
      <c r="AT204" s="54"/>
      <c r="AU204" s="66"/>
      <c r="AV204" s="50" t="e">
        <f t="shared" si="23"/>
        <v>#DIV/0!</v>
      </c>
    </row>
    <row r="205" spans="2:48" x14ac:dyDescent="0.25">
      <c r="B205" s="52"/>
      <c r="C205" s="47" t="e">
        <f>WEEKNUM(B205-RESUMEN!$D$7)</f>
        <v>#NUM!</v>
      </c>
      <c r="D205" s="47">
        <f>_xlfn.DAYS(B205,RESUMEN!$D$7)</f>
        <v>-43238</v>
      </c>
      <c r="E205" s="48"/>
      <c r="F205" s="54"/>
      <c r="G205" s="66"/>
      <c r="H205" s="50" t="e">
        <f t="shared" si="24"/>
        <v>#DIV/0!</v>
      </c>
      <c r="I205" s="83"/>
      <c r="J205" s="115"/>
      <c r="K205" s="47" t="e">
        <f>WEEKNUM(J205-RESUMEN!$P$7)</f>
        <v>#NUM!</v>
      </c>
      <c r="L205" s="47">
        <f>_xlfn.DAYS(J205,RESUMEN!$P$7)</f>
        <v>-43242</v>
      </c>
      <c r="M205" s="48"/>
      <c r="N205" s="54"/>
      <c r="O205" s="66"/>
      <c r="P205" s="50" t="e">
        <f t="shared" si="25"/>
        <v>#DIV/0!</v>
      </c>
      <c r="Q205" s="83"/>
      <c r="R205" s="115"/>
      <c r="S205" s="47" t="e">
        <f>WEEKNUM(R205-RESUMEN!$AB$7)</f>
        <v>#NUM!</v>
      </c>
      <c r="T205" s="47">
        <f>_xlfn.DAYS(R205,RESUMEN!$AB$7)</f>
        <v>-43247</v>
      </c>
      <c r="U205" s="48"/>
      <c r="V205" s="54"/>
      <c r="W205" s="66"/>
      <c r="X205" s="50" t="e">
        <f t="shared" si="26"/>
        <v>#DIV/0!</v>
      </c>
      <c r="Y205" s="83"/>
      <c r="Z205" s="115"/>
      <c r="AA205" s="47" t="e">
        <f>WEEKNUM(Z205-RESUMEN!$AN$7)</f>
        <v>#NUM!</v>
      </c>
      <c r="AB205" s="47">
        <f>_xlfn.DAYS(Z205,RESUMEN!$AN$7)</f>
        <v>-43254</v>
      </c>
      <c r="AC205" s="48"/>
      <c r="AD205" s="54"/>
      <c r="AE205" s="66"/>
      <c r="AF205" s="116" t="e">
        <f t="shared" si="27"/>
        <v>#DIV/0!</v>
      </c>
      <c r="AG205" s="83"/>
      <c r="AH205" s="115"/>
      <c r="AI205" s="47" t="e">
        <f>WEEKNUM(AH205-RESUMEN!$AZ$7)</f>
        <v>#NUM!</v>
      </c>
      <c r="AJ205" s="47">
        <f>_xlfn.DAYS(AH205,RESUMEN!$AZ$7)</f>
        <v>-43261</v>
      </c>
      <c r="AK205" s="79"/>
      <c r="AL205" s="54"/>
      <c r="AM205" s="66"/>
      <c r="AN205" s="50" t="e">
        <f t="shared" si="29"/>
        <v>#DIV/0!</v>
      </c>
      <c r="AO205" s="83"/>
      <c r="AP205" s="73"/>
      <c r="AQ205" s="47" t="e">
        <f>WEEKNUM(AP205-RESUMEN!$BL$7)</f>
        <v>#NUM!</v>
      </c>
      <c r="AR205" s="47">
        <f>_xlfn.DAYS(AP205,RESUMEN!$BL$7)</f>
        <v>-43267</v>
      </c>
      <c r="AS205" s="53"/>
      <c r="AT205" s="54"/>
      <c r="AU205" s="66"/>
      <c r="AV205" s="50" t="e">
        <f t="shared" si="23"/>
        <v>#DIV/0!</v>
      </c>
    </row>
    <row r="206" spans="2:48" x14ac:dyDescent="0.25">
      <c r="B206" s="52"/>
      <c r="C206" s="47" t="e">
        <f>WEEKNUM(B206-RESUMEN!$D$7)</f>
        <v>#NUM!</v>
      </c>
      <c r="D206" s="47">
        <f>_xlfn.DAYS(B206,RESUMEN!$D$7)</f>
        <v>-43238</v>
      </c>
      <c r="E206" s="48"/>
      <c r="F206" s="54"/>
      <c r="G206" s="66"/>
      <c r="H206" s="50" t="e">
        <f t="shared" si="24"/>
        <v>#DIV/0!</v>
      </c>
      <c r="I206" s="83"/>
      <c r="J206" s="115"/>
      <c r="K206" s="47" t="e">
        <f>WEEKNUM(J206-RESUMEN!$P$7)</f>
        <v>#NUM!</v>
      </c>
      <c r="L206" s="47">
        <f>_xlfn.DAYS(J206,RESUMEN!$P$7)</f>
        <v>-43242</v>
      </c>
      <c r="M206" s="48"/>
      <c r="N206" s="54"/>
      <c r="O206" s="66"/>
      <c r="P206" s="50" t="e">
        <f t="shared" si="25"/>
        <v>#DIV/0!</v>
      </c>
      <c r="Q206" s="83"/>
      <c r="R206" s="115"/>
      <c r="S206" s="47" t="e">
        <f>WEEKNUM(R206-RESUMEN!$AB$7)</f>
        <v>#NUM!</v>
      </c>
      <c r="T206" s="47">
        <f>_xlfn.DAYS(R206,RESUMEN!$AB$7)</f>
        <v>-43247</v>
      </c>
      <c r="U206" s="48"/>
      <c r="V206" s="54"/>
      <c r="W206" s="66"/>
      <c r="X206" s="50" t="e">
        <f t="shared" si="26"/>
        <v>#DIV/0!</v>
      </c>
      <c r="Y206" s="83"/>
      <c r="Z206" s="115"/>
      <c r="AA206" s="47" t="e">
        <f>WEEKNUM(Z206-RESUMEN!$AN$7)</f>
        <v>#NUM!</v>
      </c>
      <c r="AB206" s="47">
        <f>_xlfn.DAYS(Z206,RESUMEN!$AN$7)</f>
        <v>-43254</v>
      </c>
      <c r="AC206" s="48"/>
      <c r="AD206" s="54"/>
      <c r="AE206" s="66"/>
      <c r="AF206" s="116" t="e">
        <f t="shared" si="27"/>
        <v>#DIV/0!</v>
      </c>
      <c r="AG206" s="83"/>
      <c r="AH206" s="115"/>
      <c r="AI206" s="47" t="e">
        <f>WEEKNUM(AH206-RESUMEN!$AZ$7)</f>
        <v>#NUM!</v>
      </c>
      <c r="AJ206" s="47">
        <f>_xlfn.DAYS(AH206,RESUMEN!$AZ$7)</f>
        <v>-43261</v>
      </c>
      <c r="AK206" s="79"/>
      <c r="AL206" s="54"/>
      <c r="AM206" s="66"/>
      <c r="AN206" s="50" t="e">
        <f t="shared" si="29"/>
        <v>#DIV/0!</v>
      </c>
      <c r="AO206" s="83"/>
      <c r="AP206" s="73"/>
      <c r="AQ206" s="47" t="e">
        <f>WEEKNUM(AP206-RESUMEN!$BL$7)</f>
        <v>#NUM!</v>
      </c>
      <c r="AR206" s="47">
        <f>_xlfn.DAYS(AP206,RESUMEN!$BL$7)</f>
        <v>-43267</v>
      </c>
      <c r="AS206" s="53"/>
      <c r="AT206" s="54"/>
      <c r="AU206" s="66"/>
      <c r="AV206" s="50" t="e">
        <f t="shared" si="23"/>
        <v>#DIV/0!</v>
      </c>
    </row>
    <row r="207" spans="2:48" x14ac:dyDescent="0.25">
      <c r="B207" s="52"/>
      <c r="C207" s="47" t="e">
        <f>WEEKNUM(B207-RESUMEN!$D$7)</f>
        <v>#NUM!</v>
      </c>
      <c r="D207" s="47">
        <f>_xlfn.DAYS(B207,RESUMEN!$D$7)</f>
        <v>-43238</v>
      </c>
      <c r="E207" s="48"/>
      <c r="F207" s="54"/>
      <c r="G207" s="66"/>
      <c r="H207" s="50" t="e">
        <f t="shared" si="24"/>
        <v>#DIV/0!</v>
      </c>
      <c r="I207" s="83"/>
      <c r="J207" s="115"/>
      <c r="K207" s="47" t="e">
        <f>WEEKNUM(J207-RESUMEN!$P$7)</f>
        <v>#NUM!</v>
      </c>
      <c r="L207" s="47">
        <f>_xlfn.DAYS(J207,RESUMEN!$P$7)</f>
        <v>-43242</v>
      </c>
      <c r="M207" s="48"/>
      <c r="N207" s="54"/>
      <c r="O207" s="66"/>
      <c r="P207" s="50" t="e">
        <f t="shared" si="25"/>
        <v>#DIV/0!</v>
      </c>
      <c r="Q207" s="83"/>
      <c r="R207" s="115"/>
      <c r="S207" s="47" t="e">
        <f>WEEKNUM(R207-RESUMEN!$AB$7)</f>
        <v>#NUM!</v>
      </c>
      <c r="T207" s="47">
        <f>_xlfn.DAYS(R207,RESUMEN!$AB$7)</f>
        <v>-43247</v>
      </c>
      <c r="U207" s="48"/>
      <c r="V207" s="54"/>
      <c r="W207" s="66"/>
      <c r="X207" s="50" t="e">
        <f t="shared" si="26"/>
        <v>#DIV/0!</v>
      </c>
      <c r="Y207" s="83"/>
      <c r="Z207" s="115"/>
      <c r="AA207" s="47" t="e">
        <f>WEEKNUM(Z207-RESUMEN!$AN$7)</f>
        <v>#NUM!</v>
      </c>
      <c r="AB207" s="47">
        <f>_xlfn.DAYS(Z207,RESUMEN!$AN$7)</f>
        <v>-43254</v>
      </c>
      <c r="AC207" s="48"/>
      <c r="AD207" s="54"/>
      <c r="AE207" s="66"/>
      <c r="AF207" s="116" t="e">
        <f t="shared" si="27"/>
        <v>#DIV/0!</v>
      </c>
      <c r="AG207" s="83"/>
      <c r="AH207" s="115"/>
      <c r="AI207" s="47" t="e">
        <f>WEEKNUM(AH207-RESUMEN!$AZ$7)</f>
        <v>#NUM!</v>
      </c>
      <c r="AJ207" s="47">
        <f>_xlfn.DAYS(AH207,RESUMEN!$AZ$7)</f>
        <v>-43261</v>
      </c>
      <c r="AK207" s="79"/>
      <c r="AL207" s="54"/>
      <c r="AM207" s="66"/>
      <c r="AN207" s="50" t="e">
        <f t="shared" si="29"/>
        <v>#DIV/0!</v>
      </c>
      <c r="AO207" s="83"/>
      <c r="AP207" s="73"/>
      <c r="AQ207" s="47" t="e">
        <f>WEEKNUM(AP207-RESUMEN!$BL$7)</f>
        <v>#NUM!</v>
      </c>
      <c r="AR207" s="47">
        <f>_xlfn.DAYS(AP207,RESUMEN!$BL$7)</f>
        <v>-43267</v>
      </c>
      <c r="AS207" s="53"/>
      <c r="AT207" s="54"/>
      <c r="AU207" s="66"/>
      <c r="AV207" s="50" t="e">
        <f t="shared" si="23"/>
        <v>#DIV/0!</v>
      </c>
    </row>
    <row r="208" spans="2:48" x14ac:dyDescent="0.25">
      <c r="B208" s="52"/>
      <c r="C208" s="47" t="e">
        <f>WEEKNUM(B208-RESUMEN!$D$7)</f>
        <v>#NUM!</v>
      </c>
      <c r="D208" s="47">
        <f>_xlfn.DAYS(B208,RESUMEN!$D$7)</f>
        <v>-43238</v>
      </c>
      <c r="E208" s="48"/>
      <c r="F208" s="54"/>
      <c r="G208" s="66"/>
      <c r="H208" s="50" t="e">
        <f t="shared" si="24"/>
        <v>#DIV/0!</v>
      </c>
      <c r="I208" s="83"/>
      <c r="J208" s="115"/>
      <c r="K208" s="47" t="e">
        <f>WEEKNUM(J208-RESUMEN!$P$7)</f>
        <v>#NUM!</v>
      </c>
      <c r="L208" s="47">
        <f>_xlfn.DAYS(J208,RESUMEN!$P$7)</f>
        <v>-43242</v>
      </c>
      <c r="M208" s="48"/>
      <c r="N208" s="54"/>
      <c r="O208" s="66"/>
      <c r="P208" s="50" t="e">
        <f t="shared" si="25"/>
        <v>#DIV/0!</v>
      </c>
      <c r="Q208" s="83"/>
      <c r="R208" s="115"/>
      <c r="S208" s="47" t="e">
        <f>WEEKNUM(R208-RESUMEN!$AB$7)</f>
        <v>#NUM!</v>
      </c>
      <c r="T208" s="47">
        <f>_xlfn.DAYS(R208,RESUMEN!$AB$7)</f>
        <v>-43247</v>
      </c>
      <c r="U208" s="48"/>
      <c r="V208" s="54"/>
      <c r="W208" s="66"/>
      <c r="X208" s="50" t="e">
        <f t="shared" si="26"/>
        <v>#DIV/0!</v>
      </c>
      <c r="Y208" s="83"/>
      <c r="Z208" s="115"/>
      <c r="AA208" s="47" t="e">
        <f>WEEKNUM(Z208-RESUMEN!$AN$7)</f>
        <v>#NUM!</v>
      </c>
      <c r="AB208" s="47">
        <f>_xlfn.DAYS(Z208,RESUMEN!$AN$7)</f>
        <v>-43254</v>
      </c>
      <c r="AC208" s="48"/>
      <c r="AD208" s="54"/>
      <c r="AE208" s="66"/>
      <c r="AF208" s="116" t="e">
        <f t="shared" si="27"/>
        <v>#DIV/0!</v>
      </c>
      <c r="AG208" s="83"/>
      <c r="AH208" s="115"/>
      <c r="AI208" s="47" t="e">
        <f>WEEKNUM(AH208-RESUMEN!$AZ$7)</f>
        <v>#NUM!</v>
      </c>
      <c r="AJ208" s="47">
        <f>_xlfn.DAYS(AH208,RESUMEN!$AZ$7)</f>
        <v>-43261</v>
      </c>
      <c r="AK208" s="79"/>
      <c r="AL208" s="54"/>
      <c r="AM208" s="66"/>
      <c r="AN208" s="50" t="e">
        <f t="shared" si="29"/>
        <v>#DIV/0!</v>
      </c>
      <c r="AO208" s="83"/>
      <c r="AP208" s="73"/>
      <c r="AQ208" s="47" t="e">
        <f>WEEKNUM(AP208-RESUMEN!$BL$7)</f>
        <v>#NUM!</v>
      </c>
      <c r="AR208" s="47">
        <f>_xlfn.DAYS(AP208,RESUMEN!$BL$7)</f>
        <v>-43267</v>
      </c>
      <c r="AS208" s="53"/>
      <c r="AT208" s="54"/>
      <c r="AU208" s="66"/>
      <c r="AV208" s="50" t="e">
        <f t="shared" si="23"/>
        <v>#DIV/0!</v>
      </c>
    </row>
    <row r="209" spans="2:48" x14ac:dyDescent="0.25">
      <c r="B209" s="52"/>
      <c r="C209" s="47" t="e">
        <f>WEEKNUM(B209-RESUMEN!$D$7)</f>
        <v>#NUM!</v>
      </c>
      <c r="D209" s="47">
        <f>_xlfn.DAYS(B209,RESUMEN!$D$7)</f>
        <v>-43238</v>
      </c>
      <c r="E209" s="48"/>
      <c r="F209" s="54"/>
      <c r="G209" s="66"/>
      <c r="H209" s="50" t="e">
        <f t="shared" si="24"/>
        <v>#DIV/0!</v>
      </c>
      <c r="I209" s="83"/>
      <c r="J209" s="115"/>
      <c r="K209" s="47" t="e">
        <f>WEEKNUM(J209-RESUMEN!$P$7)</f>
        <v>#NUM!</v>
      </c>
      <c r="L209" s="47">
        <f>_xlfn.DAYS(J209,RESUMEN!$P$7)</f>
        <v>-43242</v>
      </c>
      <c r="M209" s="48"/>
      <c r="N209" s="54"/>
      <c r="O209" s="66"/>
      <c r="P209" s="50" t="e">
        <f t="shared" si="25"/>
        <v>#DIV/0!</v>
      </c>
      <c r="Q209" s="83"/>
      <c r="R209" s="115"/>
      <c r="S209" s="47" t="e">
        <f>WEEKNUM(R209-RESUMEN!$AB$7)</f>
        <v>#NUM!</v>
      </c>
      <c r="T209" s="47">
        <f>_xlfn.DAYS(R209,RESUMEN!$AB$7)</f>
        <v>-43247</v>
      </c>
      <c r="U209" s="48"/>
      <c r="V209" s="54"/>
      <c r="W209" s="66"/>
      <c r="X209" s="50" t="e">
        <f t="shared" si="26"/>
        <v>#DIV/0!</v>
      </c>
      <c r="Y209" s="83"/>
      <c r="Z209" s="115"/>
      <c r="AA209" s="47" t="e">
        <f>WEEKNUM(Z209-RESUMEN!$AN$7)</f>
        <v>#NUM!</v>
      </c>
      <c r="AB209" s="47">
        <f>_xlfn.DAYS(Z209,RESUMEN!$AN$7)</f>
        <v>-43254</v>
      </c>
      <c r="AC209" s="48"/>
      <c r="AD209" s="54"/>
      <c r="AE209" s="66"/>
      <c r="AF209" s="116" t="e">
        <f t="shared" si="27"/>
        <v>#DIV/0!</v>
      </c>
      <c r="AG209" s="83"/>
      <c r="AH209" s="114"/>
      <c r="AI209" s="47" t="e">
        <f>WEEKNUM(AH209-RESUMEN!$AZ$7)</f>
        <v>#NUM!</v>
      </c>
      <c r="AJ209" s="47">
        <f>_xlfn.DAYS(AH209,RESUMEN!$AZ$7)</f>
        <v>-43261</v>
      </c>
      <c r="AK209" s="79"/>
      <c r="AL209" s="54"/>
      <c r="AM209" s="66"/>
      <c r="AN209" s="50" t="e">
        <f t="shared" si="29"/>
        <v>#DIV/0!</v>
      </c>
      <c r="AO209" s="83"/>
      <c r="AP209" s="73"/>
      <c r="AQ209" s="47" t="e">
        <f>WEEKNUM(AP209-RESUMEN!$BL$7)</f>
        <v>#NUM!</v>
      </c>
      <c r="AR209" s="47">
        <f>_xlfn.DAYS(AP209,RESUMEN!$BL$7)</f>
        <v>-43267</v>
      </c>
      <c r="AS209" s="53"/>
      <c r="AT209" s="54"/>
      <c r="AU209" s="66"/>
      <c r="AV209" s="50" t="e">
        <f t="shared" si="23"/>
        <v>#DIV/0!</v>
      </c>
    </row>
    <row r="210" spans="2:48" x14ac:dyDescent="0.25">
      <c r="B210" s="52"/>
      <c r="C210" s="47" t="e">
        <f>WEEKNUM(B210-RESUMEN!$D$7)</f>
        <v>#NUM!</v>
      </c>
      <c r="D210" s="47">
        <f>_xlfn.DAYS(B210,RESUMEN!$D$7)</f>
        <v>-43238</v>
      </c>
      <c r="E210" s="48"/>
      <c r="F210" s="54"/>
      <c r="G210" s="66"/>
      <c r="H210" s="50" t="e">
        <f t="shared" si="24"/>
        <v>#DIV/0!</v>
      </c>
      <c r="I210" s="83"/>
      <c r="J210" s="115"/>
      <c r="K210" s="47" t="e">
        <f>WEEKNUM(J210-RESUMEN!$P$7)</f>
        <v>#NUM!</v>
      </c>
      <c r="L210" s="47">
        <f>_xlfn.DAYS(J210,RESUMEN!$P$7)</f>
        <v>-43242</v>
      </c>
      <c r="M210" s="48"/>
      <c r="N210" s="54"/>
      <c r="O210" s="66"/>
      <c r="P210" s="50" t="e">
        <f t="shared" si="25"/>
        <v>#DIV/0!</v>
      </c>
      <c r="Q210" s="83"/>
      <c r="R210" s="115"/>
      <c r="S210" s="47" t="e">
        <f>WEEKNUM(R210-RESUMEN!$AB$7)</f>
        <v>#NUM!</v>
      </c>
      <c r="T210" s="47">
        <f>_xlfn.DAYS(R210,RESUMEN!$AB$7)</f>
        <v>-43247</v>
      </c>
      <c r="U210" s="48"/>
      <c r="V210" s="54"/>
      <c r="W210" s="66"/>
      <c r="X210" s="50" t="e">
        <f t="shared" si="26"/>
        <v>#DIV/0!</v>
      </c>
      <c r="Y210" s="83"/>
      <c r="Z210" s="115"/>
      <c r="AA210" s="47" t="e">
        <f>WEEKNUM(Z210-RESUMEN!$AN$7)</f>
        <v>#NUM!</v>
      </c>
      <c r="AB210" s="47">
        <f>_xlfn.DAYS(Z210,RESUMEN!$AN$7)</f>
        <v>-43254</v>
      </c>
      <c r="AC210" s="48"/>
      <c r="AD210" s="54"/>
      <c r="AE210" s="66"/>
      <c r="AF210" s="116" t="e">
        <f t="shared" si="27"/>
        <v>#DIV/0!</v>
      </c>
      <c r="AG210" s="83"/>
      <c r="AH210" s="115"/>
      <c r="AI210" s="47" t="e">
        <f>WEEKNUM(AH210-RESUMEN!$AZ$7)</f>
        <v>#NUM!</v>
      </c>
      <c r="AJ210" s="47">
        <f>_xlfn.DAYS(AH210,RESUMEN!$AZ$7)</f>
        <v>-43261</v>
      </c>
      <c r="AK210" s="79"/>
      <c r="AL210" s="54"/>
      <c r="AM210" s="66"/>
      <c r="AN210" s="50" t="e">
        <f t="shared" si="29"/>
        <v>#DIV/0!</v>
      </c>
      <c r="AO210" s="83"/>
      <c r="AP210" s="73"/>
      <c r="AQ210" s="47" t="e">
        <f>WEEKNUM(AP210-RESUMEN!$BL$7)</f>
        <v>#NUM!</v>
      </c>
      <c r="AR210" s="47">
        <f>_xlfn.DAYS(AP210,RESUMEN!$BL$7)</f>
        <v>-43267</v>
      </c>
      <c r="AS210" s="53"/>
      <c r="AT210" s="54"/>
      <c r="AU210" s="66"/>
      <c r="AV210" s="50" t="e">
        <f t="shared" si="23"/>
        <v>#DIV/0!</v>
      </c>
    </row>
    <row r="211" spans="2:48" x14ac:dyDescent="0.25">
      <c r="B211" s="52"/>
      <c r="C211" s="47" t="e">
        <f>WEEKNUM(B211-RESUMEN!$D$7)</f>
        <v>#NUM!</v>
      </c>
      <c r="D211" s="47">
        <f>_xlfn.DAYS(B211,RESUMEN!$D$7)</f>
        <v>-43238</v>
      </c>
      <c r="E211" s="48"/>
      <c r="F211" s="54"/>
      <c r="G211" s="66"/>
      <c r="H211" s="50" t="e">
        <f t="shared" si="24"/>
        <v>#DIV/0!</v>
      </c>
      <c r="I211" s="83"/>
      <c r="J211" s="115"/>
      <c r="K211" s="47" t="e">
        <f>WEEKNUM(J211-RESUMEN!$P$7)</f>
        <v>#NUM!</v>
      </c>
      <c r="L211" s="47">
        <f>_xlfn.DAYS(J211,RESUMEN!$P$7)</f>
        <v>-43242</v>
      </c>
      <c r="M211" s="48"/>
      <c r="N211" s="54"/>
      <c r="O211" s="66"/>
      <c r="P211" s="50" t="e">
        <f t="shared" si="25"/>
        <v>#DIV/0!</v>
      </c>
      <c r="Q211" s="83"/>
      <c r="R211" s="115"/>
      <c r="S211" s="47" t="e">
        <f>WEEKNUM(R211-RESUMEN!$AB$7)</f>
        <v>#NUM!</v>
      </c>
      <c r="T211" s="47">
        <f>_xlfn.DAYS(R211,RESUMEN!$AB$7)</f>
        <v>-43247</v>
      </c>
      <c r="U211" s="48"/>
      <c r="V211" s="54"/>
      <c r="W211" s="66"/>
      <c r="X211" s="50" t="e">
        <f t="shared" si="26"/>
        <v>#DIV/0!</v>
      </c>
      <c r="Y211" s="83"/>
      <c r="Z211" s="115"/>
      <c r="AA211" s="47" t="e">
        <f>WEEKNUM(Z211-RESUMEN!$AN$7)</f>
        <v>#NUM!</v>
      </c>
      <c r="AB211" s="47">
        <f>_xlfn.DAYS(Z211,RESUMEN!$AN$7)</f>
        <v>-43254</v>
      </c>
      <c r="AC211" s="48"/>
      <c r="AD211" s="54"/>
      <c r="AE211" s="66"/>
      <c r="AF211" s="116" t="e">
        <f t="shared" si="27"/>
        <v>#DIV/0!</v>
      </c>
      <c r="AG211" s="83"/>
      <c r="AH211" s="115"/>
      <c r="AI211" s="47" t="e">
        <f>WEEKNUM(AH211-RESUMEN!$AZ$7)</f>
        <v>#NUM!</v>
      </c>
      <c r="AJ211" s="47">
        <f>_xlfn.DAYS(AH211,RESUMEN!$AZ$7)</f>
        <v>-43261</v>
      </c>
      <c r="AK211" s="79"/>
      <c r="AL211" s="54"/>
      <c r="AM211" s="66"/>
      <c r="AN211" s="50" t="e">
        <f t="shared" si="29"/>
        <v>#DIV/0!</v>
      </c>
      <c r="AO211" s="83"/>
      <c r="AP211" s="73"/>
      <c r="AQ211" s="47" t="e">
        <f>WEEKNUM(AP211-RESUMEN!$BL$7)</f>
        <v>#NUM!</v>
      </c>
      <c r="AR211" s="47">
        <f>_xlfn.DAYS(AP211,RESUMEN!$BL$7)</f>
        <v>-43267</v>
      </c>
      <c r="AS211" s="53"/>
      <c r="AT211" s="54"/>
      <c r="AU211" s="66"/>
      <c r="AV211" s="50" t="e">
        <f t="shared" si="23"/>
        <v>#DIV/0!</v>
      </c>
    </row>
    <row r="212" spans="2:48" x14ac:dyDescent="0.25">
      <c r="B212" s="52"/>
      <c r="C212" s="47" t="e">
        <f>WEEKNUM(B212-RESUMEN!$D$7)</f>
        <v>#NUM!</v>
      </c>
      <c r="D212" s="47">
        <f>_xlfn.DAYS(B212,RESUMEN!$D$7)</f>
        <v>-43238</v>
      </c>
      <c r="E212" s="48"/>
      <c r="F212" s="54"/>
      <c r="G212" s="66"/>
      <c r="H212" s="50" t="e">
        <f t="shared" si="24"/>
        <v>#DIV/0!</v>
      </c>
      <c r="I212" s="83"/>
      <c r="J212" s="115"/>
      <c r="K212" s="47" t="e">
        <f>WEEKNUM(J212-RESUMEN!$P$7)</f>
        <v>#NUM!</v>
      </c>
      <c r="L212" s="47">
        <f>_xlfn.DAYS(J212,RESUMEN!$P$7)</f>
        <v>-43242</v>
      </c>
      <c r="M212" s="48"/>
      <c r="N212" s="54"/>
      <c r="O212" s="66"/>
      <c r="P212" s="50" t="e">
        <f t="shared" si="25"/>
        <v>#DIV/0!</v>
      </c>
      <c r="Q212" s="83"/>
      <c r="R212" s="115"/>
      <c r="S212" s="47" t="e">
        <f>WEEKNUM(R212-RESUMEN!$AB$7)</f>
        <v>#NUM!</v>
      </c>
      <c r="T212" s="47">
        <f>_xlfn.DAYS(R212,RESUMEN!$AB$7)</f>
        <v>-43247</v>
      </c>
      <c r="U212" s="48"/>
      <c r="V212" s="54"/>
      <c r="W212" s="66"/>
      <c r="X212" s="50" t="e">
        <f t="shared" si="26"/>
        <v>#DIV/0!</v>
      </c>
      <c r="Y212" s="83"/>
      <c r="Z212" s="115"/>
      <c r="AA212" s="47" t="e">
        <f>WEEKNUM(Z212-RESUMEN!$AN$7)</f>
        <v>#NUM!</v>
      </c>
      <c r="AB212" s="47">
        <f>_xlfn.DAYS(Z212,RESUMEN!$AN$7)</f>
        <v>-43254</v>
      </c>
      <c r="AC212" s="48"/>
      <c r="AD212" s="54"/>
      <c r="AE212" s="66"/>
      <c r="AF212" s="116" t="e">
        <f t="shared" si="27"/>
        <v>#DIV/0!</v>
      </c>
      <c r="AG212" s="83"/>
      <c r="AH212" s="115"/>
      <c r="AI212" s="47" t="e">
        <f>WEEKNUM(AH212-RESUMEN!$AZ$7)</f>
        <v>#NUM!</v>
      </c>
      <c r="AJ212" s="47">
        <f>_xlfn.DAYS(AH212,RESUMEN!$AZ$7)</f>
        <v>-43261</v>
      </c>
      <c r="AK212" s="79"/>
      <c r="AL212" s="54"/>
      <c r="AM212" s="66"/>
      <c r="AN212" s="50" t="e">
        <f t="shared" si="29"/>
        <v>#DIV/0!</v>
      </c>
      <c r="AO212" s="83"/>
      <c r="AP212" s="73"/>
      <c r="AQ212" s="47" t="e">
        <f>WEEKNUM(AP212-RESUMEN!$BL$7)</f>
        <v>#NUM!</v>
      </c>
      <c r="AR212" s="47">
        <f>_xlfn.DAYS(AP212,RESUMEN!$BL$7)</f>
        <v>-43267</v>
      </c>
      <c r="AS212" s="53"/>
      <c r="AT212" s="54"/>
      <c r="AU212" s="66"/>
      <c r="AV212" s="50" t="e">
        <f t="shared" si="23"/>
        <v>#DIV/0!</v>
      </c>
    </row>
    <row r="213" spans="2:48" x14ac:dyDescent="0.25">
      <c r="B213" s="52"/>
      <c r="C213" s="47" t="e">
        <f>WEEKNUM(B213-RESUMEN!$D$7)</f>
        <v>#NUM!</v>
      </c>
      <c r="D213" s="47">
        <f>_xlfn.DAYS(B213,RESUMEN!$D$7)</f>
        <v>-43238</v>
      </c>
      <c r="E213" s="48"/>
      <c r="F213" s="54"/>
      <c r="G213" s="66"/>
      <c r="H213" s="50" t="e">
        <f t="shared" si="24"/>
        <v>#DIV/0!</v>
      </c>
      <c r="I213" s="83"/>
      <c r="J213" s="115"/>
      <c r="K213" s="47" t="e">
        <f>WEEKNUM(J213-RESUMEN!$P$7)</f>
        <v>#NUM!</v>
      </c>
      <c r="L213" s="47">
        <f>_xlfn.DAYS(J213,RESUMEN!$P$7)</f>
        <v>-43242</v>
      </c>
      <c r="M213" s="48"/>
      <c r="N213" s="54"/>
      <c r="O213" s="66"/>
      <c r="P213" s="50" t="e">
        <f t="shared" si="25"/>
        <v>#DIV/0!</v>
      </c>
      <c r="Q213" s="83"/>
      <c r="R213" s="115"/>
      <c r="S213" s="47" t="e">
        <f>WEEKNUM(R213-RESUMEN!$AB$7)</f>
        <v>#NUM!</v>
      </c>
      <c r="T213" s="47">
        <f>_xlfn.DAYS(R213,RESUMEN!$AB$7)</f>
        <v>-43247</v>
      </c>
      <c r="U213" s="48"/>
      <c r="V213" s="54"/>
      <c r="W213" s="66"/>
      <c r="X213" s="50" t="e">
        <f t="shared" si="26"/>
        <v>#DIV/0!</v>
      </c>
      <c r="Y213" s="83"/>
      <c r="Z213" s="115"/>
      <c r="AA213" s="47" t="e">
        <f>WEEKNUM(Z213-RESUMEN!$AN$7)</f>
        <v>#NUM!</v>
      </c>
      <c r="AB213" s="47">
        <f>_xlfn.DAYS(Z213,RESUMEN!$AN$7)</f>
        <v>-43254</v>
      </c>
      <c r="AC213" s="48"/>
      <c r="AD213" s="54"/>
      <c r="AE213" s="66"/>
      <c r="AF213" s="116" t="e">
        <f t="shared" si="27"/>
        <v>#DIV/0!</v>
      </c>
      <c r="AG213" s="83"/>
      <c r="AH213" s="115"/>
      <c r="AI213" s="47" t="e">
        <f>WEEKNUM(AH213-RESUMEN!$AZ$7)</f>
        <v>#NUM!</v>
      </c>
      <c r="AJ213" s="47">
        <f>_xlfn.DAYS(AH213,RESUMEN!$AZ$7)</f>
        <v>-43261</v>
      </c>
      <c r="AK213" s="79"/>
      <c r="AL213" s="54"/>
      <c r="AM213" s="66"/>
      <c r="AN213" s="50" t="e">
        <f t="shared" si="29"/>
        <v>#DIV/0!</v>
      </c>
      <c r="AO213" s="83"/>
      <c r="AP213" s="73"/>
      <c r="AQ213" s="47" t="e">
        <f>WEEKNUM(AP213-RESUMEN!$BL$7)</f>
        <v>#NUM!</v>
      </c>
      <c r="AR213" s="47">
        <f>_xlfn.DAYS(AP213,RESUMEN!$BL$7)</f>
        <v>-43267</v>
      </c>
      <c r="AS213" s="53"/>
      <c r="AT213" s="54"/>
      <c r="AU213" s="66"/>
      <c r="AV213" s="50" t="e">
        <f t="shared" si="23"/>
        <v>#DIV/0!</v>
      </c>
    </row>
    <row r="214" spans="2:48" x14ac:dyDescent="0.25">
      <c r="B214" s="52"/>
      <c r="C214" s="47" t="e">
        <f>WEEKNUM(B214-RESUMEN!$D$7)</f>
        <v>#NUM!</v>
      </c>
      <c r="D214" s="47">
        <f>_xlfn.DAYS(B214,RESUMEN!$D$7)</f>
        <v>-43238</v>
      </c>
      <c r="E214" s="48"/>
      <c r="F214" s="54"/>
      <c r="G214" s="66"/>
      <c r="H214" s="50" t="e">
        <f t="shared" si="24"/>
        <v>#DIV/0!</v>
      </c>
      <c r="I214" s="83"/>
      <c r="J214" s="115"/>
      <c r="K214" s="47" t="e">
        <f>WEEKNUM(J214-RESUMEN!$P$7)</f>
        <v>#NUM!</v>
      </c>
      <c r="L214" s="47">
        <f>_xlfn.DAYS(J214,RESUMEN!$P$7)</f>
        <v>-43242</v>
      </c>
      <c r="M214" s="48"/>
      <c r="N214" s="54"/>
      <c r="O214" s="66"/>
      <c r="P214" s="50" t="e">
        <f t="shared" si="25"/>
        <v>#DIV/0!</v>
      </c>
      <c r="Q214" s="83"/>
      <c r="R214" s="115"/>
      <c r="S214" s="47" t="e">
        <f>WEEKNUM(R214-RESUMEN!$AB$7)</f>
        <v>#NUM!</v>
      </c>
      <c r="T214" s="47">
        <f>_xlfn.DAYS(R214,RESUMEN!$AB$7)</f>
        <v>-43247</v>
      </c>
      <c r="U214" s="48"/>
      <c r="V214" s="54"/>
      <c r="W214" s="66"/>
      <c r="X214" s="50" t="e">
        <f t="shared" si="26"/>
        <v>#DIV/0!</v>
      </c>
      <c r="Y214" s="83"/>
      <c r="Z214" s="115"/>
      <c r="AA214" s="47" t="e">
        <f>WEEKNUM(Z214-RESUMEN!$AN$7)</f>
        <v>#NUM!</v>
      </c>
      <c r="AB214" s="47">
        <f>_xlfn.DAYS(Z214,RESUMEN!$AN$7)</f>
        <v>-43254</v>
      </c>
      <c r="AC214" s="48"/>
      <c r="AD214" s="54"/>
      <c r="AE214" s="66"/>
      <c r="AF214" s="116" t="e">
        <f t="shared" si="27"/>
        <v>#DIV/0!</v>
      </c>
      <c r="AG214" s="83"/>
      <c r="AH214" s="115"/>
      <c r="AI214" s="47" t="e">
        <f>WEEKNUM(AH214-RESUMEN!$AZ$7)</f>
        <v>#NUM!</v>
      </c>
      <c r="AJ214" s="47">
        <f>_xlfn.DAYS(AH214,RESUMEN!$AZ$7)</f>
        <v>-43261</v>
      </c>
      <c r="AK214" s="79"/>
      <c r="AL214" s="54"/>
      <c r="AM214" s="66"/>
      <c r="AN214" s="50" t="e">
        <f t="shared" si="29"/>
        <v>#DIV/0!</v>
      </c>
      <c r="AO214" s="83"/>
      <c r="AP214" s="73"/>
      <c r="AQ214" s="47" t="e">
        <f>WEEKNUM(AP214-RESUMEN!$BL$7)</f>
        <v>#NUM!</v>
      </c>
      <c r="AR214" s="47">
        <f>_xlfn.DAYS(AP214,RESUMEN!$BL$7)</f>
        <v>-43267</v>
      </c>
      <c r="AS214" s="53"/>
      <c r="AT214" s="54"/>
      <c r="AU214" s="66"/>
      <c r="AV214" s="50" t="e">
        <f t="shared" si="23"/>
        <v>#DIV/0!</v>
      </c>
    </row>
    <row r="215" spans="2:48" x14ac:dyDescent="0.25">
      <c r="B215" s="52"/>
      <c r="C215" s="47" t="e">
        <f>WEEKNUM(B215-RESUMEN!$D$7)</f>
        <v>#NUM!</v>
      </c>
      <c r="D215" s="47">
        <f>_xlfn.DAYS(B215,RESUMEN!$D$7)</f>
        <v>-43238</v>
      </c>
      <c r="E215" s="48"/>
      <c r="F215" s="54"/>
      <c r="G215" s="66"/>
      <c r="H215" s="50" t="e">
        <f t="shared" si="24"/>
        <v>#DIV/0!</v>
      </c>
      <c r="I215" s="83"/>
      <c r="J215" s="115"/>
      <c r="K215" s="47" t="e">
        <f>WEEKNUM(J215-RESUMEN!$P$7)</f>
        <v>#NUM!</v>
      </c>
      <c r="L215" s="47">
        <f>_xlfn.DAYS(J215,RESUMEN!$P$7)</f>
        <v>-43242</v>
      </c>
      <c r="M215" s="48"/>
      <c r="N215" s="54"/>
      <c r="O215" s="66"/>
      <c r="P215" s="50" t="e">
        <f t="shared" si="25"/>
        <v>#DIV/0!</v>
      </c>
      <c r="Q215" s="83"/>
      <c r="R215" s="115"/>
      <c r="S215" s="47" t="e">
        <f>WEEKNUM(R215-RESUMEN!$AB$7)</f>
        <v>#NUM!</v>
      </c>
      <c r="T215" s="47">
        <f>_xlfn.DAYS(R215,RESUMEN!$AB$7)</f>
        <v>-43247</v>
      </c>
      <c r="U215" s="48"/>
      <c r="V215" s="54"/>
      <c r="W215" s="66"/>
      <c r="X215" s="50" t="e">
        <f t="shared" si="26"/>
        <v>#DIV/0!</v>
      </c>
      <c r="Y215" s="83"/>
      <c r="Z215" s="115"/>
      <c r="AA215" s="47" t="e">
        <f>WEEKNUM(Z215-RESUMEN!$AN$7)</f>
        <v>#NUM!</v>
      </c>
      <c r="AB215" s="47">
        <f>_xlfn.DAYS(Z215,RESUMEN!$AN$7)</f>
        <v>-43254</v>
      </c>
      <c r="AC215" s="48"/>
      <c r="AD215" s="54"/>
      <c r="AE215" s="66"/>
      <c r="AF215" s="116" t="e">
        <f t="shared" si="27"/>
        <v>#DIV/0!</v>
      </c>
      <c r="AG215" s="83"/>
      <c r="AH215" s="115"/>
      <c r="AI215" s="47" t="e">
        <f>WEEKNUM(AH215-RESUMEN!$AZ$7)</f>
        <v>#NUM!</v>
      </c>
      <c r="AJ215" s="47">
        <f>_xlfn.DAYS(AH215,RESUMEN!$AZ$7)</f>
        <v>-43261</v>
      </c>
      <c r="AK215" s="79"/>
      <c r="AL215" s="54"/>
      <c r="AM215" s="66"/>
      <c r="AN215" s="50" t="e">
        <f t="shared" si="29"/>
        <v>#DIV/0!</v>
      </c>
      <c r="AO215" s="83"/>
      <c r="AP215" s="73"/>
      <c r="AQ215" s="47" t="e">
        <f>WEEKNUM(AP215-RESUMEN!$BL$7)</f>
        <v>#NUM!</v>
      </c>
      <c r="AR215" s="47">
        <f>_xlfn.DAYS(AP215,RESUMEN!$BL$7)</f>
        <v>-43267</v>
      </c>
      <c r="AS215" s="53"/>
      <c r="AT215" s="54"/>
      <c r="AU215" s="66"/>
      <c r="AV215" s="50" t="e">
        <f t="shared" si="23"/>
        <v>#DIV/0!</v>
      </c>
    </row>
    <row r="216" spans="2:48" x14ac:dyDescent="0.25">
      <c r="B216" s="52"/>
      <c r="C216" s="47" t="e">
        <f>WEEKNUM(B216-RESUMEN!$D$7)</f>
        <v>#NUM!</v>
      </c>
      <c r="D216" s="47">
        <f>_xlfn.DAYS(B216,RESUMEN!$D$7)</f>
        <v>-43238</v>
      </c>
      <c r="E216" s="48"/>
      <c r="F216" s="54"/>
      <c r="G216" s="66"/>
      <c r="H216" s="50" t="e">
        <f t="shared" si="24"/>
        <v>#DIV/0!</v>
      </c>
      <c r="I216" s="83"/>
      <c r="J216" s="115"/>
      <c r="K216" s="47" t="e">
        <f>WEEKNUM(J216-RESUMEN!$P$7)</f>
        <v>#NUM!</v>
      </c>
      <c r="L216" s="47">
        <f>_xlfn.DAYS(J216,RESUMEN!$P$7)</f>
        <v>-43242</v>
      </c>
      <c r="M216" s="48"/>
      <c r="N216" s="54"/>
      <c r="O216" s="66"/>
      <c r="P216" s="50" t="e">
        <f t="shared" si="25"/>
        <v>#DIV/0!</v>
      </c>
      <c r="Q216" s="83"/>
      <c r="R216" s="115"/>
      <c r="S216" s="47" t="e">
        <f>WEEKNUM(R216-RESUMEN!$AB$7)</f>
        <v>#NUM!</v>
      </c>
      <c r="T216" s="47">
        <f>_xlfn.DAYS(R216,RESUMEN!$AB$7)</f>
        <v>-43247</v>
      </c>
      <c r="U216" s="48"/>
      <c r="V216" s="54"/>
      <c r="W216" s="66"/>
      <c r="X216" s="50" t="e">
        <f t="shared" si="26"/>
        <v>#DIV/0!</v>
      </c>
      <c r="Y216" s="83"/>
      <c r="Z216" s="115"/>
      <c r="AA216" s="47" t="e">
        <f>WEEKNUM(Z216-RESUMEN!$AN$7)</f>
        <v>#NUM!</v>
      </c>
      <c r="AB216" s="47">
        <f>_xlfn.DAYS(Z216,RESUMEN!$AN$7)</f>
        <v>-43254</v>
      </c>
      <c r="AC216" s="48"/>
      <c r="AD216" s="54"/>
      <c r="AE216" s="66"/>
      <c r="AF216" s="116" t="e">
        <f t="shared" si="27"/>
        <v>#DIV/0!</v>
      </c>
      <c r="AG216" s="83"/>
      <c r="AH216" s="115"/>
      <c r="AI216" s="47" t="e">
        <f>WEEKNUM(AH216-RESUMEN!$AZ$7)</f>
        <v>#NUM!</v>
      </c>
      <c r="AJ216" s="47">
        <f>_xlfn.DAYS(AH216,RESUMEN!$AZ$7)</f>
        <v>-43261</v>
      </c>
      <c r="AK216" s="79"/>
      <c r="AL216" s="54"/>
      <c r="AM216" s="66"/>
      <c r="AN216" s="50" t="e">
        <f t="shared" si="29"/>
        <v>#DIV/0!</v>
      </c>
      <c r="AO216" s="83"/>
      <c r="AP216" s="73"/>
      <c r="AQ216" s="47" t="e">
        <f>WEEKNUM(AP216-RESUMEN!$BL$7)</f>
        <v>#NUM!</v>
      </c>
      <c r="AR216" s="47">
        <f>_xlfn.DAYS(AP216,RESUMEN!$BL$7)</f>
        <v>-43267</v>
      </c>
      <c r="AS216" s="53"/>
      <c r="AT216" s="54"/>
      <c r="AU216" s="66"/>
      <c r="AV216" s="50" t="e">
        <f t="shared" si="23"/>
        <v>#DIV/0!</v>
      </c>
    </row>
    <row r="217" spans="2:48" x14ac:dyDescent="0.25">
      <c r="B217" s="52"/>
      <c r="C217" s="47" t="e">
        <f>WEEKNUM(B217-RESUMEN!$D$7)</f>
        <v>#NUM!</v>
      </c>
      <c r="D217" s="47">
        <f>_xlfn.DAYS(B217,RESUMEN!$D$7)</f>
        <v>-43238</v>
      </c>
      <c r="E217" s="48"/>
      <c r="F217" s="54"/>
      <c r="G217" s="66"/>
      <c r="H217" s="50" t="e">
        <f t="shared" si="24"/>
        <v>#DIV/0!</v>
      </c>
      <c r="I217" s="83"/>
      <c r="J217" s="115"/>
      <c r="K217" s="47" t="e">
        <f>WEEKNUM(J217-RESUMEN!$P$7)</f>
        <v>#NUM!</v>
      </c>
      <c r="L217" s="47">
        <f>_xlfn.DAYS(J217,RESUMEN!$P$7)</f>
        <v>-43242</v>
      </c>
      <c r="M217" s="48"/>
      <c r="N217" s="54"/>
      <c r="O217" s="66"/>
      <c r="P217" s="50" t="e">
        <f t="shared" si="25"/>
        <v>#DIV/0!</v>
      </c>
      <c r="Q217" s="83"/>
      <c r="R217" s="115"/>
      <c r="S217" s="47" t="e">
        <f>WEEKNUM(R217-RESUMEN!$AB$7)</f>
        <v>#NUM!</v>
      </c>
      <c r="T217" s="47">
        <f>_xlfn.DAYS(R217,RESUMEN!$AB$7)</f>
        <v>-43247</v>
      </c>
      <c r="U217" s="48"/>
      <c r="V217" s="54"/>
      <c r="W217" s="66"/>
      <c r="X217" s="50" t="e">
        <f t="shared" si="26"/>
        <v>#DIV/0!</v>
      </c>
      <c r="Y217" s="83"/>
      <c r="Z217" s="115"/>
      <c r="AA217" s="47" t="e">
        <f>WEEKNUM(Z217-RESUMEN!$AN$7)</f>
        <v>#NUM!</v>
      </c>
      <c r="AB217" s="47">
        <f>_xlfn.DAYS(Z217,RESUMEN!$AN$7)</f>
        <v>-43254</v>
      </c>
      <c r="AC217" s="48"/>
      <c r="AD217" s="54"/>
      <c r="AE217" s="66"/>
      <c r="AF217" s="116" t="e">
        <f t="shared" si="27"/>
        <v>#DIV/0!</v>
      </c>
      <c r="AG217" s="83"/>
      <c r="AH217" s="115"/>
      <c r="AI217" s="47" t="e">
        <f>WEEKNUM(AH217-RESUMEN!$AZ$7)</f>
        <v>#NUM!</v>
      </c>
      <c r="AJ217" s="47">
        <f>_xlfn.DAYS(AH217,RESUMEN!$AZ$7)</f>
        <v>-43261</v>
      </c>
      <c r="AK217" s="79"/>
      <c r="AL217" s="54"/>
      <c r="AM217" s="66"/>
      <c r="AN217" s="50" t="e">
        <f t="shared" si="29"/>
        <v>#DIV/0!</v>
      </c>
      <c r="AO217" s="83"/>
      <c r="AP217" s="73"/>
      <c r="AQ217" s="47" t="e">
        <f>WEEKNUM(AP217-RESUMEN!$BL$7)</f>
        <v>#NUM!</v>
      </c>
      <c r="AR217" s="47">
        <f>_xlfn.DAYS(AP217,RESUMEN!$BL$7)</f>
        <v>-43267</v>
      </c>
      <c r="AS217" s="53"/>
      <c r="AT217" s="54"/>
      <c r="AU217" s="66"/>
      <c r="AV217" s="50" t="e">
        <f t="shared" si="23"/>
        <v>#DIV/0!</v>
      </c>
    </row>
    <row r="218" spans="2:48" x14ac:dyDescent="0.25">
      <c r="B218" s="52"/>
      <c r="C218" s="47" t="e">
        <f>WEEKNUM(B218-RESUMEN!$D$7)</f>
        <v>#NUM!</v>
      </c>
      <c r="D218" s="47">
        <f>_xlfn.DAYS(B218,RESUMEN!$D$7)</f>
        <v>-43238</v>
      </c>
      <c r="E218" s="48"/>
      <c r="F218" s="54"/>
      <c r="G218" s="66"/>
      <c r="H218" s="50" t="e">
        <f t="shared" si="24"/>
        <v>#DIV/0!</v>
      </c>
      <c r="I218" s="83"/>
      <c r="J218" s="115"/>
      <c r="K218" s="47" t="e">
        <f>WEEKNUM(J218-RESUMEN!$P$7)</f>
        <v>#NUM!</v>
      </c>
      <c r="L218" s="47">
        <f>_xlfn.DAYS(J218,RESUMEN!$P$7)</f>
        <v>-43242</v>
      </c>
      <c r="M218" s="48"/>
      <c r="N218" s="54"/>
      <c r="O218" s="66"/>
      <c r="P218" s="50" t="e">
        <f t="shared" si="25"/>
        <v>#DIV/0!</v>
      </c>
      <c r="Q218" s="83"/>
      <c r="R218" s="115"/>
      <c r="S218" s="47" t="e">
        <f>WEEKNUM(R218-RESUMEN!$AB$7)</f>
        <v>#NUM!</v>
      </c>
      <c r="T218" s="47">
        <f>_xlfn.DAYS(R218,RESUMEN!$AB$7)</f>
        <v>-43247</v>
      </c>
      <c r="U218" s="48"/>
      <c r="V218" s="54"/>
      <c r="W218" s="66"/>
      <c r="X218" s="50" t="e">
        <f t="shared" si="26"/>
        <v>#DIV/0!</v>
      </c>
      <c r="Y218" s="83"/>
      <c r="Z218" s="115"/>
      <c r="AA218" s="47" t="e">
        <f>WEEKNUM(Z218-RESUMEN!$AN$7)</f>
        <v>#NUM!</v>
      </c>
      <c r="AB218" s="47">
        <f>_xlfn.DAYS(Z218,RESUMEN!$AN$7)</f>
        <v>-43254</v>
      </c>
      <c r="AC218" s="48"/>
      <c r="AD218" s="54"/>
      <c r="AE218" s="66"/>
      <c r="AF218" s="116" t="e">
        <f t="shared" si="27"/>
        <v>#DIV/0!</v>
      </c>
      <c r="AG218" s="83"/>
      <c r="AH218" s="115"/>
      <c r="AI218" s="47" t="e">
        <f>WEEKNUM(AH218-RESUMEN!$AZ$7)</f>
        <v>#NUM!</v>
      </c>
      <c r="AJ218" s="47">
        <f>_xlfn.DAYS(AH218,RESUMEN!$AZ$7)</f>
        <v>-43261</v>
      </c>
      <c r="AK218" s="79"/>
      <c r="AL218" s="54"/>
      <c r="AM218" s="66"/>
      <c r="AN218" s="50" t="e">
        <f t="shared" si="29"/>
        <v>#DIV/0!</v>
      </c>
      <c r="AO218" s="83"/>
      <c r="AP218" s="73"/>
      <c r="AQ218" s="47" t="e">
        <f>WEEKNUM(AP218-RESUMEN!$BL$7)</f>
        <v>#NUM!</v>
      </c>
      <c r="AR218" s="47">
        <f>_xlfn.DAYS(AP218,RESUMEN!$BL$7)</f>
        <v>-43267</v>
      </c>
      <c r="AS218" s="53"/>
      <c r="AT218" s="54"/>
      <c r="AU218" s="66"/>
      <c r="AV218" s="50" t="e">
        <f t="shared" si="23"/>
        <v>#DIV/0!</v>
      </c>
    </row>
    <row r="219" spans="2:48" x14ac:dyDescent="0.25">
      <c r="B219" s="52"/>
      <c r="C219" s="47" t="e">
        <f>WEEKNUM(B219-RESUMEN!$D$7)</f>
        <v>#NUM!</v>
      </c>
      <c r="D219" s="47">
        <f>_xlfn.DAYS(B219,RESUMEN!$D$7)</f>
        <v>-43238</v>
      </c>
      <c r="E219" s="48"/>
      <c r="F219" s="54"/>
      <c r="G219" s="66"/>
      <c r="H219" s="50" t="e">
        <f t="shared" si="24"/>
        <v>#DIV/0!</v>
      </c>
      <c r="I219" s="83"/>
      <c r="J219" s="115"/>
      <c r="K219" s="47" t="e">
        <f>WEEKNUM(J219-RESUMEN!$P$7)</f>
        <v>#NUM!</v>
      </c>
      <c r="L219" s="47">
        <f>_xlfn.DAYS(J219,RESUMEN!$P$7)</f>
        <v>-43242</v>
      </c>
      <c r="M219" s="48"/>
      <c r="N219" s="54"/>
      <c r="O219" s="66"/>
      <c r="P219" s="50" t="e">
        <f t="shared" si="25"/>
        <v>#DIV/0!</v>
      </c>
      <c r="Q219" s="83"/>
      <c r="R219" s="115"/>
      <c r="S219" s="47" t="e">
        <f>WEEKNUM(R219-RESUMEN!$AB$7)</f>
        <v>#NUM!</v>
      </c>
      <c r="T219" s="47">
        <f>_xlfn.DAYS(R219,RESUMEN!$AB$7)</f>
        <v>-43247</v>
      </c>
      <c r="U219" s="48"/>
      <c r="V219" s="54"/>
      <c r="W219" s="66"/>
      <c r="X219" s="50" t="e">
        <f t="shared" si="26"/>
        <v>#DIV/0!</v>
      </c>
      <c r="Y219" s="83"/>
      <c r="Z219" s="115"/>
      <c r="AA219" s="47" t="e">
        <f>WEEKNUM(Z219-RESUMEN!$AN$7)</f>
        <v>#NUM!</v>
      </c>
      <c r="AB219" s="47">
        <f>_xlfn.DAYS(Z219,RESUMEN!$AN$7)</f>
        <v>-43254</v>
      </c>
      <c r="AC219" s="48"/>
      <c r="AD219" s="54"/>
      <c r="AE219" s="66"/>
      <c r="AF219" s="116" t="e">
        <f t="shared" si="27"/>
        <v>#DIV/0!</v>
      </c>
      <c r="AG219" s="83"/>
      <c r="AH219" s="115"/>
      <c r="AI219" s="47" t="e">
        <f>WEEKNUM(AH219-RESUMEN!$AZ$7)</f>
        <v>#NUM!</v>
      </c>
      <c r="AJ219" s="47">
        <f>_xlfn.DAYS(AH219,RESUMEN!$AZ$7)</f>
        <v>-43261</v>
      </c>
      <c r="AK219" s="79"/>
      <c r="AL219" s="54"/>
      <c r="AM219" s="66"/>
      <c r="AN219" s="50" t="e">
        <f t="shared" si="29"/>
        <v>#DIV/0!</v>
      </c>
      <c r="AO219" s="83"/>
      <c r="AP219" s="73"/>
      <c r="AQ219" s="47" t="e">
        <f>WEEKNUM(AP219-RESUMEN!$BL$7)</f>
        <v>#NUM!</v>
      </c>
      <c r="AR219" s="47">
        <f>_xlfn.DAYS(AP219,RESUMEN!$BL$7)</f>
        <v>-43267</v>
      </c>
      <c r="AS219" s="53"/>
      <c r="AT219" s="54"/>
      <c r="AU219" s="66"/>
      <c r="AV219" s="50" t="e">
        <f t="shared" si="23"/>
        <v>#DIV/0!</v>
      </c>
    </row>
    <row r="220" spans="2:48" x14ac:dyDescent="0.25">
      <c r="B220" s="52"/>
      <c r="C220" s="47" t="e">
        <f>WEEKNUM(B220-RESUMEN!$D$7)</f>
        <v>#NUM!</v>
      </c>
      <c r="D220" s="47">
        <f>_xlfn.DAYS(B220,RESUMEN!$D$7)</f>
        <v>-43238</v>
      </c>
      <c r="E220" s="48"/>
      <c r="F220" s="54"/>
      <c r="G220" s="66"/>
      <c r="H220" s="50" t="e">
        <f t="shared" si="24"/>
        <v>#DIV/0!</v>
      </c>
      <c r="I220" s="83"/>
      <c r="J220" s="115"/>
      <c r="K220" s="47" t="e">
        <f>WEEKNUM(J220-RESUMEN!$P$7)</f>
        <v>#NUM!</v>
      </c>
      <c r="L220" s="47">
        <f>_xlfn.DAYS(J220,RESUMEN!$P$7)</f>
        <v>-43242</v>
      </c>
      <c r="M220" s="48"/>
      <c r="N220" s="54"/>
      <c r="O220" s="66"/>
      <c r="P220" s="50" t="e">
        <f t="shared" si="25"/>
        <v>#DIV/0!</v>
      </c>
      <c r="Q220" s="83"/>
      <c r="R220" s="115"/>
      <c r="S220" s="47" t="e">
        <f>WEEKNUM(R220-RESUMEN!$AB$7)</f>
        <v>#NUM!</v>
      </c>
      <c r="T220" s="47">
        <f>_xlfn.DAYS(R220,RESUMEN!$AB$7)</f>
        <v>-43247</v>
      </c>
      <c r="U220" s="48"/>
      <c r="V220" s="54"/>
      <c r="W220" s="66"/>
      <c r="X220" s="50" t="e">
        <f t="shared" si="26"/>
        <v>#DIV/0!</v>
      </c>
      <c r="Y220" s="83"/>
      <c r="Z220" s="115"/>
      <c r="AA220" s="47" t="e">
        <f>WEEKNUM(Z220-RESUMEN!$AN$7)</f>
        <v>#NUM!</v>
      </c>
      <c r="AB220" s="47">
        <f>_xlfn.DAYS(Z220,RESUMEN!$AN$7)</f>
        <v>-43254</v>
      </c>
      <c r="AC220" s="48"/>
      <c r="AD220" s="54"/>
      <c r="AE220" s="66"/>
      <c r="AF220" s="116" t="e">
        <f t="shared" si="27"/>
        <v>#DIV/0!</v>
      </c>
      <c r="AG220" s="83"/>
      <c r="AH220" s="115"/>
      <c r="AI220" s="47" t="e">
        <f>WEEKNUM(AH220-RESUMEN!$AZ$7)</f>
        <v>#NUM!</v>
      </c>
      <c r="AJ220" s="47">
        <f>_xlfn.DAYS(AH220,RESUMEN!$AZ$7)</f>
        <v>-43261</v>
      </c>
      <c r="AK220" s="79"/>
      <c r="AL220" s="54"/>
      <c r="AM220" s="66"/>
      <c r="AN220" s="50" t="e">
        <f t="shared" si="29"/>
        <v>#DIV/0!</v>
      </c>
      <c r="AO220" s="83"/>
      <c r="AP220" s="73"/>
      <c r="AQ220" s="47" t="e">
        <f>WEEKNUM(AP220-RESUMEN!$BL$7)</f>
        <v>#NUM!</v>
      </c>
      <c r="AR220" s="47">
        <f>_xlfn.DAYS(AP220,RESUMEN!$BL$7)</f>
        <v>-43267</v>
      </c>
      <c r="AS220" s="53"/>
      <c r="AT220" s="54"/>
      <c r="AU220" s="66"/>
      <c r="AV220" s="50" t="e">
        <f t="shared" si="23"/>
        <v>#DIV/0!</v>
      </c>
    </row>
    <row r="221" spans="2:48" x14ac:dyDescent="0.25">
      <c r="B221" s="52"/>
      <c r="C221" s="47" t="e">
        <f>WEEKNUM(B221-RESUMEN!$D$7)</f>
        <v>#NUM!</v>
      </c>
      <c r="D221" s="47">
        <f>_xlfn.DAYS(B221,RESUMEN!$D$7)</f>
        <v>-43238</v>
      </c>
      <c r="E221" s="48"/>
      <c r="F221" s="54"/>
      <c r="G221" s="66"/>
      <c r="H221" s="50" t="e">
        <f t="shared" si="24"/>
        <v>#DIV/0!</v>
      </c>
      <c r="I221" s="83"/>
      <c r="J221" s="115"/>
      <c r="K221" s="47" t="e">
        <f>WEEKNUM(J221-RESUMEN!$P$7)</f>
        <v>#NUM!</v>
      </c>
      <c r="L221" s="47">
        <f>_xlfn.DAYS(J221,RESUMEN!$P$7)</f>
        <v>-43242</v>
      </c>
      <c r="M221" s="48"/>
      <c r="N221" s="54"/>
      <c r="O221" s="66"/>
      <c r="P221" s="50" t="e">
        <f t="shared" si="25"/>
        <v>#DIV/0!</v>
      </c>
      <c r="Q221" s="83"/>
      <c r="R221" s="115"/>
      <c r="S221" s="47" t="e">
        <f>WEEKNUM(R221-RESUMEN!$AB$7)</f>
        <v>#NUM!</v>
      </c>
      <c r="T221" s="47">
        <f>_xlfn.DAYS(R221,RESUMEN!$AB$7)</f>
        <v>-43247</v>
      </c>
      <c r="U221" s="48"/>
      <c r="V221" s="54"/>
      <c r="W221" s="66"/>
      <c r="X221" s="50" t="e">
        <f t="shared" si="26"/>
        <v>#DIV/0!</v>
      </c>
      <c r="Y221" s="83"/>
      <c r="Z221" s="115"/>
      <c r="AA221" s="47" t="e">
        <f>WEEKNUM(Z221-RESUMEN!$AN$7)</f>
        <v>#NUM!</v>
      </c>
      <c r="AB221" s="47">
        <f>_xlfn.DAYS(Z221,RESUMEN!$AN$7)</f>
        <v>-43254</v>
      </c>
      <c r="AC221" s="48"/>
      <c r="AD221" s="54"/>
      <c r="AE221" s="66"/>
      <c r="AF221" s="116" t="e">
        <f t="shared" si="27"/>
        <v>#DIV/0!</v>
      </c>
      <c r="AG221" s="83"/>
      <c r="AH221" s="115"/>
      <c r="AI221" s="47" t="e">
        <f>WEEKNUM(AH221-RESUMEN!$AZ$7)</f>
        <v>#NUM!</v>
      </c>
      <c r="AJ221" s="47">
        <f>_xlfn.DAYS(AH221,RESUMEN!$AZ$7)</f>
        <v>-43261</v>
      </c>
      <c r="AK221" s="79"/>
      <c r="AL221" s="54"/>
      <c r="AM221" s="66"/>
      <c r="AN221" s="50" t="e">
        <f t="shared" si="29"/>
        <v>#DIV/0!</v>
      </c>
      <c r="AO221" s="83"/>
      <c r="AP221" s="73"/>
      <c r="AQ221" s="47" t="e">
        <f>WEEKNUM(AP221-RESUMEN!$BL$7)</f>
        <v>#NUM!</v>
      </c>
      <c r="AR221" s="47">
        <f>_xlfn.DAYS(AP221,RESUMEN!$BL$7)</f>
        <v>-43267</v>
      </c>
      <c r="AS221" s="53"/>
      <c r="AT221" s="54"/>
      <c r="AU221" s="66"/>
      <c r="AV221" s="50" t="e">
        <f t="shared" si="23"/>
        <v>#DIV/0!</v>
      </c>
    </row>
    <row r="222" spans="2:48" x14ac:dyDescent="0.25">
      <c r="B222" s="52"/>
      <c r="C222" s="47" t="e">
        <f>WEEKNUM(B222-RESUMEN!$D$7)</f>
        <v>#NUM!</v>
      </c>
      <c r="D222" s="47">
        <f>_xlfn.DAYS(B222,RESUMEN!$D$7)</f>
        <v>-43238</v>
      </c>
      <c r="E222" s="48"/>
      <c r="F222" s="54"/>
      <c r="G222" s="66"/>
      <c r="H222" s="50" t="e">
        <f t="shared" si="24"/>
        <v>#DIV/0!</v>
      </c>
      <c r="I222" s="83"/>
      <c r="J222" s="115"/>
      <c r="K222" s="47" t="e">
        <f>WEEKNUM(J222-RESUMEN!$P$7)</f>
        <v>#NUM!</v>
      </c>
      <c r="L222" s="47">
        <f>_xlfn.DAYS(J222,RESUMEN!$P$7)</f>
        <v>-43242</v>
      </c>
      <c r="M222" s="48"/>
      <c r="N222" s="54"/>
      <c r="O222" s="66"/>
      <c r="P222" s="50" t="e">
        <f t="shared" si="25"/>
        <v>#DIV/0!</v>
      </c>
      <c r="Q222" s="83"/>
      <c r="R222" s="115"/>
      <c r="S222" s="47" t="e">
        <f>WEEKNUM(R222-RESUMEN!$AB$7)</f>
        <v>#NUM!</v>
      </c>
      <c r="T222" s="47">
        <f>_xlfn.DAYS(R222,RESUMEN!$AB$7)</f>
        <v>-43247</v>
      </c>
      <c r="U222" s="48"/>
      <c r="V222" s="54"/>
      <c r="W222" s="66"/>
      <c r="X222" s="50" t="e">
        <f t="shared" si="26"/>
        <v>#DIV/0!</v>
      </c>
      <c r="Y222" s="83"/>
      <c r="Z222" s="115"/>
      <c r="AA222" s="47" t="e">
        <f>WEEKNUM(Z222-RESUMEN!$AN$7)</f>
        <v>#NUM!</v>
      </c>
      <c r="AB222" s="47">
        <f>_xlfn.DAYS(Z222,RESUMEN!$AN$7)</f>
        <v>-43254</v>
      </c>
      <c r="AC222" s="48"/>
      <c r="AD222" s="54"/>
      <c r="AE222" s="66"/>
      <c r="AF222" s="116" t="e">
        <f t="shared" si="27"/>
        <v>#DIV/0!</v>
      </c>
      <c r="AG222" s="83"/>
      <c r="AH222" s="115"/>
      <c r="AI222" s="47" t="e">
        <f>WEEKNUM(AH222-RESUMEN!$AZ$7)</f>
        <v>#NUM!</v>
      </c>
      <c r="AJ222" s="47">
        <f>_xlfn.DAYS(AH222,RESUMEN!$AZ$7)</f>
        <v>-43261</v>
      </c>
      <c r="AK222" s="79"/>
      <c r="AL222" s="54"/>
      <c r="AM222" s="66"/>
      <c r="AN222" s="50" t="e">
        <f t="shared" si="29"/>
        <v>#DIV/0!</v>
      </c>
      <c r="AO222" s="83"/>
      <c r="AP222" s="73"/>
      <c r="AQ222" s="47" t="e">
        <f>WEEKNUM(AP222-RESUMEN!$BL$7)</f>
        <v>#NUM!</v>
      </c>
      <c r="AR222" s="47">
        <f>_xlfn.DAYS(AP222,RESUMEN!$BL$7)</f>
        <v>-43267</v>
      </c>
      <c r="AS222" s="53"/>
      <c r="AT222" s="54"/>
      <c r="AU222" s="66"/>
      <c r="AV222" s="50" t="e">
        <f t="shared" si="23"/>
        <v>#DIV/0!</v>
      </c>
    </row>
    <row r="223" spans="2:48" x14ac:dyDescent="0.25">
      <c r="B223" s="52"/>
      <c r="C223" s="47" t="e">
        <f>WEEKNUM(B223-RESUMEN!$D$7)</f>
        <v>#NUM!</v>
      </c>
      <c r="D223" s="47">
        <f>_xlfn.DAYS(B223,RESUMEN!$D$7)</f>
        <v>-43238</v>
      </c>
      <c r="E223" s="48"/>
      <c r="F223" s="54"/>
      <c r="G223" s="66"/>
      <c r="H223" s="50" t="e">
        <f t="shared" si="24"/>
        <v>#DIV/0!</v>
      </c>
      <c r="I223" s="83"/>
      <c r="J223" s="115"/>
      <c r="K223" s="47" t="e">
        <f>WEEKNUM(J223-RESUMEN!$P$7)</f>
        <v>#NUM!</v>
      </c>
      <c r="L223" s="47">
        <f>_xlfn.DAYS(J223,RESUMEN!$P$7)</f>
        <v>-43242</v>
      </c>
      <c r="M223" s="48"/>
      <c r="N223" s="54"/>
      <c r="O223" s="66"/>
      <c r="P223" s="50" t="e">
        <f t="shared" si="25"/>
        <v>#DIV/0!</v>
      </c>
      <c r="Q223" s="83"/>
      <c r="R223" s="115"/>
      <c r="S223" s="47" t="e">
        <f>WEEKNUM(R223-RESUMEN!$AB$7)</f>
        <v>#NUM!</v>
      </c>
      <c r="T223" s="47">
        <f>_xlfn.DAYS(R223,RESUMEN!$AB$7)</f>
        <v>-43247</v>
      </c>
      <c r="U223" s="48"/>
      <c r="V223" s="54"/>
      <c r="W223" s="66"/>
      <c r="X223" s="50" t="e">
        <f t="shared" si="26"/>
        <v>#DIV/0!</v>
      </c>
      <c r="Y223" s="83"/>
      <c r="Z223" s="115"/>
      <c r="AA223" s="47" t="e">
        <f>WEEKNUM(Z223-RESUMEN!$AN$7)</f>
        <v>#NUM!</v>
      </c>
      <c r="AB223" s="47">
        <f>_xlfn.DAYS(Z223,RESUMEN!$AN$7)</f>
        <v>-43254</v>
      </c>
      <c r="AC223" s="48"/>
      <c r="AD223" s="54"/>
      <c r="AE223" s="66"/>
      <c r="AF223" s="116" t="e">
        <f t="shared" si="27"/>
        <v>#DIV/0!</v>
      </c>
      <c r="AG223" s="83"/>
      <c r="AH223" s="115"/>
      <c r="AI223" s="47" t="e">
        <f>WEEKNUM(AH223-RESUMEN!$AZ$7)</f>
        <v>#NUM!</v>
      </c>
      <c r="AJ223" s="47">
        <f>_xlfn.DAYS(AH223,RESUMEN!$AZ$7)</f>
        <v>-43261</v>
      </c>
      <c r="AK223" s="79"/>
      <c r="AL223" s="54"/>
      <c r="AM223" s="66"/>
      <c r="AN223" s="50" t="e">
        <f t="shared" si="29"/>
        <v>#DIV/0!</v>
      </c>
      <c r="AO223" s="83"/>
      <c r="AP223" s="73"/>
      <c r="AQ223" s="47" t="e">
        <f>WEEKNUM(AP223-RESUMEN!$BL$7)</f>
        <v>#NUM!</v>
      </c>
      <c r="AR223" s="47">
        <f>_xlfn.DAYS(AP223,RESUMEN!$BL$7)</f>
        <v>-43267</v>
      </c>
      <c r="AS223" s="53"/>
      <c r="AT223" s="54"/>
      <c r="AU223" s="66"/>
      <c r="AV223" s="50" t="e">
        <f t="shared" si="23"/>
        <v>#DIV/0!</v>
      </c>
    </row>
    <row r="224" spans="2:48" x14ac:dyDescent="0.25">
      <c r="B224" s="52"/>
      <c r="C224" s="47" t="e">
        <f>WEEKNUM(B224-RESUMEN!$D$7)</f>
        <v>#NUM!</v>
      </c>
      <c r="D224" s="47">
        <f>_xlfn.DAYS(B224,RESUMEN!$D$7)</f>
        <v>-43238</v>
      </c>
      <c r="E224" s="48"/>
      <c r="F224" s="54"/>
      <c r="G224" s="66"/>
      <c r="H224" s="50" t="e">
        <f t="shared" si="24"/>
        <v>#DIV/0!</v>
      </c>
      <c r="I224" s="83"/>
      <c r="J224" s="115"/>
      <c r="K224" s="47" t="e">
        <f>WEEKNUM(J224-RESUMEN!$P$7)</f>
        <v>#NUM!</v>
      </c>
      <c r="L224" s="47">
        <f>_xlfn.DAYS(J224,RESUMEN!$P$7)</f>
        <v>-43242</v>
      </c>
      <c r="M224" s="48"/>
      <c r="N224" s="54"/>
      <c r="O224" s="66"/>
      <c r="P224" s="50" t="e">
        <f t="shared" si="25"/>
        <v>#DIV/0!</v>
      </c>
      <c r="Q224" s="83"/>
      <c r="R224" s="115"/>
      <c r="S224" s="47" t="e">
        <f>WEEKNUM(R224-RESUMEN!$AB$7)</f>
        <v>#NUM!</v>
      </c>
      <c r="T224" s="47">
        <f>_xlfn.DAYS(R224,RESUMEN!$AB$7)</f>
        <v>-43247</v>
      </c>
      <c r="U224" s="48"/>
      <c r="V224" s="54"/>
      <c r="W224" s="66"/>
      <c r="X224" s="50" t="e">
        <f t="shared" si="26"/>
        <v>#DIV/0!</v>
      </c>
      <c r="Y224" s="83"/>
      <c r="Z224" s="115"/>
      <c r="AA224" s="47" t="e">
        <f>WEEKNUM(Z224-RESUMEN!$AN$7)</f>
        <v>#NUM!</v>
      </c>
      <c r="AB224" s="47">
        <f>_xlfn.DAYS(Z224,RESUMEN!$AN$7)</f>
        <v>-43254</v>
      </c>
      <c r="AC224" s="48"/>
      <c r="AD224" s="54"/>
      <c r="AE224" s="66"/>
      <c r="AF224" s="116" t="e">
        <f t="shared" si="27"/>
        <v>#DIV/0!</v>
      </c>
      <c r="AG224" s="83"/>
      <c r="AH224" s="115"/>
      <c r="AI224" s="47" t="e">
        <f>WEEKNUM(AH224-RESUMEN!$AZ$7)</f>
        <v>#NUM!</v>
      </c>
      <c r="AJ224" s="47">
        <f>_xlfn.DAYS(AH224,RESUMEN!$AZ$7)</f>
        <v>-43261</v>
      </c>
      <c r="AK224" s="79"/>
      <c r="AL224" s="54"/>
      <c r="AM224" s="66"/>
      <c r="AN224" s="50" t="e">
        <f t="shared" si="29"/>
        <v>#DIV/0!</v>
      </c>
      <c r="AO224" s="83"/>
      <c r="AP224" s="73"/>
      <c r="AQ224" s="47" t="e">
        <f>WEEKNUM(AP224-RESUMEN!$BL$7)</f>
        <v>#NUM!</v>
      </c>
      <c r="AR224" s="47">
        <f>_xlfn.DAYS(AP224,RESUMEN!$BL$7)</f>
        <v>-43267</v>
      </c>
      <c r="AS224" s="53"/>
      <c r="AT224" s="54"/>
      <c r="AU224" s="66"/>
      <c r="AV224" s="50" t="e">
        <f t="shared" si="23"/>
        <v>#DIV/0!</v>
      </c>
    </row>
    <row r="225" spans="2:48" x14ac:dyDescent="0.25">
      <c r="B225" s="52"/>
      <c r="C225" s="47" t="e">
        <f>WEEKNUM(B225-RESUMEN!$D$7)</f>
        <v>#NUM!</v>
      </c>
      <c r="D225" s="47">
        <f>_xlfn.DAYS(B225,RESUMEN!$D$7)</f>
        <v>-43238</v>
      </c>
      <c r="E225" s="48"/>
      <c r="F225" s="54"/>
      <c r="G225" s="66"/>
      <c r="H225" s="50" t="e">
        <f t="shared" si="24"/>
        <v>#DIV/0!</v>
      </c>
      <c r="I225" s="83"/>
      <c r="J225" s="115"/>
      <c r="K225" s="47" t="e">
        <f>WEEKNUM(J225-RESUMEN!$P$7)</f>
        <v>#NUM!</v>
      </c>
      <c r="L225" s="47">
        <f>_xlfn.DAYS(J225,RESUMEN!$P$7)</f>
        <v>-43242</v>
      </c>
      <c r="M225" s="48"/>
      <c r="N225" s="54"/>
      <c r="O225" s="66"/>
      <c r="P225" s="50" t="e">
        <f t="shared" si="25"/>
        <v>#DIV/0!</v>
      </c>
      <c r="Q225" s="83"/>
      <c r="R225" s="115"/>
      <c r="S225" s="47" t="e">
        <f>WEEKNUM(R225-RESUMEN!$AB$7)</f>
        <v>#NUM!</v>
      </c>
      <c r="T225" s="47">
        <f>_xlfn.DAYS(R225,RESUMEN!$AB$7)</f>
        <v>-43247</v>
      </c>
      <c r="U225" s="48"/>
      <c r="V225" s="54"/>
      <c r="W225" s="66"/>
      <c r="X225" s="50" t="e">
        <f t="shared" si="26"/>
        <v>#DIV/0!</v>
      </c>
      <c r="Y225" s="83"/>
      <c r="Z225" s="115"/>
      <c r="AA225" s="47" t="e">
        <f>WEEKNUM(Z225-RESUMEN!$AN$7)</f>
        <v>#NUM!</v>
      </c>
      <c r="AB225" s="47">
        <f>_xlfn.DAYS(Z225,RESUMEN!$AN$7)</f>
        <v>-43254</v>
      </c>
      <c r="AC225" s="48"/>
      <c r="AD225" s="54"/>
      <c r="AE225" s="66"/>
      <c r="AF225" s="116" t="e">
        <f t="shared" si="27"/>
        <v>#DIV/0!</v>
      </c>
      <c r="AG225" s="83"/>
      <c r="AH225" s="115"/>
      <c r="AI225" s="47" t="e">
        <f>WEEKNUM(AH225-RESUMEN!$AZ$7)</f>
        <v>#NUM!</v>
      </c>
      <c r="AJ225" s="47">
        <f>_xlfn.DAYS(AH225,RESUMEN!$AZ$7)</f>
        <v>-43261</v>
      </c>
      <c r="AK225" s="79"/>
      <c r="AL225" s="54"/>
      <c r="AM225" s="66"/>
      <c r="AN225" s="50" t="e">
        <f t="shared" si="29"/>
        <v>#DIV/0!</v>
      </c>
      <c r="AO225" s="83"/>
      <c r="AP225" s="73"/>
      <c r="AQ225" s="47" t="e">
        <f>WEEKNUM(AP225-RESUMEN!$BL$7)</f>
        <v>#NUM!</v>
      </c>
      <c r="AR225" s="47">
        <f>_xlfn.DAYS(AP225,RESUMEN!$BL$7)</f>
        <v>-43267</v>
      </c>
      <c r="AS225" s="53"/>
      <c r="AT225" s="54"/>
      <c r="AU225" s="66"/>
      <c r="AV225" s="50" t="e">
        <f t="shared" si="23"/>
        <v>#DIV/0!</v>
      </c>
    </row>
    <row r="226" spans="2:48" x14ac:dyDescent="0.25">
      <c r="B226" s="52"/>
      <c r="C226" s="47" t="e">
        <f>WEEKNUM(B226-RESUMEN!$D$7)</f>
        <v>#NUM!</v>
      </c>
      <c r="D226" s="47">
        <f>_xlfn.DAYS(B226,RESUMEN!$D$7)</f>
        <v>-43238</v>
      </c>
      <c r="E226" s="48"/>
      <c r="F226" s="54"/>
      <c r="G226" s="66"/>
      <c r="H226" s="50" t="e">
        <f t="shared" si="24"/>
        <v>#DIV/0!</v>
      </c>
      <c r="I226" s="83"/>
      <c r="J226" s="115"/>
      <c r="K226" s="47" t="e">
        <f>WEEKNUM(J226-RESUMEN!$P$7)</f>
        <v>#NUM!</v>
      </c>
      <c r="L226" s="47">
        <f>_xlfn.DAYS(J226,RESUMEN!$P$7)</f>
        <v>-43242</v>
      </c>
      <c r="M226" s="48"/>
      <c r="N226" s="54"/>
      <c r="O226" s="66"/>
      <c r="P226" s="50" t="e">
        <f t="shared" si="25"/>
        <v>#DIV/0!</v>
      </c>
      <c r="Q226" s="83"/>
      <c r="R226" s="115"/>
      <c r="S226" s="47" t="e">
        <f>WEEKNUM(R226-RESUMEN!$AB$7)</f>
        <v>#NUM!</v>
      </c>
      <c r="T226" s="47">
        <f>_xlfn.DAYS(R226,RESUMEN!$AB$7)</f>
        <v>-43247</v>
      </c>
      <c r="U226" s="48"/>
      <c r="V226" s="54"/>
      <c r="W226" s="66"/>
      <c r="X226" s="50" t="e">
        <f t="shared" si="26"/>
        <v>#DIV/0!</v>
      </c>
      <c r="Y226" s="83"/>
      <c r="Z226" s="115"/>
      <c r="AA226" s="47" t="e">
        <f>WEEKNUM(Z226-RESUMEN!$AN$7)</f>
        <v>#NUM!</v>
      </c>
      <c r="AB226" s="47">
        <f>_xlfn.DAYS(Z226,RESUMEN!$AN$7)</f>
        <v>-43254</v>
      </c>
      <c r="AC226" s="48"/>
      <c r="AD226" s="54"/>
      <c r="AE226" s="66"/>
      <c r="AF226" s="116" t="e">
        <f t="shared" si="27"/>
        <v>#DIV/0!</v>
      </c>
      <c r="AG226" s="83"/>
      <c r="AH226" s="115"/>
      <c r="AI226" s="47" t="e">
        <f>WEEKNUM(AH226-RESUMEN!$AZ$7)</f>
        <v>#NUM!</v>
      </c>
      <c r="AJ226" s="47">
        <f>_xlfn.DAYS(AH226,RESUMEN!$AZ$7)</f>
        <v>-43261</v>
      </c>
      <c r="AK226" s="79"/>
      <c r="AL226" s="54"/>
      <c r="AM226" s="66"/>
      <c r="AN226" s="50" t="e">
        <f t="shared" si="29"/>
        <v>#DIV/0!</v>
      </c>
      <c r="AO226" s="83"/>
      <c r="AP226" s="73"/>
      <c r="AQ226" s="47" t="e">
        <f>WEEKNUM(AP226-RESUMEN!$BL$7)</f>
        <v>#NUM!</v>
      </c>
      <c r="AR226" s="47">
        <f>_xlfn.DAYS(AP226,RESUMEN!$BL$7)</f>
        <v>-43267</v>
      </c>
      <c r="AS226" s="53"/>
      <c r="AT226" s="54"/>
      <c r="AU226" s="66"/>
      <c r="AV226" s="50" t="e">
        <f t="shared" si="23"/>
        <v>#DIV/0!</v>
      </c>
    </row>
    <row r="227" spans="2:48" x14ac:dyDescent="0.25">
      <c r="B227" s="52"/>
      <c r="C227" s="47" t="e">
        <f>WEEKNUM(B227-RESUMEN!$D$7)</f>
        <v>#NUM!</v>
      </c>
      <c r="D227" s="47">
        <f>_xlfn.DAYS(B227,RESUMEN!$D$7)</f>
        <v>-43238</v>
      </c>
      <c r="E227" s="48"/>
      <c r="F227" s="54"/>
      <c r="G227" s="66"/>
      <c r="H227" s="50" t="e">
        <f t="shared" si="24"/>
        <v>#DIV/0!</v>
      </c>
      <c r="I227" s="83"/>
      <c r="J227" s="115"/>
      <c r="K227" s="47" t="e">
        <f>WEEKNUM(J227-RESUMEN!$P$7)</f>
        <v>#NUM!</v>
      </c>
      <c r="L227" s="47">
        <f>_xlfn.DAYS(J227,RESUMEN!$P$7)</f>
        <v>-43242</v>
      </c>
      <c r="M227" s="48"/>
      <c r="N227" s="54"/>
      <c r="O227" s="66"/>
      <c r="P227" s="50" t="e">
        <f t="shared" si="25"/>
        <v>#DIV/0!</v>
      </c>
      <c r="Q227" s="83"/>
      <c r="R227" s="115"/>
      <c r="S227" s="47" t="e">
        <f>WEEKNUM(R227-RESUMEN!$AB$7)</f>
        <v>#NUM!</v>
      </c>
      <c r="T227" s="47">
        <f>_xlfn.DAYS(R227,RESUMEN!$AB$7)</f>
        <v>-43247</v>
      </c>
      <c r="U227" s="48"/>
      <c r="V227" s="54"/>
      <c r="W227" s="66"/>
      <c r="X227" s="50" t="e">
        <f t="shared" si="26"/>
        <v>#DIV/0!</v>
      </c>
      <c r="Y227" s="83"/>
      <c r="Z227" s="115"/>
      <c r="AA227" s="47" t="e">
        <f>WEEKNUM(Z227-RESUMEN!$AN$7)</f>
        <v>#NUM!</v>
      </c>
      <c r="AB227" s="47">
        <f>_xlfn.DAYS(Z227,RESUMEN!$AN$7)</f>
        <v>-43254</v>
      </c>
      <c r="AC227" s="48"/>
      <c r="AD227" s="54"/>
      <c r="AE227" s="66"/>
      <c r="AF227" s="116" t="e">
        <f t="shared" si="27"/>
        <v>#DIV/0!</v>
      </c>
      <c r="AG227" s="83"/>
      <c r="AH227" s="115"/>
      <c r="AI227" s="47" t="e">
        <f>WEEKNUM(AH227-RESUMEN!$AZ$7)</f>
        <v>#NUM!</v>
      </c>
      <c r="AJ227" s="47">
        <f>_xlfn.DAYS(AH227,RESUMEN!$AZ$7)</f>
        <v>-43261</v>
      </c>
      <c r="AK227" s="79"/>
      <c r="AL227" s="54"/>
      <c r="AM227" s="66"/>
      <c r="AN227" s="50" t="e">
        <f t="shared" si="29"/>
        <v>#DIV/0!</v>
      </c>
      <c r="AO227" s="83"/>
      <c r="AP227" s="73"/>
      <c r="AQ227" s="47" t="e">
        <f>WEEKNUM(AP227-RESUMEN!$BL$7)</f>
        <v>#NUM!</v>
      </c>
      <c r="AR227" s="47">
        <f>_xlfn.DAYS(AP227,RESUMEN!$BL$7)</f>
        <v>-43267</v>
      </c>
      <c r="AS227" s="53"/>
      <c r="AT227" s="54"/>
      <c r="AU227" s="66"/>
      <c r="AV227" s="50" t="e">
        <f t="shared" si="23"/>
        <v>#DIV/0!</v>
      </c>
    </row>
    <row r="228" spans="2:48" x14ac:dyDescent="0.25">
      <c r="B228" s="52"/>
      <c r="C228" s="47" t="e">
        <f>WEEKNUM(B228-RESUMEN!$D$7)</f>
        <v>#NUM!</v>
      </c>
      <c r="D228" s="47">
        <f>_xlfn.DAYS(B228,RESUMEN!$D$7)</f>
        <v>-43238</v>
      </c>
      <c r="E228" s="48"/>
      <c r="F228" s="54"/>
      <c r="G228" s="66"/>
      <c r="H228" s="50" t="e">
        <f t="shared" si="24"/>
        <v>#DIV/0!</v>
      </c>
      <c r="I228" s="83"/>
      <c r="J228" s="115"/>
      <c r="K228" s="47" t="e">
        <f>WEEKNUM(J228-RESUMEN!$P$7)</f>
        <v>#NUM!</v>
      </c>
      <c r="L228" s="47">
        <f>_xlfn.DAYS(J228,RESUMEN!$P$7)</f>
        <v>-43242</v>
      </c>
      <c r="M228" s="48"/>
      <c r="N228" s="54"/>
      <c r="O228" s="66"/>
      <c r="P228" s="50" t="e">
        <f t="shared" si="25"/>
        <v>#DIV/0!</v>
      </c>
      <c r="Q228" s="83"/>
      <c r="R228" s="115"/>
      <c r="S228" s="47" t="e">
        <f>WEEKNUM(R228-RESUMEN!$AB$7)</f>
        <v>#NUM!</v>
      </c>
      <c r="T228" s="47">
        <f>_xlfn.DAYS(R228,RESUMEN!$AB$7)</f>
        <v>-43247</v>
      </c>
      <c r="U228" s="48"/>
      <c r="V228" s="54"/>
      <c r="W228" s="66"/>
      <c r="X228" s="50" t="e">
        <f t="shared" si="26"/>
        <v>#DIV/0!</v>
      </c>
      <c r="Y228" s="83"/>
      <c r="Z228" s="115"/>
      <c r="AA228" s="47" t="e">
        <f>WEEKNUM(Z228-RESUMEN!$AN$7)</f>
        <v>#NUM!</v>
      </c>
      <c r="AB228" s="47">
        <f>_xlfn.DAYS(Z228,RESUMEN!$AN$7)</f>
        <v>-43254</v>
      </c>
      <c r="AC228" s="48"/>
      <c r="AD228" s="54"/>
      <c r="AE228" s="66"/>
      <c r="AF228" s="116" t="e">
        <f t="shared" si="27"/>
        <v>#DIV/0!</v>
      </c>
      <c r="AG228" s="83"/>
      <c r="AH228" s="115"/>
      <c r="AI228" s="47" t="e">
        <f>WEEKNUM(AH228-RESUMEN!$AZ$7)</f>
        <v>#NUM!</v>
      </c>
      <c r="AJ228" s="47">
        <f>_xlfn.DAYS(AH228,RESUMEN!$AZ$7)</f>
        <v>-43261</v>
      </c>
      <c r="AK228" s="79"/>
      <c r="AL228" s="54"/>
      <c r="AM228" s="66"/>
      <c r="AN228" s="50" t="e">
        <f t="shared" si="29"/>
        <v>#DIV/0!</v>
      </c>
      <c r="AO228" s="83"/>
      <c r="AP228" s="73"/>
      <c r="AQ228" s="47" t="e">
        <f>WEEKNUM(AP228-RESUMEN!$BL$7)</f>
        <v>#NUM!</v>
      </c>
      <c r="AR228" s="47">
        <f>_xlfn.DAYS(AP228,RESUMEN!$BL$7)</f>
        <v>-43267</v>
      </c>
      <c r="AS228" s="53"/>
      <c r="AT228" s="54"/>
      <c r="AU228" s="66"/>
      <c r="AV228" s="50" t="e">
        <f t="shared" si="23"/>
        <v>#DIV/0!</v>
      </c>
    </row>
    <row r="229" spans="2:48" x14ac:dyDescent="0.25">
      <c r="B229" s="52"/>
      <c r="C229" s="47" t="e">
        <f>WEEKNUM(B229-RESUMEN!$D$7)</f>
        <v>#NUM!</v>
      </c>
      <c r="D229" s="47">
        <f>_xlfn.DAYS(B229,RESUMEN!$D$7)</f>
        <v>-43238</v>
      </c>
      <c r="E229" s="48"/>
      <c r="F229" s="54"/>
      <c r="G229" s="66"/>
      <c r="H229" s="50" t="e">
        <f t="shared" si="24"/>
        <v>#DIV/0!</v>
      </c>
      <c r="I229" s="83"/>
      <c r="J229" s="115"/>
      <c r="K229" s="47" t="e">
        <f>WEEKNUM(J229-RESUMEN!$P$7)</f>
        <v>#NUM!</v>
      </c>
      <c r="L229" s="47">
        <f>_xlfn.DAYS(J229,RESUMEN!$P$7)</f>
        <v>-43242</v>
      </c>
      <c r="M229" s="48"/>
      <c r="N229" s="54"/>
      <c r="O229" s="66"/>
      <c r="P229" s="50" t="e">
        <f t="shared" si="25"/>
        <v>#DIV/0!</v>
      </c>
      <c r="Q229" s="83"/>
      <c r="R229" s="115"/>
      <c r="S229" s="47" t="e">
        <f>WEEKNUM(R229-RESUMEN!$AB$7)</f>
        <v>#NUM!</v>
      </c>
      <c r="T229" s="47">
        <f>_xlfn.DAYS(R229,RESUMEN!$AB$7)</f>
        <v>-43247</v>
      </c>
      <c r="U229" s="48"/>
      <c r="V229" s="54"/>
      <c r="W229" s="66"/>
      <c r="X229" s="50" t="e">
        <f t="shared" si="26"/>
        <v>#DIV/0!</v>
      </c>
      <c r="Y229" s="83"/>
      <c r="Z229" s="115"/>
      <c r="AA229" s="47" t="e">
        <f>WEEKNUM(Z229-RESUMEN!$AN$7)</f>
        <v>#NUM!</v>
      </c>
      <c r="AB229" s="47">
        <f>_xlfn.DAYS(Z229,RESUMEN!$AN$7)</f>
        <v>-43254</v>
      </c>
      <c r="AC229" s="48"/>
      <c r="AD229" s="54"/>
      <c r="AE229" s="66"/>
      <c r="AF229" s="116" t="e">
        <f t="shared" si="27"/>
        <v>#DIV/0!</v>
      </c>
      <c r="AG229" s="83"/>
      <c r="AH229" s="115"/>
      <c r="AI229" s="47" t="e">
        <f>WEEKNUM(AH229-RESUMEN!$AZ$7)</f>
        <v>#NUM!</v>
      </c>
      <c r="AJ229" s="47">
        <f>_xlfn.DAYS(AH229,RESUMEN!$AZ$7)</f>
        <v>-43261</v>
      </c>
      <c r="AK229" s="79"/>
      <c r="AL229" s="54"/>
      <c r="AM229" s="66"/>
      <c r="AN229" s="50" t="e">
        <f t="shared" si="29"/>
        <v>#DIV/0!</v>
      </c>
      <c r="AO229" s="83"/>
      <c r="AP229" s="73"/>
      <c r="AQ229" s="47" t="e">
        <f>WEEKNUM(AP229-RESUMEN!$BL$7)</f>
        <v>#NUM!</v>
      </c>
      <c r="AR229" s="47">
        <f>_xlfn.DAYS(AP229,RESUMEN!$BL$7)</f>
        <v>-43267</v>
      </c>
      <c r="AS229" s="53"/>
      <c r="AT229" s="54"/>
      <c r="AU229" s="66"/>
      <c r="AV229" s="50" t="e">
        <f t="shared" si="23"/>
        <v>#DIV/0!</v>
      </c>
    </row>
    <row r="230" spans="2:48" x14ac:dyDescent="0.25">
      <c r="B230" s="52"/>
      <c r="C230" s="47" t="e">
        <f>WEEKNUM(B230-RESUMEN!$D$7)</f>
        <v>#NUM!</v>
      </c>
      <c r="D230" s="47">
        <f>_xlfn.DAYS(B230,RESUMEN!$D$7)</f>
        <v>-43238</v>
      </c>
      <c r="E230" s="48"/>
      <c r="F230" s="54"/>
      <c r="G230" s="66"/>
      <c r="H230" s="50" t="e">
        <f t="shared" si="24"/>
        <v>#DIV/0!</v>
      </c>
      <c r="I230" s="83"/>
      <c r="J230" s="115"/>
      <c r="K230" s="47" t="e">
        <f>WEEKNUM(J230-RESUMEN!$P$7)</f>
        <v>#NUM!</v>
      </c>
      <c r="L230" s="47">
        <f>_xlfn.DAYS(J230,RESUMEN!$P$7)</f>
        <v>-43242</v>
      </c>
      <c r="M230" s="48"/>
      <c r="N230" s="54"/>
      <c r="O230" s="66"/>
      <c r="P230" s="50" t="e">
        <f t="shared" si="25"/>
        <v>#DIV/0!</v>
      </c>
      <c r="Q230" s="83"/>
      <c r="R230" s="115"/>
      <c r="S230" s="47" t="e">
        <f>WEEKNUM(R230-RESUMEN!$AB$7)</f>
        <v>#NUM!</v>
      </c>
      <c r="T230" s="47">
        <f>_xlfn.DAYS(R230,RESUMEN!$AB$7)</f>
        <v>-43247</v>
      </c>
      <c r="U230" s="48"/>
      <c r="V230" s="54"/>
      <c r="W230" s="66"/>
      <c r="X230" s="50" t="e">
        <f t="shared" si="26"/>
        <v>#DIV/0!</v>
      </c>
      <c r="Y230" s="83"/>
      <c r="Z230" s="115"/>
      <c r="AA230" s="47" t="e">
        <f>WEEKNUM(Z230-RESUMEN!$AN$7)</f>
        <v>#NUM!</v>
      </c>
      <c r="AB230" s="47">
        <f>_xlfn.DAYS(Z230,RESUMEN!$AN$7)</f>
        <v>-43254</v>
      </c>
      <c r="AC230" s="48"/>
      <c r="AD230" s="54"/>
      <c r="AE230" s="66"/>
      <c r="AF230" s="116" t="e">
        <f t="shared" si="27"/>
        <v>#DIV/0!</v>
      </c>
      <c r="AG230" s="83"/>
      <c r="AH230" s="115"/>
      <c r="AI230" s="47" t="e">
        <f>WEEKNUM(AH230-RESUMEN!$AZ$7)</f>
        <v>#NUM!</v>
      </c>
      <c r="AJ230" s="47">
        <f>_xlfn.DAYS(AH230,RESUMEN!$AZ$7)</f>
        <v>-43261</v>
      </c>
      <c r="AK230" s="79"/>
      <c r="AL230" s="54"/>
      <c r="AM230" s="66"/>
      <c r="AN230" s="50" t="e">
        <f t="shared" si="29"/>
        <v>#DIV/0!</v>
      </c>
      <c r="AO230" s="83"/>
      <c r="AP230" s="73"/>
      <c r="AQ230" s="47" t="e">
        <f>WEEKNUM(AP230-RESUMEN!$BL$7)</f>
        <v>#NUM!</v>
      </c>
      <c r="AR230" s="47">
        <f>_xlfn.DAYS(AP230,RESUMEN!$BL$7)</f>
        <v>-43267</v>
      </c>
      <c r="AS230" s="53"/>
      <c r="AT230" s="54"/>
      <c r="AU230" s="66"/>
      <c r="AV230" s="50" t="e">
        <f t="shared" si="23"/>
        <v>#DIV/0!</v>
      </c>
    </row>
    <row r="231" spans="2:48" x14ac:dyDescent="0.25">
      <c r="B231" s="52"/>
      <c r="C231" s="47" t="e">
        <f>WEEKNUM(B231-RESUMEN!$D$7)</f>
        <v>#NUM!</v>
      </c>
      <c r="D231" s="47">
        <f>_xlfn.DAYS(B231,RESUMEN!$D$7)</f>
        <v>-43238</v>
      </c>
      <c r="E231" s="48"/>
      <c r="F231" s="54"/>
      <c r="G231" s="66"/>
      <c r="H231" s="50" t="e">
        <f t="shared" si="24"/>
        <v>#DIV/0!</v>
      </c>
      <c r="J231" s="115"/>
      <c r="K231" s="47" t="e">
        <f>WEEKNUM(J231-RESUMEN!$P$7)</f>
        <v>#NUM!</v>
      </c>
      <c r="L231" s="47">
        <f>_xlfn.DAYS(J231,RESUMEN!$P$7)</f>
        <v>-43242</v>
      </c>
      <c r="M231" s="48"/>
      <c r="N231" s="54"/>
      <c r="O231" s="66"/>
      <c r="P231" s="50" t="e">
        <f t="shared" si="25"/>
        <v>#DIV/0!</v>
      </c>
      <c r="R231" s="115"/>
      <c r="S231" s="47" t="e">
        <f>WEEKNUM(R231-RESUMEN!$AB$7)</f>
        <v>#NUM!</v>
      </c>
      <c r="T231" s="47">
        <f>_xlfn.DAYS(R231,RESUMEN!$AB$7)</f>
        <v>-43247</v>
      </c>
      <c r="U231" s="48"/>
      <c r="V231" s="54"/>
      <c r="W231" s="66"/>
      <c r="X231" s="50" t="e">
        <f t="shared" si="26"/>
        <v>#DIV/0!</v>
      </c>
      <c r="Z231" s="115"/>
      <c r="AA231" s="47" t="e">
        <f>WEEKNUM(Z231-RESUMEN!$AN$7)</f>
        <v>#NUM!</v>
      </c>
      <c r="AB231" s="47">
        <f>_xlfn.DAYS(Z231,RESUMEN!$AN$7)</f>
        <v>-43254</v>
      </c>
      <c r="AC231" s="48"/>
      <c r="AD231" s="54"/>
      <c r="AE231" s="66"/>
      <c r="AF231" s="116" t="e">
        <f t="shared" si="27"/>
        <v>#DIV/0!</v>
      </c>
      <c r="AG231" s="83"/>
      <c r="AH231" s="115"/>
      <c r="AI231" s="47" t="e">
        <f>WEEKNUM(AH231-RESUMEN!$AZ$7)</f>
        <v>#NUM!</v>
      </c>
      <c r="AJ231" s="47">
        <f>_xlfn.DAYS(AH231,RESUMEN!$AZ$7)</f>
        <v>-43261</v>
      </c>
      <c r="AK231" s="79"/>
      <c r="AL231" s="54"/>
      <c r="AM231" s="66"/>
      <c r="AN231" s="50" t="e">
        <f t="shared" si="29"/>
        <v>#DIV/0!</v>
      </c>
      <c r="AP231" s="73"/>
      <c r="AQ231" s="47" t="e">
        <f>WEEKNUM(AP231-RESUMEN!$BL$7)</f>
        <v>#NUM!</v>
      </c>
      <c r="AR231" s="47">
        <f>_xlfn.DAYS(AP231,RESUMEN!$BL$7)</f>
        <v>-43267</v>
      </c>
      <c r="AS231" s="53"/>
      <c r="AT231" s="54"/>
      <c r="AU231" s="66"/>
      <c r="AV231" s="50" t="e">
        <f t="shared" si="23"/>
        <v>#DIV/0!</v>
      </c>
    </row>
    <row r="232" spans="2:48" x14ac:dyDescent="0.25">
      <c r="B232" s="52"/>
      <c r="C232" s="47" t="e">
        <f>WEEKNUM(B232-RESUMEN!$D$7)</f>
        <v>#NUM!</v>
      </c>
      <c r="D232" s="47">
        <f>_xlfn.DAYS(B232,RESUMEN!$D$7)</f>
        <v>-43238</v>
      </c>
      <c r="E232" s="48"/>
      <c r="F232" s="54"/>
      <c r="G232" s="66"/>
      <c r="H232" s="50" t="e">
        <f t="shared" si="24"/>
        <v>#DIV/0!</v>
      </c>
      <c r="J232" s="115"/>
      <c r="K232" s="47" t="e">
        <f>WEEKNUM(J232-RESUMEN!$P$7)</f>
        <v>#NUM!</v>
      </c>
      <c r="L232" s="47">
        <f>_xlfn.DAYS(J232,RESUMEN!$P$7)</f>
        <v>-43242</v>
      </c>
      <c r="M232" s="48"/>
      <c r="N232" s="54"/>
      <c r="O232" s="66"/>
      <c r="P232" s="50" t="e">
        <f t="shared" si="25"/>
        <v>#DIV/0!</v>
      </c>
      <c r="R232" s="115"/>
      <c r="S232" s="47" t="e">
        <f>WEEKNUM(R232-RESUMEN!$AB$7)</f>
        <v>#NUM!</v>
      </c>
      <c r="T232" s="47">
        <f>_xlfn.DAYS(R232,RESUMEN!$AB$7)</f>
        <v>-43247</v>
      </c>
      <c r="U232" s="48"/>
      <c r="V232" s="54"/>
      <c r="W232" s="66"/>
      <c r="X232" s="50" t="e">
        <f t="shared" si="26"/>
        <v>#DIV/0!</v>
      </c>
      <c r="Z232" s="115"/>
      <c r="AA232" s="47" t="e">
        <f>WEEKNUM(Z232-RESUMEN!$AN$7)</f>
        <v>#NUM!</v>
      </c>
      <c r="AB232" s="47">
        <f>_xlfn.DAYS(Z232,RESUMEN!$AN$7)</f>
        <v>-43254</v>
      </c>
      <c r="AC232" s="48"/>
      <c r="AD232" s="54"/>
      <c r="AE232" s="66"/>
      <c r="AF232" s="116" t="e">
        <f t="shared" si="27"/>
        <v>#DIV/0!</v>
      </c>
      <c r="AG232" s="83"/>
      <c r="AH232" s="115"/>
      <c r="AI232" s="47" t="e">
        <f>WEEKNUM(AH232-RESUMEN!$AZ$7)</f>
        <v>#NUM!</v>
      </c>
      <c r="AJ232" s="47">
        <f>_xlfn.DAYS(AH232,RESUMEN!$AZ$7)</f>
        <v>-43261</v>
      </c>
      <c r="AK232" s="79"/>
      <c r="AL232" s="54"/>
      <c r="AM232" s="66"/>
      <c r="AN232" s="50" t="e">
        <f t="shared" si="29"/>
        <v>#DIV/0!</v>
      </c>
      <c r="AP232" s="73"/>
      <c r="AQ232" s="47" t="e">
        <f>WEEKNUM(AP232-RESUMEN!$BL$7)</f>
        <v>#NUM!</v>
      </c>
      <c r="AR232" s="47">
        <f>_xlfn.DAYS(AP232,RESUMEN!$BL$7)</f>
        <v>-43267</v>
      </c>
      <c r="AS232" s="53"/>
      <c r="AT232" s="54"/>
      <c r="AU232" s="66"/>
      <c r="AV232" s="50" t="e">
        <f t="shared" si="23"/>
        <v>#DIV/0!</v>
      </c>
    </row>
    <row r="233" spans="2:48" x14ac:dyDescent="0.25">
      <c r="B233" s="52"/>
      <c r="C233" s="47" t="e">
        <f>WEEKNUM(B233-RESUMEN!$D$7)</f>
        <v>#NUM!</v>
      </c>
      <c r="D233" s="47">
        <f>_xlfn.DAYS(B233,RESUMEN!$D$7)</f>
        <v>-43238</v>
      </c>
      <c r="E233" s="48"/>
      <c r="F233" s="54"/>
      <c r="G233" s="66"/>
      <c r="H233" s="50" t="e">
        <f t="shared" si="24"/>
        <v>#DIV/0!</v>
      </c>
      <c r="J233" s="115"/>
      <c r="K233" s="47" t="e">
        <f>WEEKNUM(J233-RESUMEN!$P$7)</f>
        <v>#NUM!</v>
      </c>
      <c r="L233" s="47">
        <f>_xlfn.DAYS(J233,RESUMEN!$P$7)</f>
        <v>-43242</v>
      </c>
      <c r="M233" s="48"/>
      <c r="N233" s="54"/>
      <c r="O233" s="66"/>
      <c r="P233" s="50" t="e">
        <f t="shared" si="25"/>
        <v>#DIV/0!</v>
      </c>
      <c r="R233" s="115"/>
      <c r="S233" s="47" t="e">
        <f>WEEKNUM(R233-RESUMEN!$AB$7)</f>
        <v>#NUM!</v>
      </c>
      <c r="T233" s="47">
        <f>_xlfn.DAYS(R233,RESUMEN!$AB$7)</f>
        <v>-43247</v>
      </c>
      <c r="U233" s="48"/>
      <c r="V233" s="54"/>
      <c r="W233" s="66"/>
      <c r="X233" s="50" t="e">
        <f t="shared" si="26"/>
        <v>#DIV/0!</v>
      </c>
      <c r="Z233" s="115"/>
      <c r="AA233" s="47" t="e">
        <f>WEEKNUM(Z233-RESUMEN!$AN$7)</f>
        <v>#NUM!</v>
      </c>
      <c r="AB233" s="47">
        <f>_xlfn.DAYS(Z233,RESUMEN!$AN$7)</f>
        <v>-43254</v>
      </c>
      <c r="AC233" s="48"/>
      <c r="AD233" s="54"/>
      <c r="AE233" s="66"/>
      <c r="AF233" s="116" t="e">
        <f t="shared" si="27"/>
        <v>#DIV/0!</v>
      </c>
      <c r="AG233" s="83"/>
      <c r="AH233" s="115"/>
      <c r="AI233" s="47" t="e">
        <f>WEEKNUM(AH233-RESUMEN!$AZ$7)</f>
        <v>#NUM!</v>
      </c>
      <c r="AJ233" s="47">
        <f>_xlfn.DAYS(AH233,RESUMEN!$AZ$7)</f>
        <v>-43261</v>
      </c>
      <c r="AK233" s="79"/>
      <c r="AL233" s="54"/>
      <c r="AM233" s="66"/>
      <c r="AN233" s="50" t="e">
        <f t="shared" si="29"/>
        <v>#DIV/0!</v>
      </c>
      <c r="AP233" s="73"/>
      <c r="AQ233" s="47" t="e">
        <f>WEEKNUM(AP233-RESUMEN!$BL$7)</f>
        <v>#NUM!</v>
      </c>
      <c r="AR233" s="47">
        <f>_xlfn.DAYS(AP233,RESUMEN!$BL$7)</f>
        <v>-43267</v>
      </c>
      <c r="AS233" s="53"/>
      <c r="AT233" s="54"/>
      <c r="AU233" s="66"/>
      <c r="AV233" s="50" t="e">
        <f t="shared" si="23"/>
        <v>#DIV/0!</v>
      </c>
    </row>
    <row r="234" spans="2:48" x14ac:dyDescent="0.25">
      <c r="B234" s="52"/>
      <c r="C234" s="47" t="e">
        <f>WEEKNUM(B234-RESUMEN!$D$7)</f>
        <v>#NUM!</v>
      </c>
      <c r="D234" s="47">
        <f>_xlfn.DAYS(B234,RESUMEN!$D$7)</f>
        <v>-43238</v>
      </c>
      <c r="E234" s="48"/>
      <c r="F234" s="54"/>
      <c r="G234" s="66"/>
      <c r="H234" s="50" t="e">
        <f t="shared" si="24"/>
        <v>#DIV/0!</v>
      </c>
      <c r="J234" s="115"/>
      <c r="K234" s="47" t="e">
        <f>WEEKNUM(J234-RESUMEN!$P$7)</f>
        <v>#NUM!</v>
      </c>
      <c r="L234" s="47">
        <f>_xlfn.DAYS(J234,RESUMEN!$P$7)</f>
        <v>-43242</v>
      </c>
      <c r="M234" s="48"/>
      <c r="N234" s="54"/>
      <c r="O234" s="66"/>
      <c r="P234" s="50" t="e">
        <f t="shared" si="25"/>
        <v>#DIV/0!</v>
      </c>
      <c r="R234" s="115"/>
      <c r="S234" s="47" t="e">
        <f>WEEKNUM(R234-RESUMEN!$AB$7)</f>
        <v>#NUM!</v>
      </c>
      <c r="T234" s="47">
        <f>_xlfn.DAYS(R234,RESUMEN!$AB$7)</f>
        <v>-43247</v>
      </c>
      <c r="U234" s="48"/>
      <c r="V234" s="54"/>
      <c r="W234" s="66"/>
      <c r="X234" s="50" t="e">
        <f t="shared" si="26"/>
        <v>#DIV/0!</v>
      </c>
      <c r="Z234" s="115"/>
      <c r="AA234" s="47" t="e">
        <f>WEEKNUM(Z234-RESUMEN!$AN$7)</f>
        <v>#NUM!</v>
      </c>
      <c r="AB234" s="47">
        <f>_xlfn.DAYS(Z234,RESUMEN!$AN$7)</f>
        <v>-43254</v>
      </c>
      <c r="AC234" s="48"/>
      <c r="AD234" s="54"/>
      <c r="AE234" s="66"/>
      <c r="AF234" s="116" t="e">
        <f t="shared" si="27"/>
        <v>#DIV/0!</v>
      </c>
      <c r="AG234" s="83"/>
      <c r="AH234" s="115"/>
      <c r="AI234" s="47" t="e">
        <f>WEEKNUM(AH234-RESUMEN!$AZ$7)</f>
        <v>#NUM!</v>
      </c>
      <c r="AJ234" s="47">
        <f>_xlfn.DAYS(AH234,RESUMEN!$AZ$7)</f>
        <v>-43261</v>
      </c>
      <c r="AK234" s="79"/>
      <c r="AL234" s="54"/>
      <c r="AM234" s="66"/>
      <c r="AN234" s="50" t="e">
        <f t="shared" si="29"/>
        <v>#DIV/0!</v>
      </c>
      <c r="AP234" s="73"/>
      <c r="AQ234" s="47" t="e">
        <f>WEEKNUM(AP234-RESUMEN!$BL$7)</f>
        <v>#NUM!</v>
      </c>
      <c r="AR234" s="47">
        <f>_xlfn.DAYS(AP234,RESUMEN!$BL$7)</f>
        <v>-43267</v>
      </c>
      <c r="AS234" s="53"/>
      <c r="AT234" s="54"/>
      <c r="AU234" s="66"/>
      <c r="AV234" s="50" t="e">
        <f t="shared" si="23"/>
        <v>#DIV/0!</v>
      </c>
    </row>
    <row r="235" spans="2:48" x14ac:dyDescent="0.25">
      <c r="B235" s="52"/>
      <c r="C235" s="47" t="e">
        <f>WEEKNUM(B235-RESUMEN!$D$7)</f>
        <v>#NUM!</v>
      </c>
      <c r="D235" s="47">
        <f>_xlfn.DAYS(B235,RESUMEN!$D$7)</f>
        <v>-43238</v>
      </c>
      <c r="E235" s="48"/>
      <c r="F235" s="54"/>
      <c r="G235" s="66"/>
      <c r="H235" s="50" t="e">
        <f t="shared" si="24"/>
        <v>#DIV/0!</v>
      </c>
      <c r="J235" s="115"/>
      <c r="K235" s="47" t="e">
        <f>WEEKNUM(J235-RESUMEN!$P$7)</f>
        <v>#NUM!</v>
      </c>
      <c r="L235" s="47">
        <f>_xlfn.DAYS(J235,RESUMEN!$P$7)</f>
        <v>-43242</v>
      </c>
      <c r="M235" s="48"/>
      <c r="N235" s="54"/>
      <c r="O235" s="66"/>
      <c r="P235" s="50" t="e">
        <f t="shared" si="25"/>
        <v>#DIV/0!</v>
      </c>
      <c r="R235" s="115"/>
      <c r="S235" s="47" t="e">
        <f>WEEKNUM(R235-RESUMEN!$AB$7)</f>
        <v>#NUM!</v>
      </c>
      <c r="T235" s="47">
        <f>_xlfn.DAYS(R235,RESUMEN!$AB$7)</f>
        <v>-43247</v>
      </c>
      <c r="U235" s="48"/>
      <c r="V235" s="54"/>
      <c r="W235" s="66"/>
      <c r="X235" s="50" t="e">
        <f t="shared" si="26"/>
        <v>#DIV/0!</v>
      </c>
      <c r="Z235" s="115"/>
      <c r="AA235" s="47" t="e">
        <f>WEEKNUM(Z235-RESUMEN!$AN$7)</f>
        <v>#NUM!</v>
      </c>
      <c r="AB235" s="47">
        <f>_xlfn.DAYS(Z235,RESUMEN!$AN$7)</f>
        <v>-43254</v>
      </c>
      <c r="AC235" s="48"/>
      <c r="AD235" s="54"/>
      <c r="AE235" s="66"/>
      <c r="AF235" s="116" t="e">
        <f t="shared" si="27"/>
        <v>#DIV/0!</v>
      </c>
      <c r="AG235" s="83"/>
      <c r="AH235" s="115"/>
      <c r="AI235" s="47" t="e">
        <f>WEEKNUM(AH235-RESUMEN!$AZ$7)</f>
        <v>#NUM!</v>
      </c>
      <c r="AJ235" s="47">
        <f>_xlfn.DAYS(AH235,RESUMEN!$AZ$7)</f>
        <v>-43261</v>
      </c>
      <c r="AK235" s="79"/>
      <c r="AL235" s="54"/>
      <c r="AM235" s="66"/>
      <c r="AN235" s="50" t="e">
        <f t="shared" si="29"/>
        <v>#DIV/0!</v>
      </c>
      <c r="AP235" s="73"/>
      <c r="AQ235" s="47" t="e">
        <f>WEEKNUM(AP235-RESUMEN!$BL$7)</f>
        <v>#NUM!</v>
      </c>
      <c r="AR235" s="47">
        <f>_xlfn.DAYS(AP235,RESUMEN!$BL$7)</f>
        <v>-43267</v>
      </c>
      <c r="AS235" s="53"/>
      <c r="AT235" s="54"/>
      <c r="AU235" s="66"/>
      <c r="AV235" s="50" t="e">
        <f t="shared" si="23"/>
        <v>#DIV/0!</v>
      </c>
    </row>
    <row r="236" spans="2:48" x14ac:dyDescent="0.25">
      <c r="B236" s="52"/>
      <c r="C236" s="47" t="e">
        <f>WEEKNUM(B236-RESUMEN!$D$7)</f>
        <v>#NUM!</v>
      </c>
      <c r="D236" s="47">
        <f>_xlfn.DAYS(B236,RESUMEN!$D$7)</f>
        <v>-43238</v>
      </c>
      <c r="E236" s="48"/>
      <c r="F236" s="54"/>
      <c r="G236" s="66"/>
      <c r="H236" s="50" t="e">
        <f t="shared" si="24"/>
        <v>#DIV/0!</v>
      </c>
      <c r="J236" s="115"/>
      <c r="K236" s="47" t="e">
        <f>WEEKNUM(J236-RESUMEN!$P$7)</f>
        <v>#NUM!</v>
      </c>
      <c r="L236" s="47">
        <f>_xlfn.DAYS(J236,RESUMEN!$P$7)</f>
        <v>-43242</v>
      </c>
      <c r="M236" s="48"/>
      <c r="N236" s="54"/>
      <c r="O236" s="66"/>
      <c r="P236" s="50" t="e">
        <f t="shared" si="25"/>
        <v>#DIV/0!</v>
      </c>
      <c r="R236" s="115"/>
      <c r="S236" s="47" t="e">
        <f>WEEKNUM(R236-RESUMEN!$AB$7)</f>
        <v>#NUM!</v>
      </c>
      <c r="T236" s="47">
        <f>_xlfn.DAYS(R236,RESUMEN!$AB$7)</f>
        <v>-43247</v>
      </c>
      <c r="U236" s="48"/>
      <c r="V236" s="54"/>
      <c r="W236" s="66"/>
      <c r="X236" s="50" t="e">
        <f t="shared" si="26"/>
        <v>#DIV/0!</v>
      </c>
      <c r="Z236" s="115"/>
      <c r="AA236" s="47" t="e">
        <f>WEEKNUM(Z236-RESUMEN!$AN$7)</f>
        <v>#NUM!</v>
      </c>
      <c r="AB236" s="47">
        <f>_xlfn.DAYS(Z236,RESUMEN!$AN$7)</f>
        <v>-43254</v>
      </c>
      <c r="AC236" s="48"/>
      <c r="AD236" s="54"/>
      <c r="AE236" s="66"/>
      <c r="AF236" s="116" t="e">
        <f t="shared" si="27"/>
        <v>#DIV/0!</v>
      </c>
      <c r="AG236" s="83"/>
      <c r="AH236" s="115"/>
      <c r="AI236" s="47" t="e">
        <f>WEEKNUM(AH236-RESUMEN!$AZ$7)</f>
        <v>#NUM!</v>
      </c>
      <c r="AJ236" s="47">
        <f>_xlfn.DAYS(AH236,RESUMEN!$AZ$7)</f>
        <v>-43261</v>
      </c>
      <c r="AK236" s="79"/>
      <c r="AL236" s="54"/>
      <c r="AM236" s="66"/>
      <c r="AN236" s="50" t="e">
        <f t="shared" si="29"/>
        <v>#DIV/0!</v>
      </c>
      <c r="AP236" s="73"/>
      <c r="AQ236" s="47" t="e">
        <f>WEEKNUM(AP236-RESUMEN!$BL$7)</f>
        <v>#NUM!</v>
      </c>
      <c r="AR236" s="47">
        <f>_xlfn.DAYS(AP236,RESUMEN!$BL$7)</f>
        <v>-43267</v>
      </c>
      <c r="AS236" s="53"/>
      <c r="AT236" s="54"/>
      <c r="AU236" s="66"/>
      <c r="AV236" s="50" t="e">
        <f t="shared" si="23"/>
        <v>#DIV/0!</v>
      </c>
    </row>
    <row r="237" spans="2:48" x14ac:dyDescent="0.25">
      <c r="B237" s="52"/>
      <c r="C237" s="47" t="e">
        <f>WEEKNUM(B237-RESUMEN!$D$7)</f>
        <v>#NUM!</v>
      </c>
      <c r="D237" s="47">
        <f>_xlfn.DAYS(B237,RESUMEN!$D$7)</f>
        <v>-43238</v>
      </c>
      <c r="E237" s="48"/>
      <c r="F237" s="54"/>
      <c r="G237" s="66"/>
      <c r="H237" s="50" t="e">
        <f t="shared" si="24"/>
        <v>#DIV/0!</v>
      </c>
      <c r="J237" s="115"/>
      <c r="K237" s="47" t="e">
        <f>WEEKNUM(J237-RESUMEN!$P$7)</f>
        <v>#NUM!</v>
      </c>
      <c r="L237" s="47">
        <f>_xlfn.DAYS(J237,RESUMEN!$P$7)</f>
        <v>-43242</v>
      </c>
      <c r="M237" s="48"/>
      <c r="N237" s="54"/>
      <c r="O237" s="66"/>
      <c r="P237" s="50" t="e">
        <f t="shared" si="25"/>
        <v>#DIV/0!</v>
      </c>
      <c r="R237" s="115"/>
      <c r="S237" s="47" t="e">
        <f>WEEKNUM(R237-RESUMEN!$AB$7)</f>
        <v>#NUM!</v>
      </c>
      <c r="T237" s="47">
        <f>_xlfn.DAYS(R237,RESUMEN!$AB$7)</f>
        <v>-43247</v>
      </c>
      <c r="U237" s="48"/>
      <c r="V237" s="54"/>
      <c r="W237" s="66"/>
      <c r="X237" s="50" t="e">
        <f t="shared" si="26"/>
        <v>#DIV/0!</v>
      </c>
      <c r="Z237" s="115"/>
      <c r="AA237" s="47" t="e">
        <f>WEEKNUM(Z237-RESUMEN!$AN$7)</f>
        <v>#NUM!</v>
      </c>
      <c r="AB237" s="47">
        <f>_xlfn.DAYS(Z237,RESUMEN!$AN$7)</f>
        <v>-43254</v>
      </c>
      <c r="AC237" s="48"/>
      <c r="AD237" s="54"/>
      <c r="AE237" s="66"/>
      <c r="AF237" s="116" t="e">
        <f t="shared" si="27"/>
        <v>#DIV/0!</v>
      </c>
      <c r="AG237" s="83"/>
      <c r="AH237" s="115"/>
      <c r="AI237" s="47" t="e">
        <f>WEEKNUM(AH237-RESUMEN!$AZ$7)</f>
        <v>#NUM!</v>
      </c>
      <c r="AJ237" s="47">
        <f>_xlfn.DAYS(AH237,RESUMEN!$AZ$7)</f>
        <v>-43261</v>
      </c>
      <c r="AK237" s="79"/>
      <c r="AL237" s="54"/>
      <c r="AM237" s="66"/>
      <c r="AN237" s="50" t="e">
        <f t="shared" si="29"/>
        <v>#DIV/0!</v>
      </c>
      <c r="AP237" s="73"/>
      <c r="AQ237" s="47" t="e">
        <f>WEEKNUM(AP237-RESUMEN!$BL$7)</f>
        <v>#NUM!</v>
      </c>
      <c r="AR237" s="47">
        <f>_xlfn.DAYS(AP237,RESUMEN!$BL$7)</f>
        <v>-43267</v>
      </c>
      <c r="AS237" s="53"/>
      <c r="AT237" s="54"/>
      <c r="AU237" s="66"/>
      <c r="AV237" s="50" t="e">
        <f t="shared" si="23"/>
        <v>#DIV/0!</v>
      </c>
    </row>
    <row r="238" spans="2:48" x14ac:dyDescent="0.25">
      <c r="B238" s="52"/>
      <c r="C238" s="47" t="e">
        <f>WEEKNUM(B238-RESUMEN!$D$7)</f>
        <v>#NUM!</v>
      </c>
      <c r="D238" s="47">
        <f>_xlfn.DAYS(B238,RESUMEN!$D$7)</f>
        <v>-43238</v>
      </c>
      <c r="E238" s="48"/>
      <c r="F238" s="54"/>
      <c r="G238" s="66"/>
      <c r="H238" s="50" t="e">
        <f t="shared" si="24"/>
        <v>#DIV/0!</v>
      </c>
      <c r="J238" s="115"/>
      <c r="K238" s="47" t="e">
        <f>WEEKNUM(J238-RESUMEN!$P$7)</f>
        <v>#NUM!</v>
      </c>
      <c r="L238" s="47">
        <f>_xlfn.DAYS(J238,RESUMEN!$P$7)</f>
        <v>-43242</v>
      </c>
      <c r="M238" s="48"/>
      <c r="N238" s="54"/>
      <c r="O238" s="66"/>
      <c r="P238" s="50" t="e">
        <f t="shared" si="25"/>
        <v>#DIV/0!</v>
      </c>
      <c r="R238" s="115"/>
      <c r="S238" s="47" t="e">
        <f>WEEKNUM(R238-RESUMEN!$AB$7)</f>
        <v>#NUM!</v>
      </c>
      <c r="T238" s="47">
        <f>_xlfn.DAYS(R238,RESUMEN!$AB$7)</f>
        <v>-43247</v>
      </c>
      <c r="U238" s="48"/>
      <c r="V238" s="54"/>
      <c r="W238" s="66"/>
      <c r="X238" s="50" t="e">
        <f t="shared" si="26"/>
        <v>#DIV/0!</v>
      </c>
      <c r="Z238" s="115"/>
      <c r="AA238" s="47" t="e">
        <f>WEEKNUM(Z238-RESUMEN!$AN$7)</f>
        <v>#NUM!</v>
      </c>
      <c r="AB238" s="47">
        <f>_xlfn.DAYS(Z238,RESUMEN!$AN$7)</f>
        <v>-43254</v>
      </c>
      <c r="AC238" s="48"/>
      <c r="AD238" s="54"/>
      <c r="AE238" s="66"/>
      <c r="AF238" s="116" t="e">
        <f t="shared" si="27"/>
        <v>#DIV/0!</v>
      </c>
      <c r="AG238" s="83"/>
      <c r="AH238" s="115"/>
      <c r="AI238" s="47" t="e">
        <f>WEEKNUM(AH238-RESUMEN!$AZ$7)</f>
        <v>#NUM!</v>
      </c>
      <c r="AJ238" s="47">
        <f>_xlfn.DAYS(AH238,RESUMEN!$AZ$7)</f>
        <v>-43261</v>
      </c>
      <c r="AK238" s="79"/>
      <c r="AL238" s="54"/>
      <c r="AM238" s="66"/>
      <c r="AN238" s="50" t="e">
        <f t="shared" si="29"/>
        <v>#DIV/0!</v>
      </c>
      <c r="AP238" s="73"/>
      <c r="AQ238" s="47" t="e">
        <f>WEEKNUM(AP238-RESUMEN!$BL$7)</f>
        <v>#NUM!</v>
      </c>
      <c r="AR238" s="47">
        <f>_xlfn.DAYS(AP238,RESUMEN!$BL$7)</f>
        <v>-43267</v>
      </c>
      <c r="AS238" s="53"/>
      <c r="AT238" s="54"/>
      <c r="AU238" s="66"/>
      <c r="AV238" s="50" t="e">
        <f t="shared" si="23"/>
        <v>#DIV/0!</v>
      </c>
    </row>
    <row r="239" spans="2:48" x14ac:dyDescent="0.25">
      <c r="B239" s="52"/>
      <c r="C239" s="47" t="e">
        <f>WEEKNUM(B239-RESUMEN!$D$7)</f>
        <v>#NUM!</v>
      </c>
      <c r="D239" s="47">
        <f>_xlfn.DAYS(B239,RESUMEN!$D$7)</f>
        <v>-43238</v>
      </c>
      <c r="E239" s="48"/>
      <c r="F239" s="54"/>
      <c r="G239" s="66"/>
      <c r="H239" s="50" t="e">
        <f t="shared" si="24"/>
        <v>#DIV/0!</v>
      </c>
      <c r="J239" s="115"/>
      <c r="K239" s="47" t="e">
        <f>WEEKNUM(J239-RESUMEN!$P$7)</f>
        <v>#NUM!</v>
      </c>
      <c r="L239" s="47">
        <f>_xlfn.DAYS(J239,RESUMEN!$P$7)</f>
        <v>-43242</v>
      </c>
      <c r="M239" s="48"/>
      <c r="N239" s="54"/>
      <c r="O239" s="66"/>
      <c r="P239" s="50" t="e">
        <f t="shared" si="25"/>
        <v>#DIV/0!</v>
      </c>
      <c r="R239" s="115"/>
      <c r="S239" s="47" t="e">
        <f>WEEKNUM(R239-RESUMEN!$AB$7)</f>
        <v>#NUM!</v>
      </c>
      <c r="T239" s="47">
        <f>_xlfn.DAYS(R239,RESUMEN!$AB$7)</f>
        <v>-43247</v>
      </c>
      <c r="U239" s="48"/>
      <c r="V239" s="54"/>
      <c r="W239" s="66"/>
      <c r="X239" s="50" t="e">
        <f t="shared" si="26"/>
        <v>#DIV/0!</v>
      </c>
      <c r="Z239" s="115"/>
      <c r="AA239" s="47" t="e">
        <f>WEEKNUM(Z239-RESUMEN!$AN$7)</f>
        <v>#NUM!</v>
      </c>
      <c r="AB239" s="47">
        <f>_xlfn.DAYS(Z239,RESUMEN!$AN$7)</f>
        <v>-43254</v>
      </c>
      <c r="AC239" s="48"/>
      <c r="AD239" s="54"/>
      <c r="AE239" s="66"/>
      <c r="AF239" s="116" t="e">
        <f t="shared" si="27"/>
        <v>#DIV/0!</v>
      </c>
      <c r="AG239" s="83"/>
      <c r="AH239" s="115"/>
      <c r="AI239" s="47" t="e">
        <f>WEEKNUM(AH239-RESUMEN!$AZ$7)</f>
        <v>#NUM!</v>
      </c>
      <c r="AJ239" s="47">
        <f>_xlfn.DAYS(AH239,RESUMEN!$AZ$7)</f>
        <v>-43261</v>
      </c>
      <c r="AK239" s="79"/>
      <c r="AL239" s="54"/>
      <c r="AM239" s="66"/>
      <c r="AN239" s="50" t="e">
        <f t="shared" si="29"/>
        <v>#DIV/0!</v>
      </c>
      <c r="AP239" s="73"/>
      <c r="AQ239" s="47" t="e">
        <f>WEEKNUM(AP239-RESUMEN!$BL$7)</f>
        <v>#NUM!</v>
      </c>
      <c r="AR239" s="47">
        <f>_xlfn.DAYS(AP239,RESUMEN!$BL$7)</f>
        <v>-43267</v>
      </c>
      <c r="AS239" s="53"/>
      <c r="AT239" s="54"/>
      <c r="AU239" s="66"/>
      <c r="AV239" s="50" t="e">
        <f t="shared" si="23"/>
        <v>#DIV/0!</v>
      </c>
    </row>
    <row r="240" spans="2:48" x14ac:dyDescent="0.25">
      <c r="B240" s="52"/>
      <c r="C240" s="47" t="e">
        <f>WEEKNUM(B240-RESUMEN!$D$7)</f>
        <v>#NUM!</v>
      </c>
      <c r="D240" s="47">
        <f>_xlfn.DAYS(B240,RESUMEN!$D$7)</f>
        <v>-43238</v>
      </c>
      <c r="E240" s="48"/>
      <c r="F240" s="54"/>
      <c r="G240" s="66"/>
      <c r="H240" s="50" t="e">
        <f t="shared" si="24"/>
        <v>#DIV/0!</v>
      </c>
      <c r="J240" s="115"/>
      <c r="K240" s="47" t="e">
        <f>WEEKNUM(J240-RESUMEN!$P$7)</f>
        <v>#NUM!</v>
      </c>
      <c r="L240" s="47">
        <f>_xlfn.DAYS(J240,RESUMEN!$P$7)</f>
        <v>-43242</v>
      </c>
      <c r="M240" s="48"/>
      <c r="N240" s="54"/>
      <c r="O240" s="66"/>
      <c r="P240" s="50" t="e">
        <f t="shared" si="25"/>
        <v>#DIV/0!</v>
      </c>
      <c r="R240" s="115"/>
      <c r="S240" s="47" t="e">
        <f>WEEKNUM(R240-RESUMEN!$AB$7)</f>
        <v>#NUM!</v>
      </c>
      <c r="T240" s="47">
        <f>_xlfn.DAYS(R240,RESUMEN!$AB$7)</f>
        <v>-43247</v>
      </c>
      <c r="U240" s="48"/>
      <c r="V240" s="54"/>
      <c r="W240" s="66"/>
      <c r="X240" s="50" t="e">
        <f t="shared" si="26"/>
        <v>#DIV/0!</v>
      </c>
      <c r="Z240" s="115"/>
      <c r="AA240" s="47" t="e">
        <f>WEEKNUM(Z240-RESUMEN!$AN$7)</f>
        <v>#NUM!</v>
      </c>
      <c r="AB240" s="47">
        <f>_xlfn.DAYS(Z240,RESUMEN!$AN$7)</f>
        <v>-43254</v>
      </c>
      <c r="AC240" s="48"/>
      <c r="AD240" s="54"/>
      <c r="AE240" s="66"/>
      <c r="AF240" s="116" t="e">
        <f t="shared" si="27"/>
        <v>#DIV/0!</v>
      </c>
      <c r="AG240" s="83"/>
      <c r="AH240" s="115"/>
      <c r="AI240" s="47" t="e">
        <f>WEEKNUM(AH240-RESUMEN!$AZ$7)</f>
        <v>#NUM!</v>
      </c>
      <c r="AJ240" s="47">
        <f>_xlfn.DAYS(AH240,RESUMEN!$AZ$7)</f>
        <v>-43261</v>
      </c>
      <c r="AK240" s="79"/>
      <c r="AL240" s="54"/>
      <c r="AM240" s="66"/>
      <c r="AN240" s="50" t="e">
        <f t="shared" si="29"/>
        <v>#DIV/0!</v>
      </c>
      <c r="AP240" s="73"/>
      <c r="AQ240" s="47" t="e">
        <f>WEEKNUM(AP240-RESUMEN!$BL$7)</f>
        <v>#NUM!</v>
      </c>
      <c r="AR240" s="47">
        <f>_xlfn.DAYS(AP240,RESUMEN!$BL$7)</f>
        <v>-43267</v>
      </c>
      <c r="AS240" s="53"/>
      <c r="AT240" s="54"/>
      <c r="AU240" s="66"/>
      <c r="AV240" s="50" t="e">
        <f t="shared" si="23"/>
        <v>#DIV/0!</v>
      </c>
    </row>
    <row r="241" spans="2:48" x14ac:dyDescent="0.25">
      <c r="B241" s="52"/>
      <c r="C241" s="47" t="e">
        <f>WEEKNUM(B241-RESUMEN!$D$7)</f>
        <v>#NUM!</v>
      </c>
      <c r="D241" s="47">
        <f>_xlfn.DAYS(B241,RESUMEN!$D$7)</f>
        <v>-43238</v>
      </c>
      <c r="E241" s="48"/>
      <c r="F241" s="54"/>
      <c r="G241" s="66"/>
      <c r="H241" s="50" t="e">
        <f t="shared" si="24"/>
        <v>#DIV/0!</v>
      </c>
      <c r="J241" s="115"/>
      <c r="K241" s="47" t="e">
        <f>WEEKNUM(J241-RESUMEN!$P$7)</f>
        <v>#NUM!</v>
      </c>
      <c r="L241" s="47">
        <f>_xlfn.DAYS(J241,RESUMEN!$P$7)</f>
        <v>-43242</v>
      </c>
      <c r="M241" s="48"/>
      <c r="N241" s="54"/>
      <c r="O241" s="66"/>
      <c r="P241" s="50" t="e">
        <f t="shared" si="25"/>
        <v>#DIV/0!</v>
      </c>
      <c r="R241" s="115"/>
      <c r="S241" s="47" t="e">
        <f>WEEKNUM(R241-RESUMEN!$AB$7)</f>
        <v>#NUM!</v>
      </c>
      <c r="T241" s="47">
        <f>_xlfn.DAYS(R241,RESUMEN!$AB$7)</f>
        <v>-43247</v>
      </c>
      <c r="U241" s="48"/>
      <c r="V241" s="54"/>
      <c r="W241" s="66"/>
      <c r="X241" s="50" t="e">
        <f t="shared" si="26"/>
        <v>#DIV/0!</v>
      </c>
      <c r="Z241" s="115"/>
      <c r="AA241" s="47" t="e">
        <f>WEEKNUM(Z241-RESUMEN!$AN$7)</f>
        <v>#NUM!</v>
      </c>
      <c r="AB241" s="47">
        <f>_xlfn.DAYS(Z241,RESUMEN!$AN$7)</f>
        <v>-43254</v>
      </c>
      <c r="AC241" s="48"/>
      <c r="AD241" s="54"/>
      <c r="AE241" s="66"/>
      <c r="AF241" s="116" t="e">
        <f t="shared" si="27"/>
        <v>#DIV/0!</v>
      </c>
      <c r="AG241" s="83"/>
      <c r="AH241" s="115"/>
      <c r="AI241" s="47" t="e">
        <f>WEEKNUM(AH241-RESUMEN!$AZ$7)</f>
        <v>#NUM!</v>
      </c>
      <c r="AJ241" s="47">
        <f>_xlfn.DAYS(AH241,RESUMEN!$AZ$7)</f>
        <v>-43261</v>
      </c>
      <c r="AK241" s="79"/>
      <c r="AL241" s="54"/>
      <c r="AM241" s="66"/>
      <c r="AN241" s="50" t="e">
        <f t="shared" si="29"/>
        <v>#DIV/0!</v>
      </c>
      <c r="AP241" s="73"/>
      <c r="AQ241" s="47" t="e">
        <f>WEEKNUM(AP241-RESUMEN!$BL$7)</f>
        <v>#NUM!</v>
      </c>
      <c r="AR241" s="47">
        <f>_xlfn.DAYS(AP241,RESUMEN!$BL$7)</f>
        <v>-43267</v>
      </c>
      <c r="AS241" s="53"/>
      <c r="AT241" s="54"/>
      <c r="AU241" s="66"/>
      <c r="AV241" s="50" t="e">
        <f t="shared" si="23"/>
        <v>#DIV/0!</v>
      </c>
    </row>
    <row r="242" spans="2:48" x14ac:dyDescent="0.25">
      <c r="B242" s="52"/>
      <c r="C242" s="47" t="e">
        <f>WEEKNUM(B242-RESUMEN!$D$7)</f>
        <v>#NUM!</v>
      </c>
      <c r="D242" s="47">
        <f>_xlfn.DAYS(B242,RESUMEN!$D$7)</f>
        <v>-43238</v>
      </c>
      <c r="E242" s="48"/>
      <c r="F242" s="54"/>
      <c r="G242" s="66"/>
      <c r="H242" s="50" t="e">
        <f t="shared" si="24"/>
        <v>#DIV/0!</v>
      </c>
      <c r="J242" s="115"/>
      <c r="K242" s="47" t="e">
        <f>WEEKNUM(J242-RESUMEN!$P$7)</f>
        <v>#NUM!</v>
      </c>
      <c r="L242" s="47">
        <f>_xlfn.DAYS(J242,RESUMEN!$P$7)</f>
        <v>-43242</v>
      </c>
      <c r="M242" s="48"/>
      <c r="N242" s="54"/>
      <c r="O242" s="66"/>
      <c r="P242" s="50" t="e">
        <f t="shared" si="25"/>
        <v>#DIV/0!</v>
      </c>
      <c r="R242" s="115"/>
      <c r="S242" s="47" t="e">
        <f>WEEKNUM(R242-RESUMEN!$AB$7)</f>
        <v>#NUM!</v>
      </c>
      <c r="T242" s="47">
        <f>_xlfn.DAYS(R242,RESUMEN!$AB$7)</f>
        <v>-43247</v>
      </c>
      <c r="U242" s="48"/>
      <c r="V242" s="54"/>
      <c r="W242" s="66"/>
      <c r="X242" s="50" t="e">
        <f t="shared" si="26"/>
        <v>#DIV/0!</v>
      </c>
      <c r="Z242" s="115"/>
      <c r="AA242" s="47" t="e">
        <f>WEEKNUM(Z242-RESUMEN!$AN$7)</f>
        <v>#NUM!</v>
      </c>
      <c r="AB242" s="47">
        <f>_xlfn.DAYS(Z242,RESUMEN!$AN$7)</f>
        <v>-43254</v>
      </c>
      <c r="AC242" s="48"/>
      <c r="AD242" s="54"/>
      <c r="AE242" s="66"/>
      <c r="AF242" s="116" t="e">
        <f t="shared" si="27"/>
        <v>#DIV/0!</v>
      </c>
      <c r="AG242" s="83"/>
      <c r="AH242" s="115"/>
      <c r="AI242" s="47" t="e">
        <f>WEEKNUM(AH242-RESUMEN!$AZ$7)</f>
        <v>#NUM!</v>
      </c>
      <c r="AJ242" s="47">
        <f>_xlfn.DAYS(AH242,RESUMEN!$AZ$7)</f>
        <v>-43261</v>
      </c>
      <c r="AK242" s="79"/>
      <c r="AL242" s="54"/>
      <c r="AM242" s="66"/>
      <c r="AN242" s="50" t="e">
        <f t="shared" si="29"/>
        <v>#DIV/0!</v>
      </c>
      <c r="AP242" s="73"/>
      <c r="AQ242" s="47" t="e">
        <f>WEEKNUM(AP242-RESUMEN!$BL$7)</f>
        <v>#NUM!</v>
      </c>
      <c r="AR242" s="47">
        <f>_xlfn.DAYS(AP242,RESUMEN!$BL$7)</f>
        <v>-43267</v>
      </c>
      <c r="AS242" s="53"/>
      <c r="AT242" s="54"/>
      <c r="AU242" s="66"/>
      <c r="AV242" s="50" t="e">
        <f t="shared" si="23"/>
        <v>#DIV/0!</v>
      </c>
    </row>
    <row r="243" spans="2:48" x14ac:dyDescent="0.25">
      <c r="B243" s="52"/>
      <c r="C243" s="47" t="e">
        <f>WEEKNUM(B243-RESUMEN!$D$7)</f>
        <v>#NUM!</v>
      </c>
      <c r="D243" s="47">
        <f>_xlfn.DAYS(B243,RESUMEN!$D$7)</f>
        <v>-43238</v>
      </c>
      <c r="E243" s="48"/>
      <c r="F243" s="54"/>
      <c r="G243" s="66"/>
      <c r="H243" s="50" t="e">
        <f t="shared" si="24"/>
        <v>#DIV/0!</v>
      </c>
      <c r="J243" s="115"/>
      <c r="K243" s="47" t="e">
        <f>WEEKNUM(J243-RESUMEN!$P$7)</f>
        <v>#NUM!</v>
      </c>
      <c r="L243" s="47">
        <f>_xlfn.DAYS(J243,RESUMEN!$P$7)</f>
        <v>-43242</v>
      </c>
      <c r="M243" s="48"/>
      <c r="N243" s="54"/>
      <c r="O243" s="66"/>
      <c r="P243" s="50" t="e">
        <f t="shared" si="25"/>
        <v>#DIV/0!</v>
      </c>
      <c r="R243" s="115"/>
      <c r="S243" s="47" t="e">
        <f>WEEKNUM(R243-RESUMEN!$AB$7)</f>
        <v>#NUM!</v>
      </c>
      <c r="T243" s="47">
        <f>_xlfn.DAYS(R243,RESUMEN!$AB$7)</f>
        <v>-43247</v>
      </c>
      <c r="U243" s="48"/>
      <c r="V243" s="54"/>
      <c r="W243" s="66"/>
      <c r="X243" s="50" t="e">
        <f t="shared" si="26"/>
        <v>#DIV/0!</v>
      </c>
      <c r="Z243" s="115"/>
      <c r="AA243" s="47" t="e">
        <f>WEEKNUM(Z243-RESUMEN!$AN$7)</f>
        <v>#NUM!</v>
      </c>
      <c r="AB243" s="47">
        <f>_xlfn.DAYS(Z243,RESUMEN!$AN$7)</f>
        <v>-43254</v>
      </c>
      <c r="AC243" s="48"/>
      <c r="AD243" s="54"/>
      <c r="AE243" s="66"/>
      <c r="AF243" s="116" t="e">
        <f t="shared" si="27"/>
        <v>#DIV/0!</v>
      </c>
      <c r="AG243" s="83"/>
      <c r="AH243" s="115"/>
      <c r="AI243" s="47" t="e">
        <f>WEEKNUM(AH243-RESUMEN!$AZ$7)</f>
        <v>#NUM!</v>
      </c>
      <c r="AJ243" s="47">
        <f>_xlfn.DAYS(AH243,RESUMEN!$AZ$7)</f>
        <v>-43261</v>
      </c>
      <c r="AK243" s="79"/>
      <c r="AL243" s="54"/>
      <c r="AM243" s="66"/>
      <c r="AN243" s="50" t="e">
        <f t="shared" si="29"/>
        <v>#DIV/0!</v>
      </c>
      <c r="AP243" s="73"/>
      <c r="AQ243" s="47" t="e">
        <f>WEEKNUM(AP243-RESUMEN!$BL$7)</f>
        <v>#NUM!</v>
      </c>
      <c r="AR243" s="47">
        <f>_xlfn.DAYS(AP243,RESUMEN!$BL$7)</f>
        <v>-43267</v>
      </c>
      <c r="AS243" s="53"/>
      <c r="AT243" s="54"/>
      <c r="AU243" s="66"/>
      <c r="AV243" s="50" t="e">
        <f t="shared" si="23"/>
        <v>#DIV/0!</v>
      </c>
    </row>
    <row r="244" spans="2:48" x14ac:dyDescent="0.25">
      <c r="B244" s="52"/>
      <c r="C244" s="47" t="e">
        <f>WEEKNUM(B244-RESUMEN!$D$7)</f>
        <v>#NUM!</v>
      </c>
      <c r="D244" s="47">
        <f>_xlfn.DAYS(B244,RESUMEN!$D$7)</f>
        <v>-43238</v>
      </c>
      <c r="E244" s="48"/>
      <c r="F244" s="54"/>
      <c r="G244" s="66"/>
      <c r="H244" s="50" t="e">
        <f t="shared" si="24"/>
        <v>#DIV/0!</v>
      </c>
      <c r="J244" s="115"/>
      <c r="K244" s="47" t="e">
        <f>WEEKNUM(J244-RESUMEN!$P$7)</f>
        <v>#NUM!</v>
      </c>
      <c r="L244" s="47">
        <f>_xlfn.DAYS(J244,RESUMEN!$P$7)</f>
        <v>-43242</v>
      </c>
      <c r="M244" s="48"/>
      <c r="N244" s="54"/>
      <c r="O244" s="66"/>
      <c r="P244" s="50" t="e">
        <f t="shared" si="25"/>
        <v>#DIV/0!</v>
      </c>
      <c r="R244" s="115"/>
      <c r="S244" s="47" t="e">
        <f>WEEKNUM(R244-RESUMEN!$AB$7)</f>
        <v>#NUM!</v>
      </c>
      <c r="T244" s="47">
        <f>_xlfn.DAYS(R244,RESUMEN!$AB$7)</f>
        <v>-43247</v>
      </c>
      <c r="U244" s="48"/>
      <c r="V244" s="54"/>
      <c r="W244" s="66"/>
      <c r="X244" s="50" t="e">
        <f t="shared" si="26"/>
        <v>#DIV/0!</v>
      </c>
      <c r="Z244" s="115"/>
      <c r="AA244" s="47" t="e">
        <f>WEEKNUM(Z244-RESUMEN!$AN$7)</f>
        <v>#NUM!</v>
      </c>
      <c r="AB244" s="47">
        <f>_xlfn.DAYS(Z244,RESUMEN!$AN$7)</f>
        <v>-43254</v>
      </c>
      <c r="AC244" s="48"/>
      <c r="AD244" s="54"/>
      <c r="AE244" s="66"/>
      <c r="AF244" s="116" t="e">
        <f t="shared" si="27"/>
        <v>#DIV/0!</v>
      </c>
      <c r="AG244" s="83"/>
      <c r="AH244" s="115"/>
      <c r="AI244" s="47" t="e">
        <f>WEEKNUM(AH244-RESUMEN!$AZ$7)</f>
        <v>#NUM!</v>
      </c>
      <c r="AJ244" s="47">
        <f>_xlfn.DAYS(AH244,RESUMEN!$AZ$7)</f>
        <v>-43261</v>
      </c>
      <c r="AK244" s="79"/>
      <c r="AL244" s="54"/>
      <c r="AM244" s="66"/>
      <c r="AN244" s="50" t="e">
        <f t="shared" si="29"/>
        <v>#DIV/0!</v>
      </c>
      <c r="AP244" s="73"/>
      <c r="AQ244" s="47" t="e">
        <f>WEEKNUM(AP244-RESUMEN!$BL$7)</f>
        <v>#NUM!</v>
      </c>
      <c r="AR244" s="47">
        <f>_xlfn.DAYS(AP244,RESUMEN!$BL$7)</f>
        <v>-43267</v>
      </c>
      <c r="AS244" s="53"/>
      <c r="AT244" s="54"/>
      <c r="AU244" s="66"/>
      <c r="AV244" s="50" t="e">
        <f t="shared" si="23"/>
        <v>#DIV/0!</v>
      </c>
    </row>
    <row r="245" spans="2:48" x14ac:dyDescent="0.25">
      <c r="B245" s="52"/>
      <c r="C245" s="47" t="e">
        <f>WEEKNUM(B245-RESUMEN!$D$7)</f>
        <v>#NUM!</v>
      </c>
      <c r="D245" s="47">
        <f>_xlfn.DAYS(B245,RESUMEN!$D$7)</f>
        <v>-43238</v>
      </c>
      <c r="E245" s="48"/>
      <c r="F245" s="54"/>
      <c r="G245" s="66"/>
      <c r="H245" s="50" t="e">
        <f t="shared" si="24"/>
        <v>#DIV/0!</v>
      </c>
      <c r="J245" s="115"/>
      <c r="K245" s="47" t="e">
        <f>WEEKNUM(J245-RESUMEN!$P$7)</f>
        <v>#NUM!</v>
      </c>
      <c r="L245" s="47">
        <f>_xlfn.DAYS(J245,RESUMEN!$P$7)</f>
        <v>-43242</v>
      </c>
      <c r="M245" s="48"/>
      <c r="N245" s="54"/>
      <c r="O245" s="66"/>
      <c r="P245" s="50" t="e">
        <f t="shared" si="25"/>
        <v>#DIV/0!</v>
      </c>
      <c r="R245" s="115"/>
      <c r="S245" s="47" t="e">
        <f>WEEKNUM(R245-RESUMEN!$AB$7)</f>
        <v>#NUM!</v>
      </c>
      <c r="T245" s="47">
        <f>_xlfn.DAYS(R245,RESUMEN!$AB$7)</f>
        <v>-43247</v>
      </c>
      <c r="U245" s="48"/>
      <c r="V245" s="54"/>
      <c r="W245" s="66"/>
      <c r="X245" s="50" t="e">
        <f t="shared" si="26"/>
        <v>#DIV/0!</v>
      </c>
      <c r="Z245" s="115"/>
      <c r="AA245" s="47" t="e">
        <f>WEEKNUM(Z245-RESUMEN!$AN$7)</f>
        <v>#NUM!</v>
      </c>
      <c r="AB245" s="47">
        <f>_xlfn.DAYS(Z245,RESUMEN!$AN$7)</f>
        <v>-43254</v>
      </c>
      <c r="AC245" s="48"/>
      <c r="AD245" s="54"/>
      <c r="AE245" s="66"/>
      <c r="AF245" s="116" t="e">
        <f t="shared" si="27"/>
        <v>#DIV/0!</v>
      </c>
      <c r="AG245" s="83"/>
      <c r="AH245" s="115"/>
      <c r="AI245" s="47" t="e">
        <f>WEEKNUM(AH245-RESUMEN!$AZ$7)</f>
        <v>#NUM!</v>
      </c>
      <c r="AJ245" s="47">
        <f>_xlfn.DAYS(AH245,RESUMEN!$AZ$7)</f>
        <v>-43261</v>
      </c>
      <c r="AK245" s="79"/>
      <c r="AL245" s="54"/>
      <c r="AM245" s="66"/>
      <c r="AN245" s="50" t="e">
        <f t="shared" si="29"/>
        <v>#DIV/0!</v>
      </c>
      <c r="AP245" s="73"/>
      <c r="AQ245" s="47" t="e">
        <f>WEEKNUM(AP245-RESUMEN!$BL$7)</f>
        <v>#NUM!</v>
      </c>
      <c r="AR245" s="47">
        <f>_xlfn.DAYS(AP245,RESUMEN!$BL$7)</f>
        <v>-43267</v>
      </c>
      <c r="AS245" s="53"/>
      <c r="AT245" s="54"/>
      <c r="AU245" s="66"/>
      <c r="AV245" s="50" t="e">
        <f t="shared" si="23"/>
        <v>#DIV/0!</v>
      </c>
    </row>
    <row r="246" spans="2:48" x14ac:dyDescent="0.25">
      <c r="B246" s="52"/>
      <c r="C246" s="47" t="e">
        <f>WEEKNUM(B246-RESUMEN!$D$7)</f>
        <v>#NUM!</v>
      </c>
      <c r="D246" s="47">
        <f>_xlfn.DAYS(B246,RESUMEN!$D$7)</f>
        <v>-43238</v>
      </c>
      <c r="E246" s="48"/>
      <c r="F246" s="54"/>
      <c r="G246" s="66"/>
      <c r="H246" s="50" t="e">
        <f t="shared" si="24"/>
        <v>#DIV/0!</v>
      </c>
      <c r="J246" s="115"/>
      <c r="K246" s="47" t="e">
        <f>WEEKNUM(J246-RESUMEN!$P$7)</f>
        <v>#NUM!</v>
      </c>
      <c r="L246" s="47">
        <f>_xlfn.DAYS(J246,RESUMEN!$P$7)</f>
        <v>-43242</v>
      </c>
      <c r="M246" s="48"/>
      <c r="N246" s="54"/>
      <c r="O246" s="66"/>
      <c r="P246" s="50" t="e">
        <f t="shared" si="25"/>
        <v>#DIV/0!</v>
      </c>
      <c r="R246" s="115"/>
      <c r="S246" s="47" t="e">
        <f>WEEKNUM(R246-RESUMEN!$AB$7)</f>
        <v>#NUM!</v>
      </c>
      <c r="T246" s="47">
        <f>_xlfn.DAYS(R246,RESUMEN!$AB$7)</f>
        <v>-43247</v>
      </c>
      <c r="U246" s="48"/>
      <c r="V246" s="54"/>
      <c r="W246" s="66"/>
      <c r="X246" s="50" t="e">
        <f t="shared" si="26"/>
        <v>#DIV/0!</v>
      </c>
      <c r="Z246" s="115"/>
      <c r="AA246" s="47" t="e">
        <f>WEEKNUM(Z246-RESUMEN!$AN$7)</f>
        <v>#NUM!</v>
      </c>
      <c r="AB246" s="47">
        <f>_xlfn.DAYS(Z246,RESUMEN!$AN$7)</f>
        <v>-43254</v>
      </c>
      <c r="AC246" s="48"/>
      <c r="AD246" s="54"/>
      <c r="AE246" s="66"/>
      <c r="AF246" s="116" t="e">
        <f t="shared" si="27"/>
        <v>#DIV/0!</v>
      </c>
      <c r="AG246" s="83"/>
      <c r="AH246" s="115"/>
      <c r="AI246" s="47" t="e">
        <f>WEEKNUM(AH246-RESUMEN!$AZ$7)</f>
        <v>#NUM!</v>
      </c>
      <c r="AJ246" s="47">
        <f>_xlfn.DAYS(AH246,RESUMEN!$AZ$7)</f>
        <v>-43261</v>
      </c>
      <c r="AK246" s="79"/>
      <c r="AL246" s="54"/>
      <c r="AM246" s="66"/>
      <c r="AN246" s="50" t="e">
        <f t="shared" si="29"/>
        <v>#DIV/0!</v>
      </c>
      <c r="AP246" s="73"/>
      <c r="AQ246" s="47" t="e">
        <f>WEEKNUM(AP246-RESUMEN!$BL$7)</f>
        <v>#NUM!</v>
      </c>
      <c r="AR246" s="47">
        <f>_xlfn.DAYS(AP246,RESUMEN!$BL$7)</f>
        <v>-43267</v>
      </c>
      <c r="AS246" s="53"/>
      <c r="AT246" s="54"/>
      <c r="AU246" s="66"/>
      <c r="AV246" s="50" t="e">
        <f t="shared" si="23"/>
        <v>#DIV/0!</v>
      </c>
    </row>
    <row r="247" spans="2:48" x14ac:dyDescent="0.25">
      <c r="B247" s="52"/>
      <c r="C247" s="47" t="e">
        <f>WEEKNUM(B247-RESUMEN!$D$7)</f>
        <v>#NUM!</v>
      </c>
      <c r="D247" s="47">
        <f>_xlfn.DAYS(B247,RESUMEN!$D$7)</f>
        <v>-43238</v>
      </c>
      <c r="E247" s="48"/>
      <c r="F247" s="54"/>
      <c r="G247" s="66"/>
      <c r="H247" s="50" t="e">
        <f t="shared" si="24"/>
        <v>#DIV/0!</v>
      </c>
      <c r="J247" s="115"/>
      <c r="K247" s="47" t="e">
        <f>WEEKNUM(J247-RESUMEN!$P$7)</f>
        <v>#NUM!</v>
      </c>
      <c r="L247" s="47">
        <f>_xlfn.DAYS(J247,RESUMEN!$P$7)</f>
        <v>-43242</v>
      </c>
      <c r="M247" s="48"/>
      <c r="N247" s="54"/>
      <c r="O247" s="66"/>
      <c r="P247" s="50" t="e">
        <f t="shared" si="25"/>
        <v>#DIV/0!</v>
      </c>
      <c r="R247" s="115"/>
      <c r="S247" s="47" t="e">
        <f>WEEKNUM(R247-RESUMEN!$AB$7)</f>
        <v>#NUM!</v>
      </c>
      <c r="T247" s="47">
        <f>_xlfn.DAYS(R247,RESUMEN!$AB$7)</f>
        <v>-43247</v>
      </c>
      <c r="U247" s="48"/>
      <c r="V247" s="54"/>
      <c r="W247" s="66"/>
      <c r="X247" s="50" t="e">
        <f t="shared" si="26"/>
        <v>#DIV/0!</v>
      </c>
      <c r="Z247" s="115"/>
      <c r="AA247" s="47" t="e">
        <f>WEEKNUM(Z247-RESUMEN!$AN$7)</f>
        <v>#NUM!</v>
      </c>
      <c r="AB247" s="47">
        <f>_xlfn.DAYS(Z247,RESUMEN!$AN$7)</f>
        <v>-43254</v>
      </c>
      <c r="AC247" s="48"/>
      <c r="AD247" s="54"/>
      <c r="AE247" s="66"/>
      <c r="AF247" s="116" t="e">
        <f t="shared" si="27"/>
        <v>#DIV/0!</v>
      </c>
      <c r="AG247" s="83"/>
      <c r="AH247" s="115"/>
      <c r="AI247" s="47" t="e">
        <f>WEEKNUM(AH247-RESUMEN!$AZ$7)</f>
        <v>#NUM!</v>
      </c>
      <c r="AJ247" s="47">
        <f>_xlfn.DAYS(AH247,RESUMEN!$AZ$7)</f>
        <v>-43261</v>
      </c>
      <c r="AK247" s="79"/>
      <c r="AL247" s="54"/>
      <c r="AM247" s="66"/>
      <c r="AN247" s="50" t="e">
        <f t="shared" si="29"/>
        <v>#DIV/0!</v>
      </c>
      <c r="AP247" s="73"/>
      <c r="AQ247" s="47" t="e">
        <f>WEEKNUM(AP247-RESUMEN!$BL$7)</f>
        <v>#NUM!</v>
      </c>
      <c r="AR247" s="47">
        <f>_xlfn.DAYS(AP247,RESUMEN!$BL$7)</f>
        <v>-43267</v>
      </c>
      <c r="AS247" s="53"/>
      <c r="AT247" s="54"/>
      <c r="AU247" s="66"/>
      <c r="AV247" s="50" t="e">
        <f t="shared" si="23"/>
        <v>#DIV/0!</v>
      </c>
    </row>
    <row r="248" spans="2:48" x14ac:dyDescent="0.25">
      <c r="B248" s="52"/>
      <c r="C248" s="47" t="e">
        <f>WEEKNUM(B248-RESUMEN!$D$7)</f>
        <v>#NUM!</v>
      </c>
      <c r="D248" s="47">
        <f>_xlfn.DAYS(B248,RESUMEN!$D$7)</f>
        <v>-43238</v>
      </c>
      <c r="E248" s="48"/>
      <c r="F248" s="54"/>
      <c r="G248" s="66"/>
      <c r="H248" s="50" t="e">
        <f t="shared" si="24"/>
        <v>#DIV/0!</v>
      </c>
      <c r="J248" s="115"/>
      <c r="K248" s="47" t="e">
        <f>WEEKNUM(J248-RESUMEN!$P$7)</f>
        <v>#NUM!</v>
      </c>
      <c r="L248" s="47">
        <f>_xlfn.DAYS(J248,RESUMEN!$P$7)</f>
        <v>-43242</v>
      </c>
      <c r="M248" s="48"/>
      <c r="N248" s="54"/>
      <c r="O248" s="66"/>
      <c r="P248" s="50" t="e">
        <f t="shared" si="25"/>
        <v>#DIV/0!</v>
      </c>
      <c r="R248" s="115"/>
      <c r="S248" s="47" t="e">
        <f>WEEKNUM(R248-RESUMEN!$AB$7)</f>
        <v>#NUM!</v>
      </c>
      <c r="T248" s="47">
        <f>_xlfn.DAYS(R248,RESUMEN!$AB$7)</f>
        <v>-43247</v>
      </c>
      <c r="U248" s="48"/>
      <c r="V248" s="54"/>
      <c r="W248" s="66"/>
      <c r="X248" s="50" t="e">
        <f t="shared" ref="X248" si="30">W248/V248</f>
        <v>#DIV/0!</v>
      </c>
      <c r="Z248" s="115"/>
      <c r="AA248" s="47" t="e">
        <f>WEEKNUM(Z248-RESUMEN!$AN$7)</f>
        <v>#NUM!</v>
      </c>
      <c r="AB248" s="47">
        <f>_xlfn.DAYS(Z248,RESUMEN!$AN$7)</f>
        <v>-43254</v>
      </c>
      <c r="AC248" s="48"/>
      <c r="AD248" s="54"/>
      <c r="AE248" s="66"/>
      <c r="AF248" s="116" t="e">
        <f t="shared" si="27"/>
        <v>#DIV/0!</v>
      </c>
      <c r="AG248" s="83"/>
      <c r="AH248" s="115"/>
      <c r="AI248" s="47" t="e">
        <f>WEEKNUM(AH248-RESUMEN!$AZ$7)</f>
        <v>#NUM!</v>
      </c>
      <c r="AJ248" s="47">
        <f>_xlfn.DAYS(AH248,RESUMEN!$AZ$7)</f>
        <v>-43261</v>
      </c>
      <c r="AK248" s="79"/>
      <c r="AL248" s="54"/>
      <c r="AM248" s="66"/>
      <c r="AN248" s="50" t="e">
        <f t="shared" si="29"/>
        <v>#DIV/0!</v>
      </c>
      <c r="AP248" s="73"/>
      <c r="AQ248" s="47" t="e">
        <f>WEEKNUM(AP248-RESUMEN!$BL$7)</f>
        <v>#NUM!</v>
      </c>
      <c r="AR248" s="47">
        <f>_xlfn.DAYS(AP248,RESUMEN!$BL$7)</f>
        <v>-43267</v>
      </c>
      <c r="AS248" s="53"/>
      <c r="AT248" s="54"/>
      <c r="AU248" s="66"/>
      <c r="AV248" s="50" t="e">
        <f t="shared" si="23"/>
        <v>#DIV/0!</v>
      </c>
    </row>
  </sheetData>
  <protectedRanges>
    <protectedRange sqref="AS85:AU200 AP85:AP200 AS201:AS248 AL68:AM248 AH68:AH248 Z6:Z248 J6:J248 B6:B248 M6:O248 AC6:AE248 R6:R248 U6:W248 E6:G248" name="Rango1"/>
    <protectedRange sqref="AH6:AH67" name="Rango1_1"/>
    <protectedRange sqref="AK6:AM6 AL7:AM67 AK7:AK248" name="Rango1_2"/>
    <protectedRange sqref="AP6:AP84" name="Rango1_3"/>
    <protectedRange sqref="AS6:AU84" name="Rango1_4"/>
  </protectedRanges>
  <customSheetViews>
    <customSheetView guid="{D0A72333-44E4-44B0-93CA-B728F04236CB}" showPageBreaks="1" showGridLines="0" hiddenColumns="1" view="pageLayout" topLeftCell="AG1">
      <selection activeCell="AQ4" sqref="AQ4"/>
      <pageMargins left="0.39370078740157483" right="0.39370078740157483" top="0.39370078740157483" bottom="0.39370078740157483" header="0" footer="0"/>
      <pageSetup orientation="portrait" horizontalDpi="4294967293" verticalDpi="4294967293" r:id="rId1"/>
      <headerFooter>
        <oddHeader>&amp;CREPORTE DE MORTALIDAD</oddHeader>
      </headerFooter>
    </customSheetView>
    <customSheetView guid="{E3163CA8-A8FB-4416-898F-A92046F72E9D}" showPageBreaks="1" showGridLines="0" hiddenColumns="1" view="pageLayout" topLeftCell="AG1">
      <selection activeCell="AQ4" sqref="AQ4"/>
      <pageMargins left="0.39370078740157483" right="0.39370078740157483" top="0.39370078740157483" bottom="0.39370078740157483" header="0" footer="0"/>
      <pageSetup orientation="portrait" horizontalDpi="4294967293" verticalDpi="4294967293" r:id="rId2"/>
      <headerFooter>
        <oddHeader>&amp;CREPORTE DE MORTALIDAD</oddHeader>
      </headerFooter>
    </customSheetView>
  </customSheetViews>
  <dataValidations count="1">
    <dataValidation type="list" allowBlank="1" showInputMessage="1" showErrorMessage="1" sqref="AS6:AS248 M6:M248 U6:U248 AC6:AC248 AK6:AK248 E6:E248">
      <formula1>$AZ$5:$AZ$60</formula1>
    </dataValidation>
  </dataValidations>
  <pageMargins left="0.39370078740157483" right="0.39370078740157483" top="0.39370078740157483" bottom="0.39370078740157483" header="0" footer="0"/>
  <pageSetup orientation="portrait" horizontalDpi="4294967293" verticalDpi="4294967293" r:id="rId3"/>
  <headerFooter>
    <oddHeader>&amp;CREPORTE DE MORTALIDAD</oddHeader>
  </headerFooter>
  <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stopIfTrue="1" operator="greaterThan" id="{EB717054-5604-42EF-A437-A30BD5703940}">
            <xm:f>RESUMEN!$I$2</xm:f>
            <x14:dxf>
              <font>
                <b/>
                <i val="0"/>
              </font>
              <fill>
                <patternFill>
                  <bgColor theme="4" tint="0.59996337778862885"/>
                </patternFill>
              </fill>
            </x14:dxf>
          </x14:cfRule>
          <xm:sqref>B6:D6 F6:H6 B7:H248</xm:sqref>
        </x14:conditionalFormatting>
        <x14:conditionalFormatting xmlns:xm="http://schemas.microsoft.com/office/excel/2006/main">
          <x14:cfRule type="cellIs" priority="1" stopIfTrue="1" operator="greaterThan" id="{C75FF259-F221-42D0-91A3-DBD527973202}">
            <xm:f>RESUMEN!$I$2</xm:f>
            <x14:dxf>
              <font>
                <b/>
                <i val="0"/>
              </font>
              <fill>
                <patternFill>
                  <bgColor theme="4" tint="0.59996337778862885"/>
                </patternFill>
              </fill>
            </x14:dxf>
          </x14:cfRule>
          <xm:sqref>E6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W246"/>
  <sheetViews>
    <sheetView showGridLines="0" showRuler="0" showWhiteSpace="0" view="pageLayout" zoomScaleNormal="100" workbookViewId="0">
      <selection activeCell="B6" sqref="B6"/>
    </sheetView>
  </sheetViews>
  <sheetFormatPr baseColWidth="10" defaultColWidth="0" defaultRowHeight="15" zeroHeight="1" x14ac:dyDescent="0.25"/>
  <cols>
    <col min="1" max="1" width="2.85546875" style="70" customWidth="1"/>
    <col min="2" max="2" width="10.5703125" style="70" bestFit="1" customWidth="1"/>
    <col min="3" max="3" width="8" style="70" bestFit="1" customWidth="1"/>
    <col min="4" max="4" width="12.5703125" style="70" customWidth="1"/>
    <col min="5" max="5" width="31.28515625" style="92" customWidth="1"/>
    <col min="6" max="6" width="7.140625" style="70" bestFit="1" customWidth="1"/>
    <col min="7" max="7" width="8.5703125" style="70" bestFit="1" customWidth="1"/>
    <col min="8" max="8" width="8.42578125" style="70" bestFit="1" customWidth="1"/>
    <col min="9" max="9" width="5.28515625" style="71" customWidth="1"/>
    <col min="10" max="10" width="10.5703125" style="70" bestFit="1" customWidth="1"/>
    <col min="11" max="11" width="9.5703125" style="70" customWidth="1"/>
    <col min="12" max="12" width="12.28515625" style="70" customWidth="1"/>
    <col min="13" max="13" width="33" style="92" customWidth="1"/>
    <col min="14" max="14" width="7.140625" style="70" bestFit="1" customWidth="1"/>
    <col min="15" max="15" width="8.5703125" style="70" bestFit="1" customWidth="1"/>
    <col min="16" max="16" width="8.42578125" style="70" bestFit="1" customWidth="1"/>
    <col min="17" max="17" width="5" style="71" customWidth="1"/>
    <col min="18" max="18" width="10.5703125" style="70" bestFit="1" customWidth="1"/>
    <col min="19" max="19" width="8" style="70" bestFit="1" customWidth="1"/>
    <col min="20" max="20" width="11.7109375" style="70" customWidth="1"/>
    <col min="21" max="21" width="32.5703125" style="92" customWidth="1"/>
    <col min="22" max="22" width="7.140625" style="70" bestFit="1" customWidth="1"/>
    <col min="23" max="23" width="8.5703125" style="70" bestFit="1" customWidth="1"/>
    <col min="24" max="24" width="8.42578125" style="70" bestFit="1" customWidth="1"/>
    <col min="25" max="25" width="4.42578125" style="71" customWidth="1"/>
    <col min="26" max="26" width="10.5703125" style="70" bestFit="1" customWidth="1"/>
    <col min="27" max="27" width="8" style="70" bestFit="1" customWidth="1"/>
    <col min="28" max="28" width="12.5703125" style="70" customWidth="1"/>
    <col min="29" max="29" width="29.7109375" style="92" bestFit="1" customWidth="1"/>
    <col min="30" max="30" width="7.140625" style="70" bestFit="1" customWidth="1"/>
    <col min="31" max="31" width="8.5703125" style="70" bestFit="1" customWidth="1"/>
    <col min="32" max="32" width="8.42578125" style="70" bestFit="1" customWidth="1"/>
    <col min="33" max="33" width="5.42578125" style="71" customWidth="1"/>
    <col min="34" max="34" width="10.5703125" style="70" bestFit="1" customWidth="1"/>
    <col min="35" max="35" width="8" style="70" bestFit="1" customWidth="1"/>
    <col min="36" max="36" width="13.140625" style="70" customWidth="1"/>
    <col min="37" max="37" width="28.28515625" style="92" customWidth="1"/>
    <col min="38" max="38" width="7.140625" style="70" bestFit="1" customWidth="1"/>
    <col min="39" max="39" width="8.5703125" style="70" bestFit="1" customWidth="1"/>
    <col min="40" max="40" width="8.42578125" style="70" bestFit="1" customWidth="1"/>
    <col min="41" max="41" width="4.140625" style="71" customWidth="1"/>
    <col min="42" max="42" width="10.5703125" style="70" bestFit="1" customWidth="1"/>
    <col min="43" max="43" width="8" style="70" bestFit="1" customWidth="1"/>
    <col min="44" max="44" width="12.5703125" style="70" customWidth="1"/>
    <col min="45" max="45" width="33.85546875" style="92" customWidth="1"/>
    <col min="46" max="46" width="7.140625" style="70" bestFit="1" customWidth="1"/>
    <col min="47" max="47" width="8.5703125" style="70" bestFit="1" customWidth="1"/>
    <col min="48" max="48" width="8.42578125" style="70" bestFit="1" customWidth="1"/>
    <col min="49" max="49" width="4.140625" style="71" customWidth="1"/>
    <col min="50" max="54" width="11.42578125" style="70" hidden="1" customWidth="1"/>
    <col min="55" max="16384" width="11.42578125" style="70" hidden="1"/>
  </cols>
  <sheetData>
    <row r="1" spans="2:49" x14ac:dyDescent="0.25">
      <c r="D1" s="70" t="s">
        <v>33</v>
      </c>
      <c r="E1" s="92" t="str">
        <f>RESUMEN!F2</f>
        <v>ESPERANZA</v>
      </c>
      <c r="G1" s="70" t="s">
        <v>18</v>
      </c>
      <c r="H1" s="82"/>
      <c r="I1" s="83"/>
      <c r="L1" s="70" t="s">
        <v>33</v>
      </c>
      <c r="M1" s="92" t="str">
        <f>E1</f>
        <v>ESPERANZA</v>
      </c>
      <c r="O1" s="70" t="s">
        <v>18</v>
      </c>
      <c r="P1" s="82"/>
      <c r="Q1" s="83"/>
      <c r="T1" s="70" t="s">
        <v>33</v>
      </c>
      <c r="U1" s="92" t="str">
        <f>M1</f>
        <v>ESPERANZA</v>
      </c>
      <c r="W1" s="70" t="s">
        <v>18</v>
      </c>
      <c r="X1" s="82"/>
      <c r="Y1" s="83"/>
      <c r="AB1" s="70" t="s">
        <v>33</v>
      </c>
      <c r="AC1" s="92" t="str">
        <f>U1</f>
        <v>ESPERANZA</v>
      </c>
      <c r="AE1" s="70" t="s">
        <v>18</v>
      </c>
      <c r="AF1" s="82"/>
      <c r="AG1" s="83"/>
      <c r="AJ1" s="70" t="s">
        <v>33</v>
      </c>
      <c r="AK1" s="92" t="str">
        <f>U1</f>
        <v>ESPERANZA</v>
      </c>
      <c r="AM1" s="70" t="s">
        <v>18</v>
      </c>
      <c r="AN1" s="82"/>
      <c r="AO1" s="83"/>
      <c r="AR1" s="70" t="s">
        <v>33</v>
      </c>
      <c r="AS1" s="92" t="str">
        <f>AK1</f>
        <v>ESPERANZA</v>
      </c>
      <c r="AU1" s="70" t="s">
        <v>18</v>
      </c>
      <c r="AV1" s="82"/>
      <c r="AW1" s="83"/>
    </row>
    <row r="2" spans="2:49" x14ac:dyDescent="0.25">
      <c r="D2" s="70" t="s">
        <v>19</v>
      </c>
      <c r="E2" s="92">
        <f>RESUMEN!F5</f>
        <v>18044</v>
      </c>
      <c r="G2" s="70" t="s">
        <v>20</v>
      </c>
      <c r="H2" s="82"/>
      <c r="I2" s="83"/>
      <c r="L2" s="70" t="s">
        <v>19</v>
      </c>
      <c r="M2" s="92">
        <f>RESUMEN!R5</f>
        <v>18045</v>
      </c>
      <c r="O2" s="70" t="s">
        <v>20</v>
      </c>
      <c r="P2" s="82"/>
      <c r="Q2" s="83"/>
      <c r="T2" s="70" t="s">
        <v>19</v>
      </c>
      <c r="U2" s="92">
        <f>RESUMEN!AD5</f>
        <v>18046</v>
      </c>
      <c r="W2" s="70" t="s">
        <v>20</v>
      </c>
      <c r="X2" s="82"/>
      <c r="Y2" s="83"/>
      <c r="AB2" s="70" t="s">
        <v>19</v>
      </c>
      <c r="AC2" s="93">
        <f>RESUMEN!AP5</f>
        <v>18047</v>
      </c>
      <c r="AE2" s="70" t="s">
        <v>20</v>
      </c>
      <c r="AF2" s="82"/>
      <c r="AG2" s="83"/>
      <c r="AJ2" s="70" t="s">
        <v>19</v>
      </c>
      <c r="AK2" s="92">
        <f>RESUMEN!BB5</f>
        <v>18048</v>
      </c>
      <c r="AM2" s="70" t="s">
        <v>20</v>
      </c>
      <c r="AN2" s="82"/>
      <c r="AO2" s="83"/>
      <c r="AR2" s="70" t="s">
        <v>19</v>
      </c>
      <c r="AS2" s="92">
        <f>RESUMEN!BN5</f>
        <v>18049</v>
      </c>
      <c r="AU2" s="70" t="s">
        <v>20</v>
      </c>
      <c r="AV2" s="82"/>
      <c r="AW2" s="83"/>
    </row>
    <row r="3" spans="2:49" x14ac:dyDescent="0.25">
      <c r="D3" s="70" t="s">
        <v>21</v>
      </c>
      <c r="E3" s="92" t="str">
        <f>RESUMEN!F4</f>
        <v>Tejaban 7 y 10</v>
      </c>
      <c r="G3" s="70" t="s">
        <v>22</v>
      </c>
      <c r="H3" s="82"/>
      <c r="I3" s="83"/>
      <c r="L3" s="70" t="s">
        <v>21</v>
      </c>
      <c r="M3" s="94" t="str">
        <f>RESUMEN!R4</f>
        <v>Tejaban 7 y 10</v>
      </c>
      <c r="O3" s="70" t="s">
        <v>22</v>
      </c>
      <c r="P3" s="82"/>
      <c r="Q3" s="83"/>
      <c r="T3" s="70" t="s">
        <v>21</v>
      </c>
      <c r="U3" s="94" t="str">
        <f>RESUMEN!AD4</f>
        <v>Tejaban 7 y 10</v>
      </c>
      <c r="W3" s="70" t="s">
        <v>22</v>
      </c>
      <c r="X3" s="82"/>
      <c r="Y3" s="83"/>
      <c r="AB3" s="70" t="s">
        <v>21</v>
      </c>
      <c r="AC3" s="94" t="str">
        <f>RESUMEN!AP4</f>
        <v>Tejaban 5 y 9</v>
      </c>
      <c r="AE3" s="70" t="s">
        <v>22</v>
      </c>
      <c r="AF3" s="82"/>
      <c r="AG3" s="83"/>
      <c r="AJ3" s="70" t="s">
        <v>21</v>
      </c>
      <c r="AK3" s="94" t="str">
        <f>RESUMEN!BB4</f>
        <v>Tejaban 5 y 9</v>
      </c>
      <c r="AM3" s="70" t="s">
        <v>22</v>
      </c>
      <c r="AN3" s="82"/>
      <c r="AO3" s="83"/>
      <c r="AR3" s="70" t="s">
        <v>21</v>
      </c>
      <c r="AS3" s="94" t="str">
        <f>RESUMEN!BN4</f>
        <v>Tejaban 5 y 9</v>
      </c>
      <c r="AU3" s="70" t="s">
        <v>22</v>
      </c>
      <c r="AV3" s="82"/>
      <c r="AW3" s="83"/>
    </row>
    <row r="4" spans="2:49" x14ac:dyDescent="0.25">
      <c r="D4" s="70" t="s">
        <v>23</v>
      </c>
      <c r="E4" s="95">
        <f>RESUMEN!L249</f>
        <v>1460</v>
      </c>
      <c r="H4" s="82"/>
      <c r="I4" s="83"/>
      <c r="L4" s="70" t="s">
        <v>23</v>
      </c>
      <c r="M4" s="95">
        <f>RESUMEN!X249</f>
        <v>1520</v>
      </c>
      <c r="P4" s="82"/>
      <c r="Q4" s="83"/>
      <c r="T4" s="70" t="s">
        <v>23</v>
      </c>
      <c r="U4" s="95">
        <f>RESUMEN!AJ249</f>
        <v>1724</v>
      </c>
      <c r="X4" s="82"/>
      <c r="Y4" s="83"/>
      <c r="AB4" s="70" t="s">
        <v>23</v>
      </c>
      <c r="AC4" s="95">
        <f>RESUMEN!AV249</f>
        <v>2076</v>
      </c>
      <c r="AF4" s="82"/>
      <c r="AG4" s="83"/>
      <c r="AJ4" s="70" t="s">
        <v>23</v>
      </c>
      <c r="AK4" s="95">
        <f>RESUMEN!BH249</f>
        <v>2081</v>
      </c>
      <c r="AN4" s="82"/>
      <c r="AO4" s="83"/>
      <c r="AR4" s="70" t="s">
        <v>23</v>
      </c>
      <c r="AS4" s="93">
        <f>RESUMEN!BT249</f>
        <v>2241</v>
      </c>
      <c r="AV4" s="82"/>
      <c r="AW4" s="83"/>
    </row>
    <row r="5" spans="2:49" x14ac:dyDescent="0.25">
      <c r="B5" s="73" t="s">
        <v>24</v>
      </c>
      <c r="C5" s="73" t="s">
        <v>25</v>
      </c>
      <c r="D5" s="73" t="s">
        <v>26</v>
      </c>
      <c r="E5" s="76" t="s">
        <v>27</v>
      </c>
      <c r="F5" s="73" t="s">
        <v>28</v>
      </c>
      <c r="G5" s="73" t="s">
        <v>29</v>
      </c>
      <c r="H5" s="116" t="s">
        <v>30</v>
      </c>
      <c r="I5" s="83"/>
      <c r="J5" s="73" t="s">
        <v>24</v>
      </c>
      <c r="K5" s="73" t="s">
        <v>25</v>
      </c>
      <c r="L5" s="73" t="s">
        <v>26</v>
      </c>
      <c r="M5" s="76" t="s">
        <v>27</v>
      </c>
      <c r="N5" s="73" t="s">
        <v>28</v>
      </c>
      <c r="O5" s="73" t="s">
        <v>29</v>
      </c>
      <c r="P5" s="116" t="s">
        <v>30</v>
      </c>
      <c r="Q5" s="83"/>
      <c r="R5" s="73" t="s">
        <v>24</v>
      </c>
      <c r="S5" s="73" t="s">
        <v>25</v>
      </c>
      <c r="T5" s="73" t="s">
        <v>26</v>
      </c>
      <c r="U5" s="76" t="s">
        <v>27</v>
      </c>
      <c r="V5" s="73" t="s">
        <v>28</v>
      </c>
      <c r="W5" s="73" t="s">
        <v>29</v>
      </c>
      <c r="X5" s="116" t="s">
        <v>30</v>
      </c>
      <c r="Y5" s="83"/>
      <c r="Z5" s="73" t="s">
        <v>24</v>
      </c>
      <c r="AA5" s="73" t="s">
        <v>25</v>
      </c>
      <c r="AB5" s="73" t="s">
        <v>26</v>
      </c>
      <c r="AC5" s="76" t="s">
        <v>27</v>
      </c>
      <c r="AD5" s="73" t="s">
        <v>28</v>
      </c>
      <c r="AE5" s="73" t="s">
        <v>29</v>
      </c>
      <c r="AF5" s="116" t="s">
        <v>30</v>
      </c>
      <c r="AG5" s="83"/>
      <c r="AH5" s="73" t="s">
        <v>24</v>
      </c>
      <c r="AI5" s="73" t="s">
        <v>25</v>
      </c>
      <c r="AJ5" s="73" t="s">
        <v>26</v>
      </c>
      <c r="AK5" s="76" t="s">
        <v>27</v>
      </c>
      <c r="AL5" s="73" t="s">
        <v>28</v>
      </c>
      <c r="AM5" s="73" t="s">
        <v>29</v>
      </c>
      <c r="AN5" s="116" t="s">
        <v>30</v>
      </c>
      <c r="AO5" s="83"/>
      <c r="AP5" s="73" t="s">
        <v>24</v>
      </c>
      <c r="AQ5" s="73" t="s">
        <v>25</v>
      </c>
      <c r="AR5" s="73" t="s">
        <v>26</v>
      </c>
      <c r="AS5" s="76" t="s">
        <v>27</v>
      </c>
      <c r="AT5" s="73" t="s">
        <v>28</v>
      </c>
      <c r="AU5" s="73" t="s">
        <v>29</v>
      </c>
      <c r="AV5" s="116" t="s">
        <v>30</v>
      </c>
      <c r="AW5" s="83"/>
    </row>
    <row r="6" spans="2:49" x14ac:dyDescent="0.25">
      <c r="B6" s="115"/>
      <c r="C6" s="118" t="e">
        <f>WEEKNUM(B6-RESUMEN!$D$7)</f>
        <v>#NUM!</v>
      </c>
      <c r="D6" s="118">
        <f>_xlfn.DAYS(B6,RESUMEN!$D$7)</f>
        <v>-43238</v>
      </c>
      <c r="E6" s="76"/>
      <c r="F6" s="73"/>
      <c r="G6" s="73"/>
      <c r="H6" s="116" t="e">
        <f>G6/F6</f>
        <v>#DIV/0!</v>
      </c>
      <c r="I6" s="83"/>
      <c r="J6" s="115"/>
      <c r="K6" s="118" t="e">
        <f>WEEKNUM(J6-RESUMEN!$D$7)</f>
        <v>#NUM!</v>
      </c>
      <c r="L6" s="118">
        <f>_xlfn.DAYS(J6,RESUMEN!$D$7)</f>
        <v>-43238</v>
      </c>
      <c r="M6" s="76"/>
      <c r="N6" s="73"/>
      <c r="O6" s="73"/>
      <c r="P6" s="116" t="e">
        <f>O6/N6</f>
        <v>#DIV/0!</v>
      </c>
      <c r="Q6" s="83"/>
      <c r="R6" s="115"/>
      <c r="S6" s="118" t="e">
        <f>WEEKNUM(R6-RESUMEN!$D$7)</f>
        <v>#NUM!</v>
      </c>
      <c r="T6" s="118">
        <f>_xlfn.DAYS(R6,RESUMEN!$D$7)</f>
        <v>-43238</v>
      </c>
      <c r="U6" s="76"/>
      <c r="V6" s="73"/>
      <c r="W6" s="73"/>
      <c r="X6" s="116" t="e">
        <f>W6/V6</f>
        <v>#DIV/0!</v>
      </c>
      <c r="Y6" s="83"/>
      <c r="Z6" s="115"/>
      <c r="AA6" s="118" t="e">
        <f>WEEKNUM(Z6-RESUMEN!$D$7)</f>
        <v>#NUM!</v>
      </c>
      <c r="AB6" s="118">
        <f>_xlfn.DAYS(Z6,RESUMEN!$D$7)</f>
        <v>-43238</v>
      </c>
      <c r="AC6" s="76"/>
      <c r="AD6" s="73"/>
      <c r="AE6" s="73"/>
      <c r="AF6" s="116" t="e">
        <f>AE6/AD6</f>
        <v>#DIV/0!</v>
      </c>
      <c r="AG6" s="83"/>
      <c r="AH6" s="115"/>
      <c r="AI6" s="118" t="e">
        <f>WEEKNUM(AH6-RESUMEN!$D$7)</f>
        <v>#NUM!</v>
      </c>
      <c r="AJ6" s="118">
        <f>_xlfn.DAYS(AH6,RESUMEN!$D$7)</f>
        <v>-43238</v>
      </c>
      <c r="AK6" s="76"/>
      <c r="AL6" s="73"/>
      <c r="AM6" s="73"/>
      <c r="AN6" s="116" t="e">
        <f>AM6/AL6</f>
        <v>#DIV/0!</v>
      </c>
      <c r="AO6" s="83"/>
      <c r="AP6" s="115"/>
      <c r="AQ6" s="118" t="e">
        <f>WEEKNUM(AP6-RESUMEN!$D$7)</f>
        <v>#NUM!</v>
      </c>
      <c r="AR6" s="118">
        <f>_xlfn.DAYS(AP6,RESUMEN!$D$7)</f>
        <v>-43238</v>
      </c>
      <c r="AS6" s="76"/>
      <c r="AT6" s="73"/>
      <c r="AU6" s="73"/>
      <c r="AV6" s="116" t="e">
        <f>AU6/AT6</f>
        <v>#DIV/0!</v>
      </c>
      <c r="AW6" s="83"/>
    </row>
    <row r="7" spans="2:49" x14ac:dyDescent="0.25">
      <c r="B7" s="115"/>
      <c r="C7" s="118" t="e">
        <f>WEEKNUM(B7-RESUMEN!$D$7)</f>
        <v>#NUM!</v>
      </c>
      <c r="D7" s="118">
        <f>_xlfn.DAYS(B7,RESUMEN!$D$7)</f>
        <v>-43238</v>
      </c>
      <c r="E7" s="76"/>
      <c r="F7" s="73"/>
      <c r="G7" s="73"/>
      <c r="H7" s="116" t="e">
        <f t="shared" ref="H7:H70" si="0">G7/F7</f>
        <v>#DIV/0!</v>
      </c>
      <c r="I7" s="83"/>
      <c r="J7" s="115"/>
      <c r="K7" s="118" t="e">
        <f>WEEKNUM(J7-RESUMEN!$D$7)</f>
        <v>#NUM!</v>
      </c>
      <c r="L7" s="118">
        <f>_xlfn.DAYS(J7,RESUMEN!$D$7)</f>
        <v>-43238</v>
      </c>
      <c r="M7" s="76"/>
      <c r="N7" s="73"/>
      <c r="O7" s="73"/>
      <c r="P7" s="116" t="e">
        <f t="shared" ref="P7:P70" si="1">O7/N7</f>
        <v>#DIV/0!</v>
      </c>
      <c r="Q7" s="83"/>
      <c r="R7" s="114"/>
      <c r="S7" s="118" t="e">
        <f>WEEKNUM(R7-RESUMEN!$D$7)</f>
        <v>#NUM!</v>
      </c>
      <c r="T7" s="118">
        <f>_xlfn.DAYS(R7,RESUMEN!$D$7)</f>
        <v>-43238</v>
      </c>
      <c r="U7" s="76"/>
      <c r="V7" s="73"/>
      <c r="W7" s="73"/>
      <c r="X7" s="116" t="e">
        <f t="shared" ref="X7:X70" si="2">W7/V7</f>
        <v>#DIV/0!</v>
      </c>
      <c r="Y7" s="83"/>
      <c r="Z7" s="115"/>
      <c r="AA7" s="118">
        <f>Z7-RESUMEN!$D$7</f>
        <v>-43238</v>
      </c>
      <c r="AB7" s="118">
        <f>_xlfn.DAYS(Z7,RESUMEN!$D$7)</f>
        <v>-43238</v>
      </c>
      <c r="AC7" s="76"/>
      <c r="AD7" s="73"/>
      <c r="AE7" s="73"/>
      <c r="AF7" s="116" t="e">
        <f t="shared" ref="AF7:AF70" si="3">AE7/AD7</f>
        <v>#DIV/0!</v>
      </c>
      <c r="AG7" s="83"/>
      <c r="AH7" s="115"/>
      <c r="AI7" s="118" t="e">
        <f>WEEKNUM(AH7-RESUMEN!$D$7)</f>
        <v>#NUM!</v>
      </c>
      <c r="AJ7" s="118">
        <f>_xlfn.DAYS(AH7,RESUMEN!$D$7)</f>
        <v>-43238</v>
      </c>
      <c r="AK7" s="76"/>
      <c r="AL7" s="73"/>
      <c r="AM7" s="73"/>
      <c r="AN7" s="116" t="e">
        <f t="shared" ref="AN7:AN70" si="4">AM7/AL7</f>
        <v>#DIV/0!</v>
      </c>
      <c r="AO7" s="83"/>
      <c r="AP7" s="115"/>
      <c r="AQ7" s="118" t="e">
        <f>WEEKNUM(AP7-RESUMEN!$D$7)</f>
        <v>#NUM!</v>
      </c>
      <c r="AR7" s="118">
        <f>_xlfn.DAYS(AP7,RESUMEN!$D$7)</f>
        <v>-43238</v>
      </c>
      <c r="AS7" s="76"/>
      <c r="AT7" s="73"/>
      <c r="AU7" s="73"/>
      <c r="AV7" s="116" t="e">
        <f t="shared" ref="AV7:AV70" si="5">AU7/AT7</f>
        <v>#DIV/0!</v>
      </c>
      <c r="AW7" s="83"/>
    </row>
    <row r="8" spans="2:49" x14ac:dyDescent="0.25">
      <c r="B8" s="115"/>
      <c r="C8" s="118" t="e">
        <f>WEEKNUM(B8-RESUMEN!$D$7)</f>
        <v>#NUM!</v>
      </c>
      <c r="D8" s="118">
        <f>_xlfn.DAYS(B8,RESUMEN!$D$7)</f>
        <v>-43238</v>
      </c>
      <c r="E8" s="76"/>
      <c r="F8" s="73"/>
      <c r="G8" s="73"/>
      <c r="H8" s="116" t="e">
        <f t="shared" si="0"/>
        <v>#DIV/0!</v>
      </c>
      <c r="I8" s="83"/>
      <c r="J8" s="114"/>
      <c r="K8" s="118" t="e">
        <f>WEEKNUM(J8-RESUMEN!$D$7)</f>
        <v>#NUM!</v>
      </c>
      <c r="L8" s="118">
        <f>_xlfn.DAYS(J8,RESUMEN!$D$7)</f>
        <v>-43238</v>
      </c>
      <c r="M8" s="76"/>
      <c r="N8" s="73"/>
      <c r="O8" s="73"/>
      <c r="P8" s="116" t="e">
        <f t="shared" si="1"/>
        <v>#DIV/0!</v>
      </c>
      <c r="Q8" s="83"/>
      <c r="R8" s="114"/>
      <c r="S8" s="118" t="e">
        <f>WEEKNUM(R8-RESUMEN!$D$7)</f>
        <v>#NUM!</v>
      </c>
      <c r="T8" s="118">
        <f>_xlfn.DAYS(R8,RESUMEN!$D$7)</f>
        <v>-43238</v>
      </c>
      <c r="U8" s="76"/>
      <c r="V8" s="73"/>
      <c r="W8" s="73"/>
      <c r="X8" s="116" t="e">
        <f t="shared" si="2"/>
        <v>#DIV/0!</v>
      </c>
      <c r="Y8" s="83"/>
      <c r="Z8" s="115"/>
      <c r="AA8" s="118">
        <f>Z8-RESUMEN!$D$7</f>
        <v>-43238</v>
      </c>
      <c r="AB8" s="118">
        <f>_xlfn.DAYS(Z8,RESUMEN!$D$7)</f>
        <v>-43238</v>
      </c>
      <c r="AC8" s="76"/>
      <c r="AD8" s="73"/>
      <c r="AE8" s="73"/>
      <c r="AF8" s="116" t="e">
        <f t="shared" si="3"/>
        <v>#DIV/0!</v>
      </c>
      <c r="AG8" s="83"/>
      <c r="AH8" s="115"/>
      <c r="AI8" s="118" t="e">
        <f>WEEKNUM(AH8-RESUMEN!$D$7)</f>
        <v>#NUM!</v>
      </c>
      <c r="AJ8" s="118">
        <f>_xlfn.DAYS(AH8,RESUMEN!$D$7)</f>
        <v>-43238</v>
      </c>
      <c r="AK8" s="76"/>
      <c r="AL8" s="73"/>
      <c r="AM8" s="73"/>
      <c r="AN8" s="116" t="e">
        <f t="shared" si="4"/>
        <v>#DIV/0!</v>
      </c>
      <c r="AO8" s="83"/>
      <c r="AP8" s="115"/>
      <c r="AQ8" s="118" t="e">
        <f>WEEKNUM(AP8-RESUMEN!$D$7)</f>
        <v>#NUM!</v>
      </c>
      <c r="AR8" s="118">
        <f>_xlfn.DAYS(AP8,RESUMEN!$D$7)</f>
        <v>-43238</v>
      </c>
      <c r="AS8" s="76"/>
      <c r="AT8" s="73"/>
      <c r="AU8" s="73"/>
      <c r="AV8" s="116" t="e">
        <f t="shared" si="5"/>
        <v>#DIV/0!</v>
      </c>
      <c r="AW8" s="83"/>
    </row>
    <row r="9" spans="2:49" x14ac:dyDescent="0.25">
      <c r="B9" s="115"/>
      <c r="C9" s="118" t="e">
        <f>WEEKNUM(B9-RESUMEN!$D$7)</f>
        <v>#NUM!</v>
      </c>
      <c r="D9" s="118">
        <f>_xlfn.DAYS(B9,RESUMEN!$D$7)</f>
        <v>-43238</v>
      </c>
      <c r="E9" s="76"/>
      <c r="F9" s="73"/>
      <c r="G9" s="73"/>
      <c r="H9" s="116" t="e">
        <f t="shared" si="0"/>
        <v>#DIV/0!</v>
      </c>
      <c r="I9" s="83"/>
      <c r="J9" s="114"/>
      <c r="K9" s="118" t="e">
        <f>WEEKNUM(J9-RESUMEN!$D$7)</f>
        <v>#NUM!</v>
      </c>
      <c r="L9" s="118">
        <f>_xlfn.DAYS(J9,RESUMEN!$D$7)</f>
        <v>-43238</v>
      </c>
      <c r="M9" s="76"/>
      <c r="N9" s="73"/>
      <c r="O9" s="73"/>
      <c r="P9" s="116" t="e">
        <f t="shared" si="1"/>
        <v>#DIV/0!</v>
      </c>
      <c r="Q9" s="83"/>
      <c r="R9" s="114"/>
      <c r="S9" s="118" t="e">
        <f>WEEKNUM(R9-RESUMEN!$D$7)</f>
        <v>#NUM!</v>
      </c>
      <c r="T9" s="118">
        <f>_xlfn.DAYS(R9,RESUMEN!$D$7)</f>
        <v>-43238</v>
      </c>
      <c r="U9" s="76"/>
      <c r="V9" s="73"/>
      <c r="W9" s="73"/>
      <c r="X9" s="116" t="e">
        <f t="shared" si="2"/>
        <v>#DIV/0!</v>
      </c>
      <c r="Y9" s="83"/>
      <c r="Z9" s="115"/>
      <c r="AA9" s="118">
        <f>Z9-RESUMEN!$D$7</f>
        <v>-43238</v>
      </c>
      <c r="AB9" s="118">
        <f>_xlfn.DAYS(Z9,RESUMEN!$D$7)</f>
        <v>-43238</v>
      </c>
      <c r="AC9" s="76"/>
      <c r="AD9" s="73"/>
      <c r="AE9" s="73"/>
      <c r="AF9" s="116" t="e">
        <f t="shared" si="3"/>
        <v>#DIV/0!</v>
      </c>
      <c r="AG9" s="83"/>
      <c r="AH9" s="115"/>
      <c r="AI9" s="118" t="e">
        <f>WEEKNUM(AH9-RESUMEN!$D$7)</f>
        <v>#NUM!</v>
      </c>
      <c r="AJ9" s="118">
        <f>_xlfn.DAYS(AH9,RESUMEN!$D$7)</f>
        <v>-43238</v>
      </c>
      <c r="AK9" s="76"/>
      <c r="AL9" s="73"/>
      <c r="AM9" s="73"/>
      <c r="AN9" s="116" t="e">
        <f t="shared" si="4"/>
        <v>#DIV/0!</v>
      </c>
      <c r="AO9" s="83"/>
      <c r="AP9" s="114"/>
      <c r="AQ9" s="118" t="e">
        <f>WEEKNUM(AP9-RESUMEN!$D$7)</f>
        <v>#NUM!</v>
      </c>
      <c r="AR9" s="118">
        <f>_xlfn.DAYS(AP9,RESUMEN!$D$7)</f>
        <v>-43238</v>
      </c>
      <c r="AS9" s="76"/>
      <c r="AT9" s="73"/>
      <c r="AU9" s="73"/>
      <c r="AV9" s="116" t="e">
        <f t="shared" si="5"/>
        <v>#DIV/0!</v>
      </c>
      <c r="AW9" s="83"/>
    </row>
    <row r="10" spans="2:49" x14ac:dyDescent="0.25">
      <c r="B10" s="115"/>
      <c r="C10" s="118" t="e">
        <f>WEEKNUM(B10-RESUMEN!$D$7)</f>
        <v>#NUM!</v>
      </c>
      <c r="D10" s="118">
        <f>_xlfn.DAYS(B10,RESUMEN!$D$7)</f>
        <v>-43238</v>
      </c>
      <c r="E10" s="76"/>
      <c r="F10" s="73"/>
      <c r="G10" s="73"/>
      <c r="H10" s="116" t="e">
        <f t="shared" si="0"/>
        <v>#DIV/0!</v>
      </c>
      <c r="I10" s="83"/>
      <c r="J10" s="114"/>
      <c r="K10" s="118" t="e">
        <f>WEEKNUM(J10-RESUMEN!$D$7)</f>
        <v>#NUM!</v>
      </c>
      <c r="L10" s="118">
        <f>_xlfn.DAYS(J10,RESUMEN!$D$7)</f>
        <v>-43238</v>
      </c>
      <c r="M10" s="76"/>
      <c r="N10" s="73"/>
      <c r="O10" s="73"/>
      <c r="P10" s="116" t="e">
        <f t="shared" si="1"/>
        <v>#DIV/0!</v>
      </c>
      <c r="Q10" s="83"/>
      <c r="R10" s="114"/>
      <c r="S10" s="118" t="e">
        <f>WEEKNUM(R10-RESUMEN!$D$7)</f>
        <v>#NUM!</v>
      </c>
      <c r="T10" s="118">
        <f>_xlfn.DAYS(R10,RESUMEN!$D$7)</f>
        <v>-43238</v>
      </c>
      <c r="U10" s="76"/>
      <c r="V10" s="73"/>
      <c r="W10" s="73"/>
      <c r="X10" s="116" t="e">
        <f t="shared" si="2"/>
        <v>#DIV/0!</v>
      </c>
      <c r="Y10" s="83"/>
      <c r="Z10" s="115"/>
      <c r="AA10" s="118">
        <f>Z10-RESUMEN!$D$7</f>
        <v>-43238</v>
      </c>
      <c r="AB10" s="118">
        <f>_xlfn.DAYS(Z10,RESUMEN!$D$7)</f>
        <v>-43238</v>
      </c>
      <c r="AC10" s="76"/>
      <c r="AD10" s="73"/>
      <c r="AE10" s="73"/>
      <c r="AF10" s="116" t="e">
        <f t="shared" si="3"/>
        <v>#DIV/0!</v>
      </c>
      <c r="AG10" s="83"/>
      <c r="AH10" s="115"/>
      <c r="AI10" s="118" t="e">
        <f>WEEKNUM(AH10-RESUMEN!$D$7)</f>
        <v>#NUM!</v>
      </c>
      <c r="AJ10" s="118">
        <f>_xlfn.DAYS(AH10,RESUMEN!$D$7)</f>
        <v>-43238</v>
      </c>
      <c r="AK10" s="76"/>
      <c r="AL10" s="73"/>
      <c r="AM10" s="73"/>
      <c r="AN10" s="116" t="e">
        <f t="shared" si="4"/>
        <v>#DIV/0!</v>
      </c>
      <c r="AO10" s="83"/>
      <c r="AP10" s="115"/>
      <c r="AQ10" s="118" t="e">
        <f>WEEKNUM(AP10-RESUMEN!$D$7)</f>
        <v>#NUM!</v>
      </c>
      <c r="AR10" s="118">
        <f>_xlfn.DAYS(AP10,RESUMEN!$D$7)</f>
        <v>-43238</v>
      </c>
      <c r="AS10" s="76"/>
      <c r="AT10" s="73"/>
      <c r="AU10" s="73"/>
      <c r="AV10" s="116" t="e">
        <f t="shared" si="5"/>
        <v>#DIV/0!</v>
      </c>
      <c r="AW10" s="83"/>
    </row>
    <row r="11" spans="2:49" x14ac:dyDescent="0.25">
      <c r="B11" s="115"/>
      <c r="C11" s="118" t="e">
        <f>WEEKNUM(B11-RESUMEN!$D$7)</f>
        <v>#NUM!</v>
      </c>
      <c r="D11" s="118">
        <f>_xlfn.DAYS(B11,RESUMEN!$D$7)</f>
        <v>-43238</v>
      </c>
      <c r="E11" s="76"/>
      <c r="F11" s="73"/>
      <c r="G11" s="73"/>
      <c r="H11" s="116" t="e">
        <f t="shared" si="0"/>
        <v>#DIV/0!</v>
      </c>
      <c r="I11" s="83"/>
      <c r="J11" s="115"/>
      <c r="K11" s="118" t="e">
        <f>WEEKNUM(J11-RESUMEN!$D$7)</f>
        <v>#NUM!</v>
      </c>
      <c r="L11" s="118">
        <f>_xlfn.DAYS(J11,RESUMEN!$D$7)</f>
        <v>-43238</v>
      </c>
      <c r="M11" s="76"/>
      <c r="N11" s="73"/>
      <c r="O11" s="73"/>
      <c r="P11" s="116" t="e">
        <f t="shared" si="1"/>
        <v>#DIV/0!</v>
      </c>
      <c r="Q11" s="83"/>
      <c r="R11" s="115"/>
      <c r="S11" s="118" t="e">
        <f>WEEKNUM(R11-RESUMEN!$D$7)</f>
        <v>#NUM!</v>
      </c>
      <c r="T11" s="118">
        <f>_xlfn.DAYS(R11,RESUMEN!$D$7)</f>
        <v>-43238</v>
      </c>
      <c r="U11" s="76"/>
      <c r="V11" s="73"/>
      <c r="W11" s="73"/>
      <c r="X11" s="116" t="e">
        <f t="shared" si="2"/>
        <v>#DIV/0!</v>
      </c>
      <c r="Y11" s="83"/>
      <c r="Z11" s="115"/>
      <c r="AA11" s="118">
        <f>Z11-RESUMEN!$D$7</f>
        <v>-43238</v>
      </c>
      <c r="AB11" s="118">
        <f>_xlfn.DAYS(Z11,RESUMEN!$D$7)</f>
        <v>-43238</v>
      </c>
      <c r="AC11" s="76"/>
      <c r="AD11" s="73"/>
      <c r="AE11" s="73"/>
      <c r="AF11" s="116" t="e">
        <f t="shared" si="3"/>
        <v>#DIV/0!</v>
      </c>
      <c r="AG11" s="83"/>
      <c r="AH11" s="114"/>
      <c r="AI11" s="118" t="e">
        <f>WEEKNUM(AH11-RESUMEN!$D$7)</f>
        <v>#NUM!</v>
      </c>
      <c r="AJ11" s="118">
        <f>_xlfn.DAYS(AH11,RESUMEN!$D$7)</f>
        <v>-43238</v>
      </c>
      <c r="AK11" s="76"/>
      <c r="AL11" s="73"/>
      <c r="AM11" s="73"/>
      <c r="AN11" s="116" t="e">
        <f t="shared" si="4"/>
        <v>#DIV/0!</v>
      </c>
      <c r="AO11" s="83"/>
      <c r="AP11" s="115"/>
      <c r="AQ11" s="118" t="e">
        <f>WEEKNUM(AP11-RESUMEN!$D$7)</f>
        <v>#NUM!</v>
      </c>
      <c r="AR11" s="118">
        <f>_xlfn.DAYS(AP11,RESUMEN!$D$7)</f>
        <v>-43238</v>
      </c>
      <c r="AS11" s="76"/>
      <c r="AT11" s="73"/>
      <c r="AU11" s="73"/>
      <c r="AV11" s="116" t="e">
        <f t="shared" si="5"/>
        <v>#DIV/0!</v>
      </c>
      <c r="AW11" s="83"/>
    </row>
    <row r="12" spans="2:49" x14ac:dyDescent="0.25">
      <c r="B12" s="114"/>
      <c r="C12" s="118" t="e">
        <f>WEEKNUM(B12-RESUMEN!$D$7)</f>
        <v>#NUM!</v>
      </c>
      <c r="D12" s="118">
        <f>_xlfn.DAYS(B12,RESUMEN!$D$7)</f>
        <v>-43238</v>
      </c>
      <c r="E12" s="76"/>
      <c r="F12" s="73"/>
      <c r="G12" s="73"/>
      <c r="H12" s="116" t="e">
        <f t="shared" si="0"/>
        <v>#DIV/0!</v>
      </c>
      <c r="I12" s="83"/>
      <c r="J12" s="115"/>
      <c r="K12" s="118" t="e">
        <f>WEEKNUM(J12-RESUMEN!$D$7)</f>
        <v>#NUM!</v>
      </c>
      <c r="L12" s="118">
        <f>_xlfn.DAYS(J12,RESUMEN!$D$7)</f>
        <v>-43238</v>
      </c>
      <c r="M12" s="76"/>
      <c r="N12" s="73"/>
      <c r="O12" s="73"/>
      <c r="P12" s="116" t="e">
        <f t="shared" si="1"/>
        <v>#DIV/0!</v>
      </c>
      <c r="Q12" s="83"/>
      <c r="R12" s="115"/>
      <c r="S12" s="118" t="e">
        <f>WEEKNUM(R12-RESUMEN!$D$7)</f>
        <v>#NUM!</v>
      </c>
      <c r="T12" s="118">
        <f>_xlfn.DAYS(R12,RESUMEN!$D$7)</f>
        <v>-43238</v>
      </c>
      <c r="U12" s="76"/>
      <c r="V12" s="73"/>
      <c r="W12" s="73"/>
      <c r="X12" s="116" t="e">
        <f t="shared" si="2"/>
        <v>#DIV/0!</v>
      </c>
      <c r="Y12" s="83"/>
      <c r="Z12" s="115"/>
      <c r="AA12" s="118">
        <f>Z12-RESUMEN!$D$7</f>
        <v>-43238</v>
      </c>
      <c r="AB12" s="118">
        <f>_xlfn.DAYS(Z12,RESUMEN!$D$7)</f>
        <v>-43238</v>
      </c>
      <c r="AC12" s="76"/>
      <c r="AD12" s="73"/>
      <c r="AE12" s="73"/>
      <c r="AF12" s="116" t="e">
        <f t="shared" si="3"/>
        <v>#DIV/0!</v>
      </c>
      <c r="AG12" s="83"/>
      <c r="AH12" s="115"/>
      <c r="AI12" s="118" t="e">
        <f>WEEKNUM(AH12-RESUMEN!$D$7)</f>
        <v>#NUM!</v>
      </c>
      <c r="AJ12" s="118">
        <f>_xlfn.DAYS(AH12,RESUMEN!$D$7)</f>
        <v>-43238</v>
      </c>
      <c r="AK12" s="76"/>
      <c r="AL12" s="73"/>
      <c r="AM12" s="73"/>
      <c r="AN12" s="116" t="e">
        <f t="shared" si="4"/>
        <v>#DIV/0!</v>
      </c>
      <c r="AO12" s="83"/>
      <c r="AP12" s="115"/>
      <c r="AQ12" s="118" t="e">
        <f>WEEKNUM(AP12-RESUMEN!$D$7)</f>
        <v>#NUM!</v>
      </c>
      <c r="AR12" s="118">
        <f>_xlfn.DAYS(AP12,RESUMEN!$D$7)</f>
        <v>-43238</v>
      </c>
      <c r="AS12" s="76"/>
      <c r="AT12" s="73"/>
      <c r="AU12" s="73"/>
      <c r="AV12" s="116" t="e">
        <f t="shared" si="5"/>
        <v>#DIV/0!</v>
      </c>
      <c r="AW12" s="83"/>
    </row>
    <row r="13" spans="2:49" x14ac:dyDescent="0.25">
      <c r="B13" s="114"/>
      <c r="C13" s="118" t="e">
        <f>WEEKNUM(B13-RESUMEN!$D$7)</f>
        <v>#NUM!</v>
      </c>
      <c r="D13" s="118">
        <f>_xlfn.DAYS(B13,RESUMEN!$D$7)</f>
        <v>-43238</v>
      </c>
      <c r="E13" s="76"/>
      <c r="F13" s="73"/>
      <c r="G13" s="73"/>
      <c r="H13" s="116" t="e">
        <f t="shared" si="0"/>
        <v>#DIV/0!</v>
      </c>
      <c r="I13" s="83"/>
      <c r="J13" s="115"/>
      <c r="K13" s="118" t="e">
        <f>WEEKNUM(J13-RESUMEN!$D$7)</f>
        <v>#NUM!</v>
      </c>
      <c r="L13" s="118">
        <f>_xlfn.DAYS(J13,RESUMEN!$D$7)</f>
        <v>-43238</v>
      </c>
      <c r="M13" s="76"/>
      <c r="N13" s="73"/>
      <c r="O13" s="73"/>
      <c r="P13" s="116" t="e">
        <f t="shared" si="1"/>
        <v>#DIV/0!</v>
      </c>
      <c r="Q13" s="83"/>
      <c r="R13" s="114"/>
      <c r="S13" s="118" t="e">
        <f>WEEKNUM(R13-RESUMEN!$D$7)</f>
        <v>#NUM!</v>
      </c>
      <c r="T13" s="118">
        <f>_xlfn.DAYS(R13,RESUMEN!$D$7)</f>
        <v>-43238</v>
      </c>
      <c r="U13" s="76"/>
      <c r="V13" s="73"/>
      <c r="W13" s="73"/>
      <c r="X13" s="116" t="e">
        <f t="shared" si="2"/>
        <v>#DIV/0!</v>
      </c>
      <c r="Y13" s="83"/>
      <c r="Z13" s="114"/>
      <c r="AA13" s="118">
        <f>Z13-RESUMEN!$D$7</f>
        <v>-43238</v>
      </c>
      <c r="AB13" s="118">
        <f>_xlfn.DAYS(Z13,RESUMEN!$D$7)</f>
        <v>-43238</v>
      </c>
      <c r="AC13" s="76"/>
      <c r="AD13" s="73"/>
      <c r="AE13" s="73"/>
      <c r="AF13" s="116" t="e">
        <f t="shared" si="3"/>
        <v>#DIV/0!</v>
      </c>
      <c r="AG13" s="83"/>
      <c r="AH13" s="115"/>
      <c r="AI13" s="118" t="e">
        <f>WEEKNUM(AH13-RESUMEN!$D$7)</f>
        <v>#NUM!</v>
      </c>
      <c r="AJ13" s="118">
        <f>_xlfn.DAYS(AH13,RESUMEN!$D$7)</f>
        <v>-43238</v>
      </c>
      <c r="AK13" s="76"/>
      <c r="AL13" s="73"/>
      <c r="AM13" s="73"/>
      <c r="AN13" s="116" t="e">
        <f t="shared" si="4"/>
        <v>#DIV/0!</v>
      </c>
      <c r="AO13" s="83"/>
      <c r="AP13" s="114"/>
      <c r="AQ13" s="118" t="e">
        <f>WEEKNUM(AP13-RESUMEN!$D$7)</f>
        <v>#NUM!</v>
      </c>
      <c r="AR13" s="118">
        <f>_xlfn.DAYS(AP13,RESUMEN!$D$7)</f>
        <v>-43238</v>
      </c>
      <c r="AS13" s="76"/>
      <c r="AT13" s="73"/>
      <c r="AU13" s="73"/>
      <c r="AV13" s="116" t="e">
        <f t="shared" si="5"/>
        <v>#DIV/0!</v>
      </c>
      <c r="AW13" s="83"/>
    </row>
    <row r="14" spans="2:49" x14ac:dyDescent="0.25">
      <c r="B14" s="115"/>
      <c r="C14" s="118" t="e">
        <f>WEEKNUM(B14-RESUMEN!$D$7)</f>
        <v>#NUM!</v>
      </c>
      <c r="D14" s="118">
        <f>_xlfn.DAYS(B14,RESUMEN!$D$7)</f>
        <v>-43238</v>
      </c>
      <c r="E14" s="76"/>
      <c r="F14" s="73"/>
      <c r="G14" s="73"/>
      <c r="H14" s="116" t="e">
        <f t="shared" si="0"/>
        <v>#DIV/0!</v>
      </c>
      <c r="I14" s="83"/>
      <c r="J14" s="115"/>
      <c r="K14" s="118" t="e">
        <f>WEEKNUM(J14-RESUMEN!$D$7)</f>
        <v>#NUM!</v>
      </c>
      <c r="L14" s="118">
        <f>_xlfn.DAYS(J14,RESUMEN!$D$7)</f>
        <v>-43238</v>
      </c>
      <c r="M14" s="76"/>
      <c r="N14" s="73"/>
      <c r="O14" s="73"/>
      <c r="P14" s="116" t="e">
        <f t="shared" si="1"/>
        <v>#DIV/0!</v>
      </c>
      <c r="Q14" s="83"/>
      <c r="R14" s="114"/>
      <c r="S14" s="118" t="e">
        <f>WEEKNUM(R14-RESUMEN!$D$7)</f>
        <v>#NUM!</v>
      </c>
      <c r="T14" s="118">
        <f>_xlfn.DAYS(R14,RESUMEN!$D$7)</f>
        <v>-43238</v>
      </c>
      <c r="U14" s="76"/>
      <c r="V14" s="73"/>
      <c r="W14" s="73"/>
      <c r="X14" s="116" t="e">
        <f t="shared" si="2"/>
        <v>#DIV/0!</v>
      </c>
      <c r="Y14" s="83"/>
      <c r="Z14" s="114"/>
      <c r="AA14" s="118">
        <f>Z14-RESUMEN!$D$7</f>
        <v>-43238</v>
      </c>
      <c r="AB14" s="118">
        <f>_xlfn.DAYS(Z14,RESUMEN!$D$7)</f>
        <v>-43238</v>
      </c>
      <c r="AC14" s="76"/>
      <c r="AD14" s="73"/>
      <c r="AE14" s="73"/>
      <c r="AF14" s="116" t="e">
        <f t="shared" si="3"/>
        <v>#DIV/0!</v>
      </c>
      <c r="AG14" s="83"/>
      <c r="AH14" s="115"/>
      <c r="AI14" s="118" t="e">
        <f>WEEKNUM(AH14-RESUMEN!$D$7)</f>
        <v>#NUM!</v>
      </c>
      <c r="AJ14" s="118">
        <f>_xlfn.DAYS(AH14,RESUMEN!$D$7)</f>
        <v>-43238</v>
      </c>
      <c r="AK14" s="76"/>
      <c r="AL14" s="73"/>
      <c r="AM14" s="73"/>
      <c r="AN14" s="116" t="e">
        <f t="shared" si="4"/>
        <v>#DIV/0!</v>
      </c>
      <c r="AO14" s="83"/>
      <c r="AP14" s="115"/>
      <c r="AQ14" s="118" t="e">
        <f>WEEKNUM(AP14-RESUMEN!$D$7)</f>
        <v>#NUM!</v>
      </c>
      <c r="AR14" s="118">
        <f>_xlfn.DAYS(AP14,RESUMEN!$D$7)</f>
        <v>-43238</v>
      </c>
      <c r="AS14" s="76"/>
      <c r="AT14" s="73"/>
      <c r="AU14" s="73"/>
      <c r="AV14" s="116" t="e">
        <f t="shared" si="5"/>
        <v>#DIV/0!</v>
      </c>
      <c r="AW14" s="83"/>
    </row>
    <row r="15" spans="2:49" x14ac:dyDescent="0.25">
      <c r="B15" s="115"/>
      <c r="C15" s="118" t="e">
        <f>WEEKNUM(B15-RESUMEN!$D$7)</f>
        <v>#NUM!</v>
      </c>
      <c r="D15" s="118">
        <f>_xlfn.DAYS(B15,RESUMEN!$D$7)</f>
        <v>-43238</v>
      </c>
      <c r="E15" s="76"/>
      <c r="F15" s="73"/>
      <c r="G15" s="73"/>
      <c r="H15" s="116" t="e">
        <f t="shared" si="0"/>
        <v>#DIV/0!</v>
      </c>
      <c r="I15" s="83"/>
      <c r="J15" s="115"/>
      <c r="K15" s="118" t="e">
        <f>WEEKNUM(J15-RESUMEN!$D$7)</f>
        <v>#NUM!</v>
      </c>
      <c r="L15" s="118">
        <f>_xlfn.DAYS(J15,RESUMEN!$D$7)</f>
        <v>-43238</v>
      </c>
      <c r="M15" s="76"/>
      <c r="N15" s="73"/>
      <c r="O15" s="73"/>
      <c r="P15" s="116" t="e">
        <f t="shared" si="1"/>
        <v>#DIV/0!</v>
      </c>
      <c r="Q15" s="83"/>
      <c r="R15" s="115"/>
      <c r="S15" s="118" t="e">
        <f>WEEKNUM(R15-RESUMEN!$D$7)</f>
        <v>#NUM!</v>
      </c>
      <c r="T15" s="118">
        <f>_xlfn.DAYS(R15,RESUMEN!$D$7)</f>
        <v>-43238</v>
      </c>
      <c r="U15" s="76"/>
      <c r="V15" s="73"/>
      <c r="W15" s="73"/>
      <c r="X15" s="116" t="e">
        <f t="shared" si="2"/>
        <v>#DIV/0!</v>
      </c>
      <c r="Y15" s="83"/>
      <c r="Z15" s="115"/>
      <c r="AA15" s="118">
        <f>Z15-RESUMEN!$D$7</f>
        <v>-43238</v>
      </c>
      <c r="AB15" s="118">
        <f>_xlfn.DAYS(Z15,RESUMEN!$D$7)</f>
        <v>-43238</v>
      </c>
      <c r="AC15" s="76"/>
      <c r="AD15" s="73"/>
      <c r="AE15" s="73"/>
      <c r="AF15" s="116" t="e">
        <f t="shared" si="3"/>
        <v>#DIV/0!</v>
      </c>
      <c r="AG15" s="83"/>
      <c r="AH15" s="115"/>
      <c r="AI15" s="118" t="e">
        <f>WEEKNUM(AH15-RESUMEN!$D$7)</f>
        <v>#NUM!</v>
      </c>
      <c r="AJ15" s="118">
        <f>_xlfn.DAYS(AH15,RESUMEN!$D$7)</f>
        <v>-43238</v>
      </c>
      <c r="AK15" s="76"/>
      <c r="AL15" s="73"/>
      <c r="AM15" s="73"/>
      <c r="AN15" s="116" t="e">
        <f t="shared" si="4"/>
        <v>#DIV/0!</v>
      </c>
      <c r="AO15" s="83"/>
      <c r="AP15" s="115"/>
      <c r="AQ15" s="118" t="e">
        <f>WEEKNUM(AP15-RESUMEN!$D$7)</f>
        <v>#NUM!</v>
      </c>
      <c r="AR15" s="118">
        <f>_xlfn.DAYS(AP15,RESUMEN!$D$7)</f>
        <v>-43238</v>
      </c>
      <c r="AS15" s="76"/>
      <c r="AT15" s="73"/>
      <c r="AU15" s="73"/>
      <c r="AV15" s="116" t="e">
        <f t="shared" si="5"/>
        <v>#DIV/0!</v>
      </c>
      <c r="AW15" s="83"/>
    </row>
    <row r="16" spans="2:49" x14ac:dyDescent="0.25">
      <c r="B16" s="114"/>
      <c r="C16" s="118" t="e">
        <f>WEEKNUM(B16-RESUMEN!$D$7)</f>
        <v>#NUM!</v>
      </c>
      <c r="D16" s="118">
        <f>_xlfn.DAYS(B16,RESUMEN!$D$7)</f>
        <v>-43238</v>
      </c>
      <c r="E16" s="119"/>
      <c r="F16" s="73"/>
      <c r="G16" s="73"/>
      <c r="H16" s="116" t="e">
        <f t="shared" si="0"/>
        <v>#DIV/0!</v>
      </c>
      <c r="I16" s="83"/>
      <c r="J16" s="115"/>
      <c r="K16" s="118" t="e">
        <f>WEEKNUM(J16-RESUMEN!$D$7)</f>
        <v>#NUM!</v>
      </c>
      <c r="L16" s="118">
        <f>_xlfn.DAYS(J16,RESUMEN!$D$7)</f>
        <v>-43238</v>
      </c>
      <c r="M16" s="76"/>
      <c r="N16" s="73"/>
      <c r="O16" s="73"/>
      <c r="P16" s="116" t="e">
        <f t="shared" si="1"/>
        <v>#DIV/0!</v>
      </c>
      <c r="Q16" s="83"/>
      <c r="R16" s="115"/>
      <c r="S16" s="118" t="e">
        <f>WEEKNUM(R16-RESUMEN!$D$7)</f>
        <v>#NUM!</v>
      </c>
      <c r="T16" s="118">
        <f>_xlfn.DAYS(R16,RESUMEN!$D$7)</f>
        <v>-43238</v>
      </c>
      <c r="U16" s="76"/>
      <c r="V16" s="73"/>
      <c r="W16" s="73"/>
      <c r="X16" s="116" t="e">
        <f t="shared" si="2"/>
        <v>#DIV/0!</v>
      </c>
      <c r="Y16" s="83"/>
      <c r="Z16" s="115"/>
      <c r="AA16" s="118">
        <f>Z16-RESUMEN!$D$7</f>
        <v>-43238</v>
      </c>
      <c r="AB16" s="118">
        <f>_xlfn.DAYS(Z16,RESUMEN!$D$7)</f>
        <v>-43238</v>
      </c>
      <c r="AC16" s="76"/>
      <c r="AD16" s="73"/>
      <c r="AE16" s="73"/>
      <c r="AF16" s="116" t="e">
        <f t="shared" si="3"/>
        <v>#DIV/0!</v>
      </c>
      <c r="AG16" s="83"/>
      <c r="AH16" s="114"/>
      <c r="AI16" s="118" t="e">
        <f>WEEKNUM(AH16-RESUMEN!$D$7)</f>
        <v>#NUM!</v>
      </c>
      <c r="AJ16" s="118">
        <f>_xlfn.DAYS(AH16,RESUMEN!$D$7)</f>
        <v>-43238</v>
      </c>
      <c r="AK16" s="76"/>
      <c r="AL16" s="73"/>
      <c r="AM16" s="73"/>
      <c r="AN16" s="116" t="e">
        <f t="shared" si="4"/>
        <v>#DIV/0!</v>
      </c>
      <c r="AO16" s="83"/>
      <c r="AP16" s="115"/>
      <c r="AQ16" s="118" t="e">
        <f>WEEKNUM(AP16-RESUMEN!$D$7)</f>
        <v>#NUM!</v>
      </c>
      <c r="AR16" s="118">
        <f>_xlfn.DAYS(AP16,RESUMEN!$D$7)</f>
        <v>-43238</v>
      </c>
      <c r="AS16" s="76"/>
      <c r="AT16" s="73"/>
      <c r="AU16" s="73"/>
      <c r="AV16" s="116" t="e">
        <f t="shared" si="5"/>
        <v>#DIV/0!</v>
      </c>
      <c r="AW16" s="83"/>
    </row>
    <row r="17" spans="2:49" x14ac:dyDescent="0.25">
      <c r="B17" s="115"/>
      <c r="C17" s="118" t="e">
        <f>WEEKNUM(B17-RESUMEN!$D$7)</f>
        <v>#NUM!</v>
      </c>
      <c r="D17" s="118">
        <f>_xlfn.DAYS(B17,RESUMEN!$D$7)</f>
        <v>-43238</v>
      </c>
      <c r="E17" s="76"/>
      <c r="F17" s="73"/>
      <c r="G17" s="73"/>
      <c r="H17" s="116" t="e">
        <f t="shared" si="0"/>
        <v>#DIV/0!</v>
      </c>
      <c r="I17" s="83"/>
      <c r="J17" s="114"/>
      <c r="K17" s="118" t="e">
        <f>WEEKNUM(J17-RESUMEN!$D$7)</f>
        <v>#NUM!</v>
      </c>
      <c r="L17" s="118">
        <f>_xlfn.DAYS(J17,RESUMEN!$D$7)</f>
        <v>-43238</v>
      </c>
      <c r="M17" s="76"/>
      <c r="N17" s="73"/>
      <c r="O17" s="73"/>
      <c r="P17" s="116" t="e">
        <f t="shared" si="1"/>
        <v>#DIV/0!</v>
      </c>
      <c r="Q17" s="83"/>
      <c r="R17" s="115"/>
      <c r="S17" s="118" t="e">
        <f>WEEKNUM(R17-RESUMEN!$D$7)</f>
        <v>#NUM!</v>
      </c>
      <c r="T17" s="118">
        <f>_xlfn.DAYS(R17,RESUMEN!$D$7)</f>
        <v>-43238</v>
      </c>
      <c r="U17" s="76"/>
      <c r="V17" s="73"/>
      <c r="W17" s="73"/>
      <c r="X17" s="116" t="e">
        <f t="shared" si="2"/>
        <v>#DIV/0!</v>
      </c>
      <c r="Y17" s="83"/>
      <c r="Z17" s="115"/>
      <c r="AA17" s="118">
        <f>Z17-RESUMEN!$D$7</f>
        <v>-43238</v>
      </c>
      <c r="AB17" s="118">
        <f>_xlfn.DAYS(Z17,RESUMEN!$D$7)</f>
        <v>-43238</v>
      </c>
      <c r="AC17" s="76"/>
      <c r="AD17" s="73"/>
      <c r="AE17" s="73"/>
      <c r="AF17" s="116" t="e">
        <f t="shared" si="3"/>
        <v>#DIV/0!</v>
      </c>
      <c r="AG17" s="83"/>
      <c r="AH17" s="115"/>
      <c r="AI17" s="118" t="e">
        <f>WEEKNUM(AH17-RESUMEN!$D$7)</f>
        <v>#NUM!</v>
      </c>
      <c r="AJ17" s="118">
        <f>_xlfn.DAYS(AH17,RESUMEN!$D$7)</f>
        <v>-43238</v>
      </c>
      <c r="AK17" s="76"/>
      <c r="AL17" s="73"/>
      <c r="AM17" s="73"/>
      <c r="AN17" s="116" t="e">
        <f t="shared" si="4"/>
        <v>#DIV/0!</v>
      </c>
      <c r="AO17" s="83"/>
      <c r="AP17" s="115"/>
      <c r="AQ17" s="118" t="e">
        <f>WEEKNUM(AP17-RESUMEN!$D$7)</f>
        <v>#NUM!</v>
      </c>
      <c r="AR17" s="118">
        <f>_xlfn.DAYS(AP17,RESUMEN!$D$7)</f>
        <v>-43238</v>
      </c>
      <c r="AS17" s="76"/>
      <c r="AT17" s="73"/>
      <c r="AU17" s="73"/>
      <c r="AV17" s="116" t="e">
        <f t="shared" si="5"/>
        <v>#DIV/0!</v>
      </c>
      <c r="AW17" s="83"/>
    </row>
    <row r="18" spans="2:49" x14ac:dyDescent="0.25">
      <c r="B18" s="114"/>
      <c r="C18" s="118" t="e">
        <f>WEEKNUM(B18-RESUMEN!$D$7)</f>
        <v>#NUM!</v>
      </c>
      <c r="D18" s="118">
        <f>_xlfn.DAYS(B18,RESUMEN!$D$7)</f>
        <v>-43238</v>
      </c>
      <c r="E18" s="76"/>
      <c r="F18" s="73"/>
      <c r="G18" s="73"/>
      <c r="H18" s="116" t="e">
        <f t="shared" si="0"/>
        <v>#DIV/0!</v>
      </c>
      <c r="I18" s="83"/>
      <c r="J18" s="115"/>
      <c r="K18" s="118" t="e">
        <f>WEEKNUM(J18-RESUMEN!$D$7)</f>
        <v>#NUM!</v>
      </c>
      <c r="L18" s="118">
        <f>_xlfn.DAYS(J18,RESUMEN!$D$7)</f>
        <v>-43238</v>
      </c>
      <c r="M18" s="76"/>
      <c r="N18" s="73"/>
      <c r="O18" s="73"/>
      <c r="P18" s="116" t="e">
        <f t="shared" si="1"/>
        <v>#DIV/0!</v>
      </c>
      <c r="Q18" s="83"/>
      <c r="R18" s="114"/>
      <c r="S18" s="118" t="e">
        <f>WEEKNUM(R18-RESUMEN!$D$7)</f>
        <v>#NUM!</v>
      </c>
      <c r="T18" s="118">
        <f>_xlfn.DAYS(R18,RESUMEN!$D$7)</f>
        <v>-43238</v>
      </c>
      <c r="U18" s="76"/>
      <c r="V18" s="73"/>
      <c r="W18" s="73"/>
      <c r="X18" s="116" t="e">
        <f t="shared" si="2"/>
        <v>#DIV/0!</v>
      </c>
      <c r="Y18" s="83"/>
      <c r="Z18" s="115"/>
      <c r="AA18" s="118">
        <f>Z18-RESUMEN!$D$7</f>
        <v>-43238</v>
      </c>
      <c r="AB18" s="118">
        <f>_xlfn.DAYS(Z18,RESUMEN!$D$7)</f>
        <v>-43238</v>
      </c>
      <c r="AC18" s="76"/>
      <c r="AD18" s="73"/>
      <c r="AE18" s="73"/>
      <c r="AF18" s="116" t="e">
        <f t="shared" si="3"/>
        <v>#DIV/0!</v>
      </c>
      <c r="AG18" s="83"/>
      <c r="AH18" s="115"/>
      <c r="AI18" s="118" t="e">
        <f>WEEKNUM(AH18-RESUMEN!$D$7)</f>
        <v>#NUM!</v>
      </c>
      <c r="AJ18" s="118">
        <f>_xlfn.DAYS(AH18,RESUMEN!$D$7)</f>
        <v>-43238</v>
      </c>
      <c r="AK18" s="76"/>
      <c r="AL18" s="73"/>
      <c r="AM18" s="73"/>
      <c r="AN18" s="116" t="e">
        <f t="shared" si="4"/>
        <v>#DIV/0!</v>
      </c>
      <c r="AO18" s="83"/>
      <c r="AP18" s="115"/>
      <c r="AQ18" s="118" t="e">
        <f>WEEKNUM(AP18-RESUMEN!$D$7)</f>
        <v>#NUM!</v>
      </c>
      <c r="AR18" s="118">
        <f>_xlfn.DAYS(AP18,RESUMEN!$D$7)</f>
        <v>-43238</v>
      </c>
      <c r="AS18" s="76"/>
      <c r="AT18" s="73"/>
      <c r="AU18" s="73"/>
      <c r="AV18" s="116" t="e">
        <f t="shared" si="5"/>
        <v>#DIV/0!</v>
      </c>
      <c r="AW18" s="83"/>
    </row>
    <row r="19" spans="2:49" x14ac:dyDescent="0.25">
      <c r="B19" s="115"/>
      <c r="C19" s="118" t="e">
        <f>WEEKNUM(B19-RESUMEN!$D$7)</f>
        <v>#NUM!</v>
      </c>
      <c r="D19" s="118">
        <f>_xlfn.DAYS(B19,RESUMEN!$D$7)</f>
        <v>-43238</v>
      </c>
      <c r="E19" s="76"/>
      <c r="F19" s="73"/>
      <c r="G19" s="73"/>
      <c r="H19" s="116" t="e">
        <f t="shared" si="0"/>
        <v>#DIV/0!</v>
      </c>
      <c r="I19" s="83"/>
      <c r="J19" s="115"/>
      <c r="K19" s="118" t="e">
        <f>WEEKNUM(J19-RESUMEN!$D$7)</f>
        <v>#NUM!</v>
      </c>
      <c r="L19" s="118">
        <f>_xlfn.DAYS(J19,RESUMEN!$D$7)</f>
        <v>-43238</v>
      </c>
      <c r="M19" s="76"/>
      <c r="N19" s="73"/>
      <c r="O19" s="73"/>
      <c r="P19" s="116" t="e">
        <f t="shared" si="1"/>
        <v>#DIV/0!</v>
      </c>
      <c r="Q19" s="83"/>
      <c r="R19" s="115"/>
      <c r="S19" s="118" t="e">
        <f>WEEKNUM(R19-RESUMEN!$D$7)</f>
        <v>#NUM!</v>
      </c>
      <c r="T19" s="118">
        <f>_xlfn.DAYS(R19,RESUMEN!$D$7)</f>
        <v>-43238</v>
      </c>
      <c r="U19" s="76"/>
      <c r="V19" s="73"/>
      <c r="W19" s="73"/>
      <c r="X19" s="116" t="e">
        <f t="shared" si="2"/>
        <v>#DIV/0!</v>
      </c>
      <c r="Y19" s="83"/>
      <c r="Z19" s="114"/>
      <c r="AA19" s="118">
        <f>Z19-RESUMEN!$D$7</f>
        <v>-43238</v>
      </c>
      <c r="AB19" s="118">
        <f>_xlfn.DAYS(Z19,RESUMEN!$D$7)</f>
        <v>-43238</v>
      </c>
      <c r="AC19" s="76"/>
      <c r="AD19" s="73"/>
      <c r="AE19" s="73"/>
      <c r="AF19" s="116" t="e">
        <f t="shared" si="3"/>
        <v>#DIV/0!</v>
      </c>
      <c r="AG19" s="83"/>
      <c r="AH19" s="115"/>
      <c r="AI19" s="118" t="e">
        <f>WEEKNUM(AH19-RESUMEN!$D$7)</f>
        <v>#NUM!</v>
      </c>
      <c r="AJ19" s="118">
        <f>_xlfn.DAYS(AH19,RESUMEN!$D$7)</f>
        <v>-43238</v>
      </c>
      <c r="AK19" s="76"/>
      <c r="AL19" s="73"/>
      <c r="AM19" s="73"/>
      <c r="AN19" s="116" t="e">
        <f t="shared" si="4"/>
        <v>#DIV/0!</v>
      </c>
      <c r="AO19" s="83"/>
      <c r="AP19" s="114"/>
      <c r="AQ19" s="118" t="e">
        <f>WEEKNUM(AP19-RESUMEN!$D$7)</f>
        <v>#NUM!</v>
      </c>
      <c r="AR19" s="118">
        <f>_xlfn.DAYS(AP19,RESUMEN!$D$7)</f>
        <v>-43238</v>
      </c>
      <c r="AS19" s="76"/>
      <c r="AT19" s="73"/>
      <c r="AU19" s="73"/>
      <c r="AV19" s="116" t="e">
        <f t="shared" si="5"/>
        <v>#DIV/0!</v>
      </c>
      <c r="AW19" s="83"/>
    </row>
    <row r="20" spans="2:49" x14ac:dyDescent="0.25">
      <c r="B20" s="114"/>
      <c r="C20" s="118" t="e">
        <f>WEEKNUM(B20-RESUMEN!$D$7)</f>
        <v>#NUM!</v>
      </c>
      <c r="D20" s="118">
        <f>_xlfn.DAYS(B20,RESUMEN!$D$7)</f>
        <v>-43238</v>
      </c>
      <c r="E20" s="76"/>
      <c r="F20" s="73"/>
      <c r="G20" s="73"/>
      <c r="H20" s="116" t="e">
        <f t="shared" si="0"/>
        <v>#DIV/0!</v>
      </c>
      <c r="I20" s="83"/>
      <c r="J20" s="114"/>
      <c r="K20" s="118" t="e">
        <f>WEEKNUM(J20-RESUMEN!$D$7)</f>
        <v>#NUM!</v>
      </c>
      <c r="L20" s="118">
        <f>_xlfn.DAYS(J20,RESUMEN!$D$7)</f>
        <v>-43238</v>
      </c>
      <c r="M20" s="76"/>
      <c r="N20" s="73"/>
      <c r="O20" s="73"/>
      <c r="P20" s="116" t="e">
        <f t="shared" si="1"/>
        <v>#DIV/0!</v>
      </c>
      <c r="Q20" s="83"/>
      <c r="R20" s="115"/>
      <c r="S20" s="118" t="e">
        <f>WEEKNUM(R20-RESUMEN!$D$7)</f>
        <v>#NUM!</v>
      </c>
      <c r="T20" s="118">
        <f>_xlfn.DAYS(R20,RESUMEN!$D$7)</f>
        <v>-43238</v>
      </c>
      <c r="U20" s="76"/>
      <c r="V20" s="73"/>
      <c r="W20" s="73"/>
      <c r="X20" s="116" t="e">
        <f t="shared" si="2"/>
        <v>#DIV/0!</v>
      </c>
      <c r="Y20" s="83"/>
      <c r="Z20" s="115"/>
      <c r="AA20" s="118">
        <f>Z20-RESUMEN!$D$7</f>
        <v>-43238</v>
      </c>
      <c r="AB20" s="118">
        <f>_xlfn.DAYS(Z20,RESUMEN!$D$7)</f>
        <v>-43238</v>
      </c>
      <c r="AC20" s="76"/>
      <c r="AD20" s="73"/>
      <c r="AE20" s="73"/>
      <c r="AF20" s="116" t="e">
        <f t="shared" si="3"/>
        <v>#DIV/0!</v>
      </c>
      <c r="AG20" s="83"/>
      <c r="AH20" s="115"/>
      <c r="AI20" s="118" t="e">
        <f>WEEKNUM(AH20-RESUMEN!$D$7)</f>
        <v>#NUM!</v>
      </c>
      <c r="AJ20" s="118">
        <f>_xlfn.DAYS(AH20,RESUMEN!$D$7)</f>
        <v>-43238</v>
      </c>
      <c r="AK20" s="76"/>
      <c r="AL20" s="73"/>
      <c r="AM20" s="73"/>
      <c r="AN20" s="116" t="e">
        <f t="shared" si="4"/>
        <v>#DIV/0!</v>
      </c>
      <c r="AO20" s="83"/>
      <c r="AP20" s="115"/>
      <c r="AQ20" s="118" t="e">
        <f>WEEKNUM(AP20-RESUMEN!$D$7)</f>
        <v>#NUM!</v>
      </c>
      <c r="AR20" s="118">
        <f>_xlfn.DAYS(AP20,RESUMEN!$D$7)</f>
        <v>-43238</v>
      </c>
      <c r="AS20" s="76"/>
      <c r="AT20" s="73"/>
      <c r="AU20" s="73"/>
      <c r="AV20" s="116" t="e">
        <f t="shared" si="5"/>
        <v>#DIV/0!</v>
      </c>
      <c r="AW20" s="83"/>
    </row>
    <row r="21" spans="2:49" x14ac:dyDescent="0.25">
      <c r="B21" s="114"/>
      <c r="C21" s="118" t="e">
        <f>WEEKNUM(B21-RESUMEN!$D$7)</f>
        <v>#NUM!</v>
      </c>
      <c r="D21" s="118">
        <f>_xlfn.DAYS(B21,RESUMEN!$D$7)</f>
        <v>-43238</v>
      </c>
      <c r="E21" s="76"/>
      <c r="F21" s="73"/>
      <c r="G21" s="73"/>
      <c r="H21" s="116" t="e">
        <f t="shared" si="0"/>
        <v>#DIV/0!</v>
      </c>
      <c r="I21" s="83"/>
      <c r="J21" s="114"/>
      <c r="K21" s="118" t="e">
        <f>WEEKNUM(J21-RESUMEN!$D$7)</f>
        <v>#NUM!</v>
      </c>
      <c r="L21" s="118">
        <f>_xlfn.DAYS(J21,RESUMEN!$D$7)</f>
        <v>-43238</v>
      </c>
      <c r="M21" s="76"/>
      <c r="N21" s="73"/>
      <c r="O21" s="73"/>
      <c r="P21" s="116" t="e">
        <f t="shared" si="1"/>
        <v>#DIV/0!</v>
      </c>
      <c r="Q21" s="83"/>
      <c r="R21" s="115"/>
      <c r="S21" s="118" t="e">
        <f>WEEKNUM(R21-RESUMEN!$D$7)</f>
        <v>#NUM!</v>
      </c>
      <c r="T21" s="118">
        <f>_xlfn.DAYS(R21,RESUMEN!$D$7)</f>
        <v>-43238</v>
      </c>
      <c r="U21" s="76"/>
      <c r="V21" s="73"/>
      <c r="W21" s="73"/>
      <c r="X21" s="116" t="e">
        <f t="shared" si="2"/>
        <v>#DIV/0!</v>
      </c>
      <c r="Y21" s="83"/>
      <c r="Z21" s="115"/>
      <c r="AA21" s="118">
        <f>Z21-RESUMEN!$D$7</f>
        <v>-43238</v>
      </c>
      <c r="AB21" s="118">
        <f>_xlfn.DAYS(Z21,RESUMEN!$D$7)</f>
        <v>-43238</v>
      </c>
      <c r="AC21" s="76"/>
      <c r="AD21" s="73"/>
      <c r="AE21" s="73"/>
      <c r="AF21" s="116" t="e">
        <f t="shared" si="3"/>
        <v>#DIV/0!</v>
      </c>
      <c r="AG21" s="83"/>
      <c r="AH21" s="115"/>
      <c r="AI21" s="118" t="e">
        <f>WEEKNUM(AH21-RESUMEN!$D$7)</f>
        <v>#NUM!</v>
      </c>
      <c r="AJ21" s="118">
        <f>_xlfn.DAYS(AH21,RESUMEN!$D$7)</f>
        <v>-43238</v>
      </c>
      <c r="AK21" s="76"/>
      <c r="AL21" s="73"/>
      <c r="AM21" s="73"/>
      <c r="AN21" s="116" t="e">
        <f t="shared" si="4"/>
        <v>#DIV/0!</v>
      </c>
      <c r="AO21" s="83"/>
      <c r="AP21" s="114"/>
      <c r="AQ21" s="118" t="e">
        <f>WEEKNUM(AP21-RESUMEN!$D$7)</f>
        <v>#NUM!</v>
      </c>
      <c r="AR21" s="118">
        <f>_xlfn.DAYS(AP21,RESUMEN!$D$7)</f>
        <v>-43238</v>
      </c>
      <c r="AS21" s="76"/>
      <c r="AT21" s="73"/>
      <c r="AU21" s="73"/>
      <c r="AV21" s="116" t="e">
        <f t="shared" si="5"/>
        <v>#DIV/0!</v>
      </c>
      <c r="AW21" s="83"/>
    </row>
    <row r="22" spans="2:49" x14ac:dyDescent="0.25">
      <c r="B22" s="114"/>
      <c r="C22" s="118" t="e">
        <f>WEEKNUM(B22-RESUMEN!$D$7)</f>
        <v>#NUM!</v>
      </c>
      <c r="D22" s="118">
        <f>_xlfn.DAYS(B22,RESUMEN!$D$7)</f>
        <v>-43238</v>
      </c>
      <c r="E22" s="76"/>
      <c r="F22" s="73"/>
      <c r="G22" s="73"/>
      <c r="H22" s="116" t="e">
        <f t="shared" si="0"/>
        <v>#DIV/0!</v>
      </c>
      <c r="I22" s="83"/>
      <c r="J22" s="114"/>
      <c r="K22" s="118" t="e">
        <f>WEEKNUM(J22-RESUMEN!$D$7)</f>
        <v>#NUM!</v>
      </c>
      <c r="L22" s="118">
        <f>_xlfn.DAYS(J22,RESUMEN!$D$7)</f>
        <v>-43238</v>
      </c>
      <c r="M22" s="76"/>
      <c r="N22" s="73"/>
      <c r="O22" s="73"/>
      <c r="P22" s="116" t="e">
        <f t="shared" si="1"/>
        <v>#DIV/0!</v>
      </c>
      <c r="Q22" s="83"/>
      <c r="R22" s="115"/>
      <c r="S22" s="118" t="e">
        <f>WEEKNUM(R22-RESUMEN!$D$7)</f>
        <v>#NUM!</v>
      </c>
      <c r="T22" s="118">
        <f>_xlfn.DAYS(R22,RESUMEN!$D$7)</f>
        <v>-43238</v>
      </c>
      <c r="U22" s="76"/>
      <c r="V22" s="73"/>
      <c r="W22" s="73"/>
      <c r="X22" s="116" t="e">
        <f t="shared" si="2"/>
        <v>#DIV/0!</v>
      </c>
      <c r="Y22" s="83"/>
      <c r="Z22" s="115"/>
      <c r="AA22" s="118">
        <f>Z22-RESUMEN!$D$7</f>
        <v>-43238</v>
      </c>
      <c r="AB22" s="118">
        <f>_xlfn.DAYS(Z22,RESUMEN!$D$7)</f>
        <v>-43238</v>
      </c>
      <c r="AC22" s="76"/>
      <c r="AD22" s="73"/>
      <c r="AE22" s="73"/>
      <c r="AF22" s="116" t="e">
        <f t="shared" si="3"/>
        <v>#DIV/0!</v>
      </c>
      <c r="AG22" s="83"/>
      <c r="AH22" s="115"/>
      <c r="AI22" s="118" t="e">
        <f>WEEKNUM(AH22-RESUMEN!$D$7)</f>
        <v>#NUM!</v>
      </c>
      <c r="AJ22" s="118">
        <f>_xlfn.DAYS(AH22,RESUMEN!$D$7)</f>
        <v>-43238</v>
      </c>
      <c r="AK22" s="76"/>
      <c r="AL22" s="73"/>
      <c r="AM22" s="73"/>
      <c r="AN22" s="116" t="e">
        <f t="shared" si="4"/>
        <v>#DIV/0!</v>
      </c>
      <c r="AO22" s="83"/>
      <c r="AP22" s="114"/>
      <c r="AQ22" s="118" t="e">
        <f>WEEKNUM(AP22-RESUMEN!$D$7)</f>
        <v>#NUM!</v>
      </c>
      <c r="AR22" s="118">
        <f>_xlfn.DAYS(AP22,RESUMEN!$D$7)</f>
        <v>-43238</v>
      </c>
      <c r="AS22" s="76"/>
      <c r="AT22" s="73"/>
      <c r="AU22" s="73"/>
      <c r="AV22" s="116" t="e">
        <f t="shared" si="5"/>
        <v>#DIV/0!</v>
      </c>
      <c r="AW22" s="83"/>
    </row>
    <row r="23" spans="2:49" x14ac:dyDescent="0.25">
      <c r="B23" s="114"/>
      <c r="C23" s="118" t="e">
        <f>WEEKNUM(B23-RESUMEN!$D$7)</f>
        <v>#NUM!</v>
      </c>
      <c r="D23" s="118">
        <f>_xlfn.DAYS(B23,RESUMEN!$D$7)</f>
        <v>-43238</v>
      </c>
      <c r="E23" s="76"/>
      <c r="F23" s="73"/>
      <c r="G23" s="73"/>
      <c r="H23" s="116" t="e">
        <f t="shared" si="0"/>
        <v>#DIV/0!</v>
      </c>
      <c r="I23" s="83"/>
      <c r="J23" s="114"/>
      <c r="K23" s="118" t="e">
        <f>WEEKNUM(J23-RESUMEN!$D$7)</f>
        <v>#NUM!</v>
      </c>
      <c r="L23" s="118">
        <f>_xlfn.DAYS(J23,RESUMEN!$D$7)</f>
        <v>-43238</v>
      </c>
      <c r="M23" s="76"/>
      <c r="N23" s="73"/>
      <c r="O23" s="73"/>
      <c r="P23" s="116" t="e">
        <f t="shared" si="1"/>
        <v>#DIV/0!</v>
      </c>
      <c r="Q23" s="83"/>
      <c r="R23" s="114"/>
      <c r="S23" s="118" t="e">
        <f>WEEKNUM(R23-RESUMEN!$D$7)</f>
        <v>#NUM!</v>
      </c>
      <c r="T23" s="118">
        <f>_xlfn.DAYS(R23,RESUMEN!$D$7)</f>
        <v>-43238</v>
      </c>
      <c r="U23" s="76"/>
      <c r="V23" s="73"/>
      <c r="W23" s="73"/>
      <c r="X23" s="116" t="e">
        <f t="shared" si="2"/>
        <v>#DIV/0!</v>
      </c>
      <c r="Y23" s="83"/>
      <c r="Z23" s="115"/>
      <c r="AA23" s="118">
        <f>Z23-RESUMEN!$D$7</f>
        <v>-43238</v>
      </c>
      <c r="AB23" s="118">
        <f>_xlfn.DAYS(Z23,RESUMEN!$D$7)</f>
        <v>-43238</v>
      </c>
      <c r="AC23" s="76"/>
      <c r="AD23" s="73"/>
      <c r="AE23" s="73"/>
      <c r="AF23" s="116" t="e">
        <f t="shared" si="3"/>
        <v>#DIV/0!</v>
      </c>
      <c r="AG23" s="83"/>
      <c r="AH23" s="114"/>
      <c r="AI23" s="118" t="e">
        <f>WEEKNUM(AH23-RESUMEN!$D$7)</f>
        <v>#NUM!</v>
      </c>
      <c r="AJ23" s="118">
        <f>_xlfn.DAYS(AH23,RESUMEN!$D$7)</f>
        <v>-43238</v>
      </c>
      <c r="AK23" s="76"/>
      <c r="AL23" s="73"/>
      <c r="AM23" s="73"/>
      <c r="AN23" s="116" t="e">
        <f t="shared" si="4"/>
        <v>#DIV/0!</v>
      </c>
      <c r="AO23" s="83"/>
      <c r="AP23" s="115"/>
      <c r="AQ23" s="118" t="e">
        <f>WEEKNUM(AP23-RESUMEN!$D$7)</f>
        <v>#NUM!</v>
      </c>
      <c r="AR23" s="118">
        <f>_xlfn.DAYS(AP23,RESUMEN!$D$7)</f>
        <v>-43238</v>
      </c>
      <c r="AS23" s="76"/>
      <c r="AT23" s="73"/>
      <c r="AU23" s="73"/>
      <c r="AV23" s="116" t="e">
        <f t="shared" si="5"/>
        <v>#DIV/0!</v>
      </c>
      <c r="AW23" s="83"/>
    </row>
    <row r="24" spans="2:49" x14ac:dyDescent="0.25">
      <c r="B24" s="115"/>
      <c r="C24" s="118" t="e">
        <f>WEEKNUM(B24-RESUMEN!$D$7)</f>
        <v>#NUM!</v>
      </c>
      <c r="D24" s="118">
        <f>_xlfn.DAYS(B24,RESUMEN!$D$7)</f>
        <v>-43238</v>
      </c>
      <c r="E24" s="76"/>
      <c r="F24" s="73"/>
      <c r="G24" s="73"/>
      <c r="H24" s="116" t="e">
        <f t="shared" si="0"/>
        <v>#DIV/0!</v>
      </c>
      <c r="I24" s="83"/>
      <c r="J24" s="114"/>
      <c r="K24" s="118" t="e">
        <f>WEEKNUM(J24-RESUMEN!$D$7)</f>
        <v>#NUM!</v>
      </c>
      <c r="L24" s="118">
        <f>_xlfn.DAYS(J24,RESUMEN!$D$7)</f>
        <v>-43238</v>
      </c>
      <c r="M24" s="76"/>
      <c r="N24" s="73"/>
      <c r="O24" s="73"/>
      <c r="P24" s="116" t="e">
        <f t="shared" si="1"/>
        <v>#DIV/0!</v>
      </c>
      <c r="Q24" s="83"/>
      <c r="R24" s="115"/>
      <c r="S24" s="118" t="e">
        <f>WEEKNUM(R24-RESUMEN!$D$7)</f>
        <v>#NUM!</v>
      </c>
      <c r="T24" s="118">
        <f>_xlfn.DAYS(R24,RESUMEN!$D$7)</f>
        <v>-43238</v>
      </c>
      <c r="U24" s="76"/>
      <c r="V24" s="73"/>
      <c r="W24" s="73"/>
      <c r="X24" s="116" t="e">
        <f t="shared" si="2"/>
        <v>#DIV/0!</v>
      </c>
      <c r="Y24" s="83"/>
      <c r="Z24" s="115"/>
      <c r="AA24" s="118">
        <f>Z24-RESUMEN!$D$7</f>
        <v>-43238</v>
      </c>
      <c r="AB24" s="118">
        <f>_xlfn.DAYS(Z24,RESUMEN!$D$7)</f>
        <v>-43238</v>
      </c>
      <c r="AC24" s="76"/>
      <c r="AD24" s="73"/>
      <c r="AE24" s="73"/>
      <c r="AF24" s="116" t="e">
        <f t="shared" si="3"/>
        <v>#DIV/0!</v>
      </c>
      <c r="AG24" s="83"/>
      <c r="AH24" s="115"/>
      <c r="AI24" s="118" t="e">
        <f>WEEKNUM(AH24-RESUMEN!$D$7)</f>
        <v>#NUM!</v>
      </c>
      <c r="AJ24" s="118">
        <f>_xlfn.DAYS(AH24,RESUMEN!$D$7)</f>
        <v>-43238</v>
      </c>
      <c r="AK24" s="76"/>
      <c r="AL24" s="73"/>
      <c r="AM24" s="73"/>
      <c r="AN24" s="116" t="e">
        <f t="shared" si="4"/>
        <v>#DIV/0!</v>
      </c>
      <c r="AO24" s="83"/>
      <c r="AP24" s="115"/>
      <c r="AQ24" s="118" t="e">
        <f>WEEKNUM(AP24-RESUMEN!$D$7)</f>
        <v>#NUM!</v>
      </c>
      <c r="AR24" s="118">
        <f>_xlfn.DAYS(AP24,RESUMEN!$D$7)</f>
        <v>-43238</v>
      </c>
      <c r="AS24" s="76"/>
      <c r="AT24" s="73"/>
      <c r="AU24" s="73"/>
      <c r="AV24" s="116" t="e">
        <f t="shared" si="5"/>
        <v>#DIV/0!</v>
      </c>
      <c r="AW24" s="83"/>
    </row>
    <row r="25" spans="2:49" x14ac:dyDescent="0.25">
      <c r="B25" s="115"/>
      <c r="C25" s="118" t="e">
        <f>WEEKNUM(B25-RESUMEN!$D$7)</f>
        <v>#NUM!</v>
      </c>
      <c r="D25" s="118">
        <f>_xlfn.DAYS(B25,RESUMEN!$D$7)</f>
        <v>-43238</v>
      </c>
      <c r="E25" s="76"/>
      <c r="F25" s="73"/>
      <c r="G25" s="73"/>
      <c r="H25" s="116" t="e">
        <f t="shared" si="0"/>
        <v>#DIV/0!</v>
      </c>
      <c r="I25" s="83"/>
      <c r="J25" s="114"/>
      <c r="K25" s="118" t="e">
        <f>WEEKNUM(J25-RESUMEN!$D$7)</f>
        <v>#NUM!</v>
      </c>
      <c r="L25" s="118">
        <f>_xlfn.DAYS(J25,RESUMEN!$D$7)</f>
        <v>-43238</v>
      </c>
      <c r="M25" s="76"/>
      <c r="N25" s="73"/>
      <c r="O25" s="73"/>
      <c r="P25" s="116" t="e">
        <f t="shared" si="1"/>
        <v>#DIV/0!</v>
      </c>
      <c r="Q25" s="83"/>
      <c r="R25" s="115"/>
      <c r="S25" s="118" t="e">
        <f>WEEKNUM(R25-RESUMEN!$D$7)</f>
        <v>#NUM!</v>
      </c>
      <c r="T25" s="118">
        <f>_xlfn.DAYS(R25,RESUMEN!$D$7)</f>
        <v>-43238</v>
      </c>
      <c r="U25" s="76"/>
      <c r="V25" s="73"/>
      <c r="W25" s="73"/>
      <c r="X25" s="116" t="e">
        <f t="shared" si="2"/>
        <v>#DIV/0!</v>
      </c>
      <c r="Y25" s="83"/>
      <c r="Z25" s="115"/>
      <c r="AA25" s="118">
        <f>Z25-RESUMEN!$D$7</f>
        <v>-43238</v>
      </c>
      <c r="AB25" s="118">
        <f>_xlfn.DAYS(Z25,RESUMEN!$D$7)</f>
        <v>-43238</v>
      </c>
      <c r="AC25" s="76"/>
      <c r="AD25" s="73"/>
      <c r="AE25" s="73"/>
      <c r="AF25" s="116" t="e">
        <f t="shared" si="3"/>
        <v>#DIV/0!</v>
      </c>
      <c r="AG25" s="83"/>
      <c r="AH25" s="115"/>
      <c r="AI25" s="118" t="e">
        <f>WEEKNUM(AH25-RESUMEN!$D$7)</f>
        <v>#NUM!</v>
      </c>
      <c r="AJ25" s="118">
        <f>_xlfn.DAYS(AH25,RESUMEN!$D$7)</f>
        <v>-43238</v>
      </c>
      <c r="AK25" s="76"/>
      <c r="AL25" s="73"/>
      <c r="AM25" s="73"/>
      <c r="AN25" s="116" t="e">
        <f t="shared" si="4"/>
        <v>#DIV/0!</v>
      </c>
      <c r="AO25" s="83"/>
      <c r="AP25" s="115"/>
      <c r="AQ25" s="118" t="e">
        <f>WEEKNUM(AP25-RESUMEN!$D$7)</f>
        <v>#NUM!</v>
      </c>
      <c r="AR25" s="118">
        <f>_xlfn.DAYS(AP25,RESUMEN!$D$7)</f>
        <v>-43238</v>
      </c>
      <c r="AS25" s="76"/>
      <c r="AT25" s="73"/>
      <c r="AU25" s="73"/>
      <c r="AV25" s="116" t="e">
        <f t="shared" si="5"/>
        <v>#DIV/0!</v>
      </c>
      <c r="AW25" s="83"/>
    </row>
    <row r="26" spans="2:49" x14ac:dyDescent="0.25">
      <c r="B26" s="115"/>
      <c r="C26" s="118" t="e">
        <f>WEEKNUM(B26-RESUMEN!$D$7)</f>
        <v>#NUM!</v>
      </c>
      <c r="D26" s="118">
        <f>_xlfn.DAYS(B26,RESUMEN!$D$7)</f>
        <v>-43238</v>
      </c>
      <c r="E26" s="76"/>
      <c r="F26" s="73"/>
      <c r="G26" s="73"/>
      <c r="H26" s="116" t="e">
        <f t="shared" si="0"/>
        <v>#DIV/0!</v>
      </c>
      <c r="I26" s="83"/>
      <c r="J26" s="115"/>
      <c r="K26" s="118" t="e">
        <f>WEEKNUM(J26-RESUMEN!$D$7)</f>
        <v>#NUM!</v>
      </c>
      <c r="L26" s="118">
        <f>_xlfn.DAYS(J26,RESUMEN!$D$7)</f>
        <v>-43238</v>
      </c>
      <c r="M26" s="76"/>
      <c r="N26" s="73"/>
      <c r="O26" s="73"/>
      <c r="P26" s="116" t="e">
        <f t="shared" si="1"/>
        <v>#DIV/0!</v>
      </c>
      <c r="Q26" s="83"/>
      <c r="R26" s="115"/>
      <c r="S26" s="118" t="e">
        <f>WEEKNUM(R26-RESUMEN!$D$7)</f>
        <v>#NUM!</v>
      </c>
      <c r="T26" s="118">
        <f>_xlfn.DAYS(R26,RESUMEN!$D$7)</f>
        <v>-43238</v>
      </c>
      <c r="U26" s="76"/>
      <c r="V26" s="73"/>
      <c r="W26" s="73"/>
      <c r="X26" s="116" t="e">
        <f t="shared" si="2"/>
        <v>#DIV/0!</v>
      </c>
      <c r="Y26" s="83"/>
      <c r="Z26" s="115"/>
      <c r="AA26" s="118">
        <f>Z26-RESUMEN!$D$7</f>
        <v>-43238</v>
      </c>
      <c r="AB26" s="118">
        <f>_xlfn.DAYS(Z26,RESUMEN!$D$7)</f>
        <v>-43238</v>
      </c>
      <c r="AC26" s="76"/>
      <c r="AD26" s="73"/>
      <c r="AE26" s="73"/>
      <c r="AF26" s="116" t="e">
        <f t="shared" si="3"/>
        <v>#DIV/0!</v>
      </c>
      <c r="AG26" s="83"/>
      <c r="AH26" s="115"/>
      <c r="AI26" s="118" t="e">
        <f>WEEKNUM(AH26-RESUMEN!$D$7)</f>
        <v>#NUM!</v>
      </c>
      <c r="AJ26" s="118">
        <f>_xlfn.DAYS(AH26,RESUMEN!$D$7)</f>
        <v>-43238</v>
      </c>
      <c r="AK26" s="76"/>
      <c r="AL26" s="73"/>
      <c r="AM26" s="73"/>
      <c r="AN26" s="116" t="e">
        <f t="shared" si="4"/>
        <v>#DIV/0!</v>
      </c>
      <c r="AO26" s="83"/>
      <c r="AP26" s="115"/>
      <c r="AQ26" s="118" t="e">
        <f>WEEKNUM(AP26-RESUMEN!$D$7)</f>
        <v>#NUM!</v>
      </c>
      <c r="AR26" s="118">
        <f>_xlfn.DAYS(AP26,RESUMEN!$D$7)</f>
        <v>-43238</v>
      </c>
      <c r="AS26" s="76"/>
      <c r="AT26" s="73"/>
      <c r="AU26" s="73"/>
      <c r="AV26" s="116" t="e">
        <f t="shared" si="5"/>
        <v>#DIV/0!</v>
      </c>
      <c r="AW26" s="83"/>
    </row>
    <row r="27" spans="2:49" x14ac:dyDescent="0.25">
      <c r="B27" s="115"/>
      <c r="C27" s="118" t="e">
        <f>WEEKNUM(B27-RESUMEN!$D$7)</f>
        <v>#NUM!</v>
      </c>
      <c r="D27" s="118">
        <f>_xlfn.DAYS(B27,RESUMEN!$D$7)</f>
        <v>-43238</v>
      </c>
      <c r="E27" s="76"/>
      <c r="F27" s="73"/>
      <c r="G27" s="73"/>
      <c r="H27" s="116" t="e">
        <f t="shared" si="0"/>
        <v>#DIV/0!</v>
      </c>
      <c r="I27" s="83"/>
      <c r="J27" s="114"/>
      <c r="K27" s="118" t="e">
        <f>WEEKNUM(J27-RESUMEN!$D$7)</f>
        <v>#NUM!</v>
      </c>
      <c r="L27" s="118">
        <f>_xlfn.DAYS(J27,RESUMEN!$D$7)</f>
        <v>-43238</v>
      </c>
      <c r="M27" s="76"/>
      <c r="N27" s="73"/>
      <c r="O27" s="73"/>
      <c r="P27" s="116" t="e">
        <f t="shared" si="1"/>
        <v>#DIV/0!</v>
      </c>
      <c r="Q27" s="83"/>
      <c r="R27" s="115"/>
      <c r="S27" s="118" t="e">
        <f>WEEKNUM(R27-RESUMEN!$D$7)</f>
        <v>#NUM!</v>
      </c>
      <c r="T27" s="118">
        <f>_xlfn.DAYS(R27,RESUMEN!$D$7)</f>
        <v>-43238</v>
      </c>
      <c r="U27" s="76"/>
      <c r="V27" s="73"/>
      <c r="W27" s="73"/>
      <c r="X27" s="116" t="e">
        <f t="shared" si="2"/>
        <v>#DIV/0!</v>
      </c>
      <c r="Y27" s="83"/>
      <c r="Z27" s="115"/>
      <c r="AA27" s="118">
        <f>Z27-RESUMEN!$D$7</f>
        <v>-43238</v>
      </c>
      <c r="AB27" s="118">
        <f>_xlfn.DAYS(Z27,RESUMEN!$D$7)</f>
        <v>-43238</v>
      </c>
      <c r="AC27" s="76"/>
      <c r="AD27" s="73"/>
      <c r="AE27" s="73"/>
      <c r="AF27" s="116" t="e">
        <f t="shared" si="3"/>
        <v>#DIV/0!</v>
      </c>
      <c r="AG27" s="83"/>
      <c r="AH27" s="115"/>
      <c r="AI27" s="118" t="e">
        <f>WEEKNUM(AH27-RESUMEN!$D$7)</f>
        <v>#NUM!</v>
      </c>
      <c r="AJ27" s="118">
        <f>_xlfn.DAYS(AH27,RESUMEN!$D$7)</f>
        <v>-43238</v>
      </c>
      <c r="AK27" s="76"/>
      <c r="AL27" s="73"/>
      <c r="AM27" s="73"/>
      <c r="AN27" s="116" t="e">
        <f t="shared" si="4"/>
        <v>#DIV/0!</v>
      </c>
      <c r="AO27" s="83"/>
      <c r="AP27" s="114"/>
      <c r="AQ27" s="118" t="e">
        <f>WEEKNUM(AP27-RESUMEN!$D$7)</f>
        <v>#NUM!</v>
      </c>
      <c r="AR27" s="118">
        <f>_xlfn.DAYS(AP27,RESUMEN!$D$7)</f>
        <v>-43238</v>
      </c>
      <c r="AS27" s="76"/>
      <c r="AT27" s="73"/>
      <c r="AU27" s="73"/>
      <c r="AV27" s="116" t="e">
        <f t="shared" si="5"/>
        <v>#DIV/0!</v>
      </c>
      <c r="AW27" s="83"/>
    </row>
    <row r="28" spans="2:49" x14ac:dyDescent="0.25">
      <c r="B28" s="114"/>
      <c r="C28" s="118" t="e">
        <f>WEEKNUM(B28-RESUMEN!$D$7)</f>
        <v>#NUM!</v>
      </c>
      <c r="D28" s="118">
        <f>_xlfn.DAYS(B28,RESUMEN!$D$7)</f>
        <v>-43238</v>
      </c>
      <c r="E28" s="76"/>
      <c r="F28" s="73"/>
      <c r="G28" s="73"/>
      <c r="H28" s="116" t="e">
        <f t="shared" si="0"/>
        <v>#DIV/0!</v>
      </c>
      <c r="I28" s="83"/>
      <c r="J28" s="114"/>
      <c r="K28" s="118" t="e">
        <f>WEEKNUM(J28-RESUMEN!$D$7)</f>
        <v>#NUM!</v>
      </c>
      <c r="L28" s="118">
        <f>_xlfn.DAYS(J28,RESUMEN!$D$7)</f>
        <v>-43238</v>
      </c>
      <c r="M28" s="76"/>
      <c r="N28" s="73"/>
      <c r="O28" s="73"/>
      <c r="P28" s="116" t="e">
        <f t="shared" si="1"/>
        <v>#DIV/0!</v>
      </c>
      <c r="Q28" s="83"/>
      <c r="R28" s="115"/>
      <c r="S28" s="118" t="e">
        <f>WEEKNUM(R28-RESUMEN!$D$7)</f>
        <v>#NUM!</v>
      </c>
      <c r="T28" s="118">
        <f>_xlfn.DAYS(R28,RESUMEN!$D$7)</f>
        <v>-43238</v>
      </c>
      <c r="U28" s="76"/>
      <c r="V28" s="73"/>
      <c r="W28" s="73"/>
      <c r="X28" s="116" t="e">
        <f t="shared" si="2"/>
        <v>#DIV/0!</v>
      </c>
      <c r="Y28" s="83"/>
      <c r="Z28" s="115"/>
      <c r="AA28" s="118">
        <f>Z28-RESUMEN!$D$7</f>
        <v>-43238</v>
      </c>
      <c r="AB28" s="118">
        <f>_xlfn.DAYS(Z28,RESUMEN!$D$7)</f>
        <v>-43238</v>
      </c>
      <c r="AC28" s="76"/>
      <c r="AD28" s="73"/>
      <c r="AE28" s="73"/>
      <c r="AF28" s="116" t="e">
        <f t="shared" si="3"/>
        <v>#DIV/0!</v>
      </c>
      <c r="AG28" s="83"/>
      <c r="AH28" s="115"/>
      <c r="AI28" s="118" t="e">
        <f>WEEKNUM(AH28-RESUMEN!$D$7)</f>
        <v>#NUM!</v>
      </c>
      <c r="AJ28" s="118">
        <f>_xlfn.DAYS(AH28,RESUMEN!$D$7)</f>
        <v>-43238</v>
      </c>
      <c r="AK28" s="76"/>
      <c r="AL28" s="73"/>
      <c r="AM28" s="73"/>
      <c r="AN28" s="116" t="e">
        <f t="shared" si="4"/>
        <v>#DIV/0!</v>
      </c>
      <c r="AO28" s="83"/>
      <c r="AP28" s="114"/>
      <c r="AQ28" s="118" t="e">
        <f>WEEKNUM(AP28-RESUMEN!$D$7)</f>
        <v>#NUM!</v>
      </c>
      <c r="AR28" s="118">
        <f>_xlfn.DAYS(AP28,RESUMEN!$D$7)</f>
        <v>-43238</v>
      </c>
      <c r="AS28" s="76"/>
      <c r="AT28" s="73"/>
      <c r="AU28" s="73"/>
      <c r="AV28" s="116" t="e">
        <f t="shared" si="5"/>
        <v>#DIV/0!</v>
      </c>
      <c r="AW28" s="83"/>
    </row>
    <row r="29" spans="2:49" x14ac:dyDescent="0.25">
      <c r="B29" s="115"/>
      <c r="C29" s="118" t="e">
        <f>WEEKNUM(B29-RESUMEN!$D$7)</f>
        <v>#NUM!</v>
      </c>
      <c r="D29" s="118">
        <f>_xlfn.DAYS(B29,RESUMEN!$D$7)</f>
        <v>-43238</v>
      </c>
      <c r="E29" s="76"/>
      <c r="F29" s="73"/>
      <c r="G29" s="73"/>
      <c r="H29" s="116" t="e">
        <f t="shared" si="0"/>
        <v>#DIV/0!</v>
      </c>
      <c r="I29" s="83"/>
      <c r="J29" s="115"/>
      <c r="K29" s="118" t="e">
        <f>WEEKNUM(J29-RESUMEN!$D$7)</f>
        <v>#NUM!</v>
      </c>
      <c r="L29" s="118">
        <f>_xlfn.DAYS(J29,RESUMEN!$D$7)</f>
        <v>-43238</v>
      </c>
      <c r="M29" s="76"/>
      <c r="N29" s="73"/>
      <c r="O29" s="73"/>
      <c r="P29" s="116" t="e">
        <f t="shared" si="1"/>
        <v>#DIV/0!</v>
      </c>
      <c r="Q29" s="83"/>
      <c r="R29" s="114"/>
      <c r="S29" s="118" t="e">
        <f>WEEKNUM(R29-RESUMEN!$D$7)</f>
        <v>#NUM!</v>
      </c>
      <c r="T29" s="118">
        <f>_xlfn.DAYS(R29,RESUMEN!$D$7)</f>
        <v>-43238</v>
      </c>
      <c r="U29" s="76"/>
      <c r="V29" s="73"/>
      <c r="W29" s="73"/>
      <c r="X29" s="116" t="e">
        <f t="shared" si="2"/>
        <v>#DIV/0!</v>
      </c>
      <c r="Y29" s="83"/>
      <c r="Z29" s="115"/>
      <c r="AA29" s="118">
        <f>Z29-RESUMEN!$D$7</f>
        <v>-43238</v>
      </c>
      <c r="AB29" s="118">
        <f>_xlfn.DAYS(Z29,RESUMEN!$D$7)</f>
        <v>-43238</v>
      </c>
      <c r="AC29" s="76"/>
      <c r="AD29" s="73"/>
      <c r="AE29" s="73"/>
      <c r="AF29" s="116" t="e">
        <f t="shared" si="3"/>
        <v>#DIV/0!</v>
      </c>
      <c r="AG29" s="83"/>
      <c r="AH29" s="114"/>
      <c r="AI29" s="118" t="e">
        <f>WEEKNUM(AH29-RESUMEN!$D$7)</f>
        <v>#NUM!</v>
      </c>
      <c r="AJ29" s="118">
        <f>_xlfn.DAYS(AH29,RESUMEN!$D$7)</f>
        <v>-43238</v>
      </c>
      <c r="AK29" s="76"/>
      <c r="AL29" s="73"/>
      <c r="AM29" s="73"/>
      <c r="AN29" s="116" t="e">
        <f t="shared" si="4"/>
        <v>#DIV/0!</v>
      </c>
      <c r="AO29" s="83"/>
      <c r="AP29" s="114"/>
      <c r="AQ29" s="118" t="e">
        <f>WEEKNUM(AP29-RESUMEN!$D$7)</f>
        <v>#NUM!</v>
      </c>
      <c r="AR29" s="118">
        <f>_xlfn.DAYS(AP29,RESUMEN!$D$7)</f>
        <v>-43238</v>
      </c>
      <c r="AS29" s="76"/>
      <c r="AT29" s="73"/>
      <c r="AU29" s="73"/>
      <c r="AV29" s="116" t="e">
        <f t="shared" si="5"/>
        <v>#DIV/0!</v>
      </c>
      <c r="AW29" s="83"/>
    </row>
    <row r="30" spans="2:49" x14ac:dyDescent="0.25">
      <c r="B30" s="115"/>
      <c r="C30" s="118" t="e">
        <f>WEEKNUM(B30-RESUMEN!$D$7)</f>
        <v>#NUM!</v>
      </c>
      <c r="D30" s="118">
        <f>_xlfn.DAYS(B30,RESUMEN!$D$7)</f>
        <v>-43238</v>
      </c>
      <c r="E30" s="76"/>
      <c r="F30" s="73"/>
      <c r="G30" s="73"/>
      <c r="H30" s="116" t="e">
        <f t="shared" si="0"/>
        <v>#DIV/0!</v>
      </c>
      <c r="I30" s="83"/>
      <c r="J30" s="115"/>
      <c r="K30" s="118" t="e">
        <f>WEEKNUM(J30-RESUMEN!$D$7)</f>
        <v>#NUM!</v>
      </c>
      <c r="L30" s="118">
        <f>_xlfn.DAYS(J30,RESUMEN!$D$7)</f>
        <v>-43238</v>
      </c>
      <c r="M30" s="76"/>
      <c r="N30" s="73"/>
      <c r="O30" s="73"/>
      <c r="P30" s="116" t="e">
        <f t="shared" si="1"/>
        <v>#DIV/0!</v>
      </c>
      <c r="Q30" s="83"/>
      <c r="R30" s="114"/>
      <c r="S30" s="118" t="e">
        <f>WEEKNUM(R30-RESUMEN!$D$7)</f>
        <v>#NUM!</v>
      </c>
      <c r="T30" s="118">
        <f>_xlfn.DAYS(R30,RESUMEN!$D$7)</f>
        <v>-43238</v>
      </c>
      <c r="U30" s="76"/>
      <c r="V30" s="73"/>
      <c r="W30" s="73"/>
      <c r="X30" s="116" t="e">
        <f t="shared" si="2"/>
        <v>#DIV/0!</v>
      </c>
      <c r="Y30" s="83"/>
      <c r="Z30" s="115"/>
      <c r="AA30" s="118">
        <f>Z30-RESUMEN!$D$7</f>
        <v>-43238</v>
      </c>
      <c r="AB30" s="118">
        <f>_xlfn.DAYS(Z30,RESUMEN!$D$7)</f>
        <v>-43238</v>
      </c>
      <c r="AC30" s="76"/>
      <c r="AD30" s="73"/>
      <c r="AE30" s="73"/>
      <c r="AF30" s="116" t="e">
        <f t="shared" si="3"/>
        <v>#DIV/0!</v>
      </c>
      <c r="AG30" s="83"/>
      <c r="AH30" s="114"/>
      <c r="AI30" s="118" t="e">
        <f>WEEKNUM(AH30-RESUMEN!$D$7)</f>
        <v>#NUM!</v>
      </c>
      <c r="AJ30" s="118">
        <f>_xlfn.DAYS(AH30,RESUMEN!$D$7)</f>
        <v>-43238</v>
      </c>
      <c r="AK30" s="76"/>
      <c r="AL30" s="73"/>
      <c r="AM30" s="73"/>
      <c r="AN30" s="116" t="e">
        <f t="shared" si="4"/>
        <v>#DIV/0!</v>
      </c>
      <c r="AO30" s="83"/>
      <c r="AP30" s="115"/>
      <c r="AQ30" s="118" t="e">
        <f>WEEKNUM(AP30-RESUMEN!$D$7)</f>
        <v>#NUM!</v>
      </c>
      <c r="AR30" s="118">
        <f>_xlfn.DAYS(AP30,RESUMEN!$D$7)</f>
        <v>-43238</v>
      </c>
      <c r="AS30" s="76"/>
      <c r="AT30" s="73"/>
      <c r="AU30" s="73"/>
      <c r="AV30" s="116" t="e">
        <f t="shared" si="5"/>
        <v>#DIV/0!</v>
      </c>
      <c r="AW30" s="83"/>
    </row>
    <row r="31" spans="2:49" x14ac:dyDescent="0.25">
      <c r="B31" s="115"/>
      <c r="C31" s="118" t="e">
        <f>WEEKNUM(B31-RESUMEN!$D$7)</f>
        <v>#NUM!</v>
      </c>
      <c r="D31" s="118">
        <f>_xlfn.DAYS(B31,RESUMEN!$D$7)</f>
        <v>-43238</v>
      </c>
      <c r="E31" s="76"/>
      <c r="F31" s="73"/>
      <c r="G31" s="73"/>
      <c r="H31" s="116" t="e">
        <f t="shared" si="0"/>
        <v>#DIV/0!</v>
      </c>
      <c r="I31" s="83"/>
      <c r="J31" s="114"/>
      <c r="K31" s="118" t="e">
        <f>WEEKNUM(J31-RESUMEN!$D$7)</f>
        <v>#NUM!</v>
      </c>
      <c r="L31" s="118">
        <f>_xlfn.DAYS(J31,RESUMEN!$D$7)</f>
        <v>-43238</v>
      </c>
      <c r="M31" s="76"/>
      <c r="N31" s="73"/>
      <c r="O31" s="73"/>
      <c r="P31" s="116" t="e">
        <f t="shared" si="1"/>
        <v>#DIV/0!</v>
      </c>
      <c r="Q31" s="83"/>
      <c r="R31" s="115"/>
      <c r="S31" s="118" t="e">
        <f>WEEKNUM(R31-RESUMEN!$D$7)</f>
        <v>#NUM!</v>
      </c>
      <c r="T31" s="118">
        <f>_xlfn.DAYS(R31,RESUMEN!$D$7)</f>
        <v>-43238</v>
      </c>
      <c r="U31" s="76"/>
      <c r="V31" s="73"/>
      <c r="W31" s="73"/>
      <c r="X31" s="116" t="e">
        <f t="shared" si="2"/>
        <v>#DIV/0!</v>
      </c>
      <c r="Y31" s="83"/>
      <c r="Z31" s="115"/>
      <c r="AA31" s="118">
        <f>Z31-RESUMEN!$D$7</f>
        <v>-43238</v>
      </c>
      <c r="AB31" s="118">
        <f>_xlfn.DAYS(Z31,RESUMEN!$D$7)</f>
        <v>-43238</v>
      </c>
      <c r="AC31" s="76"/>
      <c r="AD31" s="73"/>
      <c r="AE31" s="73"/>
      <c r="AF31" s="116" t="e">
        <f t="shared" si="3"/>
        <v>#DIV/0!</v>
      </c>
      <c r="AG31" s="83"/>
      <c r="AH31" s="114"/>
      <c r="AI31" s="118" t="e">
        <f>WEEKNUM(AH31-RESUMEN!$D$7)</f>
        <v>#NUM!</v>
      </c>
      <c r="AJ31" s="118">
        <f>_xlfn.DAYS(AH31,RESUMEN!$D$7)</f>
        <v>-43238</v>
      </c>
      <c r="AK31" s="76"/>
      <c r="AL31" s="73"/>
      <c r="AM31" s="73"/>
      <c r="AN31" s="116" t="e">
        <f t="shared" si="4"/>
        <v>#DIV/0!</v>
      </c>
      <c r="AO31" s="83"/>
      <c r="AP31" s="115"/>
      <c r="AQ31" s="118" t="e">
        <f>WEEKNUM(AP31-RESUMEN!$D$7)</f>
        <v>#NUM!</v>
      </c>
      <c r="AR31" s="118">
        <f>_xlfn.DAYS(AP31,RESUMEN!$D$7)</f>
        <v>-43238</v>
      </c>
      <c r="AS31" s="76"/>
      <c r="AT31" s="73"/>
      <c r="AU31" s="73"/>
      <c r="AV31" s="116" t="e">
        <f t="shared" si="5"/>
        <v>#DIV/0!</v>
      </c>
      <c r="AW31" s="83"/>
    </row>
    <row r="32" spans="2:49" x14ac:dyDescent="0.25">
      <c r="B32" s="115"/>
      <c r="C32" s="118" t="e">
        <f>WEEKNUM(B32-RESUMEN!$D$7)</f>
        <v>#NUM!</v>
      </c>
      <c r="D32" s="118">
        <f>_xlfn.DAYS(B32,RESUMEN!$D$7)</f>
        <v>-43238</v>
      </c>
      <c r="E32" s="76"/>
      <c r="F32" s="73"/>
      <c r="G32" s="73"/>
      <c r="H32" s="116" t="e">
        <f t="shared" si="0"/>
        <v>#DIV/0!</v>
      </c>
      <c r="I32" s="83"/>
      <c r="J32" s="114"/>
      <c r="K32" s="118" t="e">
        <f>WEEKNUM(J32-RESUMEN!$D$7)</f>
        <v>#NUM!</v>
      </c>
      <c r="L32" s="118">
        <f>_xlfn.DAYS(J32,RESUMEN!$D$7)</f>
        <v>-43238</v>
      </c>
      <c r="M32" s="76"/>
      <c r="N32" s="73"/>
      <c r="O32" s="73"/>
      <c r="P32" s="116" t="e">
        <f t="shared" si="1"/>
        <v>#DIV/0!</v>
      </c>
      <c r="Q32" s="83"/>
      <c r="R32" s="114"/>
      <c r="S32" s="118" t="e">
        <f>WEEKNUM(R32-RESUMEN!$D$7)</f>
        <v>#NUM!</v>
      </c>
      <c r="T32" s="118">
        <f>_xlfn.DAYS(R32,RESUMEN!$D$7)</f>
        <v>-43238</v>
      </c>
      <c r="U32" s="76"/>
      <c r="V32" s="73"/>
      <c r="W32" s="73"/>
      <c r="X32" s="116" t="e">
        <f t="shared" si="2"/>
        <v>#DIV/0!</v>
      </c>
      <c r="Y32" s="83"/>
      <c r="Z32" s="115"/>
      <c r="AA32" s="118">
        <f>Z32-RESUMEN!$D$7</f>
        <v>-43238</v>
      </c>
      <c r="AB32" s="118">
        <f>_xlfn.DAYS(Z32,RESUMEN!$D$7)</f>
        <v>-43238</v>
      </c>
      <c r="AC32" s="76"/>
      <c r="AD32" s="73"/>
      <c r="AE32" s="73"/>
      <c r="AF32" s="116" t="e">
        <f t="shared" si="3"/>
        <v>#DIV/0!</v>
      </c>
      <c r="AG32" s="83"/>
      <c r="AH32" s="114"/>
      <c r="AI32" s="118" t="e">
        <f>WEEKNUM(AH32-RESUMEN!$D$7)</f>
        <v>#NUM!</v>
      </c>
      <c r="AJ32" s="118">
        <f>_xlfn.DAYS(AH32,RESUMEN!$D$7)</f>
        <v>-43238</v>
      </c>
      <c r="AK32" s="76"/>
      <c r="AL32" s="73"/>
      <c r="AM32" s="73"/>
      <c r="AN32" s="116" t="e">
        <f t="shared" si="4"/>
        <v>#DIV/0!</v>
      </c>
      <c r="AO32" s="83"/>
      <c r="AP32" s="115"/>
      <c r="AQ32" s="118" t="e">
        <f>WEEKNUM(AP32-RESUMEN!$D$7)</f>
        <v>#NUM!</v>
      </c>
      <c r="AR32" s="118">
        <f>_xlfn.DAYS(AP32,RESUMEN!$D$7)</f>
        <v>-43238</v>
      </c>
      <c r="AS32" s="76"/>
      <c r="AT32" s="73"/>
      <c r="AU32" s="73"/>
      <c r="AV32" s="116" t="e">
        <f t="shared" si="5"/>
        <v>#DIV/0!</v>
      </c>
      <c r="AW32" s="83"/>
    </row>
    <row r="33" spans="2:49" x14ac:dyDescent="0.25">
      <c r="B33" s="115"/>
      <c r="C33" s="118" t="e">
        <f>WEEKNUM(B33-RESUMEN!$D$7)</f>
        <v>#NUM!</v>
      </c>
      <c r="D33" s="118">
        <f>_xlfn.DAYS(B33,RESUMEN!$D$7)</f>
        <v>-43238</v>
      </c>
      <c r="E33" s="76"/>
      <c r="F33" s="73"/>
      <c r="G33" s="73"/>
      <c r="H33" s="116" t="e">
        <f t="shared" si="0"/>
        <v>#DIV/0!</v>
      </c>
      <c r="I33" s="83"/>
      <c r="J33" s="114"/>
      <c r="K33" s="118" t="e">
        <f>WEEKNUM(J33-RESUMEN!$D$7)</f>
        <v>#NUM!</v>
      </c>
      <c r="L33" s="118">
        <f>_xlfn.DAYS(J33,RESUMEN!$D$7)</f>
        <v>-43238</v>
      </c>
      <c r="M33" s="76"/>
      <c r="N33" s="73"/>
      <c r="O33" s="73"/>
      <c r="P33" s="116" t="e">
        <f t="shared" si="1"/>
        <v>#DIV/0!</v>
      </c>
      <c r="Q33" s="83"/>
      <c r="R33" s="115"/>
      <c r="S33" s="118" t="e">
        <f>WEEKNUM(R33-RESUMEN!$D$7)</f>
        <v>#NUM!</v>
      </c>
      <c r="T33" s="118">
        <f>_xlfn.DAYS(R33,RESUMEN!$D$7)</f>
        <v>-43238</v>
      </c>
      <c r="U33" s="76"/>
      <c r="V33" s="73"/>
      <c r="W33" s="73"/>
      <c r="X33" s="116" t="e">
        <f t="shared" si="2"/>
        <v>#DIV/0!</v>
      </c>
      <c r="Y33" s="83"/>
      <c r="Z33" s="115"/>
      <c r="AA33" s="118">
        <f>Z33-RESUMEN!$D$7</f>
        <v>-43238</v>
      </c>
      <c r="AB33" s="118">
        <f>_xlfn.DAYS(Z33,RESUMEN!$D$7)</f>
        <v>-43238</v>
      </c>
      <c r="AC33" s="76"/>
      <c r="AD33" s="73"/>
      <c r="AE33" s="73"/>
      <c r="AF33" s="116" t="e">
        <f t="shared" si="3"/>
        <v>#DIV/0!</v>
      </c>
      <c r="AG33" s="83"/>
      <c r="AH33" s="114"/>
      <c r="AI33" s="118" t="e">
        <f>WEEKNUM(AH33-RESUMEN!$D$7)</f>
        <v>#NUM!</v>
      </c>
      <c r="AJ33" s="118">
        <f>_xlfn.DAYS(AH33,RESUMEN!$D$7)</f>
        <v>-43238</v>
      </c>
      <c r="AK33" s="76"/>
      <c r="AL33" s="73"/>
      <c r="AM33" s="73"/>
      <c r="AN33" s="116" t="e">
        <f t="shared" si="4"/>
        <v>#DIV/0!</v>
      </c>
      <c r="AO33" s="83"/>
      <c r="AP33" s="115"/>
      <c r="AQ33" s="118" t="e">
        <f>WEEKNUM(AP33-RESUMEN!$D$7)</f>
        <v>#NUM!</v>
      </c>
      <c r="AR33" s="118">
        <f>_xlfn.DAYS(AP33,RESUMEN!$D$7)</f>
        <v>-43238</v>
      </c>
      <c r="AS33" s="76"/>
      <c r="AT33" s="73"/>
      <c r="AU33" s="73"/>
      <c r="AV33" s="116" t="e">
        <f t="shared" si="5"/>
        <v>#DIV/0!</v>
      </c>
      <c r="AW33" s="83"/>
    </row>
    <row r="34" spans="2:49" x14ac:dyDescent="0.25">
      <c r="B34" s="115"/>
      <c r="C34" s="118" t="e">
        <f>WEEKNUM(B34-RESUMEN!$D$7)</f>
        <v>#NUM!</v>
      </c>
      <c r="D34" s="118">
        <f>_xlfn.DAYS(B34,RESUMEN!$D$7)</f>
        <v>-43238</v>
      </c>
      <c r="E34" s="76"/>
      <c r="F34" s="73"/>
      <c r="G34" s="73"/>
      <c r="H34" s="116" t="e">
        <f t="shared" si="0"/>
        <v>#DIV/0!</v>
      </c>
      <c r="I34" s="83"/>
      <c r="J34" s="115"/>
      <c r="K34" s="118" t="e">
        <f>WEEKNUM(J34-RESUMEN!$D$7)</f>
        <v>#NUM!</v>
      </c>
      <c r="L34" s="118">
        <f>_xlfn.DAYS(J34,RESUMEN!$D$7)</f>
        <v>-43238</v>
      </c>
      <c r="M34" s="76"/>
      <c r="N34" s="73"/>
      <c r="O34" s="73"/>
      <c r="P34" s="116" t="e">
        <f t="shared" si="1"/>
        <v>#DIV/0!</v>
      </c>
      <c r="Q34" s="83"/>
      <c r="R34" s="115"/>
      <c r="S34" s="118" t="e">
        <f>WEEKNUM(R34-RESUMEN!$D$7)</f>
        <v>#NUM!</v>
      </c>
      <c r="T34" s="118">
        <f>_xlfn.DAYS(R34,RESUMEN!$D$7)</f>
        <v>-43238</v>
      </c>
      <c r="U34" s="76"/>
      <c r="V34" s="73"/>
      <c r="W34" s="73"/>
      <c r="X34" s="116" t="e">
        <f t="shared" si="2"/>
        <v>#DIV/0!</v>
      </c>
      <c r="Y34" s="83"/>
      <c r="Z34" s="115"/>
      <c r="AA34" s="118">
        <f>Z34-RESUMEN!$D$7</f>
        <v>-43238</v>
      </c>
      <c r="AB34" s="118">
        <f>_xlfn.DAYS(Z34,RESUMEN!$D$7)</f>
        <v>-43238</v>
      </c>
      <c r="AC34" s="76"/>
      <c r="AD34" s="73"/>
      <c r="AE34" s="73"/>
      <c r="AF34" s="116" t="e">
        <f t="shared" si="3"/>
        <v>#DIV/0!</v>
      </c>
      <c r="AG34" s="83"/>
      <c r="AH34" s="115"/>
      <c r="AI34" s="118" t="e">
        <f>WEEKNUM(AH34-RESUMEN!$D$7)</f>
        <v>#NUM!</v>
      </c>
      <c r="AJ34" s="118">
        <f>_xlfn.DAYS(AH34,RESUMEN!$D$7)</f>
        <v>-43238</v>
      </c>
      <c r="AK34" s="76"/>
      <c r="AL34" s="73"/>
      <c r="AM34" s="73"/>
      <c r="AN34" s="116" t="e">
        <f t="shared" si="4"/>
        <v>#DIV/0!</v>
      </c>
      <c r="AO34" s="83"/>
      <c r="AP34" s="115"/>
      <c r="AQ34" s="118" t="e">
        <f>WEEKNUM(AP34-RESUMEN!$D$7)</f>
        <v>#NUM!</v>
      </c>
      <c r="AR34" s="118">
        <f>_xlfn.DAYS(AP34,RESUMEN!$D$7)</f>
        <v>-43238</v>
      </c>
      <c r="AS34" s="76"/>
      <c r="AT34" s="73"/>
      <c r="AU34" s="73"/>
      <c r="AV34" s="116" t="e">
        <f t="shared" si="5"/>
        <v>#DIV/0!</v>
      </c>
      <c r="AW34" s="83"/>
    </row>
    <row r="35" spans="2:49" x14ac:dyDescent="0.25">
      <c r="B35" s="114"/>
      <c r="C35" s="118" t="e">
        <f>WEEKNUM(B35-RESUMEN!$D$7)</f>
        <v>#NUM!</v>
      </c>
      <c r="D35" s="118">
        <f>_xlfn.DAYS(B35,RESUMEN!$D$7)</f>
        <v>-43238</v>
      </c>
      <c r="E35" s="76"/>
      <c r="F35" s="73"/>
      <c r="G35" s="73"/>
      <c r="H35" s="116" t="e">
        <f t="shared" si="0"/>
        <v>#DIV/0!</v>
      </c>
      <c r="I35" s="83"/>
      <c r="J35" s="115"/>
      <c r="K35" s="118" t="e">
        <f>WEEKNUM(J35-RESUMEN!$D$7)</f>
        <v>#NUM!</v>
      </c>
      <c r="L35" s="118">
        <f>_xlfn.DAYS(J35,RESUMEN!$D$7)</f>
        <v>-43238</v>
      </c>
      <c r="M35" s="76"/>
      <c r="N35" s="73"/>
      <c r="O35" s="73"/>
      <c r="P35" s="116" t="e">
        <f t="shared" si="1"/>
        <v>#DIV/0!</v>
      </c>
      <c r="Q35" s="83"/>
      <c r="R35" s="115"/>
      <c r="S35" s="118" t="e">
        <f>WEEKNUM(R35-RESUMEN!$D$7)</f>
        <v>#NUM!</v>
      </c>
      <c r="T35" s="118">
        <f>_xlfn.DAYS(R35,RESUMEN!$D$7)</f>
        <v>-43238</v>
      </c>
      <c r="U35" s="76"/>
      <c r="V35" s="73"/>
      <c r="W35" s="73"/>
      <c r="X35" s="116" t="e">
        <f t="shared" si="2"/>
        <v>#DIV/0!</v>
      </c>
      <c r="Y35" s="83"/>
      <c r="Z35" s="115"/>
      <c r="AA35" s="118">
        <f>Z35-RESUMEN!$D$7</f>
        <v>-43238</v>
      </c>
      <c r="AB35" s="118">
        <f>_xlfn.DAYS(Z35,RESUMEN!$D$7)</f>
        <v>-43238</v>
      </c>
      <c r="AC35" s="76"/>
      <c r="AD35" s="73"/>
      <c r="AE35" s="73"/>
      <c r="AF35" s="116" t="e">
        <f t="shared" si="3"/>
        <v>#DIV/0!</v>
      </c>
      <c r="AG35" s="83"/>
      <c r="AH35" s="115"/>
      <c r="AI35" s="118" t="e">
        <f>WEEKNUM(AH35-RESUMEN!$D$7)</f>
        <v>#NUM!</v>
      </c>
      <c r="AJ35" s="118">
        <f>_xlfn.DAYS(AH35,RESUMEN!$D$7)</f>
        <v>-43238</v>
      </c>
      <c r="AK35" s="76"/>
      <c r="AL35" s="73"/>
      <c r="AM35" s="73"/>
      <c r="AN35" s="116" t="e">
        <f t="shared" si="4"/>
        <v>#DIV/0!</v>
      </c>
      <c r="AO35" s="83"/>
      <c r="AP35" s="114"/>
      <c r="AQ35" s="118" t="e">
        <f>WEEKNUM(AP35-RESUMEN!$D$7)</f>
        <v>#NUM!</v>
      </c>
      <c r="AR35" s="118">
        <f>_xlfn.DAYS(AP35,RESUMEN!$D$7)</f>
        <v>-43238</v>
      </c>
      <c r="AS35" s="76"/>
      <c r="AT35" s="73"/>
      <c r="AU35" s="73"/>
      <c r="AV35" s="116" t="e">
        <f t="shared" si="5"/>
        <v>#DIV/0!</v>
      </c>
      <c r="AW35" s="83"/>
    </row>
    <row r="36" spans="2:49" x14ac:dyDescent="0.25">
      <c r="B36" s="114"/>
      <c r="C36" s="118" t="e">
        <f>WEEKNUM(B36-RESUMEN!$D$7)</f>
        <v>#NUM!</v>
      </c>
      <c r="D36" s="118">
        <f>_xlfn.DAYS(B36,RESUMEN!$D$7)</f>
        <v>-43238</v>
      </c>
      <c r="E36" s="76"/>
      <c r="F36" s="73"/>
      <c r="G36" s="73"/>
      <c r="H36" s="116" t="e">
        <f t="shared" si="0"/>
        <v>#DIV/0!</v>
      </c>
      <c r="I36" s="83"/>
      <c r="J36" s="115"/>
      <c r="K36" s="118" t="e">
        <f>WEEKNUM(J36-RESUMEN!$D$7)</f>
        <v>#NUM!</v>
      </c>
      <c r="L36" s="118">
        <f>_xlfn.DAYS(J36,RESUMEN!$D$7)</f>
        <v>-43238</v>
      </c>
      <c r="M36" s="76"/>
      <c r="N36" s="73"/>
      <c r="O36" s="73"/>
      <c r="P36" s="116" t="e">
        <f t="shared" si="1"/>
        <v>#DIV/0!</v>
      </c>
      <c r="Q36" s="83"/>
      <c r="R36" s="115"/>
      <c r="S36" s="118" t="e">
        <f>WEEKNUM(R36-RESUMEN!$D$7)</f>
        <v>#NUM!</v>
      </c>
      <c r="T36" s="118">
        <f>_xlfn.DAYS(R36,RESUMEN!$D$7)</f>
        <v>-43238</v>
      </c>
      <c r="U36" s="76"/>
      <c r="V36" s="73"/>
      <c r="W36" s="73"/>
      <c r="X36" s="116" t="e">
        <f t="shared" si="2"/>
        <v>#DIV/0!</v>
      </c>
      <c r="Y36" s="83"/>
      <c r="Z36" s="115"/>
      <c r="AA36" s="118">
        <f>Z36-RESUMEN!$D$7</f>
        <v>-43238</v>
      </c>
      <c r="AB36" s="118">
        <f>_xlfn.DAYS(Z36,RESUMEN!$D$7)</f>
        <v>-43238</v>
      </c>
      <c r="AC36" s="76"/>
      <c r="AD36" s="73"/>
      <c r="AE36" s="73"/>
      <c r="AF36" s="116" t="e">
        <f t="shared" si="3"/>
        <v>#DIV/0!</v>
      </c>
      <c r="AG36" s="83"/>
      <c r="AH36" s="115"/>
      <c r="AI36" s="118" t="e">
        <f>WEEKNUM(AH36-RESUMEN!$D$7)</f>
        <v>#NUM!</v>
      </c>
      <c r="AJ36" s="118">
        <f>_xlfn.DAYS(AH36,RESUMEN!$D$7)</f>
        <v>-43238</v>
      </c>
      <c r="AK36" s="76"/>
      <c r="AL36" s="73"/>
      <c r="AM36" s="73"/>
      <c r="AN36" s="116" t="e">
        <f t="shared" si="4"/>
        <v>#DIV/0!</v>
      </c>
      <c r="AO36" s="83"/>
      <c r="AP36" s="115"/>
      <c r="AQ36" s="118" t="e">
        <f>WEEKNUM(AP36-RESUMEN!$D$7)</f>
        <v>#NUM!</v>
      </c>
      <c r="AR36" s="118">
        <f>_xlfn.DAYS(AP36,RESUMEN!$D$7)</f>
        <v>-43238</v>
      </c>
      <c r="AS36" s="76"/>
      <c r="AT36" s="73"/>
      <c r="AU36" s="73"/>
      <c r="AV36" s="116" t="e">
        <f t="shared" si="5"/>
        <v>#DIV/0!</v>
      </c>
      <c r="AW36" s="83"/>
    </row>
    <row r="37" spans="2:49" x14ac:dyDescent="0.25">
      <c r="B37" s="115"/>
      <c r="C37" s="118" t="e">
        <f>WEEKNUM(B37-RESUMEN!$D$7)</f>
        <v>#NUM!</v>
      </c>
      <c r="D37" s="118">
        <f>_xlfn.DAYS(B37,RESUMEN!$D$7)</f>
        <v>-43238</v>
      </c>
      <c r="E37" s="76"/>
      <c r="F37" s="73"/>
      <c r="G37" s="73"/>
      <c r="H37" s="116" t="e">
        <f t="shared" si="0"/>
        <v>#DIV/0!</v>
      </c>
      <c r="I37" s="83"/>
      <c r="J37" s="115"/>
      <c r="K37" s="118" t="e">
        <f>WEEKNUM(J37-RESUMEN!$D$7)</f>
        <v>#NUM!</v>
      </c>
      <c r="L37" s="118">
        <f>_xlfn.DAYS(J37,RESUMEN!$D$7)</f>
        <v>-43238</v>
      </c>
      <c r="M37" s="76"/>
      <c r="N37" s="73"/>
      <c r="O37" s="73"/>
      <c r="P37" s="116" t="e">
        <f t="shared" si="1"/>
        <v>#DIV/0!</v>
      </c>
      <c r="Q37" s="83"/>
      <c r="R37" s="115"/>
      <c r="S37" s="118" t="e">
        <f>WEEKNUM(R37-RESUMEN!$D$7)</f>
        <v>#NUM!</v>
      </c>
      <c r="T37" s="118">
        <f>_xlfn.DAYS(R37,RESUMEN!$D$7)</f>
        <v>-43238</v>
      </c>
      <c r="U37" s="76"/>
      <c r="V37" s="73"/>
      <c r="W37" s="73"/>
      <c r="X37" s="116" t="e">
        <f t="shared" si="2"/>
        <v>#DIV/0!</v>
      </c>
      <c r="Y37" s="83"/>
      <c r="Z37" s="115"/>
      <c r="AA37" s="118">
        <f>Z37-RESUMEN!$D$7</f>
        <v>-43238</v>
      </c>
      <c r="AB37" s="118">
        <f>_xlfn.DAYS(Z37,RESUMEN!$D$7)</f>
        <v>-43238</v>
      </c>
      <c r="AC37" s="76"/>
      <c r="AD37" s="73"/>
      <c r="AE37" s="73"/>
      <c r="AF37" s="116" t="e">
        <f t="shared" si="3"/>
        <v>#DIV/0!</v>
      </c>
      <c r="AG37" s="83"/>
      <c r="AH37" s="114"/>
      <c r="AI37" s="118" t="e">
        <f>WEEKNUM(AH37-RESUMEN!$D$7)</f>
        <v>#NUM!</v>
      </c>
      <c r="AJ37" s="118">
        <f>_xlfn.DAYS(AH37,RESUMEN!$D$7)</f>
        <v>-43238</v>
      </c>
      <c r="AK37" s="76"/>
      <c r="AL37" s="73"/>
      <c r="AM37" s="73"/>
      <c r="AN37" s="116" t="e">
        <f t="shared" si="4"/>
        <v>#DIV/0!</v>
      </c>
      <c r="AO37" s="83"/>
      <c r="AP37" s="115"/>
      <c r="AQ37" s="118" t="e">
        <f>WEEKNUM(AP37-RESUMEN!$D$7)</f>
        <v>#NUM!</v>
      </c>
      <c r="AR37" s="118">
        <f>_xlfn.DAYS(AP37,RESUMEN!$D$7)</f>
        <v>-43238</v>
      </c>
      <c r="AS37" s="76"/>
      <c r="AT37" s="73"/>
      <c r="AU37" s="73"/>
      <c r="AV37" s="116" t="e">
        <f t="shared" si="5"/>
        <v>#DIV/0!</v>
      </c>
      <c r="AW37" s="83"/>
    </row>
    <row r="38" spans="2:49" x14ac:dyDescent="0.25">
      <c r="B38" s="115"/>
      <c r="C38" s="118" t="e">
        <f>WEEKNUM(B38-RESUMEN!$D$7)</f>
        <v>#NUM!</v>
      </c>
      <c r="D38" s="118">
        <f>_xlfn.DAYS(B38,RESUMEN!$D$7)</f>
        <v>-43238</v>
      </c>
      <c r="E38" s="76"/>
      <c r="F38" s="73"/>
      <c r="G38" s="73"/>
      <c r="H38" s="116" t="e">
        <f t="shared" si="0"/>
        <v>#DIV/0!</v>
      </c>
      <c r="I38" s="83"/>
      <c r="J38" s="115"/>
      <c r="K38" s="118" t="e">
        <f>WEEKNUM(J38-RESUMEN!$D$7)</f>
        <v>#NUM!</v>
      </c>
      <c r="L38" s="118">
        <f>_xlfn.DAYS(J38,RESUMEN!$D$7)</f>
        <v>-43238</v>
      </c>
      <c r="M38" s="76"/>
      <c r="N38" s="73"/>
      <c r="O38" s="73"/>
      <c r="P38" s="116" t="e">
        <f t="shared" si="1"/>
        <v>#DIV/0!</v>
      </c>
      <c r="Q38" s="83"/>
      <c r="R38" s="115"/>
      <c r="S38" s="118" t="e">
        <f>WEEKNUM(R38-RESUMEN!$D$7)</f>
        <v>#NUM!</v>
      </c>
      <c r="T38" s="118">
        <f>_xlfn.DAYS(R38,RESUMEN!$D$7)</f>
        <v>-43238</v>
      </c>
      <c r="U38" s="76"/>
      <c r="V38" s="73"/>
      <c r="W38" s="73"/>
      <c r="X38" s="116" t="e">
        <f t="shared" si="2"/>
        <v>#DIV/0!</v>
      </c>
      <c r="Y38" s="83"/>
      <c r="Z38" s="115"/>
      <c r="AA38" s="118">
        <f>Z38-RESUMEN!$D$7</f>
        <v>-43238</v>
      </c>
      <c r="AB38" s="118">
        <f>_xlfn.DAYS(Z38,RESUMEN!$D$7)</f>
        <v>-43238</v>
      </c>
      <c r="AC38" s="76"/>
      <c r="AD38" s="73"/>
      <c r="AE38" s="73"/>
      <c r="AF38" s="116" t="e">
        <f t="shared" si="3"/>
        <v>#DIV/0!</v>
      </c>
      <c r="AG38" s="83"/>
      <c r="AH38" s="115"/>
      <c r="AI38" s="118" t="e">
        <f>WEEKNUM(AH38-RESUMEN!$D$7)</f>
        <v>#NUM!</v>
      </c>
      <c r="AJ38" s="118">
        <f>_xlfn.DAYS(AH38,RESUMEN!$D$7)</f>
        <v>-43238</v>
      </c>
      <c r="AK38" s="76"/>
      <c r="AL38" s="73"/>
      <c r="AM38" s="73"/>
      <c r="AN38" s="116" t="e">
        <f t="shared" si="4"/>
        <v>#DIV/0!</v>
      </c>
      <c r="AO38" s="83"/>
      <c r="AP38" s="115"/>
      <c r="AQ38" s="118" t="e">
        <f>WEEKNUM(AP38-RESUMEN!$D$7)</f>
        <v>#NUM!</v>
      </c>
      <c r="AR38" s="118">
        <f>_xlfn.DAYS(AP38,RESUMEN!$D$7)</f>
        <v>-43238</v>
      </c>
      <c r="AS38" s="76"/>
      <c r="AT38" s="73"/>
      <c r="AU38" s="73"/>
      <c r="AV38" s="116" t="e">
        <f t="shared" si="5"/>
        <v>#DIV/0!</v>
      </c>
      <c r="AW38" s="83"/>
    </row>
    <row r="39" spans="2:49" x14ac:dyDescent="0.25">
      <c r="B39" s="115"/>
      <c r="C39" s="118" t="e">
        <f>WEEKNUM(B39-RESUMEN!$D$7)</f>
        <v>#NUM!</v>
      </c>
      <c r="D39" s="118">
        <f>_xlfn.DAYS(B39,RESUMEN!$D$7)</f>
        <v>-43238</v>
      </c>
      <c r="E39" s="76"/>
      <c r="F39" s="73"/>
      <c r="G39" s="73"/>
      <c r="H39" s="116" t="e">
        <f t="shared" si="0"/>
        <v>#DIV/0!</v>
      </c>
      <c r="I39" s="83"/>
      <c r="J39" s="114"/>
      <c r="K39" s="118" t="e">
        <f>WEEKNUM(J39-RESUMEN!$D$7)</f>
        <v>#NUM!</v>
      </c>
      <c r="L39" s="118">
        <f>_xlfn.DAYS(J39,RESUMEN!$D$7)</f>
        <v>-43238</v>
      </c>
      <c r="M39" s="76"/>
      <c r="N39" s="73"/>
      <c r="O39" s="73"/>
      <c r="P39" s="116" t="e">
        <f t="shared" si="1"/>
        <v>#DIV/0!</v>
      </c>
      <c r="Q39" s="83"/>
      <c r="R39" s="115"/>
      <c r="S39" s="118" t="e">
        <f>WEEKNUM(R39-RESUMEN!$D$7)</f>
        <v>#NUM!</v>
      </c>
      <c r="T39" s="118">
        <f>_xlfn.DAYS(R39,RESUMEN!$D$7)</f>
        <v>-43238</v>
      </c>
      <c r="U39" s="76"/>
      <c r="V39" s="73"/>
      <c r="W39" s="73"/>
      <c r="X39" s="116" t="e">
        <f t="shared" si="2"/>
        <v>#DIV/0!</v>
      </c>
      <c r="Y39" s="83"/>
      <c r="Z39" s="115"/>
      <c r="AA39" s="118">
        <f>Z39-RESUMEN!$D$7</f>
        <v>-43238</v>
      </c>
      <c r="AB39" s="118">
        <f>_xlfn.DAYS(Z39,RESUMEN!$D$7)</f>
        <v>-43238</v>
      </c>
      <c r="AC39" s="76"/>
      <c r="AD39" s="73"/>
      <c r="AE39" s="73"/>
      <c r="AF39" s="116" t="e">
        <f t="shared" si="3"/>
        <v>#DIV/0!</v>
      </c>
      <c r="AG39" s="83"/>
      <c r="AH39" s="115"/>
      <c r="AI39" s="118" t="e">
        <f>WEEKNUM(AH39-RESUMEN!$D$7)</f>
        <v>#NUM!</v>
      </c>
      <c r="AJ39" s="118">
        <f>_xlfn.DAYS(AH39,RESUMEN!$D$7)</f>
        <v>-43238</v>
      </c>
      <c r="AK39" s="76"/>
      <c r="AL39" s="73"/>
      <c r="AM39" s="73"/>
      <c r="AN39" s="116" t="e">
        <f t="shared" si="4"/>
        <v>#DIV/0!</v>
      </c>
      <c r="AO39" s="83"/>
      <c r="AP39" s="114"/>
      <c r="AQ39" s="118" t="e">
        <f>WEEKNUM(AP39-RESUMEN!$D$7)</f>
        <v>#NUM!</v>
      </c>
      <c r="AR39" s="118">
        <f>_xlfn.DAYS(AP39,RESUMEN!$D$7)</f>
        <v>-43238</v>
      </c>
      <c r="AS39" s="76"/>
      <c r="AT39" s="73"/>
      <c r="AU39" s="73"/>
      <c r="AV39" s="116" t="e">
        <f t="shared" si="5"/>
        <v>#DIV/0!</v>
      </c>
      <c r="AW39" s="83"/>
    </row>
    <row r="40" spans="2:49" x14ac:dyDescent="0.25">
      <c r="B40" s="115"/>
      <c r="C40" s="118" t="e">
        <f>WEEKNUM(B40-RESUMEN!$D$7)</f>
        <v>#NUM!</v>
      </c>
      <c r="D40" s="118">
        <f>_xlfn.DAYS(B40,RESUMEN!$D$7)</f>
        <v>-43238</v>
      </c>
      <c r="E40" s="76"/>
      <c r="F40" s="73"/>
      <c r="G40" s="73"/>
      <c r="H40" s="116" t="e">
        <f t="shared" si="0"/>
        <v>#DIV/0!</v>
      </c>
      <c r="I40" s="83"/>
      <c r="J40" s="115"/>
      <c r="K40" s="118" t="e">
        <f>WEEKNUM(J40-RESUMEN!$D$7)</f>
        <v>#NUM!</v>
      </c>
      <c r="L40" s="118">
        <f>_xlfn.DAYS(J40,RESUMEN!$D$7)</f>
        <v>-43238</v>
      </c>
      <c r="M40" s="76"/>
      <c r="N40" s="73"/>
      <c r="O40" s="73"/>
      <c r="P40" s="116" t="e">
        <f t="shared" si="1"/>
        <v>#DIV/0!</v>
      </c>
      <c r="Q40" s="83"/>
      <c r="R40" s="115"/>
      <c r="S40" s="118" t="e">
        <f>WEEKNUM(R40-RESUMEN!$D$7)</f>
        <v>#NUM!</v>
      </c>
      <c r="T40" s="118">
        <f>_xlfn.DAYS(R40,RESUMEN!$D$7)</f>
        <v>-43238</v>
      </c>
      <c r="U40" s="76"/>
      <c r="V40" s="73"/>
      <c r="W40" s="73"/>
      <c r="X40" s="116" t="e">
        <f t="shared" si="2"/>
        <v>#DIV/0!</v>
      </c>
      <c r="Y40" s="83"/>
      <c r="Z40" s="115"/>
      <c r="AA40" s="118">
        <f>Z40-RESUMEN!$D$7</f>
        <v>-43238</v>
      </c>
      <c r="AB40" s="118">
        <f>_xlfn.DAYS(Z40,RESUMEN!$D$7)</f>
        <v>-43238</v>
      </c>
      <c r="AC40" s="76"/>
      <c r="AD40" s="73"/>
      <c r="AE40" s="73"/>
      <c r="AF40" s="116" t="e">
        <f t="shared" si="3"/>
        <v>#DIV/0!</v>
      </c>
      <c r="AG40" s="83"/>
      <c r="AH40" s="115"/>
      <c r="AI40" s="118" t="e">
        <f>WEEKNUM(AH40-RESUMEN!$D$7)</f>
        <v>#NUM!</v>
      </c>
      <c r="AJ40" s="118">
        <f>_xlfn.DAYS(AH40,RESUMEN!$D$7)</f>
        <v>-43238</v>
      </c>
      <c r="AK40" s="76"/>
      <c r="AL40" s="73"/>
      <c r="AM40" s="73"/>
      <c r="AN40" s="116" t="e">
        <f t="shared" si="4"/>
        <v>#DIV/0!</v>
      </c>
      <c r="AO40" s="83"/>
      <c r="AP40" s="115"/>
      <c r="AQ40" s="118" t="e">
        <f>WEEKNUM(AP40-RESUMEN!$D$7)</f>
        <v>#NUM!</v>
      </c>
      <c r="AR40" s="118">
        <f>_xlfn.DAYS(AP40,RESUMEN!$D$7)</f>
        <v>-43238</v>
      </c>
      <c r="AS40" s="76"/>
      <c r="AT40" s="73"/>
      <c r="AU40" s="73"/>
      <c r="AV40" s="116" t="e">
        <f t="shared" si="5"/>
        <v>#DIV/0!</v>
      </c>
      <c r="AW40" s="83"/>
    </row>
    <row r="41" spans="2:49" x14ac:dyDescent="0.25">
      <c r="B41" s="115"/>
      <c r="C41" s="118" t="e">
        <f>WEEKNUM(B41-RESUMEN!$D$7)</f>
        <v>#NUM!</v>
      </c>
      <c r="D41" s="118">
        <f>_xlfn.DAYS(B41,RESUMEN!$D$7)</f>
        <v>-43238</v>
      </c>
      <c r="E41" s="76"/>
      <c r="F41" s="73"/>
      <c r="G41" s="73"/>
      <c r="H41" s="116" t="e">
        <f t="shared" si="0"/>
        <v>#DIV/0!</v>
      </c>
      <c r="I41" s="83"/>
      <c r="J41" s="115"/>
      <c r="K41" s="118" t="e">
        <f>WEEKNUM(J41-RESUMEN!$D$7)</f>
        <v>#NUM!</v>
      </c>
      <c r="L41" s="118">
        <f>_xlfn.DAYS(J41,RESUMEN!$D$7)</f>
        <v>-43238</v>
      </c>
      <c r="M41" s="76"/>
      <c r="N41" s="73"/>
      <c r="O41" s="73"/>
      <c r="P41" s="116" t="e">
        <f t="shared" si="1"/>
        <v>#DIV/0!</v>
      </c>
      <c r="Q41" s="83"/>
      <c r="R41" s="115"/>
      <c r="S41" s="118" t="e">
        <f>WEEKNUM(R41-RESUMEN!$D$7)</f>
        <v>#NUM!</v>
      </c>
      <c r="T41" s="118">
        <f>_xlfn.DAYS(R41,RESUMEN!$D$7)</f>
        <v>-43238</v>
      </c>
      <c r="U41" s="76"/>
      <c r="V41" s="73"/>
      <c r="W41" s="73"/>
      <c r="X41" s="116" t="e">
        <f t="shared" si="2"/>
        <v>#DIV/0!</v>
      </c>
      <c r="Y41" s="83"/>
      <c r="Z41" s="114"/>
      <c r="AA41" s="118">
        <f>Z41-RESUMEN!$D$7</f>
        <v>-43238</v>
      </c>
      <c r="AB41" s="118">
        <f>_xlfn.DAYS(Z41,RESUMEN!$D$7)</f>
        <v>-43238</v>
      </c>
      <c r="AC41" s="76"/>
      <c r="AD41" s="73"/>
      <c r="AE41" s="73"/>
      <c r="AF41" s="116" t="e">
        <f t="shared" si="3"/>
        <v>#DIV/0!</v>
      </c>
      <c r="AG41" s="83"/>
      <c r="AH41" s="115"/>
      <c r="AI41" s="118" t="e">
        <f>WEEKNUM(AH41-RESUMEN!$D$7)</f>
        <v>#NUM!</v>
      </c>
      <c r="AJ41" s="118">
        <f>_xlfn.DAYS(AH41,RESUMEN!$D$7)</f>
        <v>-43238</v>
      </c>
      <c r="AK41" s="76"/>
      <c r="AL41" s="73"/>
      <c r="AM41" s="73"/>
      <c r="AN41" s="116" t="e">
        <f t="shared" si="4"/>
        <v>#DIV/0!</v>
      </c>
      <c r="AO41" s="83"/>
      <c r="AP41" s="115"/>
      <c r="AQ41" s="118" t="e">
        <f>WEEKNUM(AP41-RESUMEN!$D$7)</f>
        <v>#NUM!</v>
      </c>
      <c r="AR41" s="118">
        <f>_xlfn.DAYS(AP41,RESUMEN!$D$7)</f>
        <v>-43238</v>
      </c>
      <c r="AS41" s="76"/>
      <c r="AT41" s="73"/>
      <c r="AU41" s="73"/>
      <c r="AV41" s="116" t="e">
        <f t="shared" si="5"/>
        <v>#DIV/0!</v>
      </c>
      <c r="AW41" s="83"/>
    </row>
    <row r="42" spans="2:49" x14ac:dyDescent="0.25">
      <c r="B42" s="115"/>
      <c r="C42" s="118" t="e">
        <f>WEEKNUM(B42-RESUMEN!$D$7)</f>
        <v>#NUM!</v>
      </c>
      <c r="D42" s="118">
        <f>_xlfn.DAYS(B42,RESUMEN!$D$7)</f>
        <v>-43238</v>
      </c>
      <c r="E42" s="76"/>
      <c r="F42" s="73"/>
      <c r="G42" s="73"/>
      <c r="H42" s="116" t="e">
        <f t="shared" si="0"/>
        <v>#DIV/0!</v>
      </c>
      <c r="I42" s="83"/>
      <c r="J42" s="115"/>
      <c r="K42" s="118" t="e">
        <f>WEEKNUM(J42-RESUMEN!$D$7)</f>
        <v>#NUM!</v>
      </c>
      <c r="L42" s="118">
        <f>_xlfn.DAYS(J42,RESUMEN!$D$7)</f>
        <v>-43238</v>
      </c>
      <c r="M42" s="76"/>
      <c r="N42" s="73"/>
      <c r="O42" s="73"/>
      <c r="P42" s="116" t="e">
        <f t="shared" si="1"/>
        <v>#DIV/0!</v>
      </c>
      <c r="Q42" s="83"/>
      <c r="R42" s="114"/>
      <c r="S42" s="118" t="e">
        <f>WEEKNUM(R42-RESUMEN!$D$7)</f>
        <v>#NUM!</v>
      </c>
      <c r="T42" s="118">
        <f>_xlfn.DAYS(R42,RESUMEN!$D$7)</f>
        <v>-43238</v>
      </c>
      <c r="U42" s="76"/>
      <c r="V42" s="73"/>
      <c r="W42" s="73"/>
      <c r="X42" s="116" t="e">
        <f t="shared" si="2"/>
        <v>#DIV/0!</v>
      </c>
      <c r="Y42" s="83"/>
      <c r="Z42" s="114"/>
      <c r="AA42" s="118">
        <f>Z42-RESUMEN!$D$7</f>
        <v>-43238</v>
      </c>
      <c r="AB42" s="118">
        <f>_xlfn.DAYS(Z42,RESUMEN!$D$7)</f>
        <v>-43238</v>
      </c>
      <c r="AC42" s="76"/>
      <c r="AD42" s="73"/>
      <c r="AE42" s="73"/>
      <c r="AF42" s="116" t="e">
        <f t="shared" si="3"/>
        <v>#DIV/0!</v>
      </c>
      <c r="AG42" s="83"/>
      <c r="AH42" s="115"/>
      <c r="AI42" s="118" t="e">
        <f>WEEKNUM(AH42-RESUMEN!$D$7)</f>
        <v>#NUM!</v>
      </c>
      <c r="AJ42" s="118">
        <f>_xlfn.DAYS(AH42,RESUMEN!$D$7)</f>
        <v>-43238</v>
      </c>
      <c r="AK42" s="76"/>
      <c r="AL42" s="73"/>
      <c r="AM42" s="73"/>
      <c r="AN42" s="116" t="e">
        <f t="shared" si="4"/>
        <v>#DIV/0!</v>
      </c>
      <c r="AO42" s="83"/>
      <c r="AP42" s="114"/>
      <c r="AQ42" s="118" t="e">
        <f>WEEKNUM(AP42-RESUMEN!$D$7)</f>
        <v>#NUM!</v>
      </c>
      <c r="AR42" s="118">
        <f>_xlfn.DAYS(AP42,RESUMEN!$D$7)</f>
        <v>-43238</v>
      </c>
      <c r="AS42" s="76"/>
      <c r="AT42" s="73"/>
      <c r="AU42" s="73"/>
      <c r="AV42" s="116" t="e">
        <f t="shared" si="5"/>
        <v>#DIV/0!</v>
      </c>
      <c r="AW42" s="83"/>
    </row>
    <row r="43" spans="2:49" x14ac:dyDescent="0.25">
      <c r="B43" s="115"/>
      <c r="C43" s="118" t="e">
        <f>WEEKNUM(B43-RESUMEN!$D$7)</f>
        <v>#NUM!</v>
      </c>
      <c r="D43" s="118">
        <f>_xlfn.DAYS(B43,RESUMEN!$D$7)</f>
        <v>-43238</v>
      </c>
      <c r="E43" s="76"/>
      <c r="F43" s="73"/>
      <c r="G43" s="73"/>
      <c r="H43" s="116" t="e">
        <f t="shared" si="0"/>
        <v>#DIV/0!</v>
      </c>
      <c r="I43" s="83"/>
      <c r="J43" s="115"/>
      <c r="K43" s="118" t="e">
        <f>WEEKNUM(J43-RESUMEN!$D$7)</f>
        <v>#NUM!</v>
      </c>
      <c r="L43" s="118">
        <f>_xlfn.DAYS(J43,RESUMEN!$D$7)</f>
        <v>-43238</v>
      </c>
      <c r="M43" s="76"/>
      <c r="N43" s="73"/>
      <c r="O43" s="73"/>
      <c r="P43" s="116" t="e">
        <f t="shared" si="1"/>
        <v>#DIV/0!</v>
      </c>
      <c r="Q43" s="83"/>
      <c r="R43" s="115"/>
      <c r="S43" s="118" t="e">
        <f>WEEKNUM(R43-RESUMEN!$D$7)</f>
        <v>#NUM!</v>
      </c>
      <c r="T43" s="118">
        <f>_xlfn.DAYS(R43,RESUMEN!$D$7)</f>
        <v>-43238</v>
      </c>
      <c r="U43" s="76"/>
      <c r="V43" s="73"/>
      <c r="W43" s="73"/>
      <c r="X43" s="116" t="e">
        <f t="shared" si="2"/>
        <v>#DIV/0!</v>
      </c>
      <c r="Y43" s="83"/>
      <c r="Z43" s="115"/>
      <c r="AA43" s="118">
        <f>Z43-RESUMEN!$D$7</f>
        <v>-43238</v>
      </c>
      <c r="AB43" s="118">
        <f>_xlfn.DAYS(Z43,RESUMEN!$D$7)</f>
        <v>-43238</v>
      </c>
      <c r="AC43" s="76"/>
      <c r="AD43" s="73"/>
      <c r="AE43" s="73"/>
      <c r="AF43" s="116" t="e">
        <f t="shared" si="3"/>
        <v>#DIV/0!</v>
      </c>
      <c r="AG43" s="83"/>
      <c r="AH43" s="115"/>
      <c r="AI43" s="118" t="e">
        <f>WEEKNUM(AH43-RESUMEN!$D$7)</f>
        <v>#NUM!</v>
      </c>
      <c r="AJ43" s="118">
        <f>_xlfn.DAYS(AH43,RESUMEN!$D$7)</f>
        <v>-43238</v>
      </c>
      <c r="AK43" s="76"/>
      <c r="AL43" s="73"/>
      <c r="AM43" s="73"/>
      <c r="AN43" s="116" t="e">
        <f t="shared" si="4"/>
        <v>#DIV/0!</v>
      </c>
      <c r="AO43" s="83"/>
      <c r="AP43" s="114"/>
      <c r="AQ43" s="118" t="e">
        <f>WEEKNUM(AP43-RESUMEN!$D$7)</f>
        <v>#NUM!</v>
      </c>
      <c r="AR43" s="118">
        <f>_xlfn.DAYS(AP43,RESUMEN!$D$7)</f>
        <v>-43238</v>
      </c>
      <c r="AS43" s="76"/>
      <c r="AT43" s="73"/>
      <c r="AU43" s="73"/>
      <c r="AV43" s="116" t="e">
        <f t="shared" si="5"/>
        <v>#DIV/0!</v>
      </c>
      <c r="AW43" s="83"/>
    </row>
    <row r="44" spans="2:49" x14ac:dyDescent="0.25">
      <c r="B44" s="115"/>
      <c r="C44" s="118" t="e">
        <f>WEEKNUM(B44-RESUMEN!$D$7)</f>
        <v>#NUM!</v>
      </c>
      <c r="D44" s="118">
        <f>_xlfn.DAYS(B44,RESUMEN!$D$7)</f>
        <v>-43238</v>
      </c>
      <c r="E44" s="76"/>
      <c r="F44" s="73"/>
      <c r="G44" s="73"/>
      <c r="H44" s="116" t="e">
        <f t="shared" si="0"/>
        <v>#DIV/0!</v>
      </c>
      <c r="I44" s="83"/>
      <c r="J44" s="115"/>
      <c r="K44" s="118" t="e">
        <f>WEEKNUM(J44-RESUMEN!$D$7)</f>
        <v>#NUM!</v>
      </c>
      <c r="L44" s="118">
        <f>_xlfn.DAYS(J44,RESUMEN!$D$7)</f>
        <v>-43238</v>
      </c>
      <c r="M44" s="76"/>
      <c r="N44" s="73"/>
      <c r="O44" s="73"/>
      <c r="P44" s="116" t="e">
        <f t="shared" si="1"/>
        <v>#DIV/0!</v>
      </c>
      <c r="Q44" s="83"/>
      <c r="R44" s="114"/>
      <c r="S44" s="118" t="e">
        <f>WEEKNUM(R44-RESUMEN!$D$7)</f>
        <v>#NUM!</v>
      </c>
      <c r="T44" s="118">
        <f>_xlfn.DAYS(R44,RESUMEN!$D$7)</f>
        <v>-43238</v>
      </c>
      <c r="U44" s="76"/>
      <c r="V44" s="73"/>
      <c r="W44" s="73"/>
      <c r="X44" s="116" t="e">
        <f t="shared" si="2"/>
        <v>#DIV/0!</v>
      </c>
      <c r="Y44" s="83"/>
      <c r="Z44" s="115"/>
      <c r="AA44" s="118">
        <f>Z44-RESUMEN!$D$7</f>
        <v>-43238</v>
      </c>
      <c r="AB44" s="118">
        <f>_xlfn.DAYS(Z44,RESUMEN!$D$7)</f>
        <v>-43238</v>
      </c>
      <c r="AC44" s="76"/>
      <c r="AD44" s="73"/>
      <c r="AE44" s="73"/>
      <c r="AF44" s="116" t="e">
        <f t="shared" si="3"/>
        <v>#DIV/0!</v>
      </c>
      <c r="AG44" s="83"/>
      <c r="AH44" s="115"/>
      <c r="AI44" s="118" t="e">
        <f>WEEKNUM(AH44-RESUMEN!$D$7)</f>
        <v>#NUM!</v>
      </c>
      <c r="AJ44" s="118">
        <f>_xlfn.DAYS(AH44,RESUMEN!$D$7)</f>
        <v>-43238</v>
      </c>
      <c r="AK44" s="76"/>
      <c r="AL44" s="73"/>
      <c r="AM44" s="73"/>
      <c r="AN44" s="116" t="e">
        <f t="shared" si="4"/>
        <v>#DIV/0!</v>
      </c>
      <c r="AO44" s="83"/>
      <c r="AP44" s="114"/>
      <c r="AQ44" s="118" t="e">
        <f>WEEKNUM(AP44-RESUMEN!$D$7)</f>
        <v>#NUM!</v>
      </c>
      <c r="AR44" s="118">
        <f>_xlfn.DAYS(AP44,RESUMEN!$D$7)</f>
        <v>-43238</v>
      </c>
      <c r="AS44" s="76"/>
      <c r="AT44" s="73"/>
      <c r="AU44" s="73"/>
      <c r="AV44" s="116" t="e">
        <f t="shared" si="5"/>
        <v>#DIV/0!</v>
      </c>
      <c r="AW44" s="83"/>
    </row>
    <row r="45" spans="2:49" x14ac:dyDescent="0.25">
      <c r="B45" s="115"/>
      <c r="C45" s="118" t="e">
        <f>WEEKNUM(B45-RESUMEN!$D$7)</f>
        <v>#NUM!</v>
      </c>
      <c r="D45" s="118">
        <f>_xlfn.DAYS(B45,RESUMEN!$D$7)</f>
        <v>-43238</v>
      </c>
      <c r="E45" s="76"/>
      <c r="F45" s="73"/>
      <c r="G45" s="73"/>
      <c r="H45" s="116" t="e">
        <f t="shared" si="0"/>
        <v>#DIV/0!</v>
      </c>
      <c r="I45" s="83"/>
      <c r="J45" s="115"/>
      <c r="K45" s="118" t="e">
        <f>WEEKNUM(J45-RESUMEN!$D$7)</f>
        <v>#NUM!</v>
      </c>
      <c r="L45" s="118">
        <f>_xlfn.DAYS(J45,RESUMEN!$D$7)</f>
        <v>-43238</v>
      </c>
      <c r="M45" s="76"/>
      <c r="N45" s="73"/>
      <c r="O45" s="73"/>
      <c r="P45" s="116" t="e">
        <f t="shared" si="1"/>
        <v>#DIV/0!</v>
      </c>
      <c r="Q45" s="83"/>
      <c r="R45" s="114"/>
      <c r="S45" s="118" t="e">
        <f>WEEKNUM(R45-RESUMEN!$D$7)</f>
        <v>#NUM!</v>
      </c>
      <c r="T45" s="118">
        <f>_xlfn.DAYS(R45,RESUMEN!$D$7)</f>
        <v>-43238</v>
      </c>
      <c r="U45" s="76"/>
      <c r="V45" s="73"/>
      <c r="W45" s="73"/>
      <c r="X45" s="116" t="e">
        <f t="shared" si="2"/>
        <v>#DIV/0!</v>
      </c>
      <c r="Y45" s="83"/>
      <c r="Z45" s="114"/>
      <c r="AA45" s="118">
        <f>Z45-RESUMEN!$D$7</f>
        <v>-43238</v>
      </c>
      <c r="AB45" s="118">
        <f>_xlfn.DAYS(Z45,RESUMEN!$D$7)</f>
        <v>-43238</v>
      </c>
      <c r="AC45" s="76"/>
      <c r="AD45" s="73"/>
      <c r="AE45" s="73"/>
      <c r="AF45" s="116" t="e">
        <f t="shared" si="3"/>
        <v>#DIV/0!</v>
      </c>
      <c r="AG45" s="83"/>
      <c r="AH45" s="115"/>
      <c r="AI45" s="118" t="e">
        <f>WEEKNUM(AH45-RESUMEN!$D$7)</f>
        <v>#NUM!</v>
      </c>
      <c r="AJ45" s="118">
        <f>_xlfn.DAYS(AH45,RESUMEN!$D$7)</f>
        <v>-43238</v>
      </c>
      <c r="AK45" s="76"/>
      <c r="AL45" s="73"/>
      <c r="AM45" s="73"/>
      <c r="AN45" s="116" t="e">
        <f t="shared" si="4"/>
        <v>#DIV/0!</v>
      </c>
      <c r="AO45" s="83"/>
      <c r="AP45" s="114"/>
      <c r="AQ45" s="118" t="e">
        <f>WEEKNUM(AP45-RESUMEN!$D$7)</f>
        <v>#NUM!</v>
      </c>
      <c r="AR45" s="118">
        <f>_xlfn.DAYS(AP45,RESUMEN!$D$7)</f>
        <v>-43238</v>
      </c>
      <c r="AS45" s="119"/>
      <c r="AT45" s="73"/>
      <c r="AU45" s="73"/>
      <c r="AV45" s="116" t="e">
        <f t="shared" si="5"/>
        <v>#DIV/0!</v>
      </c>
      <c r="AW45" s="83"/>
    </row>
    <row r="46" spans="2:49" x14ac:dyDescent="0.25">
      <c r="B46" s="115"/>
      <c r="C46" s="118" t="e">
        <f>WEEKNUM(B46-RESUMEN!$D$7)</f>
        <v>#NUM!</v>
      </c>
      <c r="D46" s="118">
        <f>_xlfn.DAYS(B46,RESUMEN!$D$7)</f>
        <v>-43238</v>
      </c>
      <c r="E46" s="76"/>
      <c r="F46" s="73"/>
      <c r="G46" s="73"/>
      <c r="H46" s="116" t="e">
        <f t="shared" si="0"/>
        <v>#DIV/0!</v>
      </c>
      <c r="I46" s="83"/>
      <c r="J46" s="115"/>
      <c r="K46" s="118" t="e">
        <f>WEEKNUM(J46-RESUMEN!$D$7)</f>
        <v>#NUM!</v>
      </c>
      <c r="L46" s="118">
        <f>_xlfn.DAYS(J46,RESUMEN!$D$7)</f>
        <v>-43238</v>
      </c>
      <c r="M46" s="76"/>
      <c r="N46" s="73"/>
      <c r="O46" s="73"/>
      <c r="P46" s="116" t="e">
        <f t="shared" si="1"/>
        <v>#DIV/0!</v>
      </c>
      <c r="Q46" s="83"/>
      <c r="R46" s="115"/>
      <c r="S46" s="118" t="e">
        <f>WEEKNUM(R46-RESUMEN!$D$7)</f>
        <v>#NUM!</v>
      </c>
      <c r="T46" s="118">
        <f>_xlfn.DAYS(R46,RESUMEN!$D$7)</f>
        <v>-43238</v>
      </c>
      <c r="U46" s="76"/>
      <c r="V46" s="73"/>
      <c r="W46" s="73"/>
      <c r="X46" s="116" t="e">
        <f t="shared" si="2"/>
        <v>#DIV/0!</v>
      </c>
      <c r="Y46" s="83"/>
      <c r="Z46" s="114"/>
      <c r="AA46" s="118">
        <f>Z46-RESUMEN!$D$7</f>
        <v>-43238</v>
      </c>
      <c r="AB46" s="118">
        <f>_xlfn.DAYS(Z46,RESUMEN!$D$7)</f>
        <v>-43238</v>
      </c>
      <c r="AC46" s="76"/>
      <c r="AD46" s="73"/>
      <c r="AE46" s="73"/>
      <c r="AF46" s="116" t="e">
        <f t="shared" si="3"/>
        <v>#DIV/0!</v>
      </c>
      <c r="AG46" s="83"/>
      <c r="AH46" s="115"/>
      <c r="AI46" s="118" t="e">
        <f>WEEKNUM(AH46-RESUMEN!$D$7)</f>
        <v>#NUM!</v>
      </c>
      <c r="AJ46" s="118">
        <f>_xlfn.DAYS(AH46,RESUMEN!$D$7)</f>
        <v>-43238</v>
      </c>
      <c r="AK46" s="76"/>
      <c r="AL46" s="73"/>
      <c r="AM46" s="73"/>
      <c r="AN46" s="116" t="e">
        <f t="shared" si="4"/>
        <v>#DIV/0!</v>
      </c>
      <c r="AO46" s="83"/>
      <c r="AP46" s="114"/>
      <c r="AQ46" s="118" t="e">
        <f>WEEKNUM(AP46-RESUMEN!$D$7)</f>
        <v>#NUM!</v>
      </c>
      <c r="AR46" s="118">
        <f>_xlfn.DAYS(AP46,RESUMEN!$D$7)</f>
        <v>-43238</v>
      </c>
      <c r="AS46" s="76"/>
      <c r="AT46" s="73"/>
      <c r="AU46" s="73"/>
      <c r="AV46" s="116" t="e">
        <f t="shared" si="5"/>
        <v>#DIV/0!</v>
      </c>
      <c r="AW46" s="83"/>
    </row>
    <row r="47" spans="2:49" x14ac:dyDescent="0.25">
      <c r="B47" s="115"/>
      <c r="C47" s="118" t="e">
        <f>WEEKNUM(B47-RESUMEN!$D$7)</f>
        <v>#NUM!</v>
      </c>
      <c r="D47" s="118">
        <f>_xlfn.DAYS(B47,RESUMEN!$D$7)</f>
        <v>-43238</v>
      </c>
      <c r="E47" s="76"/>
      <c r="F47" s="73"/>
      <c r="G47" s="73"/>
      <c r="H47" s="116" t="e">
        <f t="shared" si="0"/>
        <v>#DIV/0!</v>
      </c>
      <c r="I47" s="83"/>
      <c r="J47" s="115"/>
      <c r="K47" s="118" t="e">
        <f>WEEKNUM(J47-RESUMEN!$D$7)</f>
        <v>#NUM!</v>
      </c>
      <c r="L47" s="118">
        <f>_xlfn.DAYS(J47,RESUMEN!$D$7)</f>
        <v>-43238</v>
      </c>
      <c r="M47" s="76"/>
      <c r="N47" s="73"/>
      <c r="O47" s="73"/>
      <c r="P47" s="116" t="e">
        <f t="shared" si="1"/>
        <v>#DIV/0!</v>
      </c>
      <c r="Q47" s="83"/>
      <c r="R47" s="115"/>
      <c r="S47" s="118" t="e">
        <f>WEEKNUM(R47-RESUMEN!$D$7)</f>
        <v>#NUM!</v>
      </c>
      <c r="T47" s="118">
        <f>_xlfn.DAYS(R47,RESUMEN!$D$7)</f>
        <v>-43238</v>
      </c>
      <c r="U47" s="76"/>
      <c r="V47" s="73"/>
      <c r="W47" s="73"/>
      <c r="X47" s="116" t="e">
        <f t="shared" si="2"/>
        <v>#DIV/0!</v>
      </c>
      <c r="Y47" s="83"/>
      <c r="Z47" s="114"/>
      <c r="AA47" s="118">
        <f>Z47-RESUMEN!$D$7</f>
        <v>-43238</v>
      </c>
      <c r="AB47" s="118">
        <f>_xlfn.DAYS(Z47,RESUMEN!$D$7)</f>
        <v>-43238</v>
      </c>
      <c r="AC47" s="76"/>
      <c r="AD47" s="73"/>
      <c r="AE47" s="73"/>
      <c r="AF47" s="116" t="e">
        <f t="shared" si="3"/>
        <v>#DIV/0!</v>
      </c>
      <c r="AG47" s="83"/>
      <c r="AH47" s="115"/>
      <c r="AI47" s="118" t="e">
        <f>WEEKNUM(AH47-RESUMEN!$D$7)</f>
        <v>#NUM!</v>
      </c>
      <c r="AJ47" s="118">
        <f>_xlfn.DAYS(AH47,RESUMEN!$D$7)</f>
        <v>-43238</v>
      </c>
      <c r="AK47" s="76"/>
      <c r="AL47" s="73"/>
      <c r="AM47" s="73"/>
      <c r="AN47" s="116" t="e">
        <f t="shared" si="4"/>
        <v>#DIV/0!</v>
      </c>
      <c r="AO47" s="83"/>
      <c r="AP47" s="114"/>
      <c r="AQ47" s="118" t="e">
        <f>WEEKNUM(AP47-RESUMEN!$D$7)</f>
        <v>#NUM!</v>
      </c>
      <c r="AR47" s="118">
        <f>_xlfn.DAYS(AP47,RESUMEN!$D$7)</f>
        <v>-43238</v>
      </c>
      <c r="AS47" s="76"/>
      <c r="AT47" s="73"/>
      <c r="AU47" s="73"/>
      <c r="AV47" s="116" t="e">
        <f t="shared" si="5"/>
        <v>#DIV/0!</v>
      </c>
      <c r="AW47" s="83"/>
    </row>
    <row r="48" spans="2:49" x14ac:dyDescent="0.25">
      <c r="B48" s="115"/>
      <c r="C48" s="118" t="e">
        <f>WEEKNUM(B48-RESUMEN!$D$7)</f>
        <v>#NUM!</v>
      </c>
      <c r="D48" s="118">
        <f>_xlfn.DAYS(B48,RESUMEN!$D$7)</f>
        <v>-43238</v>
      </c>
      <c r="E48" s="76"/>
      <c r="F48" s="73"/>
      <c r="G48" s="73"/>
      <c r="H48" s="116" t="e">
        <f t="shared" si="0"/>
        <v>#DIV/0!</v>
      </c>
      <c r="I48" s="83"/>
      <c r="J48" s="115"/>
      <c r="K48" s="118" t="e">
        <f>WEEKNUM(J48-RESUMEN!$D$7)</f>
        <v>#NUM!</v>
      </c>
      <c r="L48" s="118">
        <f>_xlfn.DAYS(J48,RESUMEN!$D$7)</f>
        <v>-43238</v>
      </c>
      <c r="M48" s="76"/>
      <c r="N48" s="73"/>
      <c r="O48" s="73"/>
      <c r="P48" s="116" t="e">
        <f t="shared" si="1"/>
        <v>#DIV/0!</v>
      </c>
      <c r="Q48" s="83"/>
      <c r="R48" s="115"/>
      <c r="S48" s="118" t="e">
        <f>WEEKNUM(R48-RESUMEN!$D$7)</f>
        <v>#NUM!</v>
      </c>
      <c r="T48" s="118">
        <f>_xlfn.DAYS(R48,RESUMEN!$D$7)</f>
        <v>-43238</v>
      </c>
      <c r="U48" s="76"/>
      <c r="V48" s="73"/>
      <c r="W48" s="73"/>
      <c r="X48" s="116" t="e">
        <f t="shared" si="2"/>
        <v>#DIV/0!</v>
      </c>
      <c r="Y48" s="83"/>
      <c r="Z48" s="115"/>
      <c r="AA48" s="118">
        <f>Z48-RESUMEN!$D$7</f>
        <v>-43238</v>
      </c>
      <c r="AB48" s="118">
        <f>_xlfn.DAYS(Z48,RESUMEN!$D$7)</f>
        <v>-43238</v>
      </c>
      <c r="AC48" s="76"/>
      <c r="AD48" s="73"/>
      <c r="AE48" s="73"/>
      <c r="AF48" s="116" t="e">
        <f t="shared" si="3"/>
        <v>#DIV/0!</v>
      </c>
      <c r="AG48" s="83"/>
      <c r="AH48" s="115"/>
      <c r="AI48" s="118" t="e">
        <f>WEEKNUM(AH48-RESUMEN!$D$7)</f>
        <v>#NUM!</v>
      </c>
      <c r="AJ48" s="118">
        <f>_xlfn.DAYS(AH48,RESUMEN!$D$7)</f>
        <v>-43238</v>
      </c>
      <c r="AK48" s="76"/>
      <c r="AL48" s="73"/>
      <c r="AM48" s="73"/>
      <c r="AN48" s="116" t="e">
        <f t="shared" si="4"/>
        <v>#DIV/0!</v>
      </c>
      <c r="AO48" s="83"/>
      <c r="AP48" s="114"/>
      <c r="AQ48" s="118" t="e">
        <f>WEEKNUM(AP48-RESUMEN!$D$7)</f>
        <v>#NUM!</v>
      </c>
      <c r="AR48" s="118">
        <f>_xlfn.DAYS(AP48,RESUMEN!$D$7)</f>
        <v>-43238</v>
      </c>
      <c r="AS48" s="76"/>
      <c r="AT48" s="73"/>
      <c r="AU48" s="73"/>
      <c r="AV48" s="116" t="e">
        <f t="shared" si="5"/>
        <v>#DIV/0!</v>
      </c>
      <c r="AW48" s="83"/>
    </row>
    <row r="49" spans="2:49" x14ac:dyDescent="0.25">
      <c r="B49" s="115"/>
      <c r="C49" s="118" t="e">
        <f>WEEKNUM(B49-RESUMEN!$D$7)</f>
        <v>#NUM!</v>
      </c>
      <c r="D49" s="118">
        <f>_xlfn.DAYS(B49,RESUMEN!$D$7)</f>
        <v>-43238</v>
      </c>
      <c r="E49" s="76"/>
      <c r="F49" s="73"/>
      <c r="G49" s="73"/>
      <c r="H49" s="116" t="e">
        <f t="shared" si="0"/>
        <v>#DIV/0!</v>
      </c>
      <c r="I49" s="83"/>
      <c r="J49" s="115"/>
      <c r="K49" s="118" t="e">
        <f>WEEKNUM(J49-RESUMEN!$D$7)</f>
        <v>#NUM!</v>
      </c>
      <c r="L49" s="118">
        <f>_xlfn.DAYS(J49,RESUMEN!$D$7)</f>
        <v>-43238</v>
      </c>
      <c r="M49" s="76"/>
      <c r="N49" s="73"/>
      <c r="O49" s="73"/>
      <c r="P49" s="116" t="e">
        <f t="shared" si="1"/>
        <v>#DIV/0!</v>
      </c>
      <c r="Q49" s="83"/>
      <c r="R49" s="115"/>
      <c r="S49" s="118" t="e">
        <f>WEEKNUM(R49-RESUMEN!$D$7)</f>
        <v>#NUM!</v>
      </c>
      <c r="T49" s="118">
        <f>_xlfn.DAYS(R49,RESUMEN!$D$7)</f>
        <v>-43238</v>
      </c>
      <c r="U49" s="76"/>
      <c r="V49" s="73"/>
      <c r="W49" s="73"/>
      <c r="X49" s="116" t="e">
        <f t="shared" si="2"/>
        <v>#DIV/0!</v>
      </c>
      <c r="Y49" s="83"/>
      <c r="Z49" s="115"/>
      <c r="AA49" s="118">
        <f>Z49-RESUMEN!$D$7</f>
        <v>-43238</v>
      </c>
      <c r="AB49" s="118">
        <f>_xlfn.DAYS(Z49,RESUMEN!$D$7)</f>
        <v>-43238</v>
      </c>
      <c r="AC49" s="76"/>
      <c r="AD49" s="73"/>
      <c r="AE49" s="73"/>
      <c r="AF49" s="116" t="e">
        <f t="shared" si="3"/>
        <v>#DIV/0!</v>
      </c>
      <c r="AG49" s="83"/>
      <c r="AH49" s="115"/>
      <c r="AI49" s="118" t="e">
        <f>WEEKNUM(AH49-RESUMEN!$D$7)</f>
        <v>#NUM!</v>
      </c>
      <c r="AJ49" s="118">
        <f>_xlfn.DAYS(AH49,RESUMEN!$D$7)</f>
        <v>-43238</v>
      </c>
      <c r="AK49" s="76"/>
      <c r="AL49" s="73"/>
      <c r="AM49" s="73"/>
      <c r="AN49" s="116" t="e">
        <f t="shared" si="4"/>
        <v>#DIV/0!</v>
      </c>
      <c r="AO49" s="83"/>
      <c r="AP49" s="115"/>
      <c r="AQ49" s="118" t="e">
        <f>WEEKNUM(AP49-RESUMEN!$D$7)</f>
        <v>#NUM!</v>
      </c>
      <c r="AR49" s="118">
        <f>_xlfn.DAYS(AP49,RESUMEN!$D$7)</f>
        <v>-43238</v>
      </c>
      <c r="AS49" s="76"/>
      <c r="AT49" s="73"/>
      <c r="AU49" s="73"/>
      <c r="AV49" s="116" t="e">
        <f t="shared" si="5"/>
        <v>#DIV/0!</v>
      </c>
      <c r="AW49" s="83"/>
    </row>
    <row r="50" spans="2:49" x14ac:dyDescent="0.25">
      <c r="B50" s="115"/>
      <c r="C50" s="118" t="e">
        <f>WEEKNUM(B50-RESUMEN!$D$7)</f>
        <v>#NUM!</v>
      </c>
      <c r="D50" s="118">
        <f>_xlfn.DAYS(B50,RESUMEN!$D$7)</f>
        <v>-43238</v>
      </c>
      <c r="E50" s="76"/>
      <c r="F50" s="73"/>
      <c r="G50" s="73"/>
      <c r="H50" s="116" t="e">
        <f t="shared" si="0"/>
        <v>#DIV/0!</v>
      </c>
      <c r="I50" s="83"/>
      <c r="J50" s="115"/>
      <c r="K50" s="118" t="e">
        <f>WEEKNUM(J50-RESUMEN!$D$7)</f>
        <v>#NUM!</v>
      </c>
      <c r="L50" s="118">
        <f>_xlfn.DAYS(J50,RESUMEN!$D$7)</f>
        <v>-43238</v>
      </c>
      <c r="M50" s="76"/>
      <c r="N50" s="73"/>
      <c r="O50" s="73"/>
      <c r="P50" s="116" t="e">
        <f t="shared" si="1"/>
        <v>#DIV/0!</v>
      </c>
      <c r="Q50" s="83"/>
      <c r="R50" s="115"/>
      <c r="S50" s="118" t="e">
        <f>WEEKNUM(R50-RESUMEN!$D$7)</f>
        <v>#NUM!</v>
      </c>
      <c r="T50" s="118">
        <f>_xlfn.DAYS(R50,RESUMEN!$D$7)</f>
        <v>-43238</v>
      </c>
      <c r="U50" s="76"/>
      <c r="V50" s="73"/>
      <c r="W50" s="73"/>
      <c r="X50" s="116" t="e">
        <f t="shared" si="2"/>
        <v>#DIV/0!</v>
      </c>
      <c r="Y50" s="83"/>
      <c r="Z50" s="115"/>
      <c r="AA50" s="118">
        <f>Z50-RESUMEN!$D$7</f>
        <v>-43238</v>
      </c>
      <c r="AB50" s="118">
        <f>_xlfn.DAYS(Z50,RESUMEN!$D$7)</f>
        <v>-43238</v>
      </c>
      <c r="AC50" s="76"/>
      <c r="AD50" s="73"/>
      <c r="AE50" s="73"/>
      <c r="AF50" s="116" t="e">
        <f t="shared" si="3"/>
        <v>#DIV/0!</v>
      </c>
      <c r="AG50" s="83"/>
      <c r="AH50" s="115"/>
      <c r="AI50" s="118" t="e">
        <f>WEEKNUM(AH50-RESUMEN!$D$7)</f>
        <v>#NUM!</v>
      </c>
      <c r="AJ50" s="118">
        <f>_xlfn.DAYS(AH50,RESUMEN!$D$7)</f>
        <v>-43238</v>
      </c>
      <c r="AK50" s="76"/>
      <c r="AL50" s="73"/>
      <c r="AM50" s="73"/>
      <c r="AN50" s="116" t="e">
        <f t="shared" si="4"/>
        <v>#DIV/0!</v>
      </c>
      <c r="AO50" s="83"/>
      <c r="AP50" s="115"/>
      <c r="AQ50" s="118" t="e">
        <f>WEEKNUM(AP50-RESUMEN!$D$7)</f>
        <v>#NUM!</v>
      </c>
      <c r="AR50" s="118">
        <f>_xlfn.DAYS(AP50,RESUMEN!$D$7)</f>
        <v>-43238</v>
      </c>
      <c r="AS50" s="76"/>
      <c r="AT50" s="73"/>
      <c r="AU50" s="73"/>
      <c r="AV50" s="116" t="e">
        <f t="shared" si="5"/>
        <v>#DIV/0!</v>
      </c>
      <c r="AW50" s="83"/>
    </row>
    <row r="51" spans="2:49" x14ac:dyDescent="0.25">
      <c r="B51" s="115"/>
      <c r="C51" s="118" t="e">
        <f>WEEKNUM(B51-RESUMEN!$D$7)</f>
        <v>#NUM!</v>
      </c>
      <c r="D51" s="118">
        <f>_xlfn.DAYS(B51,RESUMEN!$D$7)</f>
        <v>-43238</v>
      </c>
      <c r="E51" s="76"/>
      <c r="F51" s="73"/>
      <c r="G51" s="73"/>
      <c r="H51" s="116" t="e">
        <f t="shared" si="0"/>
        <v>#DIV/0!</v>
      </c>
      <c r="I51" s="83"/>
      <c r="J51" s="115"/>
      <c r="K51" s="118" t="e">
        <f>WEEKNUM(J51-RESUMEN!$D$7)</f>
        <v>#NUM!</v>
      </c>
      <c r="L51" s="118">
        <f>_xlfn.DAYS(J51,RESUMEN!$D$7)</f>
        <v>-43238</v>
      </c>
      <c r="M51" s="76"/>
      <c r="N51" s="73"/>
      <c r="O51" s="73"/>
      <c r="P51" s="116" t="e">
        <f t="shared" si="1"/>
        <v>#DIV/0!</v>
      </c>
      <c r="Q51" s="83"/>
      <c r="R51" s="115"/>
      <c r="S51" s="118" t="e">
        <f>WEEKNUM(R51-RESUMEN!$D$7)</f>
        <v>#NUM!</v>
      </c>
      <c r="T51" s="118">
        <f>_xlfn.DAYS(R51,RESUMEN!$D$7)</f>
        <v>-43238</v>
      </c>
      <c r="U51" s="76"/>
      <c r="V51" s="73"/>
      <c r="W51" s="73"/>
      <c r="X51" s="116" t="e">
        <f t="shared" si="2"/>
        <v>#DIV/0!</v>
      </c>
      <c r="Y51" s="83"/>
      <c r="Z51" s="115"/>
      <c r="AA51" s="118">
        <f>Z51-RESUMEN!$D$7</f>
        <v>-43238</v>
      </c>
      <c r="AB51" s="118">
        <f>_xlfn.DAYS(Z51,RESUMEN!$D$7)</f>
        <v>-43238</v>
      </c>
      <c r="AC51" s="76"/>
      <c r="AD51" s="73"/>
      <c r="AE51" s="73"/>
      <c r="AF51" s="116" t="e">
        <f t="shared" si="3"/>
        <v>#DIV/0!</v>
      </c>
      <c r="AG51" s="83"/>
      <c r="AH51" s="115"/>
      <c r="AI51" s="118" t="e">
        <f>WEEKNUM(AH51-RESUMEN!$D$7)</f>
        <v>#NUM!</v>
      </c>
      <c r="AJ51" s="118">
        <f>_xlfn.DAYS(AH51,RESUMEN!$D$7)</f>
        <v>-43238</v>
      </c>
      <c r="AK51" s="76"/>
      <c r="AL51" s="73"/>
      <c r="AM51" s="73"/>
      <c r="AN51" s="116" t="e">
        <f t="shared" si="4"/>
        <v>#DIV/0!</v>
      </c>
      <c r="AO51" s="83"/>
      <c r="AP51" s="115"/>
      <c r="AQ51" s="118" t="e">
        <f>WEEKNUM(AP51-RESUMEN!$D$7)</f>
        <v>#NUM!</v>
      </c>
      <c r="AR51" s="118">
        <f>_xlfn.DAYS(AP51,RESUMEN!$D$7)</f>
        <v>-43238</v>
      </c>
      <c r="AS51" s="76"/>
      <c r="AT51" s="73"/>
      <c r="AU51" s="73"/>
      <c r="AV51" s="116" t="e">
        <f t="shared" si="5"/>
        <v>#DIV/0!</v>
      </c>
      <c r="AW51" s="83"/>
    </row>
    <row r="52" spans="2:49" x14ac:dyDescent="0.25">
      <c r="B52" s="115"/>
      <c r="C52" s="118" t="e">
        <f>WEEKNUM(B52-RESUMEN!$D$7)</f>
        <v>#NUM!</v>
      </c>
      <c r="D52" s="118">
        <f>_xlfn.DAYS(B52,RESUMEN!$D$7)</f>
        <v>-43238</v>
      </c>
      <c r="E52" s="76"/>
      <c r="F52" s="73"/>
      <c r="G52" s="73"/>
      <c r="H52" s="116" t="e">
        <f t="shared" si="0"/>
        <v>#DIV/0!</v>
      </c>
      <c r="I52" s="83"/>
      <c r="J52" s="115"/>
      <c r="K52" s="118" t="e">
        <f>WEEKNUM(J52-RESUMEN!$D$7)</f>
        <v>#NUM!</v>
      </c>
      <c r="L52" s="118">
        <f>_xlfn.DAYS(J52,RESUMEN!$D$7)</f>
        <v>-43238</v>
      </c>
      <c r="M52" s="76"/>
      <c r="N52" s="73"/>
      <c r="O52" s="73"/>
      <c r="P52" s="116" t="e">
        <f t="shared" si="1"/>
        <v>#DIV/0!</v>
      </c>
      <c r="Q52" s="83"/>
      <c r="R52" s="115"/>
      <c r="S52" s="118" t="e">
        <f>WEEKNUM(R52-RESUMEN!$D$7)</f>
        <v>#NUM!</v>
      </c>
      <c r="T52" s="118">
        <f>_xlfn.DAYS(R52,RESUMEN!$D$7)</f>
        <v>-43238</v>
      </c>
      <c r="U52" s="76"/>
      <c r="V52" s="73"/>
      <c r="W52" s="73"/>
      <c r="X52" s="116" t="e">
        <f t="shared" si="2"/>
        <v>#DIV/0!</v>
      </c>
      <c r="Y52" s="83"/>
      <c r="Z52" s="115"/>
      <c r="AA52" s="118">
        <f>Z52-RESUMEN!$D$7</f>
        <v>-43238</v>
      </c>
      <c r="AB52" s="118">
        <f>_xlfn.DAYS(Z52,RESUMEN!$D$7)</f>
        <v>-43238</v>
      </c>
      <c r="AC52" s="76"/>
      <c r="AD52" s="73"/>
      <c r="AE52" s="73"/>
      <c r="AF52" s="116" t="e">
        <f t="shared" si="3"/>
        <v>#DIV/0!</v>
      </c>
      <c r="AG52" s="83"/>
      <c r="AH52" s="115"/>
      <c r="AI52" s="118" t="e">
        <f>WEEKNUM(AH52-RESUMEN!$D$7)</f>
        <v>#NUM!</v>
      </c>
      <c r="AJ52" s="118">
        <f>_xlfn.DAYS(AH52,RESUMEN!$D$7)</f>
        <v>-43238</v>
      </c>
      <c r="AK52" s="76"/>
      <c r="AL52" s="73"/>
      <c r="AM52" s="73"/>
      <c r="AN52" s="116" t="e">
        <f t="shared" si="4"/>
        <v>#DIV/0!</v>
      </c>
      <c r="AO52" s="83"/>
      <c r="AP52" s="115"/>
      <c r="AQ52" s="118" t="e">
        <f>WEEKNUM(AP52-RESUMEN!$D$7)</f>
        <v>#NUM!</v>
      </c>
      <c r="AR52" s="118">
        <f>_xlfn.DAYS(AP52,RESUMEN!$D$7)</f>
        <v>-43238</v>
      </c>
      <c r="AS52" s="76"/>
      <c r="AT52" s="73"/>
      <c r="AU52" s="73"/>
      <c r="AV52" s="116" t="e">
        <f t="shared" si="5"/>
        <v>#DIV/0!</v>
      </c>
      <c r="AW52" s="83"/>
    </row>
    <row r="53" spans="2:49" x14ac:dyDescent="0.25">
      <c r="B53" s="115"/>
      <c r="C53" s="118" t="e">
        <f>WEEKNUM(B53-RESUMEN!$D$7)</f>
        <v>#NUM!</v>
      </c>
      <c r="D53" s="118">
        <f>_xlfn.DAYS(B53,RESUMEN!$D$7)</f>
        <v>-43238</v>
      </c>
      <c r="E53" s="76"/>
      <c r="F53" s="73"/>
      <c r="G53" s="73"/>
      <c r="H53" s="116" t="e">
        <f t="shared" si="0"/>
        <v>#DIV/0!</v>
      </c>
      <c r="I53" s="83"/>
      <c r="J53" s="115"/>
      <c r="K53" s="118" t="e">
        <f>WEEKNUM(J53-RESUMEN!$D$7)</f>
        <v>#NUM!</v>
      </c>
      <c r="L53" s="118">
        <f>_xlfn.DAYS(J53,RESUMEN!$D$7)</f>
        <v>-43238</v>
      </c>
      <c r="M53" s="76"/>
      <c r="N53" s="73"/>
      <c r="O53" s="73"/>
      <c r="P53" s="116" t="e">
        <f t="shared" si="1"/>
        <v>#DIV/0!</v>
      </c>
      <c r="Q53" s="83"/>
      <c r="R53" s="115"/>
      <c r="S53" s="118" t="e">
        <f>WEEKNUM(R53-RESUMEN!$D$7)</f>
        <v>#NUM!</v>
      </c>
      <c r="T53" s="118">
        <f>_xlfn.DAYS(R53,RESUMEN!$D$7)</f>
        <v>-43238</v>
      </c>
      <c r="U53" s="76"/>
      <c r="V53" s="73"/>
      <c r="W53" s="73"/>
      <c r="X53" s="116" t="e">
        <f t="shared" si="2"/>
        <v>#DIV/0!</v>
      </c>
      <c r="Y53" s="83"/>
      <c r="Z53" s="115"/>
      <c r="AA53" s="118">
        <f>Z53-RESUMEN!$D$7</f>
        <v>-43238</v>
      </c>
      <c r="AB53" s="118">
        <f>_xlfn.DAYS(Z53,RESUMEN!$D$7)</f>
        <v>-43238</v>
      </c>
      <c r="AC53" s="76"/>
      <c r="AD53" s="73"/>
      <c r="AE53" s="73"/>
      <c r="AF53" s="116" t="e">
        <f t="shared" si="3"/>
        <v>#DIV/0!</v>
      </c>
      <c r="AG53" s="83"/>
      <c r="AH53" s="115"/>
      <c r="AI53" s="118" t="e">
        <f>WEEKNUM(AH53-RESUMEN!$D$7)</f>
        <v>#NUM!</v>
      </c>
      <c r="AJ53" s="118">
        <f>_xlfn.DAYS(AH53,RESUMEN!$D$7)</f>
        <v>-43238</v>
      </c>
      <c r="AK53" s="76"/>
      <c r="AL53" s="73"/>
      <c r="AM53" s="73"/>
      <c r="AN53" s="116" t="e">
        <f t="shared" si="4"/>
        <v>#DIV/0!</v>
      </c>
      <c r="AO53" s="83"/>
      <c r="AP53" s="115"/>
      <c r="AQ53" s="118" t="e">
        <f>WEEKNUM(AP53-RESUMEN!$D$7)</f>
        <v>#NUM!</v>
      </c>
      <c r="AR53" s="118">
        <f>_xlfn.DAYS(AP53,RESUMEN!$D$7)</f>
        <v>-43238</v>
      </c>
      <c r="AS53" s="76"/>
      <c r="AT53" s="73"/>
      <c r="AU53" s="73"/>
      <c r="AV53" s="116" t="e">
        <f t="shared" si="5"/>
        <v>#DIV/0!</v>
      </c>
      <c r="AW53" s="83"/>
    </row>
    <row r="54" spans="2:49" x14ac:dyDescent="0.25">
      <c r="B54" s="115"/>
      <c r="C54" s="118" t="e">
        <f>WEEKNUM(B54-RESUMEN!$D$7)</f>
        <v>#NUM!</v>
      </c>
      <c r="D54" s="118">
        <f>_xlfn.DAYS(B54,RESUMEN!$D$7)</f>
        <v>-43238</v>
      </c>
      <c r="E54" s="76"/>
      <c r="F54" s="73"/>
      <c r="G54" s="73"/>
      <c r="H54" s="116" t="e">
        <f t="shared" si="0"/>
        <v>#DIV/0!</v>
      </c>
      <c r="I54" s="83"/>
      <c r="J54" s="115"/>
      <c r="K54" s="118" t="e">
        <f>WEEKNUM(J54-RESUMEN!$D$7)</f>
        <v>#NUM!</v>
      </c>
      <c r="L54" s="118">
        <f>_xlfn.DAYS(J54,RESUMEN!$D$7)</f>
        <v>-43238</v>
      </c>
      <c r="M54" s="76"/>
      <c r="N54" s="73"/>
      <c r="O54" s="73"/>
      <c r="P54" s="116" t="e">
        <f t="shared" si="1"/>
        <v>#DIV/0!</v>
      </c>
      <c r="Q54" s="83"/>
      <c r="R54" s="115"/>
      <c r="S54" s="118" t="e">
        <f>WEEKNUM(R54-RESUMEN!$D$7)</f>
        <v>#NUM!</v>
      </c>
      <c r="T54" s="118">
        <f>_xlfn.DAYS(R54,RESUMEN!$D$7)</f>
        <v>-43238</v>
      </c>
      <c r="U54" s="76"/>
      <c r="V54" s="73"/>
      <c r="W54" s="73"/>
      <c r="X54" s="116" t="e">
        <f t="shared" si="2"/>
        <v>#DIV/0!</v>
      </c>
      <c r="Y54" s="83"/>
      <c r="Z54" s="115"/>
      <c r="AA54" s="118">
        <f>Z54-RESUMEN!$D$7</f>
        <v>-43238</v>
      </c>
      <c r="AB54" s="118">
        <f>_xlfn.DAYS(Z54,RESUMEN!$D$7)</f>
        <v>-43238</v>
      </c>
      <c r="AC54" s="76"/>
      <c r="AD54" s="73"/>
      <c r="AE54" s="73"/>
      <c r="AF54" s="116" t="e">
        <f t="shared" si="3"/>
        <v>#DIV/0!</v>
      </c>
      <c r="AG54" s="83"/>
      <c r="AH54" s="115"/>
      <c r="AI54" s="118" t="e">
        <f>WEEKNUM(AH54-RESUMEN!$D$7)</f>
        <v>#NUM!</v>
      </c>
      <c r="AJ54" s="118">
        <f>_xlfn.DAYS(AH54,RESUMEN!$D$7)</f>
        <v>-43238</v>
      </c>
      <c r="AK54" s="76"/>
      <c r="AL54" s="73"/>
      <c r="AM54" s="73"/>
      <c r="AN54" s="116" t="e">
        <f t="shared" si="4"/>
        <v>#DIV/0!</v>
      </c>
      <c r="AO54" s="83"/>
      <c r="AP54" s="115"/>
      <c r="AQ54" s="118" t="e">
        <f>WEEKNUM(AP54-RESUMEN!$D$7)</f>
        <v>#NUM!</v>
      </c>
      <c r="AR54" s="118">
        <f>_xlfn.DAYS(AP54,RESUMEN!$D$7)</f>
        <v>-43238</v>
      </c>
      <c r="AS54" s="76"/>
      <c r="AT54" s="73"/>
      <c r="AU54" s="73"/>
      <c r="AV54" s="116" t="e">
        <f t="shared" si="5"/>
        <v>#DIV/0!</v>
      </c>
      <c r="AW54" s="83"/>
    </row>
    <row r="55" spans="2:49" x14ac:dyDescent="0.25">
      <c r="B55" s="115"/>
      <c r="C55" s="118" t="e">
        <f>WEEKNUM(B55-RESUMEN!$D$7)</f>
        <v>#NUM!</v>
      </c>
      <c r="D55" s="118">
        <f>_xlfn.DAYS(B55,RESUMEN!$D$7)</f>
        <v>-43238</v>
      </c>
      <c r="E55" s="76"/>
      <c r="F55" s="73"/>
      <c r="G55" s="73"/>
      <c r="H55" s="116" t="e">
        <f t="shared" si="0"/>
        <v>#DIV/0!</v>
      </c>
      <c r="I55" s="83"/>
      <c r="J55" s="115"/>
      <c r="K55" s="118" t="e">
        <f>WEEKNUM(J55-RESUMEN!$D$7)</f>
        <v>#NUM!</v>
      </c>
      <c r="L55" s="118">
        <f>_xlfn.DAYS(J55,RESUMEN!$D$7)</f>
        <v>-43238</v>
      </c>
      <c r="M55" s="76"/>
      <c r="N55" s="73"/>
      <c r="O55" s="73"/>
      <c r="P55" s="116" t="e">
        <f t="shared" si="1"/>
        <v>#DIV/0!</v>
      </c>
      <c r="Q55" s="83"/>
      <c r="R55" s="115"/>
      <c r="S55" s="118" t="e">
        <f>WEEKNUM(R55-RESUMEN!$D$7)</f>
        <v>#NUM!</v>
      </c>
      <c r="T55" s="118">
        <f>_xlfn.DAYS(R55,RESUMEN!$D$7)</f>
        <v>-43238</v>
      </c>
      <c r="U55" s="76"/>
      <c r="V55" s="73"/>
      <c r="W55" s="73"/>
      <c r="X55" s="116" t="e">
        <f t="shared" si="2"/>
        <v>#DIV/0!</v>
      </c>
      <c r="Y55" s="83"/>
      <c r="Z55" s="115"/>
      <c r="AA55" s="118">
        <f>Z55-RESUMEN!$D$7</f>
        <v>-43238</v>
      </c>
      <c r="AB55" s="118">
        <f>_xlfn.DAYS(Z55,RESUMEN!$D$7)</f>
        <v>-43238</v>
      </c>
      <c r="AC55" s="76"/>
      <c r="AD55" s="73"/>
      <c r="AE55" s="73"/>
      <c r="AF55" s="116" t="e">
        <f t="shared" si="3"/>
        <v>#DIV/0!</v>
      </c>
      <c r="AG55" s="83"/>
      <c r="AH55" s="115"/>
      <c r="AI55" s="118" t="e">
        <f>WEEKNUM(AH55-RESUMEN!$D$7)</f>
        <v>#NUM!</v>
      </c>
      <c r="AJ55" s="118">
        <f>_xlfn.DAYS(AH55,RESUMEN!$D$7)</f>
        <v>-43238</v>
      </c>
      <c r="AK55" s="76"/>
      <c r="AL55" s="73"/>
      <c r="AM55" s="73"/>
      <c r="AN55" s="116" t="e">
        <f t="shared" si="4"/>
        <v>#DIV/0!</v>
      </c>
      <c r="AO55" s="83"/>
      <c r="AP55" s="115"/>
      <c r="AQ55" s="118" t="e">
        <f>WEEKNUM(AP55-RESUMEN!$D$7)</f>
        <v>#NUM!</v>
      </c>
      <c r="AR55" s="118">
        <f>_xlfn.DAYS(AP55,RESUMEN!$D$7)</f>
        <v>-43238</v>
      </c>
      <c r="AS55" s="76"/>
      <c r="AT55" s="73"/>
      <c r="AU55" s="73"/>
      <c r="AV55" s="116" t="e">
        <f t="shared" si="5"/>
        <v>#DIV/0!</v>
      </c>
      <c r="AW55" s="83"/>
    </row>
    <row r="56" spans="2:49" x14ac:dyDescent="0.25">
      <c r="B56" s="115"/>
      <c r="C56" s="118" t="e">
        <f>WEEKNUM(B56-RESUMEN!$D$7)</f>
        <v>#NUM!</v>
      </c>
      <c r="D56" s="118">
        <f>_xlfn.DAYS(B56,RESUMEN!$D$7)</f>
        <v>-43238</v>
      </c>
      <c r="E56" s="76"/>
      <c r="F56" s="73"/>
      <c r="G56" s="73"/>
      <c r="H56" s="116" t="e">
        <f t="shared" si="0"/>
        <v>#DIV/0!</v>
      </c>
      <c r="I56" s="83"/>
      <c r="J56" s="115"/>
      <c r="K56" s="118" t="e">
        <f>WEEKNUM(J56-RESUMEN!$D$7)</f>
        <v>#NUM!</v>
      </c>
      <c r="L56" s="118">
        <f>_xlfn.DAYS(J56,RESUMEN!$D$7)</f>
        <v>-43238</v>
      </c>
      <c r="M56" s="76"/>
      <c r="N56" s="73"/>
      <c r="O56" s="73"/>
      <c r="P56" s="116" t="e">
        <f t="shared" si="1"/>
        <v>#DIV/0!</v>
      </c>
      <c r="Q56" s="83"/>
      <c r="R56" s="115"/>
      <c r="S56" s="118" t="e">
        <f>WEEKNUM(R56-RESUMEN!$D$7)</f>
        <v>#NUM!</v>
      </c>
      <c r="T56" s="118">
        <f>_xlfn.DAYS(R56,RESUMEN!$D$7)</f>
        <v>-43238</v>
      </c>
      <c r="U56" s="76"/>
      <c r="V56" s="73"/>
      <c r="W56" s="73"/>
      <c r="X56" s="116" t="e">
        <f t="shared" si="2"/>
        <v>#DIV/0!</v>
      </c>
      <c r="Y56" s="83"/>
      <c r="Z56" s="115"/>
      <c r="AA56" s="118">
        <f>Z56-RESUMEN!$D$7</f>
        <v>-43238</v>
      </c>
      <c r="AB56" s="118">
        <f>_xlfn.DAYS(Z56,RESUMEN!$D$7)</f>
        <v>-43238</v>
      </c>
      <c r="AC56" s="76"/>
      <c r="AD56" s="73"/>
      <c r="AE56" s="73"/>
      <c r="AF56" s="116" t="e">
        <f t="shared" si="3"/>
        <v>#DIV/0!</v>
      </c>
      <c r="AG56" s="83"/>
      <c r="AH56" s="115"/>
      <c r="AI56" s="118" t="e">
        <f>WEEKNUM(AH56-RESUMEN!$D$7)</f>
        <v>#NUM!</v>
      </c>
      <c r="AJ56" s="118">
        <f>_xlfn.DAYS(AH56,RESUMEN!$D$7)</f>
        <v>-43238</v>
      </c>
      <c r="AK56" s="76"/>
      <c r="AL56" s="73"/>
      <c r="AM56" s="73"/>
      <c r="AN56" s="116" t="e">
        <f t="shared" si="4"/>
        <v>#DIV/0!</v>
      </c>
      <c r="AO56" s="83"/>
      <c r="AP56" s="115"/>
      <c r="AQ56" s="118" t="e">
        <f>WEEKNUM(AP56-RESUMEN!$D$7)</f>
        <v>#NUM!</v>
      </c>
      <c r="AR56" s="118">
        <f>_xlfn.DAYS(AP56,RESUMEN!$D$7)</f>
        <v>-43238</v>
      </c>
      <c r="AS56" s="76"/>
      <c r="AT56" s="73"/>
      <c r="AU56" s="73"/>
      <c r="AV56" s="116" t="e">
        <f t="shared" si="5"/>
        <v>#DIV/0!</v>
      </c>
      <c r="AW56" s="83"/>
    </row>
    <row r="57" spans="2:49" x14ac:dyDescent="0.25">
      <c r="B57" s="115"/>
      <c r="C57" s="118" t="e">
        <f>WEEKNUM(B57-RESUMEN!$D$7)</f>
        <v>#NUM!</v>
      </c>
      <c r="D57" s="118">
        <f>_xlfn.DAYS(B57,RESUMEN!$D$7)</f>
        <v>-43238</v>
      </c>
      <c r="E57" s="76"/>
      <c r="F57" s="73"/>
      <c r="G57" s="73"/>
      <c r="H57" s="116" t="e">
        <f t="shared" si="0"/>
        <v>#DIV/0!</v>
      </c>
      <c r="I57" s="83"/>
      <c r="J57" s="115"/>
      <c r="K57" s="118" t="e">
        <f>WEEKNUM(J57-RESUMEN!$D$7)</f>
        <v>#NUM!</v>
      </c>
      <c r="L57" s="118">
        <f>_xlfn.DAYS(J57,RESUMEN!$D$7)</f>
        <v>-43238</v>
      </c>
      <c r="M57" s="76"/>
      <c r="N57" s="73"/>
      <c r="O57" s="73"/>
      <c r="P57" s="116" t="e">
        <f t="shared" si="1"/>
        <v>#DIV/0!</v>
      </c>
      <c r="Q57" s="83"/>
      <c r="R57" s="115"/>
      <c r="S57" s="118" t="e">
        <f>WEEKNUM(R57-RESUMEN!$D$7)</f>
        <v>#NUM!</v>
      </c>
      <c r="T57" s="118">
        <f>_xlfn.DAYS(R57,RESUMEN!$D$7)</f>
        <v>-43238</v>
      </c>
      <c r="U57" s="76"/>
      <c r="V57" s="73"/>
      <c r="W57" s="73"/>
      <c r="X57" s="116" t="e">
        <f t="shared" si="2"/>
        <v>#DIV/0!</v>
      </c>
      <c r="Y57" s="83"/>
      <c r="Z57" s="115"/>
      <c r="AA57" s="118">
        <f>Z57-RESUMEN!$D$7</f>
        <v>-43238</v>
      </c>
      <c r="AB57" s="118">
        <f>_xlfn.DAYS(Z57,RESUMEN!$D$7)</f>
        <v>-43238</v>
      </c>
      <c r="AC57" s="76"/>
      <c r="AD57" s="73"/>
      <c r="AE57" s="73"/>
      <c r="AF57" s="116" t="e">
        <f t="shared" si="3"/>
        <v>#DIV/0!</v>
      </c>
      <c r="AG57" s="83"/>
      <c r="AH57" s="115"/>
      <c r="AI57" s="118" t="e">
        <f>WEEKNUM(AH57-RESUMEN!$D$7)</f>
        <v>#NUM!</v>
      </c>
      <c r="AJ57" s="118">
        <f>_xlfn.DAYS(AH57,RESUMEN!$D$7)</f>
        <v>-43238</v>
      </c>
      <c r="AK57" s="76"/>
      <c r="AL57" s="73"/>
      <c r="AM57" s="73"/>
      <c r="AN57" s="116" t="e">
        <f t="shared" si="4"/>
        <v>#DIV/0!</v>
      </c>
      <c r="AO57" s="83"/>
      <c r="AP57" s="115"/>
      <c r="AQ57" s="118" t="e">
        <f>WEEKNUM(AP57-RESUMEN!$D$7)</f>
        <v>#NUM!</v>
      </c>
      <c r="AR57" s="118">
        <f>_xlfn.DAYS(AP57,RESUMEN!$D$7)</f>
        <v>-43238</v>
      </c>
      <c r="AS57" s="76"/>
      <c r="AT57" s="73"/>
      <c r="AU57" s="73"/>
      <c r="AV57" s="116" t="e">
        <f t="shared" si="5"/>
        <v>#DIV/0!</v>
      </c>
      <c r="AW57" s="83"/>
    </row>
    <row r="58" spans="2:49" x14ac:dyDescent="0.25">
      <c r="B58" s="115"/>
      <c r="C58" s="118" t="e">
        <f>WEEKNUM(B58-RESUMEN!$D$7)</f>
        <v>#NUM!</v>
      </c>
      <c r="D58" s="118">
        <f>_xlfn.DAYS(B58,RESUMEN!$D$7)</f>
        <v>-43238</v>
      </c>
      <c r="E58" s="76"/>
      <c r="F58" s="73"/>
      <c r="G58" s="73"/>
      <c r="H58" s="116" t="e">
        <f t="shared" si="0"/>
        <v>#DIV/0!</v>
      </c>
      <c r="I58" s="83"/>
      <c r="J58" s="115"/>
      <c r="K58" s="118" t="e">
        <f>WEEKNUM(J58-RESUMEN!$D$7)</f>
        <v>#NUM!</v>
      </c>
      <c r="L58" s="118">
        <f>_xlfn.DAYS(J58,RESUMEN!$D$7)</f>
        <v>-43238</v>
      </c>
      <c r="M58" s="76"/>
      <c r="N58" s="73"/>
      <c r="O58" s="73"/>
      <c r="P58" s="116" t="e">
        <f t="shared" si="1"/>
        <v>#DIV/0!</v>
      </c>
      <c r="Q58" s="83"/>
      <c r="R58" s="115"/>
      <c r="S58" s="118" t="e">
        <f>WEEKNUM(R58-RESUMEN!$D$7)</f>
        <v>#NUM!</v>
      </c>
      <c r="T58" s="118">
        <f>_xlfn.DAYS(R58,RESUMEN!$D$7)</f>
        <v>-43238</v>
      </c>
      <c r="U58" s="76"/>
      <c r="V58" s="73"/>
      <c r="W58" s="73"/>
      <c r="X58" s="116" t="e">
        <f t="shared" si="2"/>
        <v>#DIV/0!</v>
      </c>
      <c r="Y58" s="83"/>
      <c r="Z58" s="115"/>
      <c r="AA58" s="118">
        <f>Z58-RESUMEN!$D$7</f>
        <v>-43238</v>
      </c>
      <c r="AB58" s="118">
        <f>_xlfn.DAYS(Z58,RESUMEN!$D$7)</f>
        <v>-43238</v>
      </c>
      <c r="AC58" s="76"/>
      <c r="AD58" s="73"/>
      <c r="AE58" s="73"/>
      <c r="AF58" s="116" t="e">
        <f t="shared" si="3"/>
        <v>#DIV/0!</v>
      </c>
      <c r="AG58" s="83"/>
      <c r="AH58" s="115"/>
      <c r="AI58" s="118" t="e">
        <f>WEEKNUM(AH58-RESUMEN!$D$7)</f>
        <v>#NUM!</v>
      </c>
      <c r="AJ58" s="118">
        <f>_xlfn.DAYS(AH58,RESUMEN!$D$7)</f>
        <v>-43238</v>
      </c>
      <c r="AK58" s="76"/>
      <c r="AL58" s="73"/>
      <c r="AM58" s="73"/>
      <c r="AN58" s="116" t="e">
        <f t="shared" si="4"/>
        <v>#DIV/0!</v>
      </c>
      <c r="AO58" s="83"/>
      <c r="AP58" s="115"/>
      <c r="AQ58" s="118" t="e">
        <f>WEEKNUM(AP58-RESUMEN!$D$7)</f>
        <v>#NUM!</v>
      </c>
      <c r="AR58" s="118">
        <f>_xlfn.DAYS(AP58,RESUMEN!$D$7)</f>
        <v>-43238</v>
      </c>
      <c r="AS58" s="76"/>
      <c r="AT58" s="73"/>
      <c r="AU58" s="73"/>
      <c r="AV58" s="116" t="e">
        <f t="shared" si="5"/>
        <v>#DIV/0!</v>
      </c>
      <c r="AW58" s="83"/>
    </row>
    <row r="59" spans="2:49" x14ac:dyDescent="0.25">
      <c r="B59" s="115"/>
      <c r="C59" s="118" t="e">
        <f>WEEKNUM(B59-RESUMEN!$D$7)</f>
        <v>#NUM!</v>
      </c>
      <c r="D59" s="118">
        <f>_xlfn.DAYS(B59,RESUMEN!$D$7)</f>
        <v>-43238</v>
      </c>
      <c r="E59" s="76"/>
      <c r="F59" s="73"/>
      <c r="G59" s="73"/>
      <c r="H59" s="116" t="e">
        <f t="shared" si="0"/>
        <v>#DIV/0!</v>
      </c>
      <c r="I59" s="83"/>
      <c r="J59" s="115"/>
      <c r="K59" s="118" t="e">
        <f>WEEKNUM(J59-RESUMEN!$D$7)</f>
        <v>#NUM!</v>
      </c>
      <c r="L59" s="118">
        <f>_xlfn.DAYS(J59,RESUMEN!$D$7)</f>
        <v>-43238</v>
      </c>
      <c r="M59" s="76"/>
      <c r="N59" s="73"/>
      <c r="O59" s="73"/>
      <c r="P59" s="116" t="e">
        <f t="shared" si="1"/>
        <v>#DIV/0!</v>
      </c>
      <c r="Q59" s="83"/>
      <c r="R59" s="115"/>
      <c r="S59" s="118" t="e">
        <f>WEEKNUM(R59-RESUMEN!$D$7)</f>
        <v>#NUM!</v>
      </c>
      <c r="T59" s="118">
        <f>_xlfn.DAYS(R59,RESUMEN!$D$7)</f>
        <v>-43238</v>
      </c>
      <c r="U59" s="76"/>
      <c r="V59" s="73"/>
      <c r="W59" s="73"/>
      <c r="X59" s="116" t="e">
        <f t="shared" si="2"/>
        <v>#DIV/0!</v>
      </c>
      <c r="Y59" s="83"/>
      <c r="Z59" s="115"/>
      <c r="AA59" s="118">
        <f>Z59-RESUMEN!$D$7</f>
        <v>-43238</v>
      </c>
      <c r="AB59" s="118">
        <f>_xlfn.DAYS(Z59,RESUMEN!$D$7)</f>
        <v>-43238</v>
      </c>
      <c r="AC59" s="76"/>
      <c r="AD59" s="73"/>
      <c r="AE59" s="73"/>
      <c r="AF59" s="116" t="e">
        <f t="shared" si="3"/>
        <v>#DIV/0!</v>
      </c>
      <c r="AG59" s="83"/>
      <c r="AH59" s="115"/>
      <c r="AI59" s="118" t="e">
        <f>WEEKNUM(AH59-RESUMEN!$D$7)</f>
        <v>#NUM!</v>
      </c>
      <c r="AJ59" s="118">
        <f>_xlfn.DAYS(AH59,RESUMEN!$D$7)</f>
        <v>-43238</v>
      </c>
      <c r="AK59" s="76"/>
      <c r="AL59" s="73"/>
      <c r="AM59" s="73"/>
      <c r="AN59" s="116" t="e">
        <f t="shared" si="4"/>
        <v>#DIV/0!</v>
      </c>
      <c r="AO59" s="83"/>
      <c r="AP59" s="115"/>
      <c r="AQ59" s="118" t="e">
        <f>WEEKNUM(AP59-RESUMEN!$D$7)</f>
        <v>#NUM!</v>
      </c>
      <c r="AR59" s="118">
        <f>_xlfn.DAYS(AP59,RESUMEN!$D$7)</f>
        <v>-43238</v>
      </c>
      <c r="AS59" s="76"/>
      <c r="AT59" s="73"/>
      <c r="AU59" s="73"/>
      <c r="AV59" s="116" t="e">
        <f t="shared" si="5"/>
        <v>#DIV/0!</v>
      </c>
      <c r="AW59" s="83"/>
    </row>
    <row r="60" spans="2:49" x14ac:dyDescent="0.25">
      <c r="B60" s="115"/>
      <c r="C60" s="118" t="e">
        <f>WEEKNUM(B60-RESUMEN!$D$7)</f>
        <v>#NUM!</v>
      </c>
      <c r="D60" s="118">
        <f>_xlfn.DAYS(B60,RESUMEN!$D$7)</f>
        <v>-43238</v>
      </c>
      <c r="E60" s="76"/>
      <c r="F60" s="73"/>
      <c r="G60" s="73"/>
      <c r="H60" s="116" t="e">
        <f t="shared" si="0"/>
        <v>#DIV/0!</v>
      </c>
      <c r="I60" s="83"/>
      <c r="J60" s="115"/>
      <c r="K60" s="118" t="e">
        <f>WEEKNUM(J60-RESUMEN!$D$7)</f>
        <v>#NUM!</v>
      </c>
      <c r="L60" s="118">
        <f>_xlfn.DAYS(J60,RESUMEN!$D$7)</f>
        <v>-43238</v>
      </c>
      <c r="M60" s="76"/>
      <c r="N60" s="73"/>
      <c r="O60" s="73"/>
      <c r="P60" s="116" t="e">
        <f t="shared" si="1"/>
        <v>#DIV/0!</v>
      </c>
      <c r="Q60" s="83"/>
      <c r="R60" s="115"/>
      <c r="S60" s="118" t="e">
        <f>WEEKNUM(R60-RESUMEN!$D$7)</f>
        <v>#NUM!</v>
      </c>
      <c r="T60" s="118">
        <f>_xlfn.DAYS(R60,RESUMEN!$D$7)</f>
        <v>-43238</v>
      </c>
      <c r="U60" s="76"/>
      <c r="V60" s="73"/>
      <c r="W60" s="73"/>
      <c r="X60" s="116" t="e">
        <f t="shared" si="2"/>
        <v>#DIV/0!</v>
      </c>
      <c r="Y60" s="83"/>
      <c r="Z60" s="115"/>
      <c r="AA60" s="118">
        <f>Z60-RESUMEN!$D$7</f>
        <v>-43238</v>
      </c>
      <c r="AB60" s="118">
        <f>_xlfn.DAYS(Z60,RESUMEN!$D$7)</f>
        <v>-43238</v>
      </c>
      <c r="AC60" s="76"/>
      <c r="AD60" s="73"/>
      <c r="AE60" s="73"/>
      <c r="AF60" s="116" t="e">
        <f t="shared" si="3"/>
        <v>#DIV/0!</v>
      </c>
      <c r="AG60" s="83"/>
      <c r="AH60" s="115"/>
      <c r="AI60" s="118" t="e">
        <f>WEEKNUM(AH60-RESUMEN!$D$7)</f>
        <v>#NUM!</v>
      </c>
      <c r="AJ60" s="118">
        <f>_xlfn.DAYS(AH60,RESUMEN!$D$7)</f>
        <v>-43238</v>
      </c>
      <c r="AK60" s="76"/>
      <c r="AL60" s="73"/>
      <c r="AM60" s="73"/>
      <c r="AN60" s="116" t="e">
        <f t="shared" si="4"/>
        <v>#DIV/0!</v>
      </c>
      <c r="AO60" s="83"/>
      <c r="AP60" s="115"/>
      <c r="AQ60" s="118" t="e">
        <f>WEEKNUM(AP60-RESUMEN!$D$7)</f>
        <v>#NUM!</v>
      </c>
      <c r="AR60" s="118">
        <f>_xlfn.DAYS(AP60,RESUMEN!$D$7)</f>
        <v>-43238</v>
      </c>
      <c r="AS60" s="76"/>
      <c r="AT60" s="73"/>
      <c r="AU60" s="73"/>
      <c r="AV60" s="116" t="e">
        <f t="shared" si="5"/>
        <v>#DIV/0!</v>
      </c>
      <c r="AW60" s="83"/>
    </row>
    <row r="61" spans="2:49" x14ac:dyDescent="0.25">
      <c r="B61" s="115"/>
      <c r="C61" s="118" t="e">
        <f>WEEKNUM(B61-RESUMEN!$D$7)</f>
        <v>#NUM!</v>
      </c>
      <c r="D61" s="118">
        <f>_xlfn.DAYS(B61,RESUMEN!$D$7)</f>
        <v>-43238</v>
      </c>
      <c r="E61" s="76"/>
      <c r="F61" s="73"/>
      <c r="G61" s="73"/>
      <c r="H61" s="116" t="e">
        <f t="shared" si="0"/>
        <v>#DIV/0!</v>
      </c>
      <c r="I61" s="83"/>
      <c r="J61" s="115"/>
      <c r="K61" s="118" t="e">
        <f>WEEKNUM(J61-RESUMEN!$D$7)</f>
        <v>#NUM!</v>
      </c>
      <c r="L61" s="118">
        <f>_xlfn.DAYS(J61,RESUMEN!$D$7)</f>
        <v>-43238</v>
      </c>
      <c r="M61" s="76"/>
      <c r="N61" s="73"/>
      <c r="O61" s="73"/>
      <c r="P61" s="116" t="e">
        <f t="shared" si="1"/>
        <v>#DIV/0!</v>
      </c>
      <c r="Q61" s="83"/>
      <c r="R61" s="115"/>
      <c r="S61" s="118" t="e">
        <f>WEEKNUM(R61-RESUMEN!$D$7)</f>
        <v>#NUM!</v>
      </c>
      <c r="T61" s="118">
        <f>_xlfn.DAYS(R61,RESUMEN!$D$7)</f>
        <v>-43238</v>
      </c>
      <c r="U61" s="76"/>
      <c r="V61" s="73"/>
      <c r="W61" s="73"/>
      <c r="X61" s="116" t="e">
        <f t="shared" si="2"/>
        <v>#DIV/0!</v>
      </c>
      <c r="Y61" s="83"/>
      <c r="Z61" s="115"/>
      <c r="AA61" s="118">
        <f>Z61-RESUMEN!$D$7</f>
        <v>-43238</v>
      </c>
      <c r="AB61" s="118">
        <f>_xlfn.DAYS(Z61,RESUMEN!$D$7)</f>
        <v>-43238</v>
      </c>
      <c r="AC61" s="76"/>
      <c r="AD61" s="73"/>
      <c r="AE61" s="73"/>
      <c r="AF61" s="116" t="e">
        <f t="shared" si="3"/>
        <v>#DIV/0!</v>
      </c>
      <c r="AG61" s="83"/>
      <c r="AH61" s="115"/>
      <c r="AI61" s="118" t="e">
        <f>WEEKNUM(AH61-RESUMEN!$D$7)</f>
        <v>#NUM!</v>
      </c>
      <c r="AJ61" s="118">
        <f>_xlfn.DAYS(AH61,RESUMEN!$D$7)</f>
        <v>-43238</v>
      </c>
      <c r="AK61" s="76"/>
      <c r="AL61" s="73"/>
      <c r="AM61" s="73"/>
      <c r="AN61" s="116" t="e">
        <f t="shared" si="4"/>
        <v>#DIV/0!</v>
      </c>
      <c r="AO61" s="83"/>
      <c r="AP61" s="115"/>
      <c r="AQ61" s="118" t="e">
        <f>WEEKNUM(AP61-RESUMEN!$D$7)</f>
        <v>#NUM!</v>
      </c>
      <c r="AR61" s="118">
        <f>_xlfn.DAYS(AP61,RESUMEN!$D$7)</f>
        <v>-43238</v>
      </c>
      <c r="AS61" s="76"/>
      <c r="AT61" s="73"/>
      <c r="AU61" s="73"/>
      <c r="AV61" s="116" t="e">
        <f t="shared" si="5"/>
        <v>#DIV/0!</v>
      </c>
      <c r="AW61" s="83"/>
    </row>
    <row r="62" spans="2:49" x14ac:dyDescent="0.25">
      <c r="B62" s="115"/>
      <c r="C62" s="118" t="e">
        <f>WEEKNUM(B62-RESUMEN!$D$7)</f>
        <v>#NUM!</v>
      </c>
      <c r="D62" s="118">
        <f>_xlfn.DAYS(B62,RESUMEN!$D$7)</f>
        <v>-43238</v>
      </c>
      <c r="E62" s="76"/>
      <c r="F62" s="73"/>
      <c r="G62" s="73"/>
      <c r="H62" s="116" t="e">
        <f t="shared" si="0"/>
        <v>#DIV/0!</v>
      </c>
      <c r="I62" s="83"/>
      <c r="J62" s="115"/>
      <c r="K62" s="118" t="e">
        <f>WEEKNUM(J62-RESUMEN!$D$7)</f>
        <v>#NUM!</v>
      </c>
      <c r="L62" s="118">
        <f>_xlfn.DAYS(J62,RESUMEN!$D$7)</f>
        <v>-43238</v>
      </c>
      <c r="M62" s="76"/>
      <c r="N62" s="73"/>
      <c r="O62" s="73"/>
      <c r="P62" s="116" t="e">
        <f t="shared" si="1"/>
        <v>#DIV/0!</v>
      </c>
      <c r="Q62" s="83"/>
      <c r="R62" s="115"/>
      <c r="S62" s="118" t="e">
        <f>WEEKNUM(R62-RESUMEN!$D$7)</f>
        <v>#NUM!</v>
      </c>
      <c r="T62" s="118">
        <f>_xlfn.DAYS(R62,RESUMEN!$D$7)</f>
        <v>-43238</v>
      </c>
      <c r="U62" s="76"/>
      <c r="V62" s="73"/>
      <c r="W62" s="73"/>
      <c r="X62" s="116" t="e">
        <f t="shared" si="2"/>
        <v>#DIV/0!</v>
      </c>
      <c r="Y62" s="83"/>
      <c r="Z62" s="115"/>
      <c r="AA62" s="118">
        <f>Z62-RESUMEN!$D$7</f>
        <v>-43238</v>
      </c>
      <c r="AB62" s="118">
        <f>_xlfn.DAYS(Z62,RESUMEN!$D$7)</f>
        <v>-43238</v>
      </c>
      <c r="AC62" s="76"/>
      <c r="AD62" s="73"/>
      <c r="AE62" s="73"/>
      <c r="AF62" s="116" t="e">
        <f t="shared" si="3"/>
        <v>#DIV/0!</v>
      </c>
      <c r="AG62" s="83"/>
      <c r="AH62" s="115"/>
      <c r="AI62" s="118" t="e">
        <f>WEEKNUM(AH62-RESUMEN!$D$7)</f>
        <v>#NUM!</v>
      </c>
      <c r="AJ62" s="118">
        <f>_xlfn.DAYS(AH62,RESUMEN!$D$7)</f>
        <v>-43238</v>
      </c>
      <c r="AK62" s="76"/>
      <c r="AL62" s="73"/>
      <c r="AM62" s="73"/>
      <c r="AN62" s="116" t="e">
        <f t="shared" si="4"/>
        <v>#DIV/0!</v>
      </c>
      <c r="AO62" s="83"/>
      <c r="AP62" s="115"/>
      <c r="AQ62" s="118" t="e">
        <f>WEEKNUM(AP62-RESUMEN!$D$7)</f>
        <v>#NUM!</v>
      </c>
      <c r="AR62" s="118">
        <f>_xlfn.DAYS(AP62,RESUMEN!$D$7)</f>
        <v>-43238</v>
      </c>
      <c r="AS62" s="76"/>
      <c r="AT62" s="73"/>
      <c r="AU62" s="73"/>
      <c r="AV62" s="116" t="e">
        <f t="shared" si="5"/>
        <v>#DIV/0!</v>
      </c>
      <c r="AW62" s="83"/>
    </row>
    <row r="63" spans="2:49" x14ac:dyDescent="0.25">
      <c r="B63" s="115"/>
      <c r="C63" s="118" t="e">
        <f>WEEKNUM(B63-RESUMEN!$D$7)</f>
        <v>#NUM!</v>
      </c>
      <c r="D63" s="118">
        <f>_xlfn.DAYS(B63,RESUMEN!$D$7)</f>
        <v>-43238</v>
      </c>
      <c r="E63" s="76"/>
      <c r="F63" s="73"/>
      <c r="G63" s="73"/>
      <c r="H63" s="116" t="e">
        <f t="shared" si="0"/>
        <v>#DIV/0!</v>
      </c>
      <c r="I63" s="83"/>
      <c r="J63" s="115"/>
      <c r="K63" s="118" t="e">
        <f>WEEKNUM(J63-RESUMEN!$D$7)</f>
        <v>#NUM!</v>
      </c>
      <c r="L63" s="118">
        <f>_xlfn.DAYS(J63,RESUMEN!$D$7)</f>
        <v>-43238</v>
      </c>
      <c r="M63" s="76"/>
      <c r="N63" s="73"/>
      <c r="O63" s="73"/>
      <c r="P63" s="116" t="e">
        <f t="shared" si="1"/>
        <v>#DIV/0!</v>
      </c>
      <c r="Q63" s="83"/>
      <c r="R63" s="115"/>
      <c r="S63" s="118" t="e">
        <f>WEEKNUM(R63-RESUMEN!$D$7)</f>
        <v>#NUM!</v>
      </c>
      <c r="T63" s="118">
        <f>_xlfn.DAYS(R63,RESUMEN!$D$7)</f>
        <v>-43238</v>
      </c>
      <c r="U63" s="76"/>
      <c r="V63" s="73"/>
      <c r="W63" s="73"/>
      <c r="X63" s="116" t="e">
        <f t="shared" si="2"/>
        <v>#DIV/0!</v>
      </c>
      <c r="Y63" s="83"/>
      <c r="Z63" s="115"/>
      <c r="AA63" s="118">
        <f>Z63-RESUMEN!$D$7</f>
        <v>-43238</v>
      </c>
      <c r="AB63" s="118">
        <f>_xlfn.DAYS(Z63,RESUMEN!$D$7)</f>
        <v>-43238</v>
      </c>
      <c r="AC63" s="76"/>
      <c r="AD63" s="73"/>
      <c r="AE63" s="73"/>
      <c r="AF63" s="116" t="e">
        <f t="shared" si="3"/>
        <v>#DIV/0!</v>
      </c>
      <c r="AG63" s="83"/>
      <c r="AH63" s="115"/>
      <c r="AI63" s="118" t="e">
        <f>WEEKNUM(AH63-RESUMEN!$D$7)</f>
        <v>#NUM!</v>
      </c>
      <c r="AJ63" s="118">
        <f>_xlfn.DAYS(AH63,RESUMEN!$D$7)</f>
        <v>-43238</v>
      </c>
      <c r="AK63" s="76"/>
      <c r="AL63" s="73"/>
      <c r="AM63" s="73"/>
      <c r="AN63" s="116" t="e">
        <f t="shared" si="4"/>
        <v>#DIV/0!</v>
      </c>
      <c r="AO63" s="83"/>
      <c r="AP63" s="115"/>
      <c r="AQ63" s="118" t="e">
        <f>WEEKNUM(AP63-RESUMEN!$D$7)</f>
        <v>#NUM!</v>
      </c>
      <c r="AR63" s="118">
        <f>_xlfn.DAYS(AP63,RESUMEN!$D$7)</f>
        <v>-43238</v>
      </c>
      <c r="AS63" s="76"/>
      <c r="AT63" s="73"/>
      <c r="AU63" s="73"/>
      <c r="AV63" s="116" t="e">
        <f t="shared" si="5"/>
        <v>#DIV/0!</v>
      </c>
      <c r="AW63" s="83"/>
    </row>
    <row r="64" spans="2:49" x14ac:dyDescent="0.25">
      <c r="B64" s="115"/>
      <c r="C64" s="118" t="e">
        <f>WEEKNUM(B64-RESUMEN!$D$7)</f>
        <v>#NUM!</v>
      </c>
      <c r="D64" s="118">
        <f>_xlfn.DAYS(B64,RESUMEN!$D$7)</f>
        <v>-43238</v>
      </c>
      <c r="E64" s="76"/>
      <c r="F64" s="73"/>
      <c r="G64" s="73"/>
      <c r="H64" s="116" t="e">
        <f t="shared" si="0"/>
        <v>#DIV/0!</v>
      </c>
      <c r="I64" s="83"/>
      <c r="J64" s="115"/>
      <c r="K64" s="118" t="e">
        <f>WEEKNUM(J64-RESUMEN!$D$7)</f>
        <v>#NUM!</v>
      </c>
      <c r="L64" s="118">
        <f>_xlfn.DAYS(J64,RESUMEN!$D$7)</f>
        <v>-43238</v>
      </c>
      <c r="M64" s="76"/>
      <c r="N64" s="73"/>
      <c r="O64" s="73"/>
      <c r="P64" s="116" t="e">
        <f t="shared" si="1"/>
        <v>#DIV/0!</v>
      </c>
      <c r="Q64" s="83"/>
      <c r="R64" s="115"/>
      <c r="S64" s="118" t="e">
        <f>WEEKNUM(R64-RESUMEN!$D$7)</f>
        <v>#NUM!</v>
      </c>
      <c r="T64" s="118">
        <f>_xlfn.DAYS(R64,RESUMEN!$D$7)</f>
        <v>-43238</v>
      </c>
      <c r="U64" s="76"/>
      <c r="V64" s="73"/>
      <c r="W64" s="73"/>
      <c r="X64" s="116" t="e">
        <f t="shared" si="2"/>
        <v>#DIV/0!</v>
      </c>
      <c r="Y64" s="83"/>
      <c r="Z64" s="115"/>
      <c r="AA64" s="118">
        <f>Z64-RESUMEN!$D$7</f>
        <v>-43238</v>
      </c>
      <c r="AB64" s="118">
        <f>_xlfn.DAYS(Z64,RESUMEN!$D$7)</f>
        <v>-43238</v>
      </c>
      <c r="AC64" s="76"/>
      <c r="AD64" s="73"/>
      <c r="AE64" s="73"/>
      <c r="AF64" s="116" t="e">
        <f t="shared" si="3"/>
        <v>#DIV/0!</v>
      </c>
      <c r="AG64" s="83"/>
      <c r="AH64" s="115"/>
      <c r="AI64" s="118" t="e">
        <f>WEEKNUM(AH64-RESUMEN!$D$7)</f>
        <v>#NUM!</v>
      </c>
      <c r="AJ64" s="118">
        <f>_xlfn.DAYS(AH64,RESUMEN!$D$7)</f>
        <v>-43238</v>
      </c>
      <c r="AK64" s="76"/>
      <c r="AL64" s="73"/>
      <c r="AM64" s="73"/>
      <c r="AN64" s="116" t="e">
        <f t="shared" si="4"/>
        <v>#DIV/0!</v>
      </c>
      <c r="AO64" s="83"/>
      <c r="AP64" s="115"/>
      <c r="AQ64" s="118" t="e">
        <f>WEEKNUM(AP64-RESUMEN!$D$7)</f>
        <v>#NUM!</v>
      </c>
      <c r="AR64" s="118">
        <f>_xlfn.DAYS(AP64,RESUMEN!$D$7)</f>
        <v>-43238</v>
      </c>
      <c r="AS64" s="76"/>
      <c r="AT64" s="73"/>
      <c r="AU64" s="73"/>
      <c r="AV64" s="116" t="e">
        <f t="shared" si="5"/>
        <v>#DIV/0!</v>
      </c>
      <c r="AW64" s="83"/>
    </row>
    <row r="65" spans="2:49" x14ac:dyDescent="0.25">
      <c r="B65" s="115"/>
      <c r="C65" s="118" t="e">
        <f>WEEKNUM(B65-RESUMEN!$D$7)</f>
        <v>#NUM!</v>
      </c>
      <c r="D65" s="118">
        <f>_xlfn.DAYS(B65,RESUMEN!$D$7)</f>
        <v>-43238</v>
      </c>
      <c r="E65" s="76"/>
      <c r="F65" s="73"/>
      <c r="G65" s="73"/>
      <c r="H65" s="116" t="e">
        <f t="shared" si="0"/>
        <v>#DIV/0!</v>
      </c>
      <c r="I65" s="83"/>
      <c r="J65" s="115"/>
      <c r="K65" s="118" t="e">
        <f>WEEKNUM(J65-RESUMEN!$D$7)</f>
        <v>#NUM!</v>
      </c>
      <c r="L65" s="118">
        <f>_xlfn.DAYS(J65,RESUMEN!$D$7)</f>
        <v>-43238</v>
      </c>
      <c r="M65" s="76"/>
      <c r="N65" s="73"/>
      <c r="O65" s="73"/>
      <c r="P65" s="116" t="e">
        <f t="shared" si="1"/>
        <v>#DIV/0!</v>
      </c>
      <c r="Q65" s="83"/>
      <c r="R65" s="115"/>
      <c r="S65" s="118" t="e">
        <f>WEEKNUM(R65-RESUMEN!$D$7)</f>
        <v>#NUM!</v>
      </c>
      <c r="T65" s="118">
        <f>_xlfn.DAYS(R65,RESUMEN!$D$7)</f>
        <v>-43238</v>
      </c>
      <c r="U65" s="76"/>
      <c r="V65" s="73"/>
      <c r="W65" s="73"/>
      <c r="X65" s="116" t="e">
        <f t="shared" si="2"/>
        <v>#DIV/0!</v>
      </c>
      <c r="Y65" s="83"/>
      <c r="Z65" s="115"/>
      <c r="AA65" s="118">
        <f>Z65-RESUMEN!$D$7</f>
        <v>-43238</v>
      </c>
      <c r="AB65" s="118">
        <f>_xlfn.DAYS(Z65,RESUMEN!$D$7)</f>
        <v>-43238</v>
      </c>
      <c r="AC65" s="76"/>
      <c r="AD65" s="73"/>
      <c r="AE65" s="73"/>
      <c r="AF65" s="116" t="e">
        <f t="shared" si="3"/>
        <v>#DIV/0!</v>
      </c>
      <c r="AG65" s="83"/>
      <c r="AH65" s="115"/>
      <c r="AI65" s="118" t="e">
        <f>WEEKNUM(AH65-RESUMEN!$D$7)</f>
        <v>#NUM!</v>
      </c>
      <c r="AJ65" s="118">
        <f>_xlfn.DAYS(AH65,RESUMEN!$D$7)</f>
        <v>-43238</v>
      </c>
      <c r="AK65" s="76"/>
      <c r="AL65" s="73"/>
      <c r="AM65" s="73"/>
      <c r="AN65" s="116" t="e">
        <f t="shared" si="4"/>
        <v>#DIV/0!</v>
      </c>
      <c r="AO65" s="83"/>
      <c r="AP65" s="115"/>
      <c r="AQ65" s="118" t="e">
        <f>WEEKNUM(AP65-RESUMEN!$D$7)</f>
        <v>#NUM!</v>
      </c>
      <c r="AR65" s="118">
        <f>_xlfn.DAYS(AP65,RESUMEN!$D$7)</f>
        <v>-43238</v>
      </c>
      <c r="AS65" s="76"/>
      <c r="AT65" s="73"/>
      <c r="AU65" s="73"/>
      <c r="AV65" s="116" t="e">
        <f t="shared" si="5"/>
        <v>#DIV/0!</v>
      </c>
      <c r="AW65" s="83"/>
    </row>
    <row r="66" spans="2:49" x14ac:dyDescent="0.25">
      <c r="B66" s="115"/>
      <c r="C66" s="118" t="e">
        <f>WEEKNUM(B66-RESUMEN!$D$7)</f>
        <v>#NUM!</v>
      </c>
      <c r="D66" s="118">
        <f>_xlfn.DAYS(B66,RESUMEN!$D$7)</f>
        <v>-43238</v>
      </c>
      <c r="E66" s="76"/>
      <c r="F66" s="73"/>
      <c r="G66" s="73"/>
      <c r="H66" s="116" t="e">
        <f t="shared" si="0"/>
        <v>#DIV/0!</v>
      </c>
      <c r="I66" s="83"/>
      <c r="J66" s="115"/>
      <c r="K66" s="118" t="e">
        <f>WEEKNUM(J66-RESUMEN!$D$7)</f>
        <v>#NUM!</v>
      </c>
      <c r="L66" s="118">
        <f>_xlfn.DAYS(J66,RESUMEN!$D$7)</f>
        <v>-43238</v>
      </c>
      <c r="M66" s="76"/>
      <c r="N66" s="73"/>
      <c r="O66" s="73"/>
      <c r="P66" s="116" t="e">
        <f t="shared" si="1"/>
        <v>#DIV/0!</v>
      </c>
      <c r="Q66" s="83"/>
      <c r="R66" s="115"/>
      <c r="S66" s="118" t="e">
        <f>WEEKNUM(R66-RESUMEN!$D$7)</f>
        <v>#NUM!</v>
      </c>
      <c r="T66" s="118">
        <f>_xlfn.DAYS(R66,RESUMEN!$D$7)</f>
        <v>-43238</v>
      </c>
      <c r="U66" s="76"/>
      <c r="V66" s="73"/>
      <c r="W66" s="73"/>
      <c r="X66" s="116" t="e">
        <f t="shared" si="2"/>
        <v>#DIV/0!</v>
      </c>
      <c r="Y66" s="83"/>
      <c r="Z66" s="115"/>
      <c r="AA66" s="118">
        <f>Z66-RESUMEN!$D$7</f>
        <v>-43238</v>
      </c>
      <c r="AB66" s="118">
        <f>_xlfn.DAYS(Z66,RESUMEN!$D$7)</f>
        <v>-43238</v>
      </c>
      <c r="AC66" s="76"/>
      <c r="AD66" s="73"/>
      <c r="AE66" s="73"/>
      <c r="AF66" s="116" t="e">
        <f t="shared" si="3"/>
        <v>#DIV/0!</v>
      </c>
      <c r="AG66" s="83"/>
      <c r="AH66" s="115"/>
      <c r="AI66" s="118" t="e">
        <f>WEEKNUM(AH66-RESUMEN!$D$7)</f>
        <v>#NUM!</v>
      </c>
      <c r="AJ66" s="118">
        <f>_xlfn.DAYS(AH66,RESUMEN!$D$7)</f>
        <v>-43238</v>
      </c>
      <c r="AK66" s="76"/>
      <c r="AL66" s="73"/>
      <c r="AM66" s="73"/>
      <c r="AN66" s="116" t="e">
        <f t="shared" si="4"/>
        <v>#DIV/0!</v>
      </c>
      <c r="AO66" s="83"/>
      <c r="AP66" s="115"/>
      <c r="AQ66" s="118" t="e">
        <f>WEEKNUM(AP66-RESUMEN!$D$7)</f>
        <v>#NUM!</v>
      </c>
      <c r="AR66" s="118">
        <f>_xlfn.DAYS(AP66,RESUMEN!$D$7)</f>
        <v>-43238</v>
      </c>
      <c r="AS66" s="76"/>
      <c r="AT66" s="73"/>
      <c r="AU66" s="73"/>
      <c r="AV66" s="116" t="e">
        <f t="shared" si="5"/>
        <v>#DIV/0!</v>
      </c>
      <c r="AW66" s="83"/>
    </row>
    <row r="67" spans="2:49" x14ac:dyDescent="0.25">
      <c r="B67" s="115"/>
      <c r="C67" s="118" t="e">
        <f>WEEKNUM(B67-RESUMEN!$D$7)</f>
        <v>#NUM!</v>
      </c>
      <c r="D67" s="118">
        <f>_xlfn.DAYS(B67,RESUMEN!$D$7)</f>
        <v>-43238</v>
      </c>
      <c r="E67" s="76"/>
      <c r="F67" s="73"/>
      <c r="G67" s="73"/>
      <c r="H67" s="116" t="e">
        <f t="shared" si="0"/>
        <v>#DIV/0!</v>
      </c>
      <c r="I67" s="83"/>
      <c r="J67" s="115"/>
      <c r="K67" s="118" t="e">
        <f>WEEKNUM(J67-RESUMEN!$D$7)</f>
        <v>#NUM!</v>
      </c>
      <c r="L67" s="118">
        <f>_xlfn.DAYS(J67,RESUMEN!$D$7)</f>
        <v>-43238</v>
      </c>
      <c r="M67" s="76"/>
      <c r="N67" s="73"/>
      <c r="O67" s="73"/>
      <c r="P67" s="116" t="e">
        <f t="shared" si="1"/>
        <v>#DIV/0!</v>
      </c>
      <c r="Q67" s="83"/>
      <c r="R67" s="115"/>
      <c r="S67" s="118" t="e">
        <f>WEEKNUM(R67-RESUMEN!$D$7)</f>
        <v>#NUM!</v>
      </c>
      <c r="T67" s="118">
        <f>_xlfn.DAYS(R67,RESUMEN!$D$7)</f>
        <v>-43238</v>
      </c>
      <c r="U67" s="76"/>
      <c r="V67" s="73"/>
      <c r="W67" s="73"/>
      <c r="X67" s="116" t="e">
        <f t="shared" si="2"/>
        <v>#DIV/0!</v>
      </c>
      <c r="Y67" s="83"/>
      <c r="Z67" s="115"/>
      <c r="AA67" s="118">
        <f>Z67-RESUMEN!$D$7</f>
        <v>-43238</v>
      </c>
      <c r="AB67" s="118">
        <f>_xlfn.DAYS(Z67,RESUMEN!$D$7)</f>
        <v>-43238</v>
      </c>
      <c r="AC67" s="76"/>
      <c r="AD67" s="73"/>
      <c r="AE67" s="73"/>
      <c r="AF67" s="116" t="e">
        <f t="shared" si="3"/>
        <v>#DIV/0!</v>
      </c>
      <c r="AG67" s="83"/>
      <c r="AH67" s="115"/>
      <c r="AI67" s="118" t="e">
        <f>WEEKNUM(AH67-RESUMEN!$D$7)</f>
        <v>#NUM!</v>
      </c>
      <c r="AJ67" s="118">
        <f>_xlfn.DAYS(AH67,RESUMEN!$D$7)</f>
        <v>-43238</v>
      </c>
      <c r="AK67" s="76"/>
      <c r="AL67" s="73"/>
      <c r="AM67" s="73"/>
      <c r="AN67" s="116" t="e">
        <f t="shared" si="4"/>
        <v>#DIV/0!</v>
      </c>
      <c r="AO67" s="83"/>
      <c r="AP67" s="115"/>
      <c r="AQ67" s="118" t="e">
        <f>WEEKNUM(AP67-RESUMEN!$D$7)</f>
        <v>#NUM!</v>
      </c>
      <c r="AR67" s="118">
        <f>_xlfn.DAYS(AP67,RESUMEN!$D$7)</f>
        <v>-43238</v>
      </c>
      <c r="AS67" s="76"/>
      <c r="AT67" s="73"/>
      <c r="AU67" s="73"/>
      <c r="AV67" s="116" t="e">
        <f t="shared" si="5"/>
        <v>#DIV/0!</v>
      </c>
      <c r="AW67" s="83"/>
    </row>
    <row r="68" spans="2:49" x14ac:dyDescent="0.25">
      <c r="B68" s="115"/>
      <c r="C68" s="118" t="e">
        <f>WEEKNUM(B68-RESUMEN!$D$7)</f>
        <v>#NUM!</v>
      </c>
      <c r="D68" s="118">
        <f>_xlfn.DAYS(B68,RESUMEN!$D$7)</f>
        <v>-43238</v>
      </c>
      <c r="E68" s="76"/>
      <c r="F68" s="73"/>
      <c r="G68" s="73"/>
      <c r="H68" s="116" t="e">
        <f t="shared" si="0"/>
        <v>#DIV/0!</v>
      </c>
      <c r="I68" s="83"/>
      <c r="J68" s="115"/>
      <c r="K68" s="118" t="e">
        <f>WEEKNUM(J68-RESUMEN!$D$7)</f>
        <v>#NUM!</v>
      </c>
      <c r="L68" s="118">
        <f>_xlfn.DAYS(J68,RESUMEN!$D$7)</f>
        <v>-43238</v>
      </c>
      <c r="M68" s="76"/>
      <c r="N68" s="73"/>
      <c r="O68" s="73"/>
      <c r="P68" s="116" t="e">
        <f t="shared" si="1"/>
        <v>#DIV/0!</v>
      </c>
      <c r="Q68" s="83"/>
      <c r="R68" s="115"/>
      <c r="S68" s="118" t="e">
        <f>WEEKNUM(R68-RESUMEN!$D$7)</f>
        <v>#NUM!</v>
      </c>
      <c r="T68" s="118">
        <f>_xlfn.DAYS(R68,RESUMEN!$D$7)</f>
        <v>-43238</v>
      </c>
      <c r="U68" s="76"/>
      <c r="V68" s="73"/>
      <c r="W68" s="73"/>
      <c r="X68" s="116" t="e">
        <f t="shared" si="2"/>
        <v>#DIV/0!</v>
      </c>
      <c r="Y68" s="83"/>
      <c r="Z68" s="115"/>
      <c r="AA68" s="118">
        <f>Z68-RESUMEN!$D$7</f>
        <v>-43238</v>
      </c>
      <c r="AB68" s="118">
        <f>_xlfn.DAYS(Z68,RESUMEN!$D$7)</f>
        <v>-43238</v>
      </c>
      <c r="AC68" s="76"/>
      <c r="AD68" s="73"/>
      <c r="AE68" s="73"/>
      <c r="AF68" s="116" t="e">
        <f t="shared" si="3"/>
        <v>#DIV/0!</v>
      </c>
      <c r="AG68" s="83"/>
      <c r="AH68" s="115"/>
      <c r="AI68" s="118" t="e">
        <f>WEEKNUM(AH68-RESUMEN!$D$7)</f>
        <v>#NUM!</v>
      </c>
      <c r="AJ68" s="118">
        <f>_xlfn.DAYS(AH68,RESUMEN!$D$7)</f>
        <v>-43238</v>
      </c>
      <c r="AK68" s="76"/>
      <c r="AL68" s="73"/>
      <c r="AM68" s="73"/>
      <c r="AN68" s="116" t="e">
        <f t="shared" si="4"/>
        <v>#DIV/0!</v>
      </c>
      <c r="AO68" s="83"/>
      <c r="AP68" s="115"/>
      <c r="AQ68" s="118" t="e">
        <f>WEEKNUM(AP68-RESUMEN!$D$7)</f>
        <v>#NUM!</v>
      </c>
      <c r="AR68" s="118">
        <f>_xlfn.DAYS(AP68,RESUMEN!$D$7)</f>
        <v>-43238</v>
      </c>
      <c r="AS68" s="76"/>
      <c r="AT68" s="73"/>
      <c r="AU68" s="73"/>
      <c r="AV68" s="116" t="e">
        <f t="shared" si="5"/>
        <v>#DIV/0!</v>
      </c>
      <c r="AW68" s="83"/>
    </row>
    <row r="69" spans="2:49" x14ac:dyDescent="0.25">
      <c r="B69" s="115"/>
      <c r="C69" s="118" t="e">
        <f>WEEKNUM(B69-RESUMEN!$D$7)</f>
        <v>#NUM!</v>
      </c>
      <c r="D69" s="118">
        <f>_xlfn.DAYS(B69,RESUMEN!$D$7)</f>
        <v>-43238</v>
      </c>
      <c r="E69" s="76"/>
      <c r="F69" s="73"/>
      <c r="G69" s="73"/>
      <c r="H69" s="116" t="e">
        <f t="shared" si="0"/>
        <v>#DIV/0!</v>
      </c>
      <c r="I69" s="83"/>
      <c r="J69" s="115"/>
      <c r="K69" s="118" t="e">
        <f>WEEKNUM(J69-RESUMEN!$D$7)</f>
        <v>#NUM!</v>
      </c>
      <c r="L69" s="118">
        <f>_xlfn.DAYS(J69,RESUMEN!$D$7)</f>
        <v>-43238</v>
      </c>
      <c r="M69" s="76"/>
      <c r="N69" s="73"/>
      <c r="O69" s="73"/>
      <c r="P69" s="116" t="e">
        <f t="shared" si="1"/>
        <v>#DIV/0!</v>
      </c>
      <c r="Q69" s="83"/>
      <c r="R69" s="115"/>
      <c r="S69" s="118" t="e">
        <f>WEEKNUM(R69-RESUMEN!$D$7)</f>
        <v>#NUM!</v>
      </c>
      <c r="T69" s="118">
        <f>_xlfn.DAYS(R69,RESUMEN!$D$7)</f>
        <v>-43238</v>
      </c>
      <c r="U69" s="76"/>
      <c r="V69" s="73"/>
      <c r="W69" s="73"/>
      <c r="X69" s="116" t="e">
        <f t="shared" si="2"/>
        <v>#DIV/0!</v>
      </c>
      <c r="Y69" s="83"/>
      <c r="Z69" s="115"/>
      <c r="AA69" s="118">
        <f>Z69-RESUMEN!$D$7</f>
        <v>-43238</v>
      </c>
      <c r="AB69" s="118">
        <f>_xlfn.DAYS(Z69,RESUMEN!$D$7)</f>
        <v>-43238</v>
      </c>
      <c r="AC69" s="76"/>
      <c r="AD69" s="73"/>
      <c r="AE69" s="73"/>
      <c r="AF69" s="116" t="e">
        <f t="shared" si="3"/>
        <v>#DIV/0!</v>
      </c>
      <c r="AG69" s="83"/>
      <c r="AH69" s="115"/>
      <c r="AI69" s="118" t="e">
        <f>WEEKNUM(AH69-RESUMEN!$D$7)</f>
        <v>#NUM!</v>
      </c>
      <c r="AJ69" s="118">
        <f>_xlfn.DAYS(AH69,RESUMEN!$D$7)</f>
        <v>-43238</v>
      </c>
      <c r="AK69" s="76"/>
      <c r="AL69" s="73"/>
      <c r="AM69" s="73"/>
      <c r="AN69" s="116" t="e">
        <f t="shared" si="4"/>
        <v>#DIV/0!</v>
      </c>
      <c r="AO69" s="83"/>
      <c r="AP69" s="115"/>
      <c r="AQ69" s="118" t="e">
        <f>WEEKNUM(AP69-RESUMEN!$D$7)</f>
        <v>#NUM!</v>
      </c>
      <c r="AR69" s="118">
        <f>_xlfn.DAYS(AP69,RESUMEN!$D$7)</f>
        <v>-43238</v>
      </c>
      <c r="AS69" s="76"/>
      <c r="AT69" s="73"/>
      <c r="AU69" s="73"/>
      <c r="AV69" s="116" t="e">
        <f t="shared" si="5"/>
        <v>#DIV/0!</v>
      </c>
      <c r="AW69" s="83"/>
    </row>
    <row r="70" spans="2:49" x14ac:dyDescent="0.25">
      <c r="B70" s="115"/>
      <c r="C70" s="118" t="e">
        <f>WEEKNUM(B70-RESUMEN!$D$7)</f>
        <v>#NUM!</v>
      </c>
      <c r="D70" s="118">
        <f>_xlfn.DAYS(B70,RESUMEN!$D$7)</f>
        <v>-43238</v>
      </c>
      <c r="E70" s="76"/>
      <c r="F70" s="73"/>
      <c r="G70" s="73"/>
      <c r="H70" s="116" t="e">
        <f t="shared" si="0"/>
        <v>#DIV/0!</v>
      </c>
      <c r="I70" s="83"/>
      <c r="J70" s="115"/>
      <c r="K70" s="118" t="e">
        <f>WEEKNUM(J70-RESUMEN!$D$7)</f>
        <v>#NUM!</v>
      </c>
      <c r="L70" s="118">
        <f>_xlfn.DAYS(J70,RESUMEN!$D$7)</f>
        <v>-43238</v>
      </c>
      <c r="M70" s="76"/>
      <c r="N70" s="73"/>
      <c r="O70" s="73"/>
      <c r="P70" s="116" t="e">
        <f t="shared" si="1"/>
        <v>#DIV/0!</v>
      </c>
      <c r="Q70" s="83"/>
      <c r="R70" s="115"/>
      <c r="S70" s="118" t="e">
        <f>WEEKNUM(R70-RESUMEN!$D$7)</f>
        <v>#NUM!</v>
      </c>
      <c r="T70" s="118">
        <f>_xlfn.DAYS(R70,RESUMEN!$D$7)</f>
        <v>-43238</v>
      </c>
      <c r="U70" s="76"/>
      <c r="V70" s="73"/>
      <c r="W70" s="73"/>
      <c r="X70" s="116" t="e">
        <f t="shared" si="2"/>
        <v>#DIV/0!</v>
      </c>
      <c r="Y70" s="83"/>
      <c r="Z70" s="115"/>
      <c r="AA70" s="118">
        <f>Z70-RESUMEN!$D$7</f>
        <v>-43238</v>
      </c>
      <c r="AB70" s="118">
        <f>_xlfn.DAYS(Z70,RESUMEN!$D$7)</f>
        <v>-43238</v>
      </c>
      <c r="AC70" s="76"/>
      <c r="AD70" s="73"/>
      <c r="AE70" s="73"/>
      <c r="AF70" s="116" t="e">
        <f t="shared" si="3"/>
        <v>#DIV/0!</v>
      </c>
      <c r="AG70" s="83"/>
      <c r="AH70" s="115"/>
      <c r="AI70" s="118" t="e">
        <f>WEEKNUM(AH70-RESUMEN!$D$7)</f>
        <v>#NUM!</v>
      </c>
      <c r="AJ70" s="118">
        <f>_xlfn.DAYS(AH70,RESUMEN!$D$7)</f>
        <v>-43238</v>
      </c>
      <c r="AK70" s="76"/>
      <c r="AL70" s="73"/>
      <c r="AM70" s="73"/>
      <c r="AN70" s="116" t="e">
        <f t="shared" si="4"/>
        <v>#DIV/0!</v>
      </c>
      <c r="AO70" s="83"/>
      <c r="AP70" s="115"/>
      <c r="AQ70" s="118" t="e">
        <f>WEEKNUM(AP70-RESUMEN!$D$7)</f>
        <v>#NUM!</v>
      </c>
      <c r="AR70" s="118">
        <f>_xlfn.DAYS(AP70,RESUMEN!$D$7)</f>
        <v>-43238</v>
      </c>
      <c r="AS70" s="76"/>
      <c r="AT70" s="73"/>
      <c r="AU70" s="73"/>
      <c r="AV70" s="116" t="e">
        <f t="shared" si="5"/>
        <v>#DIV/0!</v>
      </c>
      <c r="AW70" s="83"/>
    </row>
    <row r="71" spans="2:49" x14ac:dyDescent="0.25">
      <c r="B71" s="115"/>
      <c r="C71" s="118" t="e">
        <f>WEEKNUM(B71-RESUMEN!$D$7)</f>
        <v>#NUM!</v>
      </c>
      <c r="D71" s="118">
        <f>_xlfn.DAYS(B71,RESUMEN!$D$7)</f>
        <v>-43238</v>
      </c>
      <c r="E71" s="76"/>
      <c r="F71" s="73"/>
      <c r="G71" s="73"/>
      <c r="H71" s="116" t="e">
        <f t="shared" ref="H71:H134" si="6">G71/F71</f>
        <v>#DIV/0!</v>
      </c>
      <c r="I71" s="83"/>
      <c r="J71" s="115"/>
      <c r="K71" s="118" t="e">
        <f>WEEKNUM(J71-RESUMEN!$D$7)</f>
        <v>#NUM!</v>
      </c>
      <c r="L71" s="118">
        <f>_xlfn.DAYS(J71,RESUMEN!$D$7)</f>
        <v>-43238</v>
      </c>
      <c r="M71" s="76"/>
      <c r="N71" s="73"/>
      <c r="O71" s="73"/>
      <c r="P71" s="116" t="e">
        <f t="shared" ref="P71:P134" si="7">O71/N71</f>
        <v>#DIV/0!</v>
      </c>
      <c r="Q71" s="83"/>
      <c r="R71" s="115"/>
      <c r="S71" s="118" t="e">
        <f>WEEKNUM(R71-RESUMEN!$D$7)</f>
        <v>#NUM!</v>
      </c>
      <c r="T71" s="118">
        <f>_xlfn.DAYS(R71,RESUMEN!$D$7)</f>
        <v>-43238</v>
      </c>
      <c r="U71" s="76"/>
      <c r="V71" s="73"/>
      <c r="W71" s="73"/>
      <c r="X71" s="116" t="e">
        <f t="shared" ref="X71:X134" si="8">W71/V71</f>
        <v>#DIV/0!</v>
      </c>
      <c r="Y71" s="83"/>
      <c r="Z71" s="115"/>
      <c r="AA71" s="118">
        <f>Z71-RESUMEN!$D$7</f>
        <v>-43238</v>
      </c>
      <c r="AB71" s="118">
        <f>_xlfn.DAYS(Z71,RESUMEN!$D$7)</f>
        <v>-43238</v>
      </c>
      <c r="AC71" s="76"/>
      <c r="AD71" s="73"/>
      <c r="AE71" s="73"/>
      <c r="AF71" s="116" t="e">
        <f t="shared" ref="AF71:AF134" si="9">AE71/AD71</f>
        <v>#DIV/0!</v>
      </c>
      <c r="AG71" s="83"/>
      <c r="AH71" s="115"/>
      <c r="AI71" s="118" t="e">
        <f>WEEKNUM(AH71-RESUMEN!$D$7)</f>
        <v>#NUM!</v>
      </c>
      <c r="AJ71" s="118">
        <f>_xlfn.DAYS(AH71,RESUMEN!$D$7)</f>
        <v>-43238</v>
      </c>
      <c r="AK71" s="76"/>
      <c r="AL71" s="73"/>
      <c r="AM71" s="73"/>
      <c r="AN71" s="116" t="e">
        <f t="shared" ref="AN71:AN134" si="10">AM71/AL71</f>
        <v>#DIV/0!</v>
      </c>
      <c r="AO71" s="83"/>
      <c r="AP71" s="115"/>
      <c r="AQ71" s="118" t="e">
        <f>WEEKNUM(AP71-RESUMEN!$D$7)</f>
        <v>#NUM!</v>
      </c>
      <c r="AR71" s="118">
        <f>_xlfn.DAYS(AP71,RESUMEN!$D$7)</f>
        <v>-43238</v>
      </c>
      <c r="AS71" s="76"/>
      <c r="AT71" s="73"/>
      <c r="AU71" s="73"/>
      <c r="AV71" s="116" t="e">
        <f t="shared" ref="AV71:AV134" si="11">AU71/AT71</f>
        <v>#DIV/0!</v>
      </c>
      <c r="AW71" s="83"/>
    </row>
    <row r="72" spans="2:49" x14ac:dyDescent="0.25">
      <c r="B72" s="115"/>
      <c r="C72" s="118" t="e">
        <f>WEEKNUM(B72-RESUMEN!$D$7)</f>
        <v>#NUM!</v>
      </c>
      <c r="D72" s="118">
        <f>_xlfn.DAYS(B72,RESUMEN!$D$7)</f>
        <v>-43238</v>
      </c>
      <c r="E72" s="76"/>
      <c r="F72" s="73"/>
      <c r="G72" s="73"/>
      <c r="H72" s="116" t="e">
        <f t="shared" si="6"/>
        <v>#DIV/0!</v>
      </c>
      <c r="I72" s="83"/>
      <c r="J72" s="115"/>
      <c r="K72" s="118" t="e">
        <f>WEEKNUM(J72-RESUMEN!$D$7)</f>
        <v>#NUM!</v>
      </c>
      <c r="L72" s="118">
        <f>_xlfn.DAYS(J72,RESUMEN!$D$7)</f>
        <v>-43238</v>
      </c>
      <c r="M72" s="76"/>
      <c r="N72" s="73"/>
      <c r="O72" s="73"/>
      <c r="P72" s="116" t="e">
        <f t="shared" si="7"/>
        <v>#DIV/0!</v>
      </c>
      <c r="Q72" s="83"/>
      <c r="R72" s="115"/>
      <c r="S72" s="118" t="e">
        <f>WEEKNUM(R72-RESUMEN!$D$7)</f>
        <v>#NUM!</v>
      </c>
      <c r="T72" s="118">
        <f>_xlfn.DAYS(R72,RESUMEN!$D$7)</f>
        <v>-43238</v>
      </c>
      <c r="U72" s="76"/>
      <c r="V72" s="73"/>
      <c r="W72" s="73"/>
      <c r="X72" s="116" t="e">
        <f t="shared" si="8"/>
        <v>#DIV/0!</v>
      </c>
      <c r="Y72" s="83"/>
      <c r="Z72" s="115"/>
      <c r="AA72" s="118">
        <f>Z72-RESUMEN!$D$7</f>
        <v>-43238</v>
      </c>
      <c r="AB72" s="118">
        <f>_xlfn.DAYS(Z72,RESUMEN!$D$7)</f>
        <v>-43238</v>
      </c>
      <c r="AC72" s="76"/>
      <c r="AD72" s="73"/>
      <c r="AE72" s="73"/>
      <c r="AF72" s="116" t="e">
        <f t="shared" si="9"/>
        <v>#DIV/0!</v>
      </c>
      <c r="AG72" s="83"/>
      <c r="AH72" s="115"/>
      <c r="AI72" s="118" t="e">
        <f>WEEKNUM(AH72-RESUMEN!$D$7)</f>
        <v>#NUM!</v>
      </c>
      <c r="AJ72" s="118">
        <f>_xlfn.DAYS(AH72,RESUMEN!$D$7)</f>
        <v>-43238</v>
      </c>
      <c r="AK72" s="76"/>
      <c r="AL72" s="73"/>
      <c r="AM72" s="73"/>
      <c r="AN72" s="116" t="e">
        <f t="shared" si="10"/>
        <v>#DIV/0!</v>
      </c>
      <c r="AO72" s="83"/>
      <c r="AP72" s="115"/>
      <c r="AQ72" s="118" t="e">
        <f>WEEKNUM(AP72-RESUMEN!$D$7)</f>
        <v>#NUM!</v>
      </c>
      <c r="AR72" s="118">
        <f>_xlfn.DAYS(AP72,RESUMEN!$D$7)</f>
        <v>-43238</v>
      </c>
      <c r="AS72" s="76"/>
      <c r="AT72" s="73"/>
      <c r="AU72" s="73"/>
      <c r="AV72" s="116" t="e">
        <f t="shared" si="11"/>
        <v>#DIV/0!</v>
      </c>
      <c r="AW72" s="83"/>
    </row>
    <row r="73" spans="2:49" x14ac:dyDescent="0.25">
      <c r="B73" s="115"/>
      <c r="C73" s="118" t="e">
        <f>WEEKNUM(B73-RESUMEN!$D$7)</f>
        <v>#NUM!</v>
      </c>
      <c r="D73" s="118">
        <f>_xlfn.DAYS(B73,RESUMEN!$D$7)</f>
        <v>-43238</v>
      </c>
      <c r="E73" s="76"/>
      <c r="F73" s="73"/>
      <c r="G73" s="73"/>
      <c r="H73" s="116" t="e">
        <f t="shared" si="6"/>
        <v>#DIV/0!</v>
      </c>
      <c r="I73" s="83"/>
      <c r="J73" s="115"/>
      <c r="K73" s="118" t="e">
        <f>WEEKNUM(J73-RESUMEN!$D$7)</f>
        <v>#NUM!</v>
      </c>
      <c r="L73" s="118">
        <f>_xlfn.DAYS(J73,RESUMEN!$D$7)</f>
        <v>-43238</v>
      </c>
      <c r="M73" s="76"/>
      <c r="N73" s="73"/>
      <c r="O73" s="73"/>
      <c r="P73" s="116" t="e">
        <f t="shared" si="7"/>
        <v>#DIV/0!</v>
      </c>
      <c r="Q73" s="83"/>
      <c r="R73" s="115"/>
      <c r="S73" s="118" t="e">
        <f>WEEKNUM(R73-RESUMEN!$D$7)</f>
        <v>#NUM!</v>
      </c>
      <c r="T73" s="118">
        <f>_xlfn.DAYS(R73,RESUMEN!$D$7)</f>
        <v>-43238</v>
      </c>
      <c r="U73" s="76"/>
      <c r="V73" s="73"/>
      <c r="W73" s="73"/>
      <c r="X73" s="116" t="e">
        <f t="shared" si="8"/>
        <v>#DIV/0!</v>
      </c>
      <c r="Y73" s="83"/>
      <c r="Z73" s="115"/>
      <c r="AA73" s="118">
        <f>Z73-RESUMEN!$D$7</f>
        <v>-43238</v>
      </c>
      <c r="AB73" s="118">
        <f>_xlfn.DAYS(Z73,RESUMEN!$D$7)</f>
        <v>-43238</v>
      </c>
      <c r="AC73" s="76"/>
      <c r="AD73" s="73"/>
      <c r="AE73" s="73"/>
      <c r="AF73" s="116" t="e">
        <f t="shared" si="9"/>
        <v>#DIV/0!</v>
      </c>
      <c r="AG73" s="83"/>
      <c r="AH73" s="115"/>
      <c r="AI73" s="118" t="e">
        <f>WEEKNUM(AH73-RESUMEN!$D$7)</f>
        <v>#NUM!</v>
      </c>
      <c r="AJ73" s="118">
        <f>_xlfn.DAYS(AH73,RESUMEN!$D$7)</f>
        <v>-43238</v>
      </c>
      <c r="AK73" s="76"/>
      <c r="AL73" s="73"/>
      <c r="AM73" s="73"/>
      <c r="AN73" s="116" t="e">
        <f t="shared" si="10"/>
        <v>#DIV/0!</v>
      </c>
      <c r="AO73" s="83"/>
      <c r="AP73" s="115"/>
      <c r="AQ73" s="118" t="e">
        <f>WEEKNUM(AP73-RESUMEN!$D$7)</f>
        <v>#NUM!</v>
      </c>
      <c r="AR73" s="118">
        <f>_xlfn.DAYS(AP73,RESUMEN!$D$7)</f>
        <v>-43238</v>
      </c>
      <c r="AS73" s="76"/>
      <c r="AT73" s="73"/>
      <c r="AU73" s="73"/>
      <c r="AV73" s="116" t="e">
        <f t="shared" si="11"/>
        <v>#DIV/0!</v>
      </c>
      <c r="AW73" s="83"/>
    </row>
    <row r="74" spans="2:49" x14ac:dyDescent="0.25">
      <c r="B74" s="115"/>
      <c r="C74" s="118" t="e">
        <f>WEEKNUM(B74-RESUMEN!$D$7)</f>
        <v>#NUM!</v>
      </c>
      <c r="D74" s="118">
        <f>_xlfn.DAYS(B74,RESUMEN!$D$7)</f>
        <v>-43238</v>
      </c>
      <c r="E74" s="76"/>
      <c r="F74" s="73"/>
      <c r="G74" s="73"/>
      <c r="H74" s="116" t="e">
        <f t="shared" si="6"/>
        <v>#DIV/0!</v>
      </c>
      <c r="I74" s="83"/>
      <c r="J74" s="115"/>
      <c r="K74" s="118" t="e">
        <f>WEEKNUM(J74-RESUMEN!$D$7)</f>
        <v>#NUM!</v>
      </c>
      <c r="L74" s="118">
        <f>_xlfn.DAYS(J74,RESUMEN!$D$7)</f>
        <v>-43238</v>
      </c>
      <c r="M74" s="76"/>
      <c r="N74" s="73"/>
      <c r="O74" s="73"/>
      <c r="P74" s="116" t="e">
        <f t="shared" si="7"/>
        <v>#DIV/0!</v>
      </c>
      <c r="Q74" s="83"/>
      <c r="R74" s="115"/>
      <c r="S74" s="118" t="e">
        <f>WEEKNUM(R74-RESUMEN!$D$7)</f>
        <v>#NUM!</v>
      </c>
      <c r="T74" s="118">
        <f>_xlfn.DAYS(R74,RESUMEN!$D$7)</f>
        <v>-43238</v>
      </c>
      <c r="U74" s="76"/>
      <c r="V74" s="73"/>
      <c r="W74" s="73"/>
      <c r="X74" s="116" t="e">
        <f t="shared" si="8"/>
        <v>#DIV/0!</v>
      </c>
      <c r="Y74" s="83"/>
      <c r="Z74" s="115"/>
      <c r="AA74" s="118">
        <f>Z74-RESUMEN!$D$7</f>
        <v>-43238</v>
      </c>
      <c r="AB74" s="118">
        <f>_xlfn.DAYS(Z74,RESUMEN!$D$7)</f>
        <v>-43238</v>
      </c>
      <c r="AC74" s="76"/>
      <c r="AD74" s="73"/>
      <c r="AE74" s="73"/>
      <c r="AF74" s="116" t="e">
        <f t="shared" si="9"/>
        <v>#DIV/0!</v>
      </c>
      <c r="AG74" s="83"/>
      <c r="AH74" s="115"/>
      <c r="AI74" s="118" t="e">
        <f>WEEKNUM(AH74-RESUMEN!$D$7)</f>
        <v>#NUM!</v>
      </c>
      <c r="AJ74" s="118">
        <f>_xlfn.DAYS(AH74,RESUMEN!$D$7)</f>
        <v>-43238</v>
      </c>
      <c r="AK74" s="76"/>
      <c r="AL74" s="73"/>
      <c r="AM74" s="73"/>
      <c r="AN74" s="116" t="e">
        <f t="shared" si="10"/>
        <v>#DIV/0!</v>
      </c>
      <c r="AO74" s="83"/>
      <c r="AP74" s="115"/>
      <c r="AQ74" s="118" t="e">
        <f>WEEKNUM(AP74-RESUMEN!$D$7)</f>
        <v>#NUM!</v>
      </c>
      <c r="AR74" s="118">
        <f>_xlfn.DAYS(AP74,RESUMEN!$D$7)</f>
        <v>-43238</v>
      </c>
      <c r="AS74" s="76"/>
      <c r="AT74" s="73"/>
      <c r="AU74" s="73"/>
      <c r="AV74" s="116" t="e">
        <f t="shared" si="11"/>
        <v>#DIV/0!</v>
      </c>
      <c r="AW74" s="83"/>
    </row>
    <row r="75" spans="2:49" x14ac:dyDescent="0.25">
      <c r="B75" s="115"/>
      <c r="C75" s="118" t="e">
        <f>WEEKNUM(B75-RESUMEN!$D$7)</f>
        <v>#NUM!</v>
      </c>
      <c r="D75" s="118">
        <f>_xlfn.DAYS(B75,RESUMEN!$D$7)</f>
        <v>-43238</v>
      </c>
      <c r="E75" s="76"/>
      <c r="F75" s="73"/>
      <c r="G75" s="73"/>
      <c r="H75" s="116" t="e">
        <f t="shared" si="6"/>
        <v>#DIV/0!</v>
      </c>
      <c r="I75" s="83"/>
      <c r="J75" s="115"/>
      <c r="K75" s="118" t="e">
        <f>WEEKNUM(J75-RESUMEN!$D$7)</f>
        <v>#NUM!</v>
      </c>
      <c r="L75" s="118">
        <f>_xlfn.DAYS(J75,RESUMEN!$D$7)</f>
        <v>-43238</v>
      </c>
      <c r="M75" s="76"/>
      <c r="N75" s="73"/>
      <c r="O75" s="73"/>
      <c r="P75" s="116" t="e">
        <f t="shared" si="7"/>
        <v>#DIV/0!</v>
      </c>
      <c r="Q75" s="83"/>
      <c r="R75" s="115"/>
      <c r="S75" s="118" t="e">
        <f>WEEKNUM(R75-RESUMEN!$D$7)</f>
        <v>#NUM!</v>
      </c>
      <c r="T75" s="118">
        <f>_xlfn.DAYS(R75,RESUMEN!$D$7)</f>
        <v>-43238</v>
      </c>
      <c r="U75" s="76"/>
      <c r="V75" s="73"/>
      <c r="W75" s="73"/>
      <c r="X75" s="116" t="e">
        <f t="shared" si="8"/>
        <v>#DIV/0!</v>
      </c>
      <c r="Y75" s="83"/>
      <c r="Z75" s="115"/>
      <c r="AA75" s="118">
        <f>Z75-RESUMEN!$D$7</f>
        <v>-43238</v>
      </c>
      <c r="AB75" s="118">
        <f>_xlfn.DAYS(Z75,RESUMEN!$D$7)</f>
        <v>-43238</v>
      </c>
      <c r="AC75" s="76"/>
      <c r="AD75" s="73"/>
      <c r="AE75" s="73"/>
      <c r="AF75" s="116" t="e">
        <f t="shared" si="9"/>
        <v>#DIV/0!</v>
      </c>
      <c r="AG75" s="83"/>
      <c r="AH75" s="115"/>
      <c r="AI75" s="118" t="e">
        <f>WEEKNUM(AH75-RESUMEN!$D$7)</f>
        <v>#NUM!</v>
      </c>
      <c r="AJ75" s="118">
        <f>_xlfn.DAYS(AH75,RESUMEN!$D$7)</f>
        <v>-43238</v>
      </c>
      <c r="AK75" s="76"/>
      <c r="AL75" s="73"/>
      <c r="AM75" s="73"/>
      <c r="AN75" s="116" t="e">
        <f t="shared" si="10"/>
        <v>#DIV/0!</v>
      </c>
      <c r="AO75" s="83"/>
      <c r="AP75" s="115"/>
      <c r="AQ75" s="118" t="e">
        <f>WEEKNUM(AP75-RESUMEN!$D$7)</f>
        <v>#NUM!</v>
      </c>
      <c r="AR75" s="118">
        <f>_xlfn.DAYS(AP75,RESUMEN!$D$7)</f>
        <v>-43238</v>
      </c>
      <c r="AS75" s="76"/>
      <c r="AT75" s="73"/>
      <c r="AU75" s="73"/>
      <c r="AV75" s="116" t="e">
        <f t="shared" si="11"/>
        <v>#DIV/0!</v>
      </c>
      <c r="AW75" s="83"/>
    </row>
    <row r="76" spans="2:49" x14ac:dyDescent="0.25">
      <c r="B76" s="115"/>
      <c r="C76" s="118" t="e">
        <f>WEEKNUM(B76-RESUMEN!$D$7)</f>
        <v>#NUM!</v>
      </c>
      <c r="D76" s="118">
        <f>_xlfn.DAYS(B76,RESUMEN!$D$7)</f>
        <v>-43238</v>
      </c>
      <c r="E76" s="76"/>
      <c r="F76" s="73"/>
      <c r="G76" s="73"/>
      <c r="H76" s="116" t="e">
        <f t="shared" si="6"/>
        <v>#DIV/0!</v>
      </c>
      <c r="I76" s="83"/>
      <c r="J76" s="115"/>
      <c r="K76" s="118" t="e">
        <f>WEEKNUM(J76-RESUMEN!$D$7)</f>
        <v>#NUM!</v>
      </c>
      <c r="L76" s="118">
        <f>_xlfn.DAYS(J76,RESUMEN!$D$7)</f>
        <v>-43238</v>
      </c>
      <c r="M76" s="76"/>
      <c r="N76" s="73"/>
      <c r="O76" s="73"/>
      <c r="P76" s="116" t="e">
        <f t="shared" si="7"/>
        <v>#DIV/0!</v>
      </c>
      <c r="Q76" s="83"/>
      <c r="R76" s="115"/>
      <c r="S76" s="118" t="e">
        <f>WEEKNUM(R76-RESUMEN!$D$7)</f>
        <v>#NUM!</v>
      </c>
      <c r="T76" s="118">
        <f>_xlfn.DAYS(R76,RESUMEN!$D$7)</f>
        <v>-43238</v>
      </c>
      <c r="U76" s="76"/>
      <c r="V76" s="73"/>
      <c r="W76" s="73"/>
      <c r="X76" s="116" t="e">
        <f t="shared" si="8"/>
        <v>#DIV/0!</v>
      </c>
      <c r="Y76" s="83"/>
      <c r="Z76" s="115"/>
      <c r="AA76" s="118">
        <f>Z76-RESUMEN!$D$7</f>
        <v>-43238</v>
      </c>
      <c r="AB76" s="118">
        <f>_xlfn.DAYS(Z76,RESUMEN!$D$7)</f>
        <v>-43238</v>
      </c>
      <c r="AC76" s="76"/>
      <c r="AD76" s="73"/>
      <c r="AE76" s="73"/>
      <c r="AF76" s="116" t="e">
        <f t="shared" si="9"/>
        <v>#DIV/0!</v>
      </c>
      <c r="AG76" s="83"/>
      <c r="AH76" s="115"/>
      <c r="AI76" s="118" t="e">
        <f>WEEKNUM(AH76-RESUMEN!$D$7)</f>
        <v>#NUM!</v>
      </c>
      <c r="AJ76" s="118">
        <f>_xlfn.DAYS(AH76,RESUMEN!$D$7)</f>
        <v>-43238</v>
      </c>
      <c r="AK76" s="76"/>
      <c r="AL76" s="73"/>
      <c r="AM76" s="73"/>
      <c r="AN76" s="116" t="e">
        <f t="shared" si="10"/>
        <v>#DIV/0!</v>
      </c>
      <c r="AO76" s="83"/>
      <c r="AP76" s="115"/>
      <c r="AQ76" s="118" t="e">
        <f>WEEKNUM(AP76-RESUMEN!$D$7)</f>
        <v>#NUM!</v>
      </c>
      <c r="AR76" s="118">
        <f>_xlfn.DAYS(AP76,RESUMEN!$D$7)</f>
        <v>-43238</v>
      </c>
      <c r="AS76" s="76"/>
      <c r="AT76" s="73"/>
      <c r="AU76" s="73"/>
      <c r="AV76" s="116" t="e">
        <f t="shared" si="11"/>
        <v>#DIV/0!</v>
      </c>
      <c r="AW76" s="83"/>
    </row>
    <row r="77" spans="2:49" x14ac:dyDescent="0.25">
      <c r="B77" s="115"/>
      <c r="C77" s="118" t="e">
        <f>WEEKNUM(B77-RESUMEN!$D$7)</f>
        <v>#NUM!</v>
      </c>
      <c r="D77" s="118">
        <f>_xlfn.DAYS(B77,RESUMEN!$D$7)</f>
        <v>-43238</v>
      </c>
      <c r="E77" s="76"/>
      <c r="F77" s="73"/>
      <c r="G77" s="73"/>
      <c r="H77" s="116" t="e">
        <f t="shared" si="6"/>
        <v>#DIV/0!</v>
      </c>
      <c r="I77" s="83"/>
      <c r="J77" s="115"/>
      <c r="K77" s="118" t="e">
        <f>WEEKNUM(J77-RESUMEN!$D$7)</f>
        <v>#NUM!</v>
      </c>
      <c r="L77" s="118">
        <f>_xlfn.DAYS(J77,RESUMEN!$D$7)</f>
        <v>-43238</v>
      </c>
      <c r="M77" s="76"/>
      <c r="N77" s="73"/>
      <c r="O77" s="73"/>
      <c r="P77" s="116" t="e">
        <f t="shared" si="7"/>
        <v>#DIV/0!</v>
      </c>
      <c r="Q77" s="83"/>
      <c r="R77" s="115"/>
      <c r="S77" s="118" t="e">
        <f>WEEKNUM(R77-RESUMEN!$D$7)</f>
        <v>#NUM!</v>
      </c>
      <c r="T77" s="118">
        <f>_xlfn.DAYS(R77,RESUMEN!$D$7)</f>
        <v>-43238</v>
      </c>
      <c r="U77" s="76"/>
      <c r="V77" s="73"/>
      <c r="W77" s="73"/>
      <c r="X77" s="116" t="e">
        <f t="shared" si="8"/>
        <v>#DIV/0!</v>
      </c>
      <c r="Y77" s="83"/>
      <c r="Z77" s="115"/>
      <c r="AA77" s="118">
        <f>Z77-RESUMEN!$D$7</f>
        <v>-43238</v>
      </c>
      <c r="AB77" s="118">
        <f>_xlfn.DAYS(Z77,RESUMEN!$D$7)</f>
        <v>-43238</v>
      </c>
      <c r="AC77" s="76"/>
      <c r="AD77" s="73"/>
      <c r="AE77" s="73"/>
      <c r="AF77" s="116" t="e">
        <f t="shared" si="9"/>
        <v>#DIV/0!</v>
      </c>
      <c r="AG77" s="83"/>
      <c r="AH77" s="115"/>
      <c r="AI77" s="118" t="e">
        <f>WEEKNUM(AH77-RESUMEN!$D$7)</f>
        <v>#NUM!</v>
      </c>
      <c r="AJ77" s="118">
        <f>_xlfn.DAYS(AH77,RESUMEN!$D$7)</f>
        <v>-43238</v>
      </c>
      <c r="AK77" s="76"/>
      <c r="AL77" s="73"/>
      <c r="AM77" s="73"/>
      <c r="AN77" s="116" t="e">
        <f t="shared" si="10"/>
        <v>#DIV/0!</v>
      </c>
      <c r="AO77" s="83"/>
      <c r="AP77" s="115"/>
      <c r="AQ77" s="118" t="e">
        <f>WEEKNUM(AP77-RESUMEN!$D$7)</f>
        <v>#NUM!</v>
      </c>
      <c r="AR77" s="118">
        <f>_xlfn.DAYS(AP77,RESUMEN!$D$7)</f>
        <v>-43238</v>
      </c>
      <c r="AS77" s="76"/>
      <c r="AT77" s="73"/>
      <c r="AU77" s="73"/>
      <c r="AV77" s="116" t="e">
        <f t="shared" si="11"/>
        <v>#DIV/0!</v>
      </c>
      <c r="AW77" s="83"/>
    </row>
    <row r="78" spans="2:49" x14ac:dyDescent="0.25">
      <c r="B78" s="115"/>
      <c r="C78" s="118" t="e">
        <f>WEEKNUM(B78-RESUMEN!$D$7)</f>
        <v>#NUM!</v>
      </c>
      <c r="D78" s="118">
        <f>_xlfn.DAYS(B78,RESUMEN!$D$7)</f>
        <v>-43238</v>
      </c>
      <c r="E78" s="76"/>
      <c r="F78" s="73"/>
      <c r="G78" s="73"/>
      <c r="H78" s="116" t="e">
        <f t="shared" si="6"/>
        <v>#DIV/0!</v>
      </c>
      <c r="I78" s="83"/>
      <c r="J78" s="115"/>
      <c r="K78" s="118" t="e">
        <f>WEEKNUM(J78-RESUMEN!$D$7)</f>
        <v>#NUM!</v>
      </c>
      <c r="L78" s="118">
        <f>_xlfn.DAYS(J78,RESUMEN!$D$7)</f>
        <v>-43238</v>
      </c>
      <c r="M78" s="76"/>
      <c r="N78" s="73"/>
      <c r="O78" s="73"/>
      <c r="P78" s="116" t="e">
        <f t="shared" si="7"/>
        <v>#DIV/0!</v>
      </c>
      <c r="Q78" s="83"/>
      <c r="R78" s="115"/>
      <c r="S78" s="118" t="e">
        <f>WEEKNUM(R78-RESUMEN!$D$7)</f>
        <v>#NUM!</v>
      </c>
      <c r="T78" s="118">
        <f>_xlfn.DAYS(R78,RESUMEN!$D$7)</f>
        <v>-43238</v>
      </c>
      <c r="U78" s="76"/>
      <c r="V78" s="73"/>
      <c r="W78" s="73"/>
      <c r="X78" s="116" t="e">
        <f t="shared" si="8"/>
        <v>#DIV/0!</v>
      </c>
      <c r="Y78" s="83"/>
      <c r="Z78" s="115"/>
      <c r="AA78" s="118">
        <f>Z78-RESUMEN!$D$7</f>
        <v>-43238</v>
      </c>
      <c r="AB78" s="118">
        <f>_xlfn.DAYS(Z78,RESUMEN!$D$7)</f>
        <v>-43238</v>
      </c>
      <c r="AC78" s="76"/>
      <c r="AD78" s="73"/>
      <c r="AE78" s="73"/>
      <c r="AF78" s="116" t="e">
        <f t="shared" si="9"/>
        <v>#DIV/0!</v>
      </c>
      <c r="AG78" s="83"/>
      <c r="AH78" s="115"/>
      <c r="AI78" s="118" t="e">
        <f>WEEKNUM(AH78-RESUMEN!$D$7)</f>
        <v>#NUM!</v>
      </c>
      <c r="AJ78" s="118">
        <f>_xlfn.DAYS(AH78,RESUMEN!$D$7)</f>
        <v>-43238</v>
      </c>
      <c r="AK78" s="76"/>
      <c r="AL78" s="73"/>
      <c r="AM78" s="73"/>
      <c r="AN78" s="116" t="e">
        <f t="shared" si="10"/>
        <v>#DIV/0!</v>
      </c>
      <c r="AO78" s="83"/>
      <c r="AP78" s="115"/>
      <c r="AQ78" s="118" t="e">
        <f>WEEKNUM(AP78-RESUMEN!$D$7)</f>
        <v>#NUM!</v>
      </c>
      <c r="AR78" s="118">
        <f>_xlfn.DAYS(AP78,RESUMEN!$D$7)</f>
        <v>-43238</v>
      </c>
      <c r="AS78" s="76"/>
      <c r="AT78" s="73"/>
      <c r="AU78" s="73"/>
      <c r="AV78" s="116" t="e">
        <f t="shared" si="11"/>
        <v>#DIV/0!</v>
      </c>
      <c r="AW78" s="83"/>
    </row>
    <row r="79" spans="2:49" x14ac:dyDescent="0.25">
      <c r="B79" s="115"/>
      <c r="C79" s="118" t="e">
        <f>WEEKNUM(B79-RESUMEN!$D$7)</f>
        <v>#NUM!</v>
      </c>
      <c r="D79" s="118">
        <f>_xlfn.DAYS(B79,RESUMEN!$D$7)</f>
        <v>-43238</v>
      </c>
      <c r="E79" s="76"/>
      <c r="F79" s="73"/>
      <c r="G79" s="73"/>
      <c r="H79" s="116" t="e">
        <f t="shared" si="6"/>
        <v>#DIV/0!</v>
      </c>
      <c r="I79" s="83"/>
      <c r="J79" s="115"/>
      <c r="K79" s="118" t="e">
        <f>WEEKNUM(J79-RESUMEN!$D$7)</f>
        <v>#NUM!</v>
      </c>
      <c r="L79" s="118">
        <f>_xlfn.DAYS(J79,RESUMEN!$D$7)</f>
        <v>-43238</v>
      </c>
      <c r="M79" s="76"/>
      <c r="N79" s="73"/>
      <c r="O79" s="73"/>
      <c r="P79" s="116" t="e">
        <f t="shared" si="7"/>
        <v>#DIV/0!</v>
      </c>
      <c r="Q79" s="83"/>
      <c r="R79" s="115"/>
      <c r="S79" s="118" t="e">
        <f>WEEKNUM(R79-RESUMEN!$D$7)</f>
        <v>#NUM!</v>
      </c>
      <c r="T79" s="118">
        <f>_xlfn.DAYS(R79,RESUMEN!$D$7)</f>
        <v>-43238</v>
      </c>
      <c r="U79" s="76"/>
      <c r="V79" s="73"/>
      <c r="W79" s="73"/>
      <c r="X79" s="116" t="e">
        <f t="shared" si="8"/>
        <v>#DIV/0!</v>
      </c>
      <c r="Y79" s="83"/>
      <c r="Z79" s="115"/>
      <c r="AA79" s="118">
        <f>Z79-RESUMEN!$D$7</f>
        <v>-43238</v>
      </c>
      <c r="AB79" s="118">
        <f>_xlfn.DAYS(Z79,RESUMEN!$D$7)</f>
        <v>-43238</v>
      </c>
      <c r="AC79" s="76"/>
      <c r="AD79" s="73"/>
      <c r="AE79" s="73"/>
      <c r="AF79" s="116" t="e">
        <f t="shared" si="9"/>
        <v>#DIV/0!</v>
      </c>
      <c r="AG79" s="83"/>
      <c r="AH79" s="115"/>
      <c r="AI79" s="118" t="e">
        <f>WEEKNUM(AH79-RESUMEN!$D$7)</f>
        <v>#NUM!</v>
      </c>
      <c r="AJ79" s="118">
        <f>_xlfn.DAYS(AH79,RESUMEN!$D$7)</f>
        <v>-43238</v>
      </c>
      <c r="AK79" s="76"/>
      <c r="AL79" s="73"/>
      <c r="AM79" s="73"/>
      <c r="AN79" s="116" t="e">
        <f t="shared" si="10"/>
        <v>#DIV/0!</v>
      </c>
      <c r="AO79" s="83"/>
      <c r="AP79" s="115"/>
      <c r="AQ79" s="118" t="e">
        <f>WEEKNUM(AP79-RESUMEN!$D$7)</f>
        <v>#NUM!</v>
      </c>
      <c r="AR79" s="118">
        <f>_xlfn.DAYS(AP79,RESUMEN!$D$7)</f>
        <v>-43238</v>
      </c>
      <c r="AS79" s="76"/>
      <c r="AT79" s="73"/>
      <c r="AU79" s="73"/>
      <c r="AV79" s="116" t="e">
        <f t="shared" si="11"/>
        <v>#DIV/0!</v>
      </c>
      <c r="AW79" s="83"/>
    </row>
    <row r="80" spans="2:49" x14ac:dyDescent="0.25">
      <c r="B80" s="115"/>
      <c r="C80" s="118" t="e">
        <f>WEEKNUM(B80-RESUMEN!$D$7)</f>
        <v>#NUM!</v>
      </c>
      <c r="D80" s="118">
        <f>_xlfn.DAYS(B80,RESUMEN!$D$7)</f>
        <v>-43238</v>
      </c>
      <c r="E80" s="76"/>
      <c r="F80" s="73"/>
      <c r="G80" s="73"/>
      <c r="H80" s="116" t="e">
        <f t="shared" si="6"/>
        <v>#DIV/0!</v>
      </c>
      <c r="I80" s="83"/>
      <c r="J80" s="115"/>
      <c r="K80" s="118" t="e">
        <f>WEEKNUM(J80-RESUMEN!$D$7)</f>
        <v>#NUM!</v>
      </c>
      <c r="L80" s="118">
        <f>_xlfn.DAYS(J80,RESUMEN!$D$7)</f>
        <v>-43238</v>
      </c>
      <c r="M80" s="76"/>
      <c r="N80" s="73"/>
      <c r="O80" s="73"/>
      <c r="P80" s="116" t="e">
        <f t="shared" si="7"/>
        <v>#DIV/0!</v>
      </c>
      <c r="Q80" s="83"/>
      <c r="R80" s="115"/>
      <c r="S80" s="118" t="e">
        <f>WEEKNUM(R80-RESUMEN!$D$7)</f>
        <v>#NUM!</v>
      </c>
      <c r="T80" s="118">
        <f>_xlfn.DAYS(R80,RESUMEN!$D$7)</f>
        <v>-43238</v>
      </c>
      <c r="U80" s="76"/>
      <c r="V80" s="73"/>
      <c r="W80" s="73"/>
      <c r="X80" s="116" t="e">
        <f t="shared" si="8"/>
        <v>#DIV/0!</v>
      </c>
      <c r="Y80" s="83"/>
      <c r="Z80" s="115"/>
      <c r="AA80" s="118">
        <f>Z80-RESUMEN!$D$7</f>
        <v>-43238</v>
      </c>
      <c r="AB80" s="118">
        <f>_xlfn.DAYS(Z80,RESUMEN!$D$7)</f>
        <v>-43238</v>
      </c>
      <c r="AC80" s="76"/>
      <c r="AD80" s="73"/>
      <c r="AE80" s="73"/>
      <c r="AF80" s="116" t="e">
        <f t="shared" si="9"/>
        <v>#DIV/0!</v>
      </c>
      <c r="AG80" s="83"/>
      <c r="AH80" s="115"/>
      <c r="AI80" s="118" t="e">
        <f>WEEKNUM(AH80-RESUMEN!$D$7)</f>
        <v>#NUM!</v>
      </c>
      <c r="AJ80" s="118">
        <f>_xlfn.DAYS(AH80,RESUMEN!$D$7)</f>
        <v>-43238</v>
      </c>
      <c r="AK80" s="76"/>
      <c r="AL80" s="73"/>
      <c r="AM80" s="73"/>
      <c r="AN80" s="116" t="e">
        <f t="shared" si="10"/>
        <v>#DIV/0!</v>
      </c>
      <c r="AO80" s="83"/>
      <c r="AP80" s="115"/>
      <c r="AQ80" s="118" t="e">
        <f>WEEKNUM(AP80-RESUMEN!$D$7)</f>
        <v>#NUM!</v>
      </c>
      <c r="AR80" s="118">
        <f>_xlfn.DAYS(AP80,RESUMEN!$D$7)</f>
        <v>-43238</v>
      </c>
      <c r="AS80" s="76"/>
      <c r="AT80" s="73"/>
      <c r="AU80" s="73"/>
      <c r="AV80" s="116" t="e">
        <f t="shared" si="11"/>
        <v>#DIV/0!</v>
      </c>
      <c r="AW80" s="83"/>
    </row>
    <row r="81" spans="2:49" x14ac:dyDescent="0.25">
      <c r="B81" s="115"/>
      <c r="C81" s="118" t="e">
        <f>WEEKNUM(B81-RESUMEN!$D$7)</f>
        <v>#NUM!</v>
      </c>
      <c r="D81" s="118">
        <f>_xlfn.DAYS(B81,RESUMEN!$D$7)</f>
        <v>-43238</v>
      </c>
      <c r="E81" s="76"/>
      <c r="F81" s="73"/>
      <c r="G81" s="73"/>
      <c r="H81" s="116" t="e">
        <f t="shared" si="6"/>
        <v>#DIV/0!</v>
      </c>
      <c r="I81" s="83"/>
      <c r="J81" s="115"/>
      <c r="K81" s="118" t="e">
        <f>WEEKNUM(J81-RESUMEN!$D$7)</f>
        <v>#NUM!</v>
      </c>
      <c r="L81" s="118">
        <f>_xlfn.DAYS(J81,RESUMEN!$D$7)</f>
        <v>-43238</v>
      </c>
      <c r="M81" s="76"/>
      <c r="N81" s="73"/>
      <c r="O81" s="73"/>
      <c r="P81" s="116" t="e">
        <f t="shared" si="7"/>
        <v>#DIV/0!</v>
      </c>
      <c r="Q81" s="83"/>
      <c r="R81" s="115"/>
      <c r="S81" s="118" t="e">
        <f>WEEKNUM(R81-RESUMEN!$D$7)</f>
        <v>#NUM!</v>
      </c>
      <c r="T81" s="118">
        <f>_xlfn.DAYS(R81,RESUMEN!$D$7)</f>
        <v>-43238</v>
      </c>
      <c r="U81" s="76"/>
      <c r="V81" s="73"/>
      <c r="W81" s="73"/>
      <c r="X81" s="116" t="e">
        <f t="shared" si="8"/>
        <v>#DIV/0!</v>
      </c>
      <c r="Y81" s="83"/>
      <c r="Z81" s="115"/>
      <c r="AA81" s="118">
        <f>Z81-RESUMEN!$D$7</f>
        <v>-43238</v>
      </c>
      <c r="AB81" s="118">
        <f>_xlfn.DAYS(Z81,RESUMEN!$D$7)</f>
        <v>-43238</v>
      </c>
      <c r="AC81" s="76"/>
      <c r="AD81" s="73"/>
      <c r="AE81" s="73"/>
      <c r="AF81" s="116" t="e">
        <f t="shared" si="9"/>
        <v>#DIV/0!</v>
      </c>
      <c r="AG81" s="83"/>
      <c r="AH81" s="115"/>
      <c r="AI81" s="118" t="e">
        <f>WEEKNUM(AH81-RESUMEN!$D$7)</f>
        <v>#NUM!</v>
      </c>
      <c r="AJ81" s="118">
        <f>_xlfn.DAYS(AH81,RESUMEN!$D$7)</f>
        <v>-43238</v>
      </c>
      <c r="AK81" s="76"/>
      <c r="AL81" s="73"/>
      <c r="AM81" s="73"/>
      <c r="AN81" s="116" t="e">
        <f t="shared" si="10"/>
        <v>#DIV/0!</v>
      </c>
      <c r="AO81" s="83"/>
      <c r="AP81" s="115"/>
      <c r="AQ81" s="118" t="e">
        <f>WEEKNUM(AP81-RESUMEN!$D$7)</f>
        <v>#NUM!</v>
      </c>
      <c r="AR81" s="118">
        <f>_xlfn.DAYS(AP81,RESUMEN!$D$7)</f>
        <v>-43238</v>
      </c>
      <c r="AS81" s="76"/>
      <c r="AT81" s="73"/>
      <c r="AU81" s="73"/>
      <c r="AV81" s="116" t="e">
        <f t="shared" si="11"/>
        <v>#DIV/0!</v>
      </c>
      <c r="AW81" s="83"/>
    </row>
    <row r="82" spans="2:49" x14ac:dyDescent="0.25">
      <c r="B82" s="115"/>
      <c r="C82" s="118" t="e">
        <f>WEEKNUM(B82-RESUMEN!$D$7)</f>
        <v>#NUM!</v>
      </c>
      <c r="D82" s="118">
        <f>_xlfn.DAYS(B82,RESUMEN!$D$7)</f>
        <v>-43238</v>
      </c>
      <c r="E82" s="76"/>
      <c r="F82" s="73"/>
      <c r="G82" s="73"/>
      <c r="H82" s="116" t="e">
        <f t="shared" si="6"/>
        <v>#DIV/0!</v>
      </c>
      <c r="I82" s="83"/>
      <c r="J82" s="115"/>
      <c r="K82" s="118" t="e">
        <f>WEEKNUM(J82-RESUMEN!$D$7)</f>
        <v>#NUM!</v>
      </c>
      <c r="L82" s="118">
        <f>_xlfn.DAYS(J82,RESUMEN!$D$7)</f>
        <v>-43238</v>
      </c>
      <c r="M82" s="76"/>
      <c r="N82" s="73"/>
      <c r="O82" s="73"/>
      <c r="P82" s="116" t="e">
        <f t="shared" si="7"/>
        <v>#DIV/0!</v>
      </c>
      <c r="Q82" s="83"/>
      <c r="R82" s="115"/>
      <c r="S82" s="118" t="e">
        <f>WEEKNUM(R82-RESUMEN!$D$7)</f>
        <v>#NUM!</v>
      </c>
      <c r="T82" s="118">
        <f>_xlfn.DAYS(R82,RESUMEN!$D$7)</f>
        <v>-43238</v>
      </c>
      <c r="U82" s="76"/>
      <c r="V82" s="73"/>
      <c r="W82" s="73"/>
      <c r="X82" s="116" t="e">
        <f t="shared" si="8"/>
        <v>#DIV/0!</v>
      </c>
      <c r="Y82" s="83"/>
      <c r="Z82" s="115"/>
      <c r="AA82" s="118">
        <f>Z82-RESUMEN!$D$7</f>
        <v>-43238</v>
      </c>
      <c r="AB82" s="118">
        <f>_xlfn.DAYS(Z82,RESUMEN!$D$7)</f>
        <v>-43238</v>
      </c>
      <c r="AC82" s="76"/>
      <c r="AD82" s="73"/>
      <c r="AE82" s="73"/>
      <c r="AF82" s="116" t="e">
        <f t="shared" si="9"/>
        <v>#DIV/0!</v>
      </c>
      <c r="AG82" s="83"/>
      <c r="AH82" s="115"/>
      <c r="AI82" s="118" t="e">
        <f>WEEKNUM(AH82-RESUMEN!$D$7)</f>
        <v>#NUM!</v>
      </c>
      <c r="AJ82" s="118">
        <f>_xlfn.DAYS(AH82,RESUMEN!$D$7)</f>
        <v>-43238</v>
      </c>
      <c r="AK82" s="76"/>
      <c r="AL82" s="73"/>
      <c r="AM82" s="73"/>
      <c r="AN82" s="116" t="e">
        <f t="shared" si="10"/>
        <v>#DIV/0!</v>
      </c>
      <c r="AO82" s="83"/>
      <c r="AP82" s="115"/>
      <c r="AQ82" s="118" t="e">
        <f>WEEKNUM(AP82-RESUMEN!$D$7)</f>
        <v>#NUM!</v>
      </c>
      <c r="AR82" s="118">
        <f>_xlfn.DAYS(AP82,RESUMEN!$D$7)</f>
        <v>-43238</v>
      </c>
      <c r="AS82" s="76"/>
      <c r="AT82" s="73"/>
      <c r="AU82" s="73"/>
      <c r="AV82" s="116" t="e">
        <f t="shared" si="11"/>
        <v>#DIV/0!</v>
      </c>
      <c r="AW82" s="83"/>
    </row>
    <row r="83" spans="2:49" x14ac:dyDescent="0.25">
      <c r="B83" s="115"/>
      <c r="C83" s="118" t="e">
        <f>WEEKNUM(B83-RESUMEN!$D$7)</f>
        <v>#NUM!</v>
      </c>
      <c r="D83" s="118">
        <f>_xlfn.DAYS(B83,RESUMEN!$D$7)</f>
        <v>-43238</v>
      </c>
      <c r="E83" s="76"/>
      <c r="F83" s="73"/>
      <c r="G83" s="73"/>
      <c r="H83" s="116" t="e">
        <f t="shared" si="6"/>
        <v>#DIV/0!</v>
      </c>
      <c r="I83" s="83"/>
      <c r="J83" s="115"/>
      <c r="K83" s="118" t="e">
        <f>WEEKNUM(J83-RESUMEN!$D$7)</f>
        <v>#NUM!</v>
      </c>
      <c r="L83" s="118">
        <f>_xlfn.DAYS(J83,RESUMEN!$D$7)</f>
        <v>-43238</v>
      </c>
      <c r="M83" s="76"/>
      <c r="N83" s="73"/>
      <c r="O83" s="73"/>
      <c r="P83" s="116" t="e">
        <f t="shared" si="7"/>
        <v>#DIV/0!</v>
      </c>
      <c r="Q83" s="83"/>
      <c r="R83" s="115"/>
      <c r="S83" s="118" t="e">
        <f>WEEKNUM(R83-RESUMEN!$D$7)</f>
        <v>#NUM!</v>
      </c>
      <c r="T83" s="118">
        <f>_xlfn.DAYS(R83,RESUMEN!$D$7)</f>
        <v>-43238</v>
      </c>
      <c r="U83" s="76"/>
      <c r="V83" s="73"/>
      <c r="W83" s="73"/>
      <c r="X83" s="116" t="e">
        <f t="shared" si="8"/>
        <v>#DIV/0!</v>
      </c>
      <c r="Y83" s="83"/>
      <c r="Z83" s="115"/>
      <c r="AA83" s="118">
        <f>Z83-RESUMEN!$D$7</f>
        <v>-43238</v>
      </c>
      <c r="AB83" s="118">
        <f>_xlfn.DAYS(Z83,RESUMEN!$D$7)</f>
        <v>-43238</v>
      </c>
      <c r="AC83" s="76"/>
      <c r="AD83" s="73"/>
      <c r="AE83" s="73"/>
      <c r="AF83" s="116" t="e">
        <f t="shared" si="9"/>
        <v>#DIV/0!</v>
      </c>
      <c r="AG83" s="83"/>
      <c r="AH83" s="115"/>
      <c r="AI83" s="118" t="e">
        <f>WEEKNUM(AH83-RESUMEN!$D$7)</f>
        <v>#NUM!</v>
      </c>
      <c r="AJ83" s="118">
        <f>_xlfn.DAYS(AH83,RESUMEN!$D$7)</f>
        <v>-43238</v>
      </c>
      <c r="AK83" s="76"/>
      <c r="AL83" s="73"/>
      <c r="AM83" s="73"/>
      <c r="AN83" s="116" t="e">
        <f t="shared" si="10"/>
        <v>#DIV/0!</v>
      </c>
      <c r="AO83" s="83"/>
      <c r="AP83" s="115"/>
      <c r="AQ83" s="118" t="e">
        <f>WEEKNUM(AP83-RESUMEN!$D$7)</f>
        <v>#NUM!</v>
      </c>
      <c r="AR83" s="118">
        <f>_xlfn.DAYS(AP83,RESUMEN!$D$7)</f>
        <v>-43238</v>
      </c>
      <c r="AS83" s="76"/>
      <c r="AT83" s="73"/>
      <c r="AU83" s="73"/>
      <c r="AV83" s="116" t="e">
        <f t="shared" si="11"/>
        <v>#DIV/0!</v>
      </c>
      <c r="AW83" s="83"/>
    </row>
    <row r="84" spans="2:49" x14ac:dyDescent="0.25">
      <c r="B84" s="115"/>
      <c r="C84" s="118" t="e">
        <f>WEEKNUM(B84-RESUMEN!$D$7)</f>
        <v>#NUM!</v>
      </c>
      <c r="D84" s="118">
        <f>_xlfn.DAYS(B84,RESUMEN!$D$7)</f>
        <v>-43238</v>
      </c>
      <c r="E84" s="76"/>
      <c r="F84" s="73"/>
      <c r="G84" s="73"/>
      <c r="H84" s="116" t="e">
        <f t="shared" si="6"/>
        <v>#DIV/0!</v>
      </c>
      <c r="I84" s="83"/>
      <c r="J84" s="115"/>
      <c r="K84" s="118" t="e">
        <f>WEEKNUM(J84-RESUMEN!$D$7)</f>
        <v>#NUM!</v>
      </c>
      <c r="L84" s="118">
        <f>_xlfn.DAYS(J84,RESUMEN!$D$7)</f>
        <v>-43238</v>
      </c>
      <c r="M84" s="76"/>
      <c r="N84" s="73"/>
      <c r="O84" s="73"/>
      <c r="P84" s="116" t="e">
        <f t="shared" si="7"/>
        <v>#DIV/0!</v>
      </c>
      <c r="Q84" s="83"/>
      <c r="R84" s="115"/>
      <c r="S84" s="118" t="e">
        <f>WEEKNUM(R84-RESUMEN!$D$7)</f>
        <v>#NUM!</v>
      </c>
      <c r="T84" s="118">
        <f>_xlfn.DAYS(R84,RESUMEN!$D$7)</f>
        <v>-43238</v>
      </c>
      <c r="U84" s="76"/>
      <c r="V84" s="73"/>
      <c r="W84" s="73"/>
      <c r="X84" s="116" t="e">
        <f t="shared" si="8"/>
        <v>#DIV/0!</v>
      </c>
      <c r="Y84" s="83"/>
      <c r="Z84" s="115"/>
      <c r="AA84" s="118">
        <f>Z84-RESUMEN!$D$7</f>
        <v>-43238</v>
      </c>
      <c r="AB84" s="118">
        <f>_xlfn.DAYS(Z84,RESUMEN!$D$7)</f>
        <v>-43238</v>
      </c>
      <c r="AC84" s="76"/>
      <c r="AD84" s="73"/>
      <c r="AE84" s="73"/>
      <c r="AF84" s="116" t="e">
        <f t="shared" si="9"/>
        <v>#DIV/0!</v>
      </c>
      <c r="AG84" s="83"/>
      <c r="AH84" s="115"/>
      <c r="AI84" s="118" t="e">
        <f>WEEKNUM(AH84-RESUMEN!$D$7)</f>
        <v>#NUM!</v>
      </c>
      <c r="AJ84" s="118">
        <f>_xlfn.DAYS(AH84,RESUMEN!$D$7)</f>
        <v>-43238</v>
      </c>
      <c r="AK84" s="76"/>
      <c r="AL84" s="73"/>
      <c r="AM84" s="73"/>
      <c r="AN84" s="116" t="e">
        <f t="shared" si="10"/>
        <v>#DIV/0!</v>
      </c>
      <c r="AO84" s="83"/>
      <c r="AP84" s="115"/>
      <c r="AQ84" s="118" t="e">
        <f>WEEKNUM(AP84-RESUMEN!$D$7)</f>
        <v>#NUM!</v>
      </c>
      <c r="AR84" s="118">
        <f>_xlfn.DAYS(AP84,RESUMEN!$D$7)</f>
        <v>-43238</v>
      </c>
      <c r="AS84" s="76"/>
      <c r="AT84" s="73"/>
      <c r="AU84" s="73"/>
      <c r="AV84" s="116" t="e">
        <f t="shared" si="11"/>
        <v>#DIV/0!</v>
      </c>
      <c r="AW84" s="83"/>
    </row>
    <row r="85" spans="2:49" x14ac:dyDescent="0.25">
      <c r="B85" s="115"/>
      <c r="C85" s="118" t="e">
        <f>WEEKNUM(B85-RESUMEN!$D$7)</f>
        <v>#NUM!</v>
      </c>
      <c r="D85" s="118">
        <f>_xlfn.DAYS(B85,RESUMEN!$D$7)</f>
        <v>-43238</v>
      </c>
      <c r="E85" s="76"/>
      <c r="F85" s="73"/>
      <c r="G85" s="73"/>
      <c r="H85" s="116" t="e">
        <f t="shared" si="6"/>
        <v>#DIV/0!</v>
      </c>
      <c r="I85" s="83"/>
      <c r="J85" s="115"/>
      <c r="K85" s="118" t="e">
        <f>WEEKNUM(J85-RESUMEN!$D$7)</f>
        <v>#NUM!</v>
      </c>
      <c r="L85" s="118">
        <f>_xlfn.DAYS(J85,RESUMEN!$D$7)</f>
        <v>-43238</v>
      </c>
      <c r="M85" s="76"/>
      <c r="N85" s="73"/>
      <c r="O85" s="73"/>
      <c r="P85" s="116" t="e">
        <f t="shared" si="7"/>
        <v>#DIV/0!</v>
      </c>
      <c r="Q85" s="83"/>
      <c r="R85" s="115"/>
      <c r="S85" s="118" t="e">
        <f>WEEKNUM(R85-RESUMEN!$D$7)</f>
        <v>#NUM!</v>
      </c>
      <c r="T85" s="118">
        <f>_xlfn.DAYS(R85,RESUMEN!$D$7)</f>
        <v>-43238</v>
      </c>
      <c r="U85" s="76"/>
      <c r="V85" s="73"/>
      <c r="W85" s="73"/>
      <c r="X85" s="116" t="e">
        <f t="shared" si="8"/>
        <v>#DIV/0!</v>
      </c>
      <c r="Y85" s="83"/>
      <c r="Z85" s="115"/>
      <c r="AA85" s="118">
        <f>Z85-RESUMEN!$D$7</f>
        <v>-43238</v>
      </c>
      <c r="AB85" s="118">
        <f>_xlfn.DAYS(Z85,RESUMEN!$D$7)</f>
        <v>-43238</v>
      </c>
      <c r="AC85" s="76"/>
      <c r="AD85" s="73"/>
      <c r="AE85" s="73"/>
      <c r="AF85" s="116" t="e">
        <f t="shared" si="9"/>
        <v>#DIV/0!</v>
      </c>
      <c r="AG85" s="83"/>
      <c r="AH85" s="115"/>
      <c r="AI85" s="118" t="e">
        <f>WEEKNUM(AH85-RESUMEN!$D$7)</f>
        <v>#NUM!</v>
      </c>
      <c r="AJ85" s="118">
        <f>_xlfn.DAYS(AH85,RESUMEN!$D$7)</f>
        <v>-43238</v>
      </c>
      <c r="AK85" s="76"/>
      <c r="AL85" s="73"/>
      <c r="AM85" s="73"/>
      <c r="AN85" s="116" t="e">
        <f t="shared" si="10"/>
        <v>#DIV/0!</v>
      </c>
      <c r="AO85" s="83"/>
      <c r="AP85" s="115"/>
      <c r="AQ85" s="118" t="e">
        <f>WEEKNUM(AP85-RESUMEN!$D$7)</f>
        <v>#NUM!</v>
      </c>
      <c r="AR85" s="118">
        <f>_xlfn.DAYS(AP85,RESUMEN!$D$7)</f>
        <v>-43238</v>
      </c>
      <c r="AS85" s="76"/>
      <c r="AT85" s="73"/>
      <c r="AU85" s="73"/>
      <c r="AV85" s="116" t="e">
        <f t="shared" si="11"/>
        <v>#DIV/0!</v>
      </c>
      <c r="AW85" s="83"/>
    </row>
    <row r="86" spans="2:49" x14ac:dyDescent="0.25">
      <c r="B86" s="115"/>
      <c r="C86" s="118" t="e">
        <f>WEEKNUM(B86-RESUMEN!$D$7)</f>
        <v>#NUM!</v>
      </c>
      <c r="D86" s="118">
        <f>_xlfn.DAYS(B86,RESUMEN!$D$7)</f>
        <v>-43238</v>
      </c>
      <c r="E86" s="76"/>
      <c r="F86" s="73"/>
      <c r="G86" s="73"/>
      <c r="H86" s="116" t="e">
        <f t="shared" si="6"/>
        <v>#DIV/0!</v>
      </c>
      <c r="I86" s="83"/>
      <c r="J86" s="115"/>
      <c r="K86" s="118" t="e">
        <f>WEEKNUM(J86-RESUMEN!$D$7)</f>
        <v>#NUM!</v>
      </c>
      <c r="L86" s="118">
        <f>_xlfn.DAYS(J86,RESUMEN!$D$7)</f>
        <v>-43238</v>
      </c>
      <c r="M86" s="76"/>
      <c r="N86" s="73"/>
      <c r="O86" s="73"/>
      <c r="P86" s="116" t="e">
        <f t="shared" si="7"/>
        <v>#DIV/0!</v>
      </c>
      <c r="Q86" s="83"/>
      <c r="R86" s="115"/>
      <c r="S86" s="118" t="e">
        <f>WEEKNUM(R86-RESUMEN!$D$7)</f>
        <v>#NUM!</v>
      </c>
      <c r="T86" s="118">
        <f>_xlfn.DAYS(R86,RESUMEN!$D$7)</f>
        <v>-43238</v>
      </c>
      <c r="U86" s="76"/>
      <c r="V86" s="73"/>
      <c r="W86" s="73"/>
      <c r="X86" s="116" t="e">
        <f t="shared" si="8"/>
        <v>#DIV/0!</v>
      </c>
      <c r="Y86" s="83"/>
      <c r="Z86" s="115"/>
      <c r="AA86" s="118">
        <f>Z86-RESUMEN!$D$7</f>
        <v>-43238</v>
      </c>
      <c r="AB86" s="118">
        <f>_xlfn.DAYS(Z86,RESUMEN!$D$7)</f>
        <v>-43238</v>
      </c>
      <c r="AC86" s="76"/>
      <c r="AD86" s="73"/>
      <c r="AE86" s="73"/>
      <c r="AF86" s="116" t="e">
        <f t="shared" si="9"/>
        <v>#DIV/0!</v>
      </c>
      <c r="AG86" s="83"/>
      <c r="AH86" s="115"/>
      <c r="AI86" s="118" t="e">
        <f>WEEKNUM(AH86-RESUMEN!$D$7)</f>
        <v>#NUM!</v>
      </c>
      <c r="AJ86" s="118">
        <f>_xlfn.DAYS(AH86,RESUMEN!$D$7)</f>
        <v>-43238</v>
      </c>
      <c r="AK86" s="76"/>
      <c r="AL86" s="73"/>
      <c r="AM86" s="73"/>
      <c r="AN86" s="116" t="e">
        <f t="shared" si="10"/>
        <v>#DIV/0!</v>
      </c>
      <c r="AO86" s="83"/>
      <c r="AP86" s="115"/>
      <c r="AQ86" s="118" t="e">
        <f>WEEKNUM(AP86-RESUMEN!$D$7)</f>
        <v>#NUM!</v>
      </c>
      <c r="AR86" s="118">
        <f>_xlfn.DAYS(AP86,RESUMEN!$D$7)</f>
        <v>-43238</v>
      </c>
      <c r="AS86" s="76"/>
      <c r="AT86" s="73"/>
      <c r="AU86" s="73"/>
      <c r="AV86" s="116" t="e">
        <f t="shared" si="11"/>
        <v>#DIV/0!</v>
      </c>
      <c r="AW86" s="83"/>
    </row>
    <row r="87" spans="2:49" x14ac:dyDescent="0.25">
      <c r="B87" s="115"/>
      <c r="C87" s="118" t="e">
        <f>WEEKNUM(B87-RESUMEN!$D$7)</f>
        <v>#NUM!</v>
      </c>
      <c r="D87" s="118">
        <f>_xlfn.DAYS(B87,RESUMEN!$D$7)</f>
        <v>-43238</v>
      </c>
      <c r="E87" s="76"/>
      <c r="F87" s="73"/>
      <c r="G87" s="73"/>
      <c r="H87" s="116" t="e">
        <f t="shared" si="6"/>
        <v>#DIV/0!</v>
      </c>
      <c r="I87" s="83"/>
      <c r="J87" s="115"/>
      <c r="K87" s="118" t="e">
        <f>WEEKNUM(J87-RESUMEN!$D$7)</f>
        <v>#NUM!</v>
      </c>
      <c r="L87" s="118">
        <f>_xlfn.DAYS(J87,RESUMEN!$D$7)</f>
        <v>-43238</v>
      </c>
      <c r="M87" s="76"/>
      <c r="N87" s="73"/>
      <c r="O87" s="73"/>
      <c r="P87" s="116" t="e">
        <f t="shared" si="7"/>
        <v>#DIV/0!</v>
      </c>
      <c r="Q87" s="83"/>
      <c r="R87" s="115"/>
      <c r="S87" s="118" t="e">
        <f>WEEKNUM(R87-RESUMEN!$D$7)</f>
        <v>#NUM!</v>
      </c>
      <c r="T87" s="118">
        <f>_xlfn.DAYS(R87,RESUMEN!$D$7)</f>
        <v>-43238</v>
      </c>
      <c r="U87" s="76"/>
      <c r="V87" s="73"/>
      <c r="W87" s="73"/>
      <c r="X87" s="116" t="e">
        <f t="shared" si="8"/>
        <v>#DIV/0!</v>
      </c>
      <c r="Y87" s="83"/>
      <c r="Z87" s="115"/>
      <c r="AA87" s="118">
        <f>Z87-RESUMEN!$D$7</f>
        <v>-43238</v>
      </c>
      <c r="AB87" s="118">
        <f>_xlfn.DAYS(Z87,RESUMEN!$D$7)</f>
        <v>-43238</v>
      </c>
      <c r="AC87" s="76"/>
      <c r="AD87" s="73"/>
      <c r="AE87" s="73"/>
      <c r="AF87" s="116" t="e">
        <f t="shared" si="9"/>
        <v>#DIV/0!</v>
      </c>
      <c r="AG87" s="83"/>
      <c r="AH87" s="115"/>
      <c r="AI87" s="118" t="e">
        <f>WEEKNUM(AH87-RESUMEN!$D$7)</f>
        <v>#NUM!</v>
      </c>
      <c r="AJ87" s="118">
        <f>_xlfn.DAYS(AH87,RESUMEN!$D$7)</f>
        <v>-43238</v>
      </c>
      <c r="AK87" s="76"/>
      <c r="AL87" s="73"/>
      <c r="AM87" s="73"/>
      <c r="AN87" s="116" t="e">
        <f t="shared" si="10"/>
        <v>#DIV/0!</v>
      </c>
      <c r="AO87" s="83"/>
      <c r="AP87" s="115"/>
      <c r="AQ87" s="118" t="e">
        <f>WEEKNUM(AP87-RESUMEN!$D$7)</f>
        <v>#NUM!</v>
      </c>
      <c r="AR87" s="118">
        <f>_xlfn.DAYS(AP87,RESUMEN!$D$7)</f>
        <v>-43238</v>
      </c>
      <c r="AS87" s="76"/>
      <c r="AT87" s="73"/>
      <c r="AU87" s="73"/>
      <c r="AV87" s="116" t="e">
        <f t="shared" si="11"/>
        <v>#DIV/0!</v>
      </c>
      <c r="AW87" s="83"/>
    </row>
    <row r="88" spans="2:49" x14ac:dyDescent="0.25">
      <c r="B88" s="115"/>
      <c r="C88" s="118" t="e">
        <f>WEEKNUM(B88-RESUMEN!$D$7)</f>
        <v>#NUM!</v>
      </c>
      <c r="D88" s="118">
        <f>_xlfn.DAYS(B88,RESUMEN!$D$7)</f>
        <v>-43238</v>
      </c>
      <c r="E88" s="76"/>
      <c r="F88" s="73"/>
      <c r="G88" s="73"/>
      <c r="H88" s="116" t="e">
        <f t="shared" si="6"/>
        <v>#DIV/0!</v>
      </c>
      <c r="I88" s="83"/>
      <c r="J88" s="115"/>
      <c r="K88" s="118" t="e">
        <f>WEEKNUM(J88-RESUMEN!$D$7)</f>
        <v>#NUM!</v>
      </c>
      <c r="L88" s="118">
        <f>_xlfn.DAYS(J88,RESUMEN!$D$7)</f>
        <v>-43238</v>
      </c>
      <c r="M88" s="76"/>
      <c r="N88" s="73"/>
      <c r="O88" s="73"/>
      <c r="P88" s="116" t="e">
        <f t="shared" si="7"/>
        <v>#DIV/0!</v>
      </c>
      <c r="Q88" s="83"/>
      <c r="R88" s="115"/>
      <c r="S88" s="118" t="e">
        <f>WEEKNUM(R88-RESUMEN!$D$7)</f>
        <v>#NUM!</v>
      </c>
      <c r="T88" s="118">
        <f>_xlfn.DAYS(R88,RESUMEN!$D$7)</f>
        <v>-43238</v>
      </c>
      <c r="U88" s="76"/>
      <c r="V88" s="73"/>
      <c r="W88" s="73"/>
      <c r="X88" s="116" t="e">
        <f t="shared" si="8"/>
        <v>#DIV/0!</v>
      </c>
      <c r="Y88" s="83"/>
      <c r="Z88" s="115"/>
      <c r="AA88" s="118">
        <f>Z88-RESUMEN!$D$7</f>
        <v>-43238</v>
      </c>
      <c r="AB88" s="118">
        <f>_xlfn.DAYS(Z88,RESUMEN!$D$7)</f>
        <v>-43238</v>
      </c>
      <c r="AC88" s="76"/>
      <c r="AD88" s="73"/>
      <c r="AE88" s="73"/>
      <c r="AF88" s="116" t="e">
        <f t="shared" si="9"/>
        <v>#DIV/0!</v>
      </c>
      <c r="AG88" s="83"/>
      <c r="AH88" s="115"/>
      <c r="AI88" s="118" t="e">
        <f>WEEKNUM(AH88-RESUMEN!$D$7)</f>
        <v>#NUM!</v>
      </c>
      <c r="AJ88" s="118">
        <f>_xlfn.DAYS(AH88,RESUMEN!$D$7)</f>
        <v>-43238</v>
      </c>
      <c r="AK88" s="76"/>
      <c r="AL88" s="73"/>
      <c r="AM88" s="73"/>
      <c r="AN88" s="116" t="e">
        <f t="shared" si="10"/>
        <v>#DIV/0!</v>
      </c>
      <c r="AO88" s="83"/>
      <c r="AP88" s="115"/>
      <c r="AQ88" s="118" t="e">
        <f>WEEKNUM(AP88-RESUMEN!$D$7)</f>
        <v>#NUM!</v>
      </c>
      <c r="AR88" s="118">
        <f>_xlfn.DAYS(AP88,RESUMEN!$D$7)</f>
        <v>-43238</v>
      </c>
      <c r="AS88" s="76"/>
      <c r="AT88" s="73"/>
      <c r="AU88" s="73"/>
      <c r="AV88" s="116" t="e">
        <f t="shared" si="11"/>
        <v>#DIV/0!</v>
      </c>
      <c r="AW88" s="83"/>
    </row>
    <row r="89" spans="2:49" x14ac:dyDescent="0.25">
      <c r="B89" s="115"/>
      <c r="C89" s="118" t="e">
        <f>WEEKNUM(B89-RESUMEN!$D$7)</f>
        <v>#NUM!</v>
      </c>
      <c r="D89" s="118">
        <f>_xlfn.DAYS(B89,RESUMEN!$D$7)</f>
        <v>-43238</v>
      </c>
      <c r="E89" s="76"/>
      <c r="F89" s="73"/>
      <c r="G89" s="73"/>
      <c r="H89" s="116" t="e">
        <f t="shared" si="6"/>
        <v>#DIV/0!</v>
      </c>
      <c r="I89" s="83"/>
      <c r="J89" s="115"/>
      <c r="K89" s="118" t="e">
        <f>WEEKNUM(J89-RESUMEN!$D$7)</f>
        <v>#NUM!</v>
      </c>
      <c r="L89" s="118">
        <f>_xlfn.DAYS(J89,RESUMEN!$D$7)</f>
        <v>-43238</v>
      </c>
      <c r="M89" s="76"/>
      <c r="N89" s="73"/>
      <c r="O89" s="73"/>
      <c r="P89" s="116" t="e">
        <f t="shared" si="7"/>
        <v>#DIV/0!</v>
      </c>
      <c r="Q89" s="83"/>
      <c r="R89" s="115"/>
      <c r="S89" s="118" t="e">
        <f>WEEKNUM(R89-RESUMEN!$D$7)</f>
        <v>#NUM!</v>
      </c>
      <c r="T89" s="118">
        <f>_xlfn.DAYS(R89,RESUMEN!$D$7)</f>
        <v>-43238</v>
      </c>
      <c r="U89" s="76"/>
      <c r="V89" s="73"/>
      <c r="W89" s="73"/>
      <c r="X89" s="116" t="e">
        <f t="shared" si="8"/>
        <v>#DIV/0!</v>
      </c>
      <c r="Y89" s="83"/>
      <c r="Z89" s="115"/>
      <c r="AA89" s="118">
        <f>Z89-RESUMEN!$D$7</f>
        <v>-43238</v>
      </c>
      <c r="AB89" s="118">
        <f>_xlfn.DAYS(Z89,RESUMEN!$D$7)</f>
        <v>-43238</v>
      </c>
      <c r="AC89" s="76"/>
      <c r="AD89" s="73"/>
      <c r="AE89" s="73"/>
      <c r="AF89" s="116" t="e">
        <f t="shared" si="9"/>
        <v>#DIV/0!</v>
      </c>
      <c r="AG89" s="83"/>
      <c r="AH89" s="115"/>
      <c r="AI89" s="118" t="e">
        <f>WEEKNUM(AH89-RESUMEN!$D$7)</f>
        <v>#NUM!</v>
      </c>
      <c r="AJ89" s="118">
        <f>_xlfn.DAYS(AH89,RESUMEN!$D$7)</f>
        <v>-43238</v>
      </c>
      <c r="AK89" s="76"/>
      <c r="AL89" s="73"/>
      <c r="AM89" s="73"/>
      <c r="AN89" s="116" t="e">
        <f t="shared" si="10"/>
        <v>#DIV/0!</v>
      </c>
      <c r="AO89" s="83"/>
      <c r="AP89" s="115"/>
      <c r="AQ89" s="118" t="e">
        <f>WEEKNUM(AP89-RESUMEN!$D$7)</f>
        <v>#NUM!</v>
      </c>
      <c r="AR89" s="118">
        <f>_xlfn.DAYS(AP89,RESUMEN!$D$7)</f>
        <v>-43238</v>
      </c>
      <c r="AS89" s="76"/>
      <c r="AT89" s="73"/>
      <c r="AU89" s="73"/>
      <c r="AV89" s="116" t="e">
        <f t="shared" si="11"/>
        <v>#DIV/0!</v>
      </c>
      <c r="AW89" s="83"/>
    </row>
    <row r="90" spans="2:49" x14ac:dyDescent="0.25">
      <c r="B90" s="115"/>
      <c r="C90" s="118" t="e">
        <f>WEEKNUM(B90-RESUMEN!$D$7)</f>
        <v>#NUM!</v>
      </c>
      <c r="D90" s="118">
        <f>_xlfn.DAYS(B90,RESUMEN!$D$7)</f>
        <v>-43238</v>
      </c>
      <c r="E90" s="76"/>
      <c r="F90" s="73"/>
      <c r="G90" s="73"/>
      <c r="H90" s="116" t="e">
        <f t="shared" si="6"/>
        <v>#DIV/0!</v>
      </c>
      <c r="I90" s="83"/>
      <c r="J90" s="115"/>
      <c r="K90" s="118" t="e">
        <f>WEEKNUM(J90-RESUMEN!$D$7)</f>
        <v>#NUM!</v>
      </c>
      <c r="L90" s="118">
        <f>_xlfn.DAYS(J90,RESUMEN!$D$7)</f>
        <v>-43238</v>
      </c>
      <c r="M90" s="76"/>
      <c r="N90" s="73"/>
      <c r="O90" s="73"/>
      <c r="P90" s="116" t="e">
        <f t="shared" si="7"/>
        <v>#DIV/0!</v>
      </c>
      <c r="Q90" s="83"/>
      <c r="R90" s="115"/>
      <c r="S90" s="118" t="e">
        <f>WEEKNUM(R90-RESUMEN!$D$7)</f>
        <v>#NUM!</v>
      </c>
      <c r="T90" s="118">
        <f>_xlfn.DAYS(R90,RESUMEN!$D$7)</f>
        <v>-43238</v>
      </c>
      <c r="U90" s="76"/>
      <c r="V90" s="73"/>
      <c r="W90" s="73"/>
      <c r="X90" s="116" t="e">
        <f t="shared" si="8"/>
        <v>#DIV/0!</v>
      </c>
      <c r="Y90" s="83"/>
      <c r="Z90" s="115"/>
      <c r="AA90" s="118">
        <f>Z90-RESUMEN!$D$7</f>
        <v>-43238</v>
      </c>
      <c r="AB90" s="118">
        <f>_xlfn.DAYS(Z90,RESUMEN!$D$7)</f>
        <v>-43238</v>
      </c>
      <c r="AC90" s="76"/>
      <c r="AD90" s="73"/>
      <c r="AE90" s="73"/>
      <c r="AF90" s="116" t="e">
        <f t="shared" si="9"/>
        <v>#DIV/0!</v>
      </c>
      <c r="AG90" s="83"/>
      <c r="AH90" s="115"/>
      <c r="AI90" s="118" t="e">
        <f>WEEKNUM(AH90-RESUMEN!$D$7)</f>
        <v>#NUM!</v>
      </c>
      <c r="AJ90" s="118">
        <f>_xlfn.DAYS(AH90,RESUMEN!$D$7)</f>
        <v>-43238</v>
      </c>
      <c r="AK90" s="76"/>
      <c r="AL90" s="73"/>
      <c r="AM90" s="73"/>
      <c r="AN90" s="116" t="e">
        <f t="shared" si="10"/>
        <v>#DIV/0!</v>
      </c>
      <c r="AO90" s="83"/>
      <c r="AP90" s="115"/>
      <c r="AQ90" s="118" t="e">
        <f>WEEKNUM(AP90-RESUMEN!$D$7)</f>
        <v>#NUM!</v>
      </c>
      <c r="AR90" s="118">
        <f>_xlfn.DAYS(AP90,RESUMEN!$D$7)</f>
        <v>-43238</v>
      </c>
      <c r="AS90" s="76"/>
      <c r="AT90" s="73"/>
      <c r="AU90" s="73"/>
      <c r="AV90" s="116" t="e">
        <f t="shared" si="11"/>
        <v>#DIV/0!</v>
      </c>
      <c r="AW90" s="83"/>
    </row>
    <row r="91" spans="2:49" x14ac:dyDescent="0.25">
      <c r="B91" s="115"/>
      <c r="C91" s="118" t="e">
        <f>WEEKNUM(B91-RESUMEN!$D$7)</f>
        <v>#NUM!</v>
      </c>
      <c r="D91" s="118">
        <f>_xlfn.DAYS(B91,RESUMEN!$D$7)</f>
        <v>-43238</v>
      </c>
      <c r="E91" s="76"/>
      <c r="F91" s="73"/>
      <c r="G91" s="73"/>
      <c r="H91" s="116" t="e">
        <f t="shared" si="6"/>
        <v>#DIV/0!</v>
      </c>
      <c r="I91" s="83"/>
      <c r="J91" s="115"/>
      <c r="K91" s="118" t="e">
        <f>WEEKNUM(J91-RESUMEN!$D$7)</f>
        <v>#NUM!</v>
      </c>
      <c r="L91" s="118">
        <f>_xlfn.DAYS(J91,RESUMEN!$D$7)</f>
        <v>-43238</v>
      </c>
      <c r="M91" s="76"/>
      <c r="N91" s="73"/>
      <c r="O91" s="73"/>
      <c r="P91" s="116" t="e">
        <f t="shared" si="7"/>
        <v>#DIV/0!</v>
      </c>
      <c r="Q91" s="83"/>
      <c r="R91" s="115"/>
      <c r="S91" s="118" t="e">
        <f>WEEKNUM(R91-RESUMEN!$D$7)</f>
        <v>#NUM!</v>
      </c>
      <c r="T91" s="118">
        <f>_xlfn.DAYS(R91,RESUMEN!$D$7)</f>
        <v>-43238</v>
      </c>
      <c r="U91" s="76"/>
      <c r="V91" s="73"/>
      <c r="W91" s="73"/>
      <c r="X91" s="116" t="e">
        <f t="shared" si="8"/>
        <v>#DIV/0!</v>
      </c>
      <c r="Y91" s="83"/>
      <c r="Z91" s="115"/>
      <c r="AA91" s="118">
        <f>Z91-RESUMEN!$D$7</f>
        <v>-43238</v>
      </c>
      <c r="AB91" s="118">
        <f>_xlfn.DAYS(Z91,RESUMEN!$D$7)</f>
        <v>-43238</v>
      </c>
      <c r="AC91" s="76"/>
      <c r="AD91" s="73"/>
      <c r="AE91" s="73"/>
      <c r="AF91" s="116" t="e">
        <f t="shared" si="9"/>
        <v>#DIV/0!</v>
      </c>
      <c r="AG91" s="83"/>
      <c r="AH91" s="115"/>
      <c r="AI91" s="118" t="e">
        <f>WEEKNUM(AH91-RESUMEN!$D$7)</f>
        <v>#NUM!</v>
      </c>
      <c r="AJ91" s="118">
        <f>_xlfn.DAYS(AH91,RESUMEN!$D$7)</f>
        <v>-43238</v>
      </c>
      <c r="AK91" s="76"/>
      <c r="AL91" s="73"/>
      <c r="AM91" s="73"/>
      <c r="AN91" s="116" t="e">
        <f t="shared" si="10"/>
        <v>#DIV/0!</v>
      </c>
      <c r="AO91" s="83"/>
      <c r="AP91" s="115"/>
      <c r="AQ91" s="118" t="e">
        <f>WEEKNUM(AP91-RESUMEN!$D$7)</f>
        <v>#NUM!</v>
      </c>
      <c r="AR91" s="118">
        <f>_xlfn.DAYS(AP91,RESUMEN!$D$7)</f>
        <v>-43238</v>
      </c>
      <c r="AS91" s="76"/>
      <c r="AT91" s="73"/>
      <c r="AU91" s="73"/>
      <c r="AV91" s="116" t="e">
        <f t="shared" si="11"/>
        <v>#DIV/0!</v>
      </c>
      <c r="AW91" s="83"/>
    </row>
    <row r="92" spans="2:49" x14ac:dyDescent="0.25">
      <c r="B92" s="115"/>
      <c r="C92" s="118" t="e">
        <f>WEEKNUM(B92-RESUMEN!$D$7)</f>
        <v>#NUM!</v>
      </c>
      <c r="D92" s="118">
        <f>_xlfn.DAYS(B92,RESUMEN!$D$7)</f>
        <v>-43238</v>
      </c>
      <c r="E92" s="76"/>
      <c r="F92" s="73"/>
      <c r="G92" s="73"/>
      <c r="H92" s="116" t="e">
        <f t="shared" si="6"/>
        <v>#DIV/0!</v>
      </c>
      <c r="I92" s="83"/>
      <c r="J92" s="115"/>
      <c r="K92" s="118" t="e">
        <f>WEEKNUM(J92-RESUMEN!$D$7)</f>
        <v>#NUM!</v>
      </c>
      <c r="L92" s="118">
        <f>_xlfn.DAYS(J92,RESUMEN!$D$7)</f>
        <v>-43238</v>
      </c>
      <c r="M92" s="76"/>
      <c r="N92" s="73"/>
      <c r="O92" s="73"/>
      <c r="P92" s="116" t="e">
        <f t="shared" si="7"/>
        <v>#DIV/0!</v>
      </c>
      <c r="Q92" s="83"/>
      <c r="R92" s="115"/>
      <c r="S92" s="118" t="e">
        <f>WEEKNUM(R92-RESUMEN!$D$7)</f>
        <v>#NUM!</v>
      </c>
      <c r="T92" s="118">
        <f>_xlfn.DAYS(R92,RESUMEN!$D$7)</f>
        <v>-43238</v>
      </c>
      <c r="U92" s="76"/>
      <c r="V92" s="73"/>
      <c r="W92" s="73"/>
      <c r="X92" s="116" t="e">
        <f t="shared" si="8"/>
        <v>#DIV/0!</v>
      </c>
      <c r="Y92" s="83"/>
      <c r="Z92" s="115"/>
      <c r="AA92" s="118">
        <f>Z92-RESUMEN!$D$7</f>
        <v>-43238</v>
      </c>
      <c r="AB92" s="118">
        <f>_xlfn.DAYS(Z92,RESUMEN!$D$7)</f>
        <v>-43238</v>
      </c>
      <c r="AC92" s="76"/>
      <c r="AD92" s="73"/>
      <c r="AE92" s="73"/>
      <c r="AF92" s="116" t="e">
        <f t="shared" si="9"/>
        <v>#DIV/0!</v>
      </c>
      <c r="AG92" s="83"/>
      <c r="AH92" s="115"/>
      <c r="AI92" s="118" t="e">
        <f>WEEKNUM(AH92-RESUMEN!$D$7)</f>
        <v>#NUM!</v>
      </c>
      <c r="AJ92" s="118">
        <f>_xlfn.DAYS(AH92,RESUMEN!$D$7)</f>
        <v>-43238</v>
      </c>
      <c r="AK92" s="76"/>
      <c r="AL92" s="73"/>
      <c r="AM92" s="73"/>
      <c r="AN92" s="116" t="e">
        <f t="shared" si="10"/>
        <v>#DIV/0!</v>
      </c>
      <c r="AO92" s="83"/>
      <c r="AP92" s="115"/>
      <c r="AQ92" s="118" t="e">
        <f>WEEKNUM(AP92-RESUMEN!$D$7)</f>
        <v>#NUM!</v>
      </c>
      <c r="AR92" s="118">
        <f>_xlfn.DAYS(AP92,RESUMEN!$D$7)</f>
        <v>-43238</v>
      </c>
      <c r="AS92" s="76"/>
      <c r="AT92" s="73"/>
      <c r="AU92" s="73"/>
      <c r="AV92" s="116" t="e">
        <f t="shared" si="11"/>
        <v>#DIV/0!</v>
      </c>
      <c r="AW92" s="83"/>
    </row>
    <row r="93" spans="2:49" x14ac:dyDescent="0.25">
      <c r="B93" s="115"/>
      <c r="C93" s="118" t="e">
        <f>WEEKNUM(B93-RESUMEN!$D$7)</f>
        <v>#NUM!</v>
      </c>
      <c r="D93" s="118">
        <f>_xlfn.DAYS(B93,RESUMEN!$D$7)</f>
        <v>-43238</v>
      </c>
      <c r="E93" s="76"/>
      <c r="F93" s="73"/>
      <c r="G93" s="73"/>
      <c r="H93" s="116" t="e">
        <f t="shared" si="6"/>
        <v>#DIV/0!</v>
      </c>
      <c r="I93" s="83"/>
      <c r="J93" s="115"/>
      <c r="K93" s="118" t="e">
        <f>WEEKNUM(J93-RESUMEN!$D$7)</f>
        <v>#NUM!</v>
      </c>
      <c r="L93" s="118">
        <f>_xlfn.DAYS(J93,RESUMEN!$D$7)</f>
        <v>-43238</v>
      </c>
      <c r="M93" s="76"/>
      <c r="N93" s="73"/>
      <c r="O93" s="73"/>
      <c r="P93" s="116" t="e">
        <f t="shared" si="7"/>
        <v>#DIV/0!</v>
      </c>
      <c r="Q93" s="83"/>
      <c r="R93" s="115"/>
      <c r="S93" s="118" t="e">
        <f>WEEKNUM(R93-RESUMEN!$D$7)</f>
        <v>#NUM!</v>
      </c>
      <c r="T93" s="118">
        <f>_xlfn.DAYS(R93,RESUMEN!$D$7)</f>
        <v>-43238</v>
      </c>
      <c r="U93" s="76"/>
      <c r="V93" s="73"/>
      <c r="W93" s="73"/>
      <c r="X93" s="116" t="e">
        <f t="shared" si="8"/>
        <v>#DIV/0!</v>
      </c>
      <c r="Y93" s="83"/>
      <c r="Z93" s="115"/>
      <c r="AA93" s="118">
        <f>Z93-RESUMEN!$D$7</f>
        <v>-43238</v>
      </c>
      <c r="AB93" s="118">
        <f>_xlfn.DAYS(Z93,RESUMEN!$D$7)</f>
        <v>-43238</v>
      </c>
      <c r="AC93" s="76"/>
      <c r="AD93" s="73"/>
      <c r="AE93" s="73"/>
      <c r="AF93" s="116" t="e">
        <f t="shared" si="9"/>
        <v>#DIV/0!</v>
      </c>
      <c r="AG93" s="83"/>
      <c r="AH93" s="115"/>
      <c r="AI93" s="118" t="e">
        <f>WEEKNUM(AH93-RESUMEN!$D$7)</f>
        <v>#NUM!</v>
      </c>
      <c r="AJ93" s="118">
        <f>_xlfn.DAYS(AH93,RESUMEN!$D$7)</f>
        <v>-43238</v>
      </c>
      <c r="AK93" s="76"/>
      <c r="AL93" s="73"/>
      <c r="AM93" s="73"/>
      <c r="AN93" s="116" t="e">
        <f t="shared" si="10"/>
        <v>#DIV/0!</v>
      </c>
      <c r="AO93" s="83"/>
      <c r="AP93" s="115"/>
      <c r="AQ93" s="118" t="e">
        <f>WEEKNUM(AP93-RESUMEN!$D$7)</f>
        <v>#NUM!</v>
      </c>
      <c r="AR93" s="118">
        <f>_xlfn.DAYS(AP93,RESUMEN!$D$7)</f>
        <v>-43238</v>
      </c>
      <c r="AS93" s="76"/>
      <c r="AT93" s="73"/>
      <c r="AU93" s="73"/>
      <c r="AV93" s="116" t="e">
        <f t="shared" si="11"/>
        <v>#DIV/0!</v>
      </c>
      <c r="AW93" s="83"/>
    </row>
    <row r="94" spans="2:49" x14ac:dyDescent="0.25">
      <c r="B94" s="115"/>
      <c r="C94" s="118" t="e">
        <f>WEEKNUM(B94-RESUMEN!$D$7)</f>
        <v>#NUM!</v>
      </c>
      <c r="D94" s="118">
        <f>_xlfn.DAYS(B94,RESUMEN!$D$7)</f>
        <v>-43238</v>
      </c>
      <c r="E94" s="76"/>
      <c r="F94" s="73"/>
      <c r="G94" s="73"/>
      <c r="H94" s="116" t="e">
        <f t="shared" si="6"/>
        <v>#DIV/0!</v>
      </c>
      <c r="I94" s="83"/>
      <c r="J94" s="115"/>
      <c r="K94" s="118" t="e">
        <f>WEEKNUM(J94-RESUMEN!$D$7)</f>
        <v>#NUM!</v>
      </c>
      <c r="L94" s="118">
        <f>_xlfn.DAYS(J94,RESUMEN!$D$7)</f>
        <v>-43238</v>
      </c>
      <c r="M94" s="76"/>
      <c r="N94" s="73"/>
      <c r="O94" s="73"/>
      <c r="P94" s="116" t="e">
        <f t="shared" si="7"/>
        <v>#DIV/0!</v>
      </c>
      <c r="Q94" s="83"/>
      <c r="R94" s="115"/>
      <c r="S94" s="118" t="e">
        <f>WEEKNUM(R94-RESUMEN!$D$7)</f>
        <v>#NUM!</v>
      </c>
      <c r="T94" s="118">
        <f>_xlfn.DAYS(R94,RESUMEN!$D$7)</f>
        <v>-43238</v>
      </c>
      <c r="U94" s="76"/>
      <c r="V94" s="73"/>
      <c r="W94" s="73"/>
      <c r="X94" s="116" t="e">
        <f t="shared" si="8"/>
        <v>#DIV/0!</v>
      </c>
      <c r="Y94" s="83"/>
      <c r="Z94" s="115"/>
      <c r="AA94" s="118">
        <f>Z94-RESUMEN!$D$7</f>
        <v>-43238</v>
      </c>
      <c r="AB94" s="118">
        <f>_xlfn.DAYS(Z94,RESUMEN!$D$7)</f>
        <v>-43238</v>
      </c>
      <c r="AC94" s="76"/>
      <c r="AD94" s="73"/>
      <c r="AE94" s="73"/>
      <c r="AF94" s="116" t="e">
        <f t="shared" si="9"/>
        <v>#DIV/0!</v>
      </c>
      <c r="AG94" s="83"/>
      <c r="AH94" s="115"/>
      <c r="AI94" s="118" t="e">
        <f>WEEKNUM(AH94-RESUMEN!$D$7)</f>
        <v>#NUM!</v>
      </c>
      <c r="AJ94" s="118">
        <f>_xlfn.DAYS(AH94,RESUMEN!$D$7)</f>
        <v>-43238</v>
      </c>
      <c r="AK94" s="76"/>
      <c r="AL94" s="73"/>
      <c r="AM94" s="73"/>
      <c r="AN94" s="116" t="e">
        <f t="shared" si="10"/>
        <v>#DIV/0!</v>
      </c>
      <c r="AO94" s="83"/>
      <c r="AP94" s="115"/>
      <c r="AQ94" s="118" t="e">
        <f>WEEKNUM(AP94-RESUMEN!$D$7)</f>
        <v>#NUM!</v>
      </c>
      <c r="AR94" s="118">
        <f>_xlfn.DAYS(AP94,RESUMEN!$D$7)</f>
        <v>-43238</v>
      </c>
      <c r="AS94" s="76"/>
      <c r="AT94" s="73"/>
      <c r="AU94" s="73"/>
      <c r="AV94" s="116" t="e">
        <f t="shared" si="11"/>
        <v>#DIV/0!</v>
      </c>
      <c r="AW94" s="83"/>
    </row>
    <row r="95" spans="2:49" x14ac:dyDescent="0.25">
      <c r="B95" s="115"/>
      <c r="C95" s="118" t="e">
        <f>WEEKNUM(B95-RESUMEN!$D$7)</f>
        <v>#NUM!</v>
      </c>
      <c r="D95" s="118">
        <f>_xlfn.DAYS(B95,RESUMEN!$D$7)</f>
        <v>-43238</v>
      </c>
      <c r="E95" s="76"/>
      <c r="F95" s="73"/>
      <c r="G95" s="73"/>
      <c r="H95" s="116" t="e">
        <f t="shared" si="6"/>
        <v>#DIV/0!</v>
      </c>
      <c r="I95" s="83"/>
      <c r="J95" s="115"/>
      <c r="K95" s="118" t="e">
        <f>WEEKNUM(J95-RESUMEN!$D$7)</f>
        <v>#NUM!</v>
      </c>
      <c r="L95" s="118">
        <f>_xlfn.DAYS(J95,RESUMEN!$D$7)</f>
        <v>-43238</v>
      </c>
      <c r="M95" s="76"/>
      <c r="N95" s="73"/>
      <c r="O95" s="73"/>
      <c r="P95" s="116" t="e">
        <f t="shared" si="7"/>
        <v>#DIV/0!</v>
      </c>
      <c r="Q95" s="83"/>
      <c r="R95" s="115"/>
      <c r="S95" s="118" t="e">
        <f>WEEKNUM(R95-RESUMEN!$D$7)</f>
        <v>#NUM!</v>
      </c>
      <c r="T95" s="118">
        <f>_xlfn.DAYS(R95,RESUMEN!$D$7)</f>
        <v>-43238</v>
      </c>
      <c r="U95" s="76"/>
      <c r="V95" s="73"/>
      <c r="W95" s="73"/>
      <c r="X95" s="116" t="e">
        <f t="shared" si="8"/>
        <v>#DIV/0!</v>
      </c>
      <c r="Y95" s="83"/>
      <c r="Z95" s="115"/>
      <c r="AA95" s="118">
        <f>Z95-RESUMEN!$D$7</f>
        <v>-43238</v>
      </c>
      <c r="AB95" s="118">
        <f>_xlfn.DAYS(Z95,RESUMEN!$D$7)</f>
        <v>-43238</v>
      </c>
      <c r="AC95" s="76"/>
      <c r="AD95" s="73"/>
      <c r="AE95" s="73"/>
      <c r="AF95" s="116" t="e">
        <f t="shared" si="9"/>
        <v>#DIV/0!</v>
      </c>
      <c r="AG95" s="83"/>
      <c r="AH95" s="115"/>
      <c r="AI95" s="118" t="e">
        <f>WEEKNUM(AH95-RESUMEN!$D$7)</f>
        <v>#NUM!</v>
      </c>
      <c r="AJ95" s="118">
        <f>_xlfn.DAYS(AH95,RESUMEN!$D$7)</f>
        <v>-43238</v>
      </c>
      <c r="AK95" s="76"/>
      <c r="AL95" s="73"/>
      <c r="AM95" s="73"/>
      <c r="AN95" s="116" t="e">
        <f t="shared" si="10"/>
        <v>#DIV/0!</v>
      </c>
      <c r="AO95" s="83"/>
      <c r="AP95" s="115"/>
      <c r="AQ95" s="118" t="e">
        <f>WEEKNUM(AP95-RESUMEN!$D$7)</f>
        <v>#NUM!</v>
      </c>
      <c r="AR95" s="118">
        <f>_xlfn.DAYS(AP95,RESUMEN!$D$7)</f>
        <v>-43238</v>
      </c>
      <c r="AS95" s="76"/>
      <c r="AT95" s="73"/>
      <c r="AU95" s="73"/>
      <c r="AV95" s="116" t="e">
        <f t="shared" si="11"/>
        <v>#DIV/0!</v>
      </c>
      <c r="AW95" s="83"/>
    </row>
    <row r="96" spans="2:49" x14ac:dyDescent="0.25">
      <c r="B96" s="115"/>
      <c r="C96" s="118" t="e">
        <f>WEEKNUM(B96-RESUMEN!$D$7)</f>
        <v>#NUM!</v>
      </c>
      <c r="D96" s="118">
        <f>_xlfn.DAYS(B96,RESUMEN!$D$7)</f>
        <v>-43238</v>
      </c>
      <c r="E96" s="76"/>
      <c r="F96" s="73"/>
      <c r="G96" s="73"/>
      <c r="H96" s="116" t="e">
        <f t="shared" si="6"/>
        <v>#DIV/0!</v>
      </c>
      <c r="I96" s="83"/>
      <c r="J96" s="115"/>
      <c r="K96" s="118" t="e">
        <f>WEEKNUM(J96-RESUMEN!$D$7)</f>
        <v>#NUM!</v>
      </c>
      <c r="L96" s="118">
        <f>_xlfn.DAYS(J96,RESUMEN!$D$7)</f>
        <v>-43238</v>
      </c>
      <c r="M96" s="76"/>
      <c r="N96" s="73"/>
      <c r="O96" s="73"/>
      <c r="P96" s="116" t="e">
        <f t="shared" si="7"/>
        <v>#DIV/0!</v>
      </c>
      <c r="Q96" s="83"/>
      <c r="R96" s="115"/>
      <c r="S96" s="118" t="e">
        <f>WEEKNUM(R96-RESUMEN!$D$7)</f>
        <v>#NUM!</v>
      </c>
      <c r="T96" s="118">
        <f>_xlfn.DAYS(R96,RESUMEN!$D$7)</f>
        <v>-43238</v>
      </c>
      <c r="U96" s="76"/>
      <c r="V96" s="73"/>
      <c r="W96" s="73"/>
      <c r="X96" s="116" t="e">
        <f t="shared" si="8"/>
        <v>#DIV/0!</v>
      </c>
      <c r="Y96" s="83"/>
      <c r="Z96" s="115"/>
      <c r="AA96" s="118">
        <f>Z96-RESUMEN!$D$7</f>
        <v>-43238</v>
      </c>
      <c r="AB96" s="118">
        <f>_xlfn.DAYS(Z96,RESUMEN!$D$7)</f>
        <v>-43238</v>
      </c>
      <c r="AC96" s="76"/>
      <c r="AD96" s="73"/>
      <c r="AE96" s="73"/>
      <c r="AF96" s="116" t="e">
        <f t="shared" si="9"/>
        <v>#DIV/0!</v>
      </c>
      <c r="AG96" s="83"/>
      <c r="AH96" s="115"/>
      <c r="AI96" s="118" t="e">
        <f>WEEKNUM(AH96-RESUMEN!$D$7)</f>
        <v>#NUM!</v>
      </c>
      <c r="AJ96" s="118">
        <f>_xlfn.DAYS(AH96,RESUMEN!$D$7)</f>
        <v>-43238</v>
      </c>
      <c r="AK96" s="76"/>
      <c r="AL96" s="73"/>
      <c r="AM96" s="73"/>
      <c r="AN96" s="116" t="e">
        <f t="shared" si="10"/>
        <v>#DIV/0!</v>
      </c>
      <c r="AO96" s="83"/>
      <c r="AP96" s="115"/>
      <c r="AQ96" s="118" t="e">
        <f>WEEKNUM(AP96-RESUMEN!$D$7)</f>
        <v>#NUM!</v>
      </c>
      <c r="AR96" s="118">
        <f>_xlfn.DAYS(AP96,RESUMEN!$D$7)</f>
        <v>-43238</v>
      </c>
      <c r="AS96" s="76"/>
      <c r="AT96" s="73"/>
      <c r="AU96" s="73"/>
      <c r="AV96" s="116" t="e">
        <f t="shared" si="11"/>
        <v>#DIV/0!</v>
      </c>
      <c r="AW96" s="83"/>
    </row>
    <row r="97" spans="2:49" x14ac:dyDescent="0.25">
      <c r="B97" s="115"/>
      <c r="C97" s="118" t="e">
        <f>WEEKNUM(B97-RESUMEN!$D$7)</f>
        <v>#NUM!</v>
      </c>
      <c r="D97" s="118">
        <f>_xlfn.DAYS(B97,RESUMEN!$D$7)</f>
        <v>-43238</v>
      </c>
      <c r="E97" s="76"/>
      <c r="F97" s="73"/>
      <c r="G97" s="73"/>
      <c r="H97" s="116" t="e">
        <f t="shared" si="6"/>
        <v>#DIV/0!</v>
      </c>
      <c r="I97" s="83"/>
      <c r="J97" s="115"/>
      <c r="K97" s="118" t="e">
        <f>WEEKNUM(J97-RESUMEN!$D$7)</f>
        <v>#NUM!</v>
      </c>
      <c r="L97" s="118">
        <f>_xlfn.DAYS(J97,RESUMEN!$D$7)</f>
        <v>-43238</v>
      </c>
      <c r="M97" s="76"/>
      <c r="N97" s="73"/>
      <c r="O97" s="73"/>
      <c r="P97" s="116" t="e">
        <f t="shared" si="7"/>
        <v>#DIV/0!</v>
      </c>
      <c r="Q97" s="83"/>
      <c r="R97" s="115"/>
      <c r="S97" s="118" t="e">
        <f>WEEKNUM(R97-RESUMEN!$D$7)</f>
        <v>#NUM!</v>
      </c>
      <c r="T97" s="118">
        <f>_xlfn.DAYS(R97,RESUMEN!$D$7)</f>
        <v>-43238</v>
      </c>
      <c r="U97" s="76"/>
      <c r="V97" s="73"/>
      <c r="W97" s="73"/>
      <c r="X97" s="116" t="e">
        <f t="shared" si="8"/>
        <v>#DIV/0!</v>
      </c>
      <c r="Y97" s="83"/>
      <c r="Z97" s="115"/>
      <c r="AA97" s="118">
        <f>Z97-RESUMEN!$D$7</f>
        <v>-43238</v>
      </c>
      <c r="AB97" s="118">
        <f>_xlfn.DAYS(Z97,RESUMEN!$D$7)</f>
        <v>-43238</v>
      </c>
      <c r="AC97" s="76"/>
      <c r="AD97" s="73"/>
      <c r="AE97" s="73"/>
      <c r="AF97" s="116" t="e">
        <f t="shared" si="9"/>
        <v>#DIV/0!</v>
      </c>
      <c r="AG97" s="83"/>
      <c r="AH97" s="115"/>
      <c r="AI97" s="118" t="e">
        <f>WEEKNUM(AH97-RESUMEN!$D$7)</f>
        <v>#NUM!</v>
      </c>
      <c r="AJ97" s="118">
        <f>_xlfn.DAYS(AH97,RESUMEN!$D$7)</f>
        <v>-43238</v>
      </c>
      <c r="AK97" s="76"/>
      <c r="AL97" s="73"/>
      <c r="AM97" s="73"/>
      <c r="AN97" s="116" t="e">
        <f t="shared" si="10"/>
        <v>#DIV/0!</v>
      </c>
      <c r="AO97" s="83"/>
      <c r="AP97" s="115"/>
      <c r="AQ97" s="118" t="e">
        <f>WEEKNUM(AP97-RESUMEN!$D$7)</f>
        <v>#NUM!</v>
      </c>
      <c r="AR97" s="118">
        <f>_xlfn.DAYS(AP97,RESUMEN!$D$7)</f>
        <v>-43238</v>
      </c>
      <c r="AS97" s="76"/>
      <c r="AT97" s="73"/>
      <c r="AU97" s="73"/>
      <c r="AV97" s="116" t="e">
        <f t="shared" si="11"/>
        <v>#DIV/0!</v>
      </c>
      <c r="AW97" s="83"/>
    </row>
    <row r="98" spans="2:49" x14ac:dyDescent="0.25">
      <c r="B98" s="115"/>
      <c r="C98" s="118" t="e">
        <f>WEEKNUM(B98-RESUMEN!$D$7)</f>
        <v>#NUM!</v>
      </c>
      <c r="D98" s="118">
        <f>_xlfn.DAYS(B98,RESUMEN!$D$7)</f>
        <v>-43238</v>
      </c>
      <c r="E98" s="76"/>
      <c r="F98" s="73"/>
      <c r="G98" s="73"/>
      <c r="H98" s="116" t="e">
        <f t="shared" si="6"/>
        <v>#DIV/0!</v>
      </c>
      <c r="I98" s="83"/>
      <c r="J98" s="115"/>
      <c r="K98" s="118" t="e">
        <f>WEEKNUM(J98-RESUMEN!$D$7)</f>
        <v>#NUM!</v>
      </c>
      <c r="L98" s="118">
        <f>_xlfn.DAYS(J98,RESUMEN!$D$7)</f>
        <v>-43238</v>
      </c>
      <c r="M98" s="76"/>
      <c r="N98" s="73"/>
      <c r="O98" s="73"/>
      <c r="P98" s="116" t="e">
        <f t="shared" si="7"/>
        <v>#DIV/0!</v>
      </c>
      <c r="Q98" s="83"/>
      <c r="R98" s="115"/>
      <c r="S98" s="118" t="e">
        <f>WEEKNUM(R98-RESUMEN!$D$7)</f>
        <v>#NUM!</v>
      </c>
      <c r="T98" s="118">
        <f>_xlfn.DAYS(R98,RESUMEN!$D$7)</f>
        <v>-43238</v>
      </c>
      <c r="U98" s="76"/>
      <c r="V98" s="73"/>
      <c r="W98" s="73"/>
      <c r="X98" s="116" t="e">
        <f t="shared" si="8"/>
        <v>#DIV/0!</v>
      </c>
      <c r="Y98" s="83"/>
      <c r="Z98" s="115"/>
      <c r="AA98" s="118">
        <f>Z98-RESUMEN!$D$7</f>
        <v>-43238</v>
      </c>
      <c r="AB98" s="118">
        <f>_xlfn.DAYS(Z98,RESUMEN!$D$7)</f>
        <v>-43238</v>
      </c>
      <c r="AC98" s="76"/>
      <c r="AD98" s="73"/>
      <c r="AE98" s="73"/>
      <c r="AF98" s="116" t="e">
        <f t="shared" si="9"/>
        <v>#DIV/0!</v>
      </c>
      <c r="AG98" s="83"/>
      <c r="AH98" s="115"/>
      <c r="AI98" s="118" t="e">
        <f>WEEKNUM(AH98-RESUMEN!$D$7)</f>
        <v>#NUM!</v>
      </c>
      <c r="AJ98" s="118">
        <f>_xlfn.DAYS(AH98,RESUMEN!$D$7)</f>
        <v>-43238</v>
      </c>
      <c r="AK98" s="76"/>
      <c r="AL98" s="73"/>
      <c r="AM98" s="73"/>
      <c r="AN98" s="116" t="e">
        <f t="shared" si="10"/>
        <v>#DIV/0!</v>
      </c>
      <c r="AO98" s="83"/>
      <c r="AP98" s="115"/>
      <c r="AQ98" s="118" t="e">
        <f>WEEKNUM(AP98-RESUMEN!$D$7)</f>
        <v>#NUM!</v>
      </c>
      <c r="AR98" s="118">
        <f>_xlfn.DAYS(AP98,RESUMEN!$D$7)</f>
        <v>-43238</v>
      </c>
      <c r="AS98" s="76"/>
      <c r="AT98" s="73"/>
      <c r="AU98" s="73"/>
      <c r="AV98" s="116" t="e">
        <f t="shared" si="11"/>
        <v>#DIV/0!</v>
      </c>
      <c r="AW98" s="83"/>
    </row>
    <row r="99" spans="2:49" x14ac:dyDescent="0.25">
      <c r="B99" s="115"/>
      <c r="C99" s="118" t="e">
        <f>WEEKNUM(B99-RESUMEN!$D$7)</f>
        <v>#NUM!</v>
      </c>
      <c r="D99" s="118">
        <f>_xlfn.DAYS(B99,RESUMEN!$D$7)</f>
        <v>-43238</v>
      </c>
      <c r="E99" s="76"/>
      <c r="F99" s="73"/>
      <c r="G99" s="73"/>
      <c r="H99" s="116" t="e">
        <f t="shared" si="6"/>
        <v>#DIV/0!</v>
      </c>
      <c r="I99" s="83"/>
      <c r="J99" s="115"/>
      <c r="K99" s="118" t="e">
        <f>WEEKNUM(J99-RESUMEN!$D$7)</f>
        <v>#NUM!</v>
      </c>
      <c r="L99" s="118">
        <f>_xlfn.DAYS(J99,RESUMEN!$D$7)</f>
        <v>-43238</v>
      </c>
      <c r="M99" s="76"/>
      <c r="N99" s="73"/>
      <c r="O99" s="73"/>
      <c r="P99" s="116" t="e">
        <f t="shared" si="7"/>
        <v>#DIV/0!</v>
      </c>
      <c r="Q99" s="83"/>
      <c r="R99" s="115"/>
      <c r="S99" s="118" t="e">
        <f>WEEKNUM(R99-RESUMEN!$D$7)</f>
        <v>#NUM!</v>
      </c>
      <c r="T99" s="118">
        <f>_xlfn.DAYS(R99,RESUMEN!$D$7)</f>
        <v>-43238</v>
      </c>
      <c r="U99" s="76"/>
      <c r="V99" s="73"/>
      <c r="W99" s="73"/>
      <c r="X99" s="116" t="e">
        <f t="shared" si="8"/>
        <v>#DIV/0!</v>
      </c>
      <c r="Y99" s="83"/>
      <c r="Z99" s="115"/>
      <c r="AA99" s="118">
        <f>Z99-RESUMEN!$D$7</f>
        <v>-43238</v>
      </c>
      <c r="AB99" s="118">
        <f>_xlfn.DAYS(Z99,RESUMEN!$D$7)</f>
        <v>-43238</v>
      </c>
      <c r="AC99" s="76"/>
      <c r="AD99" s="73"/>
      <c r="AE99" s="73"/>
      <c r="AF99" s="116" t="e">
        <f t="shared" si="9"/>
        <v>#DIV/0!</v>
      </c>
      <c r="AG99" s="83"/>
      <c r="AH99" s="115"/>
      <c r="AI99" s="118" t="e">
        <f>WEEKNUM(AH99-RESUMEN!$D$7)</f>
        <v>#NUM!</v>
      </c>
      <c r="AJ99" s="118">
        <f>_xlfn.DAYS(AH99,RESUMEN!$D$7)</f>
        <v>-43238</v>
      </c>
      <c r="AK99" s="76"/>
      <c r="AL99" s="73"/>
      <c r="AM99" s="73"/>
      <c r="AN99" s="116" t="e">
        <f t="shared" si="10"/>
        <v>#DIV/0!</v>
      </c>
      <c r="AO99" s="83"/>
      <c r="AP99" s="115"/>
      <c r="AQ99" s="118" t="e">
        <f>WEEKNUM(AP99-RESUMEN!$D$7)</f>
        <v>#NUM!</v>
      </c>
      <c r="AR99" s="118">
        <f>_xlfn.DAYS(AP99,RESUMEN!$D$7)</f>
        <v>-43238</v>
      </c>
      <c r="AS99" s="76"/>
      <c r="AT99" s="73"/>
      <c r="AU99" s="73"/>
      <c r="AV99" s="116" t="e">
        <f t="shared" si="11"/>
        <v>#DIV/0!</v>
      </c>
      <c r="AW99" s="83"/>
    </row>
    <row r="100" spans="2:49" x14ac:dyDescent="0.25">
      <c r="B100" s="115"/>
      <c r="C100" s="118" t="e">
        <f>WEEKNUM(B100-RESUMEN!$D$7)</f>
        <v>#NUM!</v>
      </c>
      <c r="D100" s="118">
        <f>_xlfn.DAYS(B100,RESUMEN!$D$7)</f>
        <v>-43238</v>
      </c>
      <c r="E100" s="76"/>
      <c r="F100" s="73"/>
      <c r="G100" s="73"/>
      <c r="H100" s="116" t="e">
        <f t="shared" si="6"/>
        <v>#DIV/0!</v>
      </c>
      <c r="I100" s="83"/>
      <c r="J100" s="115"/>
      <c r="K100" s="118" t="e">
        <f>WEEKNUM(J100-RESUMEN!$D$7)</f>
        <v>#NUM!</v>
      </c>
      <c r="L100" s="118">
        <f>_xlfn.DAYS(J100,RESUMEN!$D$7)</f>
        <v>-43238</v>
      </c>
      <c r="M100" s="76"/>
      <c r="N100" s="73"/>
      <c r="O100" s="73"/>
      <c r="P100" s="116" t="e">
        <f t="shared" si="7"/>
        <v>#DIV/0!</v>
      </c>
      <c r="Q100" s="83"/>
      <c r="R100" s="115"/>
      <c r="S100" s="118" t="e">
        <f>WEEKNUM(R100-RESUMEN!$D$7)</f>
        <v>#NUM!</v>
      </c>
      <c r="T100" s="118">
        <f>_xlfn.DAYS(R100,RESUMEN!$D$7)</f>
        <v>-43238</v>
      </c>
      <c r="U100" s="76"/>
      <c r="V100" s="73"/>
      <c r="W100" s="73"/>
      <c r="X100" s="116" t="e">
        <f t="shared" si="8"/>
        <v>#DIV/0!</v>
      </c>
      <c r="Y100" s="83"/>
      <c r="Z100" s="115"/>
      <c r="AA100" s="118">
        <f>Z100-RESUMEN!$D$7</f>
        <v>-43238</v>
      </c>
      <c r="AB100" s="118">
        <f>_xlfn.DAYS(Z100,RESUMEN!$D$7)</f>
        <v>-43238</v>
      </c>
      <c r="AC100" s="76"/>
      <c r="AD100" s="73"/>
      <c r="AE100" s="73"/>
      <c r="AF100" s="116" t="e">
        <f t="shared" si="9"/>
        <v>#DIV/0!</v>
      </c>
      <c r="AG100" s="83"/>
      <c r="AH100" s="115"/>
      <c r="AI100" s="118" t="e">
        <f>WEEKNUM(AH100-RESUMEN!$D$7)</f>
        <v>#NUM!</v>
      </c>
      <c r="AJ100" s="118">
        <f>_xlfn.DAYS(AH100,RESUMEN!$D$7)</f>
        <v>-43238</v>
      </c>
      <c r="AK100" s="76"/>
      <c r="AL100" s="73"/>
      <c r="AM100" s="73"/>
      <c r="AN100" s="116" t="e">
        <f t="shared" si="10"/>
        <v>#DIV/0!</v>
      </c>
      <c r="AO100" s="83"/>
      <c r="AP100" s="115"/>
      <c r="AQ100" s="118" t="e">
        <f>WEEKNUM(AP100-RESUMEN!$D$7)</f>
        <v>#NUM!</v>
      </c>
      <c r="AR100" s="118">
        <f>_xlfn.DAYS(AP100,RESUMEN!$D$7)</f>
        <v>-43238</v>
      </c>
      <c r="AS100" s="76"/>
      <c r="AT100" s="73"/>
      <c r="AU100" s="73"/>
      <c r="AV100" s="116" t="e">
        <f t="shared" si="11"/>
        <v>#DIV/0!</v>
      </c>
      <c r="AW100" s="83"/>
    </row>
    <row r="101" spans="2:49" x14ac:dyDescent="0.25">
      <c r="B101" s="115"/>
      <c r="C101" s="118" t="e">
        <f>WEEKNUM(B101-RESUMEN!$D$7)</f>
        <v>#NUM!</v>
      </c>
      <c r="D101" s="118">
        <f>_xlfn.DAYS(B101,RESUMEN!$D$7)</f>
        <v>-43238</v>
      </c>
      <c r="E101" s="76"/>
      <c r="F101" s="73"/>
      <c r="G101" s="73"/>
      <c r="H101" s="116" t="e">
        <f t="shared" si="6"/>
        <v>#DIV/0!</v>
      </c>
      <c r="I101" s="83"/>
      <c r="J101" s="115"/>
      <c r="K101" s="118" t="e">
        <f>WEEKNUM(J101-RESUMEN!$D$7)</f>
        <v>#NUM!</v>
      </c>
      <c r="L101" s="118">
        <f>_xlfn.DAYS(J101,RESUMEN!$D$7)</f>
        <v>-43238</v>
      </c>
      <c r="M101" s="76"/>
      <c r="N101" s="73"/>
      <c r="O101" s="73"/>
      <c r="P101" s="116" t="e">
        <f t="shared" si="7"/>
        <v>#DIV/0!</v>
      </c>
      <c r="Q101" s="83"/>
      <c r="R101" s="115"/>
      <c r="S101" s="118" t="e">
        <f>WEEKNUM(R101-RESUMEN!$D$7)</f>
        <v>#NUM!</v>
      </c>
      <c r="T101" s="118">
        <f>_xlfn.DAYS(R101,RESUMEN!$D$7)</f>
        <v>-43238</v>
      </c>
      <c r="U101" s="76"/>
      <c r="V101" s="73"/>
      <c r="W101" s="73"/>
      <c r="X101" s="116" t="e">
        <f t="shared" si="8"/>
        <v>#DIV/0!</v>
      </c>
      <c r="Y101" s="83"/>
      <c r="Z101" s="115"/>
      <c r="AA101" s="118">
        <f>Z101-RESUMEN!$D$7</f>
        <v>-43238</v>
      </c>
      <c r="AB101" s="118">
        <f>_xlfn.DAYS(Z101,RESUMEN!$D$7)</f>
        <v>-43238</v>
      </c>
      <c r="AC101" s="76"/>
      <c r="AD101" s="73"/>
      <c r="AE101" s="73"/>
      <c r="AF101" s="116" t="e">
        <f t="shared" si="9"/>
        <v>#DIV/0!</v>
      </c>
      <c r="AG101" s="83"/>
      <c r="AH101" s="115"/>
      <c r="AI101" s="118" t="e">
        <f>WEEKNUM(AH101-RESUMEN!$D$7)</f>
        <v>#NUM!</v>
      </c>
      <c r="AJ101" s="118">
        <f>_xlfn.DAYS(AH101,RESUMEN!$D$7)</f>
        <v>-43238</v>
      </c>
      <c r="AK101" s="76"/>
      <c r="AL101" s="73"/>
      <c r="AM101" s="73"/>
      <c r="AN101" s="116" t="e">
        <f t="shared" si="10"/>
        <v>#DIV/0!</v>
      </c>
      <c r="AO101" s="83"/>
      <c r="AP101" s="115"/>
      <c r="AQ101" s="118" t="e">
        <f>WEEKNUM(AP101-RESUMEN!$D$7)</f>
        <v>#NUM!</v>
      </c>
      <c r="AR101" s="118">
        <f>_xlfn.DAYS(AP101,RESUMEN!$D$7)</f>
        <v>-43238</v>
      </c>
      <c r="AS101" s="76"/>
      <c r="AT101" s="73"/>
      <c r="AU101" s="73"/>
      <c r="AV101" s="116" t="e">
        <f t="shared" si="11"/>
        <v>#DIV/0!</v>
      </c>
      <c r="AW101" s="83"/>
    </row>
    <row r="102" spans="2:49" x14ac:dyDescent="0.25">
      <c r="B102" s="115"/>
      <c r="C102" s="118" t="e">
        <f>WEEKNUM(B102-RESUMEN!$D$7)</f>
        <v>#NUM!</v>
      </c>
      <c r="D102" s="118">
        <f>_xlfn.DAYS(B102,RESUMEN!$D$7)</f>
        <v>-43238</v>
      </c>
      <c r="E102" s="76"/>
      <c r="F102" s="73"/>
      <c r="G102" s="73"/>
      <c r="H102" s="116" t="e">
        <f t="shared" si="6"/>
        <v>#DIV/0!</v>
      </c>
      <c r="I102" s="83"/>
      <c r="J102" s="115"/>
      <c r="K102" s="118" t="e">
        <f>WEEKNUM(J102-RESUMEN!$D$7)</f>
        <v>#NUM!</v>
      </c>
      <c r="L102" s="118">
        <f>_xlfn.DAYS(J102,RESUMEN!$D$7)</f>
        <v>-43238</v>
      </c>
      <c r="M102" s="76"/>
      <c r="N102" s="73"/>
      <c r="O102" s="73"/>
      <c r="P102" s="116" t="e">
        <f t="shared" si="7"/>
        <v>#DIV/0!</v>
      </c>
      <c r="Q102" s="83"/>
      <c r="R102" s="115"/>
      <c r="S102" s="118" t="e">
        <f>WEEKNUM(R102-RESUMEN!$D$7)</f>
        <v>#NUM!</v>
      </c>
      <c r="T102" s="118">
        <f>_xlfn.DAYS(R102,RESUMEN!$D$7)</f>
        <v>-43238</v>
      </c>
      <c r="U102" s="76"/>
      <c r="V102" s="73"/>
      <c r="W102" s="73"/>
      <c r="X102" s="116" t="e">
        <f t="shared" si="8"/>
        <v>#DIV/0!</v>
      </c>
      <c r="Y102" s="83"/>
      <c r="Z102" s="115"/>
      <c r="AA102" s="118">
        <f>Z102-RESUMEN!$D$7</f>
        <v>-43238</v>
      </c>
      <c r="AB102" s="118">
        <f>_xlfn.DAYS(Z102,RESUMEN!$D$7)</f>
        <v>-43238</v>
      </c>
      <c r="AC102" s="76"/>
      <c r="AD102" s="73"/>
      <c r="AE102" s="73"/>
      <c r="AF102" s="116" t="e">
        <f t="shared" si="9"/>
        <v>#DIV/0!</v>
      </c>
      <c r="AG102" s="83"/>
      <c r="AH102" s="115"/>
      <c r="AI102" s="118" t="e">
        <f>WEEKNUM(AH102-RESUMEN!$D$7)</f>
        <v>#NUM!</v>
      </c>
      <c r="AJ102" s="118">
        <f>_xlfn.DAYS(AH102,RESUMEN!$D$7)</f>
        <v>-43238</v>
      </c>
      <c r="AK102" s="76"/>
      <c r="AL102" s="73"/>
      <c r="AM102" s="73"/>
      <c r="AN102" s="116" t="e">
        <f t="shared" si="10"/>
        <v>#DIV/0!</v>
      </c>
      <c r="AO102" s="83"/>
      <c r="AP102" s="115"/>
      <c r="AQ102" s="118" t="e">
        <f>WEEKNUM(AP102-RESUMEN!$D$7)</f>
        <v>#NUM!</v>
      </c>
      <c r="AR102" s="118">
        <f>_xlfn.DAYS(AP102,RESUMEN!$D$7)</f>
        <v>-43238</v>
      </c>
      <c r="AS102" s="76"/>
      <c r="AT102" s="73"/>
      <c r="AU102" s="73"/>
      <c r="AV102" s="116" t="e">
        <f t="shared" si="11"/>
        <v>#DIV/0!</v>
      </c>
      <c r="AW102" s="83"/>
    </row>
    <row r="103" spans="2:49" x14ac:dyDescent="0.25">
      <c r="B103" s="115"/>
      <c r="C103" s="118" t="e">
        <f>WEEKNUM(B103-RESUMEN!$D$7)</f>
        <v>#NUM!</v>
      </c>
      <c r="D103" s="118">
        <f>_xlfn.DAYS(B103,RESUMEN!$D$7)</f>
        <v>-43238</v>
      </c>
      <c r="E103" s="76"/>
      <c r="F103" s="73"/>
      <c r="G103" s="73"/>
      <c r="H103" s="116" t="e">
        <f t="shared" si="6"/>
        <v>#DIV/0!</v>
      </c>
      <c r="I103" s="83"/>
      <c r="J103" s="115"/>
      <c r="K103" s="118" t="e">
        <f>WEEKNUM(J103-RESUMEN!$D$7)</f>
        <v>#NUM!</v>
      </c>
      <c r="L103" s="118">
        <f>_xlfn.DAYS(J103,RESUMEN!$D$7)</f>
        <v>-43238</v>
      </c>
      <c r="M103" s="76"/>
      <c r="N103" s="73"/>
      <c r="O103" s="73"/>
      <c r="P103" s="116" t="e">
        <f t="shared" si="7"/>
        <v>#DIV/0!</v>
      </c>
      <c r="Q103" s="83"/>
      <c r="R103" s="115"/>
      <c r="S103" s="118" t="e">
        <f>WEEKNUM(R103-RESUMEN!$D$7)</f>
        <v>#NUM!</v>
      </c>
      <c r="T103" s="118">
        <f>_xlfn.DAYS(R103,RESUMEN!$D$7)</f>
        <v>-43238</v>
      </c>
      <c r="U103" s="76"/>
      <c r="V103" s="73"/>
      <c r="W103" s="73"/>
      <c r="X103" s="116" t="e">
        <f t="shared" si="8"/>
        <v>#DIV/0!</v>
      </c>
      <c r="Y103" s="83"/>
      <c r="Z103" s="115"/>
      <c r="AA103" s="118">
        <f>Z103-RESUMEN!$D$7</f>
        <v>-43238</v>
      </c>
      <c r="AB103" s="118">
        <f>_xlfn.DAYS(Z103,RESUMEN!$D$7)</f>
        <v>-43238</v>
      </c>
      <c r="AC103" s="76"/>
      <c r="AD103" s="73"/>
      <c r="AE103" s="73"/>
      <c r="AF103" s="116" t="e">
        <f t="shared" si="9"/>
        <v>#DIV/0!</v>
      </c>
      <c r="AG103" s="83"/>
      <c r="AH103" s="115"/>
      <c r="AI103" s="118" t="e">
        <f>WEEKNUM(AH103-RESUMEN!$D$7)</f>
        <v>#NUM!</v>
      </c>
      <c r="AJ103" s="118">
        <f>_xlfn.DAYS(AH103,RESUMEN!$D$7)</f>
        <v>-43238</v>
      </c>
      <c r="AK103" s="76"/>
      <c r="AL103" s="73"/>
      <c r="AM103" s="73"/>
      <c r="AN103" s="116" t="e">
        <f t="shared" si="10"/>
        <v>#DIV/0!</v>
      </c>
      <c r="AO103" s="83"/>
      <c r="AP103" s="115"/>
      <c r="AQ103" s="118" t="e">
        <f>WEEKNUM(AP103-RESUMEN!$D$7)</f>
        <v>#NUM!</v>
      </c>
      <c r="AR103" s="118">
        <f>_xlfn.DAYS(AP103,RESUMEN!$D$7)</f>
        <v>-43238</v>
      </c>
      <c r="AS103" s="76"/>
      <c r="AT103" s="73"/>
      <c r="AU103" s="73"/>
      <c r="AV103" s="116" t="e">
        <f t="shared" si="11"/>
        <v>#DIV/0!</v>
      </c>
      <c r="AW103" s="83"/>
    </row>
    <row r="104" spans="2:49" x14ac:dyDescent="0.25">
      <c r="B104" s="115"/>
      <c r="C104" s="118" t="e">
        <f>WEEKNUM(B104-RESUMEN!$D$7)</f>
        <v>#NUM!</v>
      </c>
      <c r="D104" s="118">
        <f>_xlfn.DAYS(B104,RESUMEN!$D$7)</f>
        <v>-43238</v>
      </c>
      <c r="E104" s="76"/>
      <c r="F104" s="73"/>
      <c r="G104" s="73"/>
      <c r="H104" s="116" t="e">
        <f t="shared" si="6"/>
        <v>#DIV/0!</v>
      </c>
      <c r="I104" s="83"/>
      <c r="J104" s="115"/>
      <c r="K104" s="118" t="e">
        <f>WEEKNUM(J104-RESUMEN!$D$7)</f>
        <v>#NUM!</v>
      </c>
      <c r="L104" s="118">
        <f>_xlfn.DAYS(J104,RESUMEN!$D$7)</f>
        <v>-43238</v>
      </c>
      <c r="M104" s="76"/>
      <c r="N104" s="73"/>
      <c r="O104" s="73"/>
      <c r="P104" s="116" t="e">
        <f t="shared" si="7"/>
        <v>#DIV/0!</v>
      </c>
      <c r="Q104" s="83"/>
      <c r="R104" s="115"/>
      <c r="S104" s="118" t="e">
        <f>WEEKNUM(R104-RESUMEN!$D$7)</f>
        <v>#NUM!</v>
      </c>
      <c r="T104" s="118">
        <f>_xlfn.DAYS(R104,RESUMEN!$D$7)</f>
        <v>-43238</v>
      </c>
      <c r="U104" s="76"/>
      <c r="V104" s="73"/>
      <c r="W104" s="73"/>
      <c r="X104" s="116" t="e">
        <f t="shared" si="8"/>
        <v>#DIV/0!</v>
      </c>
      <c r="Y104" s="83"/>
      <c r="Z104" s="115"/>
      <c r="AA104" s="118">
        <f>Z104-RESUMEN!$D$7</f>
        <v>-43238</v>
      </c>
      <c r="AB104" s="118">
        <f>_xlfn.DAYS(Z104,RESUMEN!$D$7)</f>
        <v>-43238</v>
      </c>
      <c r="AC104" s="76"/>
      <c r="AD104" s="73"/>
      <c r="AE104" s="73"/>
      <c r="AF104" s="116" t="e">
        <f t="shared" si="9"/>
        <v>#DIV/0!</v>
      </c>
      <c r="AG104" s="83"/>
      <c r="AH104" s="115"/>
      <c r="AI104" s="118" t="e">
        <f>WEEKNUM(AH104-RESUMEN!$D$7)</f>
        <v>#NUM!</v>
      </c>
      <c r="AJ104" s="118">
        <f>_xlfn.DAYS(AH104,RESUMEN!$D$7)</f>
        <v>-43238</v>
      </c>
      <c r="AK104" s="76"/>
      <c r="AL104" s="73"/>
      <c r="AM104" s="73"/>
      <c r="AN104" s="116" t="e">
        <f t="shared" si="10"/>
        <v>#DIV/0!</v>
      </c>
      <c r="AO104" s="83"/>
      <c r="AP104" s="115"/>
      <c r="AQ104" s="118" t="e">
        <f>WEEKNUM(AP104-RESUMEN!$D$7)</f>
        <v>#NUM!</v>
      </c>
      <c r="AR104" s="118">
        <f>_xlfn.DAYS(AP104,RESUMEN!$D$7)</f>
        <v>-43238</v>
      </c>
      <c r="AS104" s="76"/>
      <c r="AT104" s="73"/>
      <c r="AU104" s="73"/>
      <c r="AV104" s="116" t="e">
        <f t="shared" si="11"/>
        <v>#DIV/0!</v>
      </c>
      <c r="AW104" s="83"/>
    </row>
    <row r="105" spans="2:49" x14ac:dyDescent="0.25">
      <c r="B105" s="115"/>
      <c r="C105" s="118" t="e">
        <f>WEEKNUM(B105-RESUMEN!$D$7)</f>
        <v>#NUM!</v>
      </c>
      <c r="D105" s="118">
        <f>_xlfn.DAYS(B105,RESUMEN!$D$7)</f>
        <v>-43238</v>
      </c>
      <c r="E105" s="76"/>
      <c r="F105" s="73"/>
      <c r="G105" s="73"/>
      <c r="H105" s="116" t="e">
        <f t="shared" si="6"/>
        <v>#DIV/0!</v>
      </c>
      <c r="I105" s="83"/>
      <c r="J105" s="115"/>
      <c r="K105" s="118" t="e">
        <f>WEEKNUM(J105-RESUMEN!$D$7)</f>
        <v>#NUM!</v>
      </c>
      <c r="L105" s="118">
        <f>_xlfn.DAYS(J105,RESUMEN!$D$7)</f>
        <v>-43238</v>
      </c>
      <c r="M105" s="76"/>
      <c r="N105" s="73"/>
      <c r="O105" s="73"/>
      <c r="P105" s="116" t="e">
        <f t="shared" si="7"/>
        <v>#DIV/0!</v>
      </c>
      <c r="Q105" s="83"/>
      <c r="R105" s="115"/>
      <c r="S105" s="118" t="e">
        <f>WEEKNUM(R105-RESUMEN!$D$7)</f>
        <v>#NUM!</v>
      </c>
      <c r="T105" s="118">
        <f>_xlfn.DAYS(R105,RESUMEN!$D$7)</f>
        <v>-43238</v>
      </c>
      <c r="U105" s="76"/>
      <c r="V105" s="73"/>
      <c r="W105" s="73"/>
      <c r="X105" s="116" t="e">
        <f t="shared" si="8"/>
        <v>#DIV/0!</v>
      </c>
      <c r="Y105" s="83"/>
      <c r="Z105" s="115"/>
      <c r="AA105" s="118">
        <f>Z105-RESUMEN!$D$7</f>
        <v>-43238</v>
      </c>
      <c r="AB105" s="118">
        <f>_xlfn.DAYS(Z105,RESUMEN!$D$7)</f>
        <v>-43238</v>
      </c>
      <c r="AC105" s="76"/>
      <c r="AD105" s="73"/>
      <c r="AE105" s="73"/>
      <c r="AF105" s="116" t="e">
        <f t="shared" si="9"/>
        <v>#DIV/0!</v>
      </c>
      <c r="AG105" s="83"/>
      <c r="AH105" s="115"/>
      <c r="AI105" s="118" t="e">
        <f>WEEKNUM(AH105-RESUMEN!$D$7)</f>
        <v>#NUM!</v>
      </c>
      <c r="AJ105" s="118">
        <f>_xlfn.DAYS(AH105,RESUMEN!$D$7)</f>
        <v>-43238</v>
      </c>
      <c r="AK105" s="76"/>
      <c r="AL105" s="73"/>
      <c r="AM105" s="73"/>
      <c r="AN105" s="116" t="e">
        <f t="shared" si="10"/>
        <v>#DIV/0!</v>
      </c>
      <c r="AO105" s="83"/>
      <c r="AP105" s="115"/>
      <c r="AQ105" s="118" t="e">
        <f>WEEKNUM(AP105-RESUMEN!$D$7)</f>
        <v>#NUM!</v>
      </c>
      <c r="AR105" s="118">
        <f>_xlfn.DAYS(AP105,RESUMEN!$D$7)</f>
        <v>-43238</v>
      </c>
      <c r="AS105" s="76"/>
      <c r="AT105" s="73"/>
      <c r="AU105" s="73"/>
      <c r="AV105" s="116" t="e">
        <f t="shared" si="11"/>
        <v>#DIV/0!</v>
      </c>
      <c r="AW105" s="83"/>
    </row>
    <row r="106" spans="2:49" x14ac:dyDescent="0.25">
      <c r="B106" s="115"/>
      <c r="C106" s="118" t="e">
        <f>WEEKNUM(B106-RESUMEN!$D$7)</f>
        <v>#NUM!</v>
      </c>
      <c r="D106" s="118">
        <f>_xlfn.DAYS(B106,RESUMEN!$D$7)</f>
        <v>-43238</v>
      </c>
      <c r="E106" s="76"/>
      <c r="F106" s="73"/>
      <c r="G106" s="73"/>
      <c r="H106" s="116" t="e">
        <f t="shared" si="6"/>
        <v>#DIV/0!</v>
      </c>
      <c r="I106" s="83"/>
      <c r="J106" s="115"/>
      <c r="K106" s="118" t="e">
        <f>WEEKNUM(J106-RESUMEN!$D$7)</f>
        <v>#NUM!</v>
      </c>
      <c r="L106" s="118">
        <f>_xlfn.DAYS(J106,RESUMEN!$D$7)</f>
        <v>-43238</v>
      </c>
      <c r="M106" s="76"/>
      <c r="N106" s="73"/>
      <c r="O106" s="73"/>
      <c r="P106" s="116" t="e">
        <f t="shared" si="7"/>
        <v>#DIV/0!</v>
      </c>
      <c r="Q106" s="83"/>
      <c r="R106" s="115"/>
      <c r="S106" s="118" t="e">
        <f>WEEKNUM(R106-RESUMEN!$D$7)</f>
        <v>#NUM!</v>
      </c>
      <c r="T106" s="118">
        <f>_xlfn.DAYS(R106,RESUMEN!$D$7)</f>
        <v>-43238</v>
      </c>
      <c r="U106" s="76"/>
      <c r="V106" s="73"/>
      <c r="W106" s="73"/>
      <c r="X106" s="116" t="e">
        <f t="shared" si="8"/>
        <v>#DIV/0!</v>
      </c>
      <c r="Y106" s="83"/>
      <c r="Z106" s="115"/>
      <c r="AA106" s="118">
        <f>Z106-RESUMEN!$D$7</f>
        <v>-43238</v>
      </c>
      <c r="AB106" s="118">
        <f>_xlfn.DAYS(Z106,RESUMEN!$D$7)</f>
        <v>-43238</v>
      </c>
      <c r="AC106" s="76"/>
      <c r="AD106" s="73"/>
      <c r="AE106" s="73"/>
      <c r="AF106" s="116" t="e">
        <f t="shared" si="9"/>
        <v>#DIV/0!</v>
      </c>
      <c r="AG106" s="83"/>
      <c r="AH106" s="115"/>
      <c r="AI106" s="118" t="e">
        <f>WEEKNUM(AH106-RESUMEN!$D$7)</f>
        <v>#NUM!</v>
      </c>
      <c r="AJ106" s="118">
        <f>_xlfn.DAYS(AH106,RESUMEN!$D$7)</f>
        <v>-43238</v>
      </c>
      <c r="AK106" s="76"/>
      <c r="AL106" s="73"/>
      <c r="AM106" s="73"/>
      <c r="AN106" s="116" t="e">
        <f t="shared" si="10"/>
        <v>#DIV/0!</v>
      </c>
      <c r="AO106" s="83"/>
      <c r="AP106" s="115"/>
      <c r="AQ106" s="118" t="e">
        <f>WEEKNUM(AP106-RESUMEN!$D$7)</f>
        <v>#NUM!</v>
      </c>
      <c r="AR106" s="118">
        <f>_xlfn.DAYS(AP106,RESUMEN!$D$7)</f>
        <v>-43238</v>
      </c>
      <c r="AS106" s="76"/>
      <c r="AT106" s="73"/>
      <c r="AU106" s="73"/>
      <c r="AV106" s="116" t="e">
        <f t="shared" si="11"/>
        <v>#DIV/0!</v>
      </c>
      <c r="AW106" s="83"/>
    </row>
    <row r="107" spans="2:49" x14ac:dyDescent="0.25">
      <c r="B107" s="115"/>
      <c r="C107" s="118" t="e">
        <f>WEEKNUM(B107-RESUMEN!$D$7)</f>
        <v>#NUM!</v>
      </c>
      <c r="D107" s="118">
        <f>_xlfn.DAYS(B107,RESUMEN!$D$7)</f>
        <v>-43238</v>
      </c>
      <c r="E107" s="76"/>
      <c r="F107" s="73"/>
      <c r="G107" s="73"/>
      <c r="H107" s="116" t="e">
        <f t="shared" si="6"/>
        <v>#DIV/0!</v>
      </c>
      <c r="I107" s="83"/>
      <c r="J107" s="115"/>
      <c r="K107" s="118" t="e">
        <f>WEEKNUM(J107-RESUMEN!$D$7)</f>
        <v>#NUM!</v>
      </c>
      <c r="L107" s="118">
        <f>_xlfn.DAYS(J107,RESUMEN!$D$7)</f>
        <v>-43238</v>
      </c>
      <c r="M107" s="76"/>
      <c r="N107" s="73"/>
      <c r="O107" s="73"/>
      <c r="P107" s="116" t="e">
        <f t="shared" si="7"/>
        <v>#DIV/0!</v>
      </c>
      <c r="Q107" s="83"/>
      <c r="R107" s="115"/>
      <c r="S107" s="118" t="e">
        <f>WEEKNUM(R107-RESUMEN!$D$7)</f>
        <v>#NUM!</v>
      </c>
      <c r="T107" s="118">
        <f>_xlfn.DAYS(R107,RESUMEN!$D$7)</f>
        <v>-43238</v>
      </c>
      <c r="U107" s="76"/>
      <c r="V107" s="73"/>
      <c r="W107" s="73"/>
      <c r="X107" s="116" t="e">
        <f t="shared" si="8"/>
        <v>#DIV/0!</v>
      </c>
      <c r="Y107" s="83"/>
      <c r="Z107" s="115"/>
      <c r="AA107" s="118">
        <f>Z107-RESUMEN!$D$7</f>
        <v>-43238</v>
      </c>
      <c r="AB107" s="118">
        <f>_xlfn.DAYS(Z107,RESUMEN!$D$7)</f>
        <v>-43238</v>
      </c>
      <c r="AC107" s="76"/>
      <c r="AD107" s="73"/>
      <c r="AE107" s="73"/>
      <c r="AF107" s="116" t="e">
        <f t="shared" si="9"/>
        <v>#DIV/0!</v>
      </c>
      <c r="AG107" s="83"/>
      <c r="AH107" s="115"/>
      <c r="AI107" s="118" t="e">
        <f>WEEKNUM(AH107-RESUMEN!$D$7)</f>
        <v>#NUM!</v>
      </c>
      <c r="AJ107" s="118">
        <f>_xlfn.DAYS(AH107,RESUMEN!$D$7)</f>
        <v>-43238</v>
      </c>
      <c r="AK107" s="76"/>
      <c r="AL107" s="73"/>
      <c r="AM107" s="73"/>
      <c r="AN107" s="116" t="e">
        <f t="shared" si="10"/>
        <v>#DIV/0!</v>
      </c>
      <c r="AO107" s="83"/>
      <c r="AP107" s="115"/>
      <c r="AQ107" s="118" t="e">
        <f>WEEKNUM(AP107-RESUMEN!$D$7)</f>
        <v>#NUM!</v>
      </c>
      <c r="AR107" s="118">
        <f>_xlfn.DAYS(AP107,RESUMEN!$D$7)</f>
        <v>-43238</v>
      </c>
      <c r="AS107" s="76"/>
      <c r="AT107" s="73"/>
      <c r="AU107" s="73"/>
      <c r="AV107" s="116" t="e">
        <f t="shared" si="11"/>
        <v>#DIV/0!</v>
      </c>
      <c r="AW107" s="83"/>
    </row>
    <row r="108" spans="2:49" x14ac:dyDescent="0.25">
      <c r="B108" s="115"/>
      <c r="C108" s="118" t="e">
        <f>WEEKNUM(B108-RESUMEN!$D$7)</f>
        <v>#NUM!</v>
      </c>
      <c r="D108" s="118">
        <f>_xlfn.DAYS(B108,RESUMEN!$D$7)</f>
        <v>-43238</v>
      </c>
      <c r="E108" s="76"/>
      <c r="F108" s="73"/>
      <c r="G108" s="73"/>
      <c r="H108" s="116" t="e">
        <f t="shared" si="6"/>
        <v>#DIV/0!</v>
      </c>
      <c r="I108" s="83"/>
      <c r="J108" s="115"/>
      <c r="K108" s="118" t="e">
        <f>WEEKNUM(J108-RESUMEN!$D$7)</f>
        <v>#NUM!</v>
      </c>
      <c r="L108" s="118">
        <f>_xlfn.DAYS(J108,RESUMEN!$D$7)</f>
        <v>-43238</v>
      </c>
      <c r="M108" s="76"/>
      <c r="N108" s="73"/>
      <c r="O108" s="73"/>
      <c r="P108" s="116" t="e">
        <f t="shared" si="7"/>
        <v>#DIV/0!</v>
      </c>
      <c r="Q108" s="83"/>
      <c r="R108" s="115"/>
      <c r="S108" s="118" t="e">
        <f>WEEKNUM(R108-RESUMEN!$D$7)</f>
        <v>#NUM!</v>
      </c>
      <c r="T108" s="118">
        <f>_xlfn.DAYS(R108,RESUMEN!$D$7)</f>
        <v>-43238</v>
      </c>
      <c r="U108" s="76"/>
      <c r="V108" s="73"/>
      <c r="W108" s="73"/>
      <c r="X108" s="116" t="e">
        <f t="shared" si="8"/>
        <v>#DIV/0!</v>
      </c>
      <c r="Y108" s="83"/>
      <c r="Z108" s="115"/>
      <c r="AA108" s="118">
        <f>Z108-RESUMEN!$D$7</f>
        <v>-43238</v>
      </c>
      <c r="AB108" s="118">
        <f>_xlfn.DAYS(Z108,RESUMEN!$D$7)</f>
        <v>-43238</v>
      </c>
      <c r="AC108" s="76"/>
      <c r="AD108" s="73"/>
      <c r="AE108" s="73"/>
      <c r="AF108" s="116" t="e">
        <f t="shared" si="9"/>
        <v>#DIV/0!</v>
      </c>
      <c r="AG108" s="83"/>
      <c r="AH108" s="115"/>
      <c r="AI108" s="118" t="e">
        <f>WEEKNUM(AH108-RESUMEN!$D$7)</f>
        <v>#NUM!</v>
      </c>
      <c r="AJ108" s="118">
        <f>_xlfn.DAYS(AH108,RESUMEN!$D$7)</f>
        <v>-43238</v>
      </c>
      <c r="AK108" s="76"/>
      <c r="AL108" s="73"/>
      <c r="AM108" s="73"/>
      <c r="AN108" s="116" t="e">
        <f t="shared" si="10"/>
        <v>#DIV/0!</v>
      </c>
      <c r="AO108" s="83"/>
      <c r="AP108" s="115"/>
      <c r="AQ108" s="118" t="e">
        <f>WEEKNUM(AP108-RESUMEN!$D$7)</f>
        <v>#NUM!</v>
      </c>
      <c r="AR108" s="118">
        <f>_xlfn.DAYS(AP108,RESUMEN!$D$7)</f>
        <v>-43238</v>
      </c>
      <c r="AS108" s="76"/>
      <c r="AT108" s="73"/>
      <c r="AU108" s="73"/>
      <c r="AV108" s="116" t="e">
        <f t="shared" si="11"/>
        <v>#DIV/0!</v>
      </c>
      <c r="AW108" s="83"/>
    </row>
    <row r="109" spans="2:49" x14ac:dyDescent="0.25">
      <c r="B109" s="115"/>
      <c r="C109" s="118" t="e">
        <f>WEEKNUM(B109-RESUMEN!$D$7)</f>
        <v>#NUM!</v>
      </c>
      <c r="D109" s="118">
        <f>_xlfn.DAYS(B109,RESUMEN!$D$7)</f>
        <v>-43238</v>
      </c>
      <c r="E109" s="76"/>
      <c r="F109" s="73"/>
      <c r="G109" s="73"/>
      <c r="H109" s="116" t="e">
        <f t="shared" si="6"/>
        <v>#DIV/0!</v>
      </c>
      <c r="I109" s="83"/>
      <c r="J109" s="115"/>
      <c r="K109" s="118" t="e">
        <f>WEEKNUM(J109-RESUMEN!$D$7)</f>
        <v>#NUM!</v>
      </c>
      <c r="L109" s="118">
        <f>_xlfn.DAYS(J109,RESUMEN!$D$7)</f>
        <v>-43238</v>
      </c>
      <c r="M109" s="76"/>
      <c r="N109" s="73"/>
      <c r="O109" s="73"/>
      <c r="P109" s="116" t="e">
        <f t="shared" si="7"/>
        <v>#DIV/0!</v>
      </c>
      <c r="Q109" s="83"/>
      <c r="R109" s="115"/>
      <c r="S109" s="118" t="e">
        <f>WEEKNUM(R109-RESUMEN!$D$7)</f>
        <v>#NUM!</v>
      </c>
      <c r="T109" s="118">
        <f>_xlfn.DAYS(R109,RESUMEN!$D$7)</f>
        <v>-43238</v>
      </c>
      <c r="U109" s="76"/>
      <c r="V109" s="73"/>
      <c r="W109" s="73"/>
      <c r="X109" s="116" t="e">
        <f t="shared" si="8"/>
        <v>#DIV/0!</v>
      </c>
      <c r="Y109" s="83"/>
      <c r="Z109" s="115"/>
      <c r="AA109" s="118">
        <f>Z109-RESUMEN!$D$7</f>
        <v>-43238</v>
      </c>
      <c r="AB109" s="118">
        <f>_xlfn.DAYS(Z109,RESUMEN!$D$7)</f>
        <v>-43238</v>
      </c>
      <c r="AC109" s="76"/>
      <c r="AD109" s="73"/>
      <c r="AE109" s="73"/>
      <c r="AF109" s="116" t="e">
        <f t="shared" si="9"/>
        <v>#DIV/0!</v>
      </c>
      <c r="AG109" s="83"/>
      <c r="AH109" s="115"/>
      <c r="AI109" s="118" t="e">
        <f>WEEKNUM(AH109-RESUMEN!$D$7)</f>
        <v>#NUM!</v>
      </c>
      <c r="AJ109" s="118">
        <f>_xlfn.DAYS(AH109,RESUMEN!$D$7)</f>
        <v>-43238</v>
      </c>
      <c r="AK109" s="76"/>
      <c r="AL109" s="73"/>
      <c r="AM109" s="73"/>
      <c r="AN109" s="116" t="e">
        <f t="shared" si="10"/>
        <v>#DIV/0!</v>
      </c>
      <c r="AO109" s="83"/>
      <c r="AP109" s="115"/>
      <c r="AQ109" s="118" t="e">
        <f>WEEKNUM(AP109-RESUMEN!$D$7)</f>
        <v>#NUM!</v>
      </c>
      <c r="AR109" s="118">
        <f>_xlfn.DAYS(AP109,RESUMEN!$D$7)</f>
        <v>-43238</v>
      </c>
      <c r="AS109" s="76"/>
      <c r="AT109" s="73"/>
      <c r="AU109" s="73"/>
      <c r="AV109" s="116" t="e">
        <f t="shared" si="11"/>
        <v>#DIV/0!</v>
      </c>
      <c r="AW109" s="83"/>
    </row>
    <row r="110" spans="2:49" x14ac:dyDescent="0.25">
      <c r="B110" s="115"/>
      <c r="C110" s="118" t="e">
        <f>WEEKNUM(B110-RESUMEN!$D$7)</f>
        <v>#NUM!</v>
      </c>
      <c r="D110" s="118">
        <f>_xlfn.DAYS(B110,RESUMEN!$D$7)</f>
        <v>-43238</v>
      </c>
      <c r="E110" s="76"/>
      <c r="F110" s="73"/>
      <c r="G110" s="73"/>
      <c r="H110" s="116" t="e">
        <f t="shared" si="6"/>
        <v>#DIV/0!</v>
      </c>
      <c r="I110" s="83"/>
      <c r="J110" s="115"/>
      <c r="K110" s="118" t="e">
        <f>WEEKNUM(J110-RESUMEN!$D$7)</f>
        <v>#NUM!</v>
      </c>
      <c r="L110" s="118">
        <f>_xlfn.DAYS(J110,RESUMEN!$D$7)</f>
        <v>-43238</v>
      </c>
      <c r="M110" s="76"/>
      <c r="N110" s="73"/>
      <c r="O110" s="73"/>
      <c r="P110" s="116" t="e">
        <f t="shared" si="7"/>
        <v>#DIV/0!</v>
      </c>
      <c r="Q110" s="83"/>
      <c r="R110" s="115"/>
      <c r="S110" s="118" t="e">
        <f>WEEKNUM(R110-RESUMEN!$D$7)</f>
        <v>#NUM!</v>
      </c>
      <c r="T110" s="118">
        <f>_xlfn.DAYS(R110,RESUMEN!$D$7)</f>
        <v>-43238</v>
      </c>
      <c r="U110" s="76"/>
      <c r="V110" s="73"/>
      <c r="W110" s="73"/>
      <c r="X110" s="116" t="e">
        <f t="shared" si="8"/>
        <v>#DIV/0!</v>
      </c>
      <c r="Y110" s="83"/>
      <c r="Z110" s="115"/>
      <c r="AA110" s="118">
        <f>Z110-RESUMEN!$D$7</f>
        <v>-43238</v>
      </c>
      <c r="AB110" s="118">
        <f>_xlfn.DAYS(Z110,RESUMEN!$D$7)</f>
        <v>-43238</v>
      </c>
      <c r="AC110" s="76"/>
      <c r="AD110" s="73"/>
      <c r="AE110" s="73"/>
      <c r="AF110" s="116" t="e">
        <f t="shared" si="9"/>
        <v>#DIV/0!</v>
      </c>
      <c r="AG110" s="83"/>
      <c r="AH110" s="115"/>
      <c r="AI110" s="118" t="e">
        <f>WEEKNUM(AH110-RESUMEN!$D$7)</f>
        <v>#NUM!</v>
      </c>
      <c r="AJ110" s="118">
        <f>_xlfn.DAYS(AH110,RESUMEN!$D$7)</f>
        <v>-43238</v>
      </c>
      <c r="AK110" s="76"/>
      <c r="AL110" s="73"/>
      <c r="AM110" s="73"/>
      <c r="AN110" s="116" t="e">
        <f t="shared" si="10"/>
        <v>#DIV/0!</v>
      </c>
      <c r="AO110" s="83"/>
      <c r="AP110" s="115"/>
      <c r="AQ110" s="118" t="e">
        <f>WEEKNUM(AP110-RESUMEN!$D$7)</f>
        <v>#NUM!</v>
      </c>
      <c r="AR110" s="118">
        <f>_xlfn.DAYS(AP110,RESUMEN!$D$7)</f>
        <v>-43238</v>
      </c>
      <c r="AS110" s="76"/>
      <c r="AT110" s="73"/>
      <c r="AU110" s="73"/>
      <c r="AV110" s="116" t="e">
        <f t="shared" si="11"/>
        <v>#DIV/0!</v>
      </c>
      <c r="AW110" s="83"/>
    </row>
    <row r="111" spans="2:49" x14ac:dyDescent="0.25">
      <c r="B111" s="115"/>
      <c r="C111" s="118" t="e">
        <f>WEEKNUM(B111-RESUMEN!$D$7)</f>
        <v>#NUM!</v>
      </c>
      <c r="D111" s="118">
        <f>_xlfn.DAYS(B111,RESUMEN!$D$7)</f>
        <v>-43238</v>
      </c>
      <c r="E111" s="76"/>
      <c r="F111" s="73"/>
      <c r="G111" s="73"/>
      <c r="H111" s="116" t="e">
        <f t="shared" si="6"/>
        <v>#DIV/0!</v>
      </c>
      <c r="I111" s="83"/>
      <c r="J111" s="115"/>
      <c r="K111" s="118" t="e">
        <f>WEEKNUM(J111-RESUMEN!$D$7)</f>
        <v>#NUM!</v>
      </c>
      <c r="L111" s="118">
        <f>_xlfn.DAYS(J111,RESUMEN!$D$7)</f>
        <v>-43238</v>
      </c>
      <c r="M111" s="76"/>
      <c r="N111" s="73"/>
      <c r="O111" s="73"/>
      <c r="P111" s="116" t="e">
        <f t="shared" si="7"/>
        <v>#DIV/0!</v>
      </c>
      <c r="Q111" s="83"/>
      <c r="R111" s="115"/>
      <c r="S111" s="118" t="e">
        <f>WEEKNUM(R111-RESUMEN!$D$7)</f>
        <v>#NUM!</v>
      </c>
      <c r="T111" s="118">
        <f>_xlfn.DAYS(R111,RESUMEN!$D$7)</f>
        <v>-43238</v>
      </c>
      <c r="U111" s="76"/>
      <c r="V111" s="73"/>
      <c r="W111" s="73"/>
      <c r="X111" s="116" t="e">
        <f t="shared" si="8"/>
        <v>#DIV/0!</v>
      </c>
      <c r="Y111" s="83"/>
      <c r="Z111" s="115"/>
      <c r="AA111" s="118">
        <f>Z111-RESUMEN!$D$7</f>
        <v>-43238</v>
      </c>
      <c r="AB111" s="118">
        <f>_xlfn.DAYS(Z111,RESUMEN!$D$7)</f>
        <v>-43238</v>
      </c>
      <c r="AC111" s="76"/>
      <c r="AD111" s="73"/>
      <c r="AE111" s="73"/>
      <c r="AF111" s="116" t="e">
        <f t="shared" si="9"/>
        <v>#DIV/0!</v>
      </c>
      <c r="AG111" s="83"/>
      <c r="AH111" s="115"/>
      <c r="AI111" s="118" t="e">
        <f>WEEKNUM(AH111-RESUMEN!$D$7)</f>
        <v>#NUM!</v>
      </c>
      <c r="AJ111" s="118">
        <f>_xlfn.DAYS(AH111,RESUMEN!$D$7)</f>
        <v>-43238</v>
      </c>
      <c r="AK111" s="76"/>
      <c r="AL111" s="73"/>
      <c r="AM111" s="73"/>
      <c r="AN111" s="116" t="e">
        <f t="shared" si="10"/>
        <v>#DIV/0!</v>
      </c>
      <c r="AO111" s="83"/>
      <c r="AP111" s="115"/>
      <c r="AQ111" s="118" t="e">
        <f>WEEKNUM(AP111-RESUMEN!$D$7)</f>
        <v>#NUM!</v>
      </c>
      <c r="AR111" s="118">
        <f>_xlfn.DAYS(AP111,RESUMEN!$D$7)</f>
        <v>-43238</v>
      </c>
      <c r="AS111" s="76"/>
      <c r="AT111" s="73"/>
      <c r="AU111" s="73"/>
      <c r="AV111" s="116" t="e">
        <f t="shared" si="11"/>
        <v>#DIV/0!</v>
      </c>
      <c r="AW111" s="83"/>
    </row>
    <row r="112" spans="2:49" x14ac:dyDescent="0.25">
      <c r="B112" s="115"/>
      <c r="C112" s="118" t="e">
        <f>WEEKNUM(B112-RESUMEN!$D$7)</f>
        <v>#NUM!</v>
      </c>
      <c r="D112" s="118">
        <f>_xlfn.DAYS(B112,RESUMEN!$D$7)</f>
        <v>-43238</v>
      </c>
      <c r="E112" s="76"/>
      <c r="F112" s="73"/>
      <c r="G112" s="73"/>
      <c r="H112" s="116" t="e">
        <f t="shared" si="6"/>
        <v>#DIV/0!</v>
      </c>
      <c r="I112" s="83"/>
      <c r="J112" s="115"/>
      <c r="K112" s="118" t="e">
        <f>WEEKNUM(J112-RESUMEN!$D$7)</f>
        <v>#NUM!</v>
      </c>
      <c r="L112" s="118">
        <f>_xlfn.DAYS(J112,RESUMEN!$D$7)</f>
        <v>-43238</v>
      </c>
      <c r="M112" s="76"/>
      <c r="N112" s="73"/>
      <c r="O112" s="73"/>
      <c r="P112" s="116" t="e">
        <f t="shared" si="7"/>
        <v>#DIV/0!</v>
      </c>
      <c r="Q112" s="83"/>
      <c r="R112" s="115"/>
      <c r="S112" s="118" t="e">
        <f>WEEKNUM(R112-RESUMEN!$D$7)</f>
        <v>#NUM!</v>
      </c>
      <c r="T112" s="118">
        <f>_xlfn.DAYS(R112,RESUMEN!$D$7)</f>
        <v>-43238</v>
      </c>
      <c r="U112" s="76"/>
      <c r="V112" s="73"/>
      <c r="W112" s="73"/>
      <c r="X112" s="116" t="e">
        <f t="shared" si="8"/>
        <v>#DIV/0!</v>
      </c>
      <c r="Y112" s="83"/>
      <c r="Z112" s="115"/>
      <c r="AA112" s="118">
        <f>Z112-RESUMEN!$D$7</f>
        <v>-43238</v>
      </c>
      <c r="AB112" s="118">
        <f>_xlfn.DAYS(Z112,RESUMEN!$D$7)</f>
        <v>-43238</v>
      </c>
      <c r="AC112" s="76"/>
      <c r="AD112" s="73"/>
      <c r="AE112" s="73"/>
      <c r="AF112" s="116" t="e">
        <f t="shared" si="9"/>
        <v>#DIV/0!</v>
      </c>
      <c r="AG112" s="83"/>
      <c r="AH112" s="115"/>
      <c r="AI112" s="118" t="e">
        <f>WEEKNUM(AH112-RESUMEN!$D$7)</f>
        <v>#NUM!</v>
      </c>
      <c r="AJ112" s="118">
        <f>_xlfn.DAYS(AH112,RESUMEN!$D$7)</f>
        <v>-43238</v>
      </c>
      <c r="AK112" s="76"/>
      <c r="AL112" s="73"/>
      <c r="AM112" s="73"/>
      <c r="AN112" s="116" t="e">
        <f t="shared" si="10"/>
        <v>#DIV/0!</v>
      </c>
      <c r="AO112" s="83"/>
      <c r="AP112" s="115"/>
      <c r="AQ112" s="118" t="e">
        <f>WEEKNUM(AP112-RESUMEN!$D$7)</f>
        <v>#NUM!</v>
      </c>
      <c r="AR112" s="118">
        <f>_xlfn.DAYS(AP112,RESUMEN!$D$7)</f>
        <v>-43238</v>
      </c>
      <c r="AS112" s="76"/>
      <c r="AT112" s="73"/>
      <c r="AU112" s="73"/>
      <c r="AV112" s="116" t="e">
        <f t="shared" si="11"/>
        <v>#DIV/0!</v>
      </c>
      <c r="AW112" s="83"/>
    </row>
    <row r="113" spans="2:49" x14ac:dyDescent="0.25">
      <c r="B113" s="115"/>
      <c r="C113" s="118" t="e">
        <f>WEEKNUM(B113-RESUMEN!$D$7)</f>
        <v>#NUM!</v>
      </c>
      <c r="D113" s="118">
        <f>_xlfn.DAYS(B113,RESUMEN!$D$7)</f>
        <v>-43238</v>
      </c>
      <c r="E113" s="76"/>
      <c r="F113" s="73"/>
      <c r="G113" s="73"/>
      <c r="H113" s="116" t="e">
        <f t="shared" si="6"/>
        <v>#DIV/0!</v>
      </c>
      <c r="I113" s="83"/>
      <c r="J113" s="115"/>
      <c r="K113" s="118" t="e">
        <f>WEEKNUM(J113-RESUMEN!$D$7)</f>
        <v>#NUM!</v>
      </c>
      <c r="L113" s="118">
        <f>_xlfn.DAYS(J113,RESUMEN!$D$7)</f>
        <v>-43238</v>
      </c>
      <c r="M113" s="76"/>
      <c r="N113" s="73"/>
      <c r="O113" s="73"/>
      <c r="P113" s="116" t="e">
        <f t="shared" si="7"/>
        <v>#DIV/0!</v>
      </c>
      <c r="Q113" s="83"/>
      <c r="R113" s="115"/>
      <c r="S113" s="118" t="e">
        <f>WEEKNUM(R113-RESUMEN!$D$7)</f>
        <v>#NUM!</v>
      </c>
      <c r="T113" s="118">
        <f>_xlfn.DAYS(R113,RESUMEN!$D$7)</f>
        <v>-43238</v>
      </c>
      <c r="U113" s="76"/>
      <c r="V113" s="73"/>
      <c r="W113" s="73"/>
      <c r="X113" s="116" t="e">
        <f t="shared" si="8"/>
        <v>#DIV/0!</v>
      </c>
      <c r="Y113" s="83"/>
      <c r="Z113" s="115"/>
      <c r="AA113" s="118">
        <f>Z113-RESUMEN!$D$7</f>
        <v>-43238</v>
      </c>
      <c r="AB113" s="118">
        <f>_xlfn.DAYS(Z113,RESUMEN!$D$7)</f>
        <v>-43238</v>
      </c>
      <c r="AC113" s="76"/>
      <c r="AD113" s="73"/>
      <c r="AE113" s="73"/>
      <c r="AF113" s="116" t="e">
        <f t="shared" si="9"/>
        <v>#DIV/0!</v>
      </c>
      <c r="AG113" s="83"/>
      <c r="AH113" s="115"/>
      <c r="AI113" s="118" t="e">
        <f>WEEKNUM(AH113-RESUMEN!$D$7)</f>
        <v>#NUM!</v>
      </c>
      <c r="AJ113" s="118">
        <f>_xlfn.DAYS(AH113,RESUMEN!$D$7)</f>
        <v>-43238</v>
      </c>
      <c r="AK113" s="76"/>
      <c r="AL113" s="73"/>
      <c r="AM113" s="73"/>
      <c r="AN113" s="116" t="e">
        <f t="shared" si="10"/>
        <v>#DIV/0!</v>
      </c>
      <c r="AO113" s="83"/>
      <c r="AP113" s="115"/>
      <c r="AQ113" s="118" t="e">
        <f>WEEKNUM(AP113-RESUMEN!$D$7)</f>
        <v>#NUM!</v>
      </c>
      <c r="AR113" s="118">
        <f>_xlfn.DAYS(AP113,RESUMEN!$D$7)</f>
        <v>-43238</v>
      </c>
      <c r="AS113" s="76"/>
      <c r="AT113" s="73"/>
      <c r="AU113" s="73"/>
      <c r="AV113" s="116" t="e">
        <f t="shared" si="11"/>
        <v>#DIV/0!</v>
      </c>
      <c r="AW113" s="83"/>
    </row>
    <row r="114" spans="2:49" x14ac:dyDescent="0.25">
      <c r="B114" s="115"/>
      <c r="C114" s="118" t="e">
        <f>WEEKNUM(B114-RESUMEN!$D$7)</f>
        <v>#NUM!</v>
      </c>
      <c r="D114" s="118">
        <f>_xlfn.DAYS(B114,RESUMEN!$D$7)</f>
        <v>-43238</v>
      </c>
      <c r="E114" s="76"/>
      <c r="F114" s="73"/>
      <c r="G114" s="73"/>
      <c r="H114" s="116" t="e">
        <f t="shared" si="6"/>
        <v>#DIV/0!</v>
      </c>
      <c r="I114" s="83"/>
      <c r="J114" s="115"/>
      <c r="K114" s="118" t="e">
        <f>WEEKNUM(J114-RESUMEN!$D$7)</f>
        <v>#NUM!</v>
      </c>
      <c r="L114" s="118">
        <f>_xlfn.DAYS(J114,RESUMEN!$D$7)</f>
        <v>-43238</v>
      </c>
      <c r="M114" s="76"/>
      <c r="N114" s="73"/>
      <c r="O114" s="73"/>
      <c r="P114" s="116" t="e">
        <f t="shared" si="7"/>
        <v>#DIV/0!</v>
      </c>
      <c r="Q114" s="83"/>
      <c r="R114" s="115"/>
      <c r="S114" s="118" t="e">
        <f>WEEKNUM(R114-RESUMEN!$D$7)</f>
        <v>#NUM!</v>
      </c>
      <c r="T114" s="118">
        <f>_xlfn.DAYS(R114,RESUMEN!$D$7)</f>
        <v>-43238</v>
      </c>
      <c r="U114" s="76"/>
      <c r="V114" s="73"/>
      <c r="W114" s="73"/>
      <c r="X114" s="116" t="e">
        <f t="shared" si="8"/>
        <v>#DIV/0!</v>
      </c>
      <c r="Y114" s="83"/>
      <c r="Z114" s="115"/>
      <c r="AA114" s="118">
        <f>Z114-RESUMEN!$D$7</f>
        <v>-43238</v>
      </c>
      <c r="AB114" s="118">
        <f>_xlfn.DAYS(Z114,RESUMEN!$D$7)</f>
        <v>-43238</v>
      </c>
      <c r="AC114" s="76"/>
      <c r="AD114" s="73"/>
      <c r="AE114" s="73"/>
      <c r="AF114" s="116" t="e">
        <f t="shared" si="9"/>
        <v>#DIV/0!</v>
      </c>
      <c r="AG114" s="83"/>
      <c r="AH114" s="115"/>
      <c r="AI114" s="118" t="e">
        <f>WEEKNUM(AH114-RESUMEN!$D$7)</f>
        <v>#NUM!</v>
      </c>
      <c r="AJ114" s="118">
        <f>_xlfn.DAYS(AH114,RESUMEN!$D$7)</f>
        <v>-43238</v>
      </c>
      <c r="AK114" s="76"/>
      <c r="AL114" s="73"/>
      <c r="AM114" s="73"/>
      <c r="AN114" s="116" t="e">
        <f t="shared" si="10"/>
        <v>#DIV/0!</v>
      </c>
      <c r="AO114" s="83"/>
      <c r="AP114" s="115"/>
      <c r="AQ114" s="118" t="e">
        <f>WEEKNUM(AP114-RESUMEN!$D$7)</f>
        <v>#NUM!</v>
      </c>
      <c r="AR114" s="118">
        <f>_xlfn.DAYS(AP114,RESUMEN!$D$7)</f>
        <v>-43238</v>
      </c>
      <c r="AS114" s="76"/>
      <c r="AT114" s="73"/>
      <c r="AU114" s="73"/>
      <c r="AV114" s="116" t="e">
        <f t="shared" si="11"/>
        <v>#DIV/0!</v>
      </c>
      <c r="AW114" s="83"/>
    </row>
    <row r="115" spans="2:49" x14ac:dyDescent="0.25">
      <c r="B115" s="115"/>
      <c r="C115" s="118" t="e">
        <f>WEEKNUM(B115-RESUMEN!$D$7)</f>
        <v>#NUM!</v>
      </c>
      <c r="D115" s="118">
        <f>_xlfn.DAYS(B115,RESUMEN!$D$7)</f>
        <v>-43238</v>
      </c>
      <c r="E115" s="76"/>
      <c r="F115" s="73"/>
      <c r="G115" s="73"/>
      <c r="H115" s="116" t="e">
        <f t="shared" si="6"/>
        <v>#DIV/0!</v>
      </c>
      <c r="I115" s="83"/>
      <c r="J115" s="115"/>
      <c r="K115" s="118" t="e">
        <f>WEEKNUM(J115-RESUMEN!$D$7)</f>
        <v>#NUM!</v>
      </c>
      <c r="L115" s="118">
        <f>_xlfn.DAYS(J115,RESUMEN!$D$7)</f>
        <v>-43238</v>
      </c>
      <c r="M115" s="76"/>
      <c r="N115" s="73"/>
      <c r="O115" s="73"/>
      <c r="P115" s="116" t="e">
        <f t="shared" si="7"/>
        <v>#DIV/0!</v>
      </c>
      <c r="Q115" s="83"/>
      <c r="R115" s="115"/>
      <c r="S115" s="118" t="e">
        <f>WEEKNUM(R115-RESUMEN!$D$7)</f>
        <v>#NUM!</v>
      </c>
      <c r="T115" s="118">
        <f>_xlfn.DAYS(R115,RESUMEN!$D$7)</f>
        <v>-43238</v>
      </c>
      <c r="U115" s="76"/>
      <c r="V115" s="73"/>
      <c r="W115" s="73"/>
      <c r="X115" s="116" t="e">
        <f t="shared" si="8"/>
        <v>#DIV/0!</v>
      </c>
      <c r="Y115" s="83"/>
      <c r="Z115" s="115"/>
      <c r="AA115" s="118">
        <f>Z115-RESUMEN!$D$7</f>
        <v>-43238</v>
      </c>
      <c r="AB115" s="118">
        <f>_xlfn.DAYS(Z115,RESUMEN!$D$7)</f>
        <v>-43238</v>
      </c>
      <c r="AC115" s="76"/>
      <c r="AD115" s="73"/>
      <c r="AE115" s="73"/>
      <c r="AF115" s="116" t="e">
        <f t="shared" si="9"/>
        <v>#DIV/0!</v>
      </c>
      <c r="AG115" s="83"/>
      <c r="AH115" s="115"/>
      <c r="AI115" s="118" t="e">
        <f>WEEKNUM(AH115-RESUMEN!$D$7)</f>
        <v>#NUM!</v>
      </c>
      <c r="AJ115" s="118">
        <f>_xlfn.DAYS(AH115,RESUMEN!$D$7)</f>
        <v>-43238</v>
      </c>
      <c r="AK115" s="76"/>
      <c r="AL115" s="73"/>
      <c r="AM115" s="73"/>
      <c r="AN115" s="116" t="e">
        <f t="shared" si="10"/>
        <v>#DIV/0!</v>
      </c>
      <c r="AO115" s="83"/>
      <c r="AP115" s="115"/>
      <c r="AQ115" s="118" t="e">
        <f>WEEKNUM(AP115-RESUMEN!$D$7)</f>
        <v>#NUM!</v>
      </c>
      <c r="AR115" s="118">
        <f>_xlfn.DAYS(AP115,RESUMEN!$D$7)</f>
        <v>-43238</v>
      </c>
      <c r="AS115" s="76"/>
      <c r="AT115" s="73"/>
      <c r="AU115" s="73"/>
      <c r="AV115" s="116" t="e">
        <f t="shared" si="11"/>
        <v>#DIV/0!</v>
      </c>
      <c r="AW115" s="83"/>
    </row>
    <row r="116" spans="2:49" x14ac:dyDescent="0.25">
      <c r="B116" s="115"/>
      <c r="C116" s="118" t="e">
        <f>WEEKNUM(B116-RESUMEN!$D$7)</f>
        <v>#NUM!</v>
      </c>
      <c r="D116" s="118">
        <f>_xlfn.DAYS(B116,RESUMEN!$D$7)</f>
        <v>-43238</v>
      </c>
      <c r="E116" s="76"/>
      <c r="F116" s="73"/>
      <c r="G116" s="73"/>
      <c r="H116" s="116" t="e">
        <f t="shared" si="6"/>
        <v>#DIV/0!</v>
      </c>
      <c r="I116" s="83"/>
      <c r="J116" s="115"/>
      <c r="K116" s="118" t="e">
        <f>WEEKNUM(J116-RESUMEN!$D$7)</f>
        <v>#NUM!</v>
      </c>
      <c r="L116" s="118">
        <f>_xlfn.DAYS(J116,RESUMEN!$D$7)</f>
        <v>-43238</v>
      </c>
      <c r="M116" s="76"/>
      <c r="N116" s="73"/>
      <c r="O116" s="73"/>
      <c r="P116" s="116" t="e">
        <f t="shared" si="7"/>
        <v>#DIV/0!</v>
      </c>
      <c r="Q116" s="83"/>
      <c r="R116" s="115"/>
      <c r="S116" s="118" t="e">
        <f>WEEKNUM(R116-RESUMEN!$D$7)</f>
        <v>#NUM!</v>
      </c>
      <c r="T116" s="118">
        <f>_xlfn.DAYS(R116,RESUMEN!$D$7)</f>
        <v>-43238</v>
      </c>
      <c r="U116" s="76"/>
      <c r="V116" s="73"/>
      <c r="W116" s="73"/>
      <c r="X116" s="116" t="e">
        <f t="shared" si="8"/>
        <v>#DIV/0!</v>
      </c>
      <c r="Y116" s="83"/>
      <c r="Z116" s="115"/>
      <c r="AA116" s="118">
        <f>Z116-RESUMEN!$D$7</f>
        <v>-43238</v>
      </c>
      <c r="AB116" s="118">
        <f>_xlfn.DAYS(Z116,RESUMEN!$D$7)</f>
        <v>-43238</v>
      </c>
      <c r="AC116" s="76"/>
      <c r="AD116" s="73"/>
      <c r="AE116" s="73"/>
      <c r="AF116" s="116" t="e">
        <f t="shared" si="9"/>
        <v>#DIV/0!</v>
      </c>
      <c r="AG116" s="83"/>
      <c r="AH116" s="115"/>
      <c r="AI116" s="118" t="e">
        <f>WEEKNUM(AH116-RESUMEN!$D$7)</f>
        <v>#NUM!</v>
      </c>
      <c r="AJ116" s="118">
        <f>_xlfn.DAYS(AH116,RESUMEN!$D$7)</f>
        <v>-43238</v>
      </c>
      <c r="AK116" s="76"/>
      <c r="AL116" s="73"/>
      <c r="AM116" s="73"/>
      <c r="AN116" s="116" t="e">
        <f t="shared" si="10"/>
        <v>#DIV/0!</v>
      </c>
      <c r="AO116" s="83"/>
      <c r="AP116" s="115"/>
      <c r="AQ116" s="118" t="e">
        <f>WEEKNUM(AP116-RESUMEN!$D$7)</f>
        <v>#NUM!</v>
      </c>
      <c r="AR116" s="118">
        <f>_xlfn.DAYS(AP116,RESUMEN!$D$7)</f>
        <v>-43238</v>
      </c>
      <c r="AS116" s="76"/>
      <c r="AT116" s="73"/>
      <c r="AU116" s="73"/>
      <c r="AV116" s="116" t="e">
        <f t="shared" si="11"/>
        <v>#DIV/0!</v>
      </c>
      <c r="AW116" s="83"/>
    </row>
    <row r="117" spans="2:49" x14ac:dyDescent="0.25">
      <c r="B117" s="115"/>
      <c r="C117" s="118" t="e">
        <f>WEEKNUM(B117-RESUMEN!$D$7)</f>
        <v>#NUM!</v>
      </c>
      <c r="D117" s="118">
        <f>_xlfn.DAYS(B117,RESUMEN!$D$7)</f>
        <v>-43238</v>
      </c>
      <c r="E117" s="76"/>
      <c r="F117" s="73"/>
      <c r="G117" s="73"/>
      <c r="H117" s="116" t="e">
        <f t="shared" si="6"/>
        <v>#DIV/0!</v>
      </c>
      <c r="I117" s="83"/>
      <c r="J117" s="115"/>
      <c r="K117" s="118" t="e">
        <f>WEEKNUM(J117-RESUMEN!$D$7)</f>
        <v>#NUM!</v>
      </c>
      <c r="L117" s="118">
        <f>_xlfn.DAYS(J117,RESUMEN!$D$7)</f>
        <v>-43238</v>
      </c>
      <c r="M117" s="76"/>
      <c r="N117" s="73"/>
      <c r="O117" s="73"/>
      <c r="P117" s="116" t="e">
        <f t="shared" si="7"/>
        <v>#DIV/0!</v>
      </c>
      <c r="Q117" s="83"/>
      <c r="R117" s="115"/>
      <c r="S117" s="118" t="e">
        <f>WEEKNUM(R117-RESUMEN!$D$7)</f>
        <v>#NUM!</v>
      </c>
      <c r="T117" s="118">
        <f>_xlfn.DAYS(R117,RESUMEN!$D$7)</f>
        <v>-43238</v>
      </c>
      <c r="U117" s="76"/>
      <c r="V117" s="73"/>
      <c r="W117" s="73"/>
      <c r="X117" s="116" t="e">
        <f t="shared" si="8"/>
        <v>#DIV/0!</v>
      </c>
      <c r="Y117" s="83"/>
      <c r="Z117" s="115"/>
      <c r="AA117" s="118">
        <f>Z117-RESUMEN!$D$7</f>
        <v>-43238</v>
      </c>
      <c r="AB117" s="118">
        <f>_xlfn.DAYS(Z117,RESUMEN!$D$7)</f>
        <v>-43238</v>
      </c>
      <c r="AC117" s="76"/>
      <c r="AD117" s="73"/>
      <c r="AE117" s="73"/>
      <c r="AF117" s="116" t="e">
        <f t="shared" si="9"/>
        <v>#DIV/0!</v>
      </c>
      <c r="AG117" s="83"/>
      <c r="AH117" s="115"/>
      <c r="AI117" s="118" t="e">
        <f>WEEKNUM(AH117-RESUMEN!$D$7)</f>
        <v>#NUM!</v>
      </c>
      <c r="AJ117" s="118">
        <f>_xlfn.DAYS(AH117,RESUMEN!$D$7)</f>
        <v>-43238</v>
      </c>
      <c r="AK117" s="76"/>
      <c r="AL117" s="73"/>
      <c r="AM117" s="73"/>
      <c r="AN117" s="116" t="e">
        <f t="shared" si="10"/>
        <v>#DIV/0!</v>
      </c>
      <c r="AO117" s="83"/>
      <c r="AP117" s="115"/>
      <c r="AQ117" s="118" t="e">
        <f>WEEKNUM(AP117-RESUMEN!$D$7)</f>
        <v>#NUM!</v>
      </c>
      <c r="AR117" s="118">
        <f>_xlfn.DAYS(AP117,RESUMEN!$D$7)</f>
        <v>-43238</v>
      </c>
      <c r="AS117" s="76"/>
      <c r="AT117" s="73"/>
      <c r="AU117" s="73"/>
      <c r="AV117" s="116" t="e">
        <f t="shared" si="11"/>
        <v>#DIV/0!</v>
      </c>
      <c r="AW117" s="83"/>
    </row>
    <row r="118" spans="2:49" x14ac:dyDescent="0.25">
      <c r="B118" s="115"/>
      <c r="C118" s="118" t="e">
        <f>WEEKNUM(B118-RESUMEN!$D$7)</f>
        <v>#NUM!</v>
      </c>
      <c r="D118" s="118">
        <f>_xlfn.DAYS(B118,RESUMEN!$D$7)</f>
        <v>-43238</v>
      </c>
      <c r="E118" s="76"/>
      <c r="F118" s="73"/>
      <c r="G118" s="73"/>
      <c r="H118" s="116" t="e">
        <f t="shared" si="6"/>
        <v>#DIV/0!</v>
      </c>
      <c r="I118" s="83"/>
      <c r="J118" s="115"/>
      <c r="K118" s="118" t="e">
        <f>WEEKNUM(J118-RESUMEN!$D$7)</f>
        <v>#NUM!</v>
      </c>
      <c r="L118" s="118">
        <f>_xlfn.DAYS(J118,RESUMEN!$D$7)</f>
        <v>-43238</v>
      </c>
      <c r="M118" s="76"/>
      <c r="N118" s="73"/>
      <c r="O118" s="73"/>
      <c r="P118" s="116" t="e">
        <f t="shared" si="7"/>
        <v>#DIV/0!</v>
      </c>
      <c r="Q118" s="83"/>
      <c r="R118" s="115"/>
      <c r="S118" s="118" t="e">
        <f>WEEKNUM(R118-RESUMEN!$D$7)</f>
        <v>#NUM!</v>
      </c>
      <c r="T118" s="118">
        <f>_xlfn.DAYS(R118,RESUMEN!$D$7)</f>
        <v>-43238</v>
      </c>
      <c r="U118" s="76"/>
      <c r="V118" s="73"/>
      <c r="W118" s="73"/>
      <c r="X118" s="116" t="e">
        <f t="shared" si="8"/>
        <v>#DIV/0!</v>
      </c>
      <c r="Y118" s="83"/>
      <c r="Z118" s="115"/>
      <c r="AA118" s="118">
        <f>Z118-RESUMEN!$D$7</f>
        <v>-43238</v>
      </c>
      <c r="AB118" s="118">
        <f>_xlfn.DAYS(Z118,RESUMEN!$D$7)</f>
        <v>-43238</v>
      </c>
      <c r="AC118" s="76"/>
      <c r="AD118" s="73"/>
      <c r="AE118" s="73"/>
      <c r="AF118" s="116" t="e">
        <f t="shared" si="9"/>
        <v>#DIV/0!</v>
      </c>
      <c r="AG118" s="83"/>
      <c r="AH118" s="115"/>
      <c r="AI118" s="118" t="e">
        <f>WEEKNUM(AH118-RESUMEN!$D$7)</f>
        <v>#NUM!</v>
      </c>
      <c r="AJ118" s="118">
        <f>_xlfn.DAYS(AH118,RESUMEN!$D$7)</f>
        <v>-43238</v>
      </c>
      <c r="AK118" s="76"/>
      <c r="AL118" s="73"/>
      <c r="AM118" s="73"/>
      <c r="AN118" s="116" t="e">
        <f t="shared" si="10"/>
        <v>#DIV/0!</v>
      </c>
      <c r="AO118" s="83"/>
      <c r="AP118" s="115"/>
      <c r="AQ118" s="118" t="e">
        <f>WEEKNUM(AP118-RESUMEN!$D$7)</f>
        <v>#NUM!</v>
      </c>
      <c r="AR118" s="118">
        <f>_xlfn.DAYS(AP118,RESUMEN!$D$7)</f>
        <v>-43238</v>
      </c>
      <c r="AS118" s="76"/>
      <c r="AT118" s="73"/>
      <c r="AU118" s="73"/>
      <c r="AV118" s="116" t="e">
        <f t="shared" si="11"/>
        <v>#DIV/0!</v>
      </c>
      <c r="AW118" s="83"/>
    </row>
    <row r="119" spans="2:49" x14ac:dyDescent="0.25">
      <c r="B119" s="115"/>
      <c r="C119" s="118" t="e">
        <f>WEEKNUM(B119-RESUMEN!$D$7)</f>
        <v>#NUM!</v>
      </c>
      <c r="D119" s="118">
        <f>_xlfn.DAYS(B119,RESUMEN!$D$7)</f>
        <v>-43238</v>
      </c>
      <c r="E119" s="76"/>
      <c r="F119" s="73"/>
      <c r="G119" s="73"/>
      <c r="H119" s="116" t="e">
        <f t="shared" si="6"/>
        <v>#DIV/0!</v>
      </c>
      <c r="I119" s="83"/>
      <c r="J119" s="115"/>
      <c r="K119" s="118" t="e">
        <f>WEEKNUM(J119-RESUMEN!$D$7)</f>
        <v>#NUM!</v>
      </c>
      <c r="L119" s="118">
        <f>_xlfn.DAYS(J119,RESUMEN!$D$7)</f>
        <v>-43238</v>
      </c>
      <c r="M119" s="76"/>
      <c r="N119" s="73"/>
      <c r="O119" s="73"/>
      <c r="P119" s="116" t="e">
        <f t="shared" si="7"/>
        <v>#DIV/0!</v>
      </c>
      <c r="Q119" s="83"/>
      <c r="R119" s="115"/>
      <c r="S119" s="118" t="e">
        <f>WEEKNUM(R119-RESUMEN!$D$7)</f>
        <v>#NUM!</v>
      </c>
      <c r="T119" s="118">
        <f>_xlfn.DAYS(R119,RESUMEN!$D$7)</f>
        <v>-43238</v>
      </c>
      <c r="U119" s="76"/>
      <c r="V119" s="73"/>
      <c r="W119" s="73"/>
      <c r="X119" s="116" t="e">
        <f t="shared" si="8"/>
        <v>#DIV/0!</v>
      </c>
      <c r="Y119" s="83"/>
      <c r="Z119" s="115"/>
      <c r="AA119" s="118">
        <f>Z119-RESUMEN!$D$7</f>
        <v>-43238</v>
      </c>
      <c r="AB119" s="118">
        <f>_xlfn.DAYS(Z119,RESUMEN!$D$7)</f>
        <v>-43238</v>
      </c>
      <c r="AC119" s="76"/>
      <c r="AD119" s="73"/>
      <c r="AE119" s="73"/>
      <c r="AF119" s="116" t="e">
        <f t="shared" si="9"/>
        <v>#DIV/0!</v>
      </c>
      <c r="AG119" s="83"/>
      <c r="AH119" s="115"/>
      <c r="AI119" s="118" t="e">
        <f>WEEKNUM(AH119-RESUMEN!$D$7)</f>
        <v>#NUM!</v>
      </c>
      <c r="AJ119" s="118">
        <f>_xlfn.DAYS(AH119,RESUMEN!$D$7)</f>
        <v>-43238</v>
      </c>
      <c r="AK119" s="76"/>
      <c r="AL119" s="73"/>
      <c r="AM119" s="73"/>
      <c r="AN119" s="116" t="e">
        <f t="shared" si="10"/>
        <v>#DIV/0!</v>
      </c>
      <c r="AO119" s="83"/>
      <c r="AP119" s="115"/>
      <c r="AQ119" s="118" t="e">
        <f>WEEKNUM(AP119-RESUMEN!$D$7)</f>
        <v>#NUM!</v>
      </c>
      <c r="AR119" s="118">
        <f>_xlfn.DAYS(AP119,RESUMEN!$D$7)</f>
        <v>-43238</v>
      </c>
      <c r="AS119" s="76"/>
      <c r="AT119" s="73"/>
      <c r="AU119" s="73"/>
      <c r="AV119" s="116" t="e">
        <f t="shared" si="11"/>
        <v>#DIV/0!</v>
      </c>
      <c r="AW119" s="83"/>
    </row>
    <row r="120" spans="2:49" x14ac:dyDescent="0.25">
      <c r="B120" s="115"/>
      <c r="C120" s="118" t="e">
        <f>WEEKNUM(B120-RESUMEN!$D$7)</f>
        <v>#NUM!</v>
      </c>
      <c r="D120" s="118">
        <f>_xlfn.DAYS(B120,RESUMEN!$D$7)</f>
        <v>-43238</v>
      </c>
      <c r="E120" s="76"/>
      <c r="F120" s="73"/>
      <c r="G120" s="73"/>
      <c r="H120" s="116" t="e">
        <f t="shared" si="6"/>
        <v>#DIV/0!</v>
      </c>
      <c r="I120" s="83"/>
      <c r="J120" s="115"/>
      <c r="K120" s="118" t="e">
        <f>WEEKNUM(J120-RESUMEN!$D$7)</f>
        <v>#NUM!</v>
      </c>
      <c r="L120" s="118">
        <f>_xlfn.DAYS(J120,RESUMEN!$D$7)</f>
        <v>-43238</v>
      </c>
      <c r="M120" s="76"/>
      <c r="N120" s="73"/>
      <c r="O120" s="73"/>
      <c r="P120" s="116" t="e">
        <f t="shared" si="7"/>
        <v>#DIV/0!</v>
      </c>
      <c r="Q120" s="83"/>
      <c r="R120" s="115"/>
      <c r="S120" s="118" t="e">
        <f>WEEKNUM(R120-RESUMEN!$D$7)</f>
        <v>#NUM!</v>
      </c>
      <c r="T120" s="118">
        <f>_xlfn.DAYS(R120,RESUMEN!$D$7)</f>
        <v>-43238</v>
      </c>
      <c r="U120" s="76"/>
      <c r="V120" s="73"/>
      <c r="W120" s="73"/>
      <c r="X120" s="116" t="e">
        <f t="shared" si="8"/>
        <v>#DIV/0!</v>
      </c>
      <c r="Y120" s="83"/>
      <c r="Z120" s="115"/>
      <c r="AA120" s="118">
        <f>Z120-RESUMEN!$D$7</f>
        <v>-43238</v>
      </c>
      <c r="AB120" s="118">
        <f>_xlfn.DAYS(Z120,RESUMEN!$D$7)</f>
        <v>-43238</v>
      </c>
      <c r="AC120" s="76"/>
      <c r="AD120" s="73"/>
      <c r="AE120" s="73"/>
      <c r="AF120" s="116" t="e">
        <f t="shared" si="9"/>
        <v>#DIV/0!</v>
      </c>
      <c r="AG120" s="83"/>
      <c r="AH120" s="115"/>
      <c r="AI120" s="118" t="e">
        <f>WEEKNUM(AH120-RESUMEN!$D$7)</f>
        <v>#NUM!</v>
      </c>
      <c r="AJ120" s="118">
        <f>_xlfn.DAYS(AH120,RESUMEN!$D$7)</f>
        <v>-43238</v>
      </c>
      <c r="AK120" s="76"/>
      <c r="AL120" s="73"/>
      <c r="AM120" s="73"/>
      <c r="AN120" s="116" t="e">
        <f t="shared" si="10"/>
        <v>#DIV/0!</v>
      </c>
      <c r="AO120" s="83"/>
      <c r="AP120" s="115"/>
      <c r="AQ120" s="118" t="e">
        <f>WEEKNUM(AP120-RESUMEN!$D$7)</f>
        <v>#NUM!</v>
      </c>
      <c r="AR120" s="118">
        <f>_xlfn.DAYS(AP120,RESUMEN!$D$7)</f>
        <v>-43238</v>
      </c>
      <c r="AS120" s="76"/>
      <c r="AT120" s="73"/>
      <c r="AU120" s="73"/>
      <c r="AV120" s="116" t="e">
        <f t="shared" si="11"/>
        <v>#DIV/0!</v>
      </c>
      <c r="AW120" s="83"/>
    </row>
    <row r="121" spans="2:49" x14ac:dyDescent="0.25">
      <c r="B121" s="115"/>
      <c r="C121" s="118" t="e">
        <f>WEEKNUM(B121-RESUMEN!$D$7)</f>
        <v>#NUM!</v>
      </c>
      <c r="D121" s="118">
        <f>_xlfn.DAYS(B121,RESUMEN!$D$7)</f>
        <v>-43238</v>
      </c>
      <c r="E121" s="76"/>
      <c r="F121" s="73"/>
      <c r="G121" s="73"/>
      <c r="H121" s="116" t="e">
        <f t="shared" si="6"/>
        <v>#DIV/0!</v>
      </c>
      <c r="I121" s="83"/>
      <c r="J121" s="115"/>
      <c r="K121" s="118" t="e">
        <f>WEEKNUM(J121-RESUMEN!$D$7)</f>
        <v>#NUM!</v>
      </c>
      <c r="L121" s="118">
        <f>_xlfn.DAYS(J121,RESUMEN!$D$7)</f>
        <v>-43238</v>
      </c>
      <c r="M121" s="76"/>
      <c r="N121" s="73"/>
      <c r="O121" s="73"/>
      <c r="P121" s="116" t="e">
        <f t="shared" si="7"/>
        <v>#DIV/0!</v>
      </c>
      <c r="Q121" s="83"/>
      <c r="R121" s="115"/>
      <c r="S121" s="118" t="e">
        <f>WEEKNUM(R121-RESUMEN!$D$7)</f>
        <v>#NUM!</v>
      </c>
      <c r="T121" s="118">
        <f>_xlfn.DAYS(R121,RESUMEN!$D$7)</f>
        <v>-43238</v>
      </c>
      <c r="U121" s="76"/>
      <c r="V121" s="73"/>
      <c r="W121" s="73"/>
      <c r="X121" s="116" t="e">
        <f t="shared" si="8"/>
        <v>#DIV/0!</v>
      </c>
      <c r="Y121" s="83"/>
      <c r="Z121" s="115"/>
      <c r="AA121" s="118">
        <f>Z121-RESUMEN!$D$7</f>
        <v>-43238</v>
      </c>
      <c r="AB121" s="118">
        <f>_xlfn.DAYS(Z121,RESUMEN!$D$7)</f>
        <v>-43238</v>
      </c>
      <c r="AC121" s="76"/>
      <c r="AD121" s="73"/>
      <c r="AE121" s="73"/>
      <c r="AF121" s="116" t="e">
        <f t="shared" si="9"/>
        <v>#DIV/0!</v>
      </c>
      <c r="AG121" s="83"/>
      <c r="AH121" s="115"/>
      <c r="AI121" s="118" t="e">
        <f>WEEKNUM(AH121-RESUMEN!$D$7)</f>
        <v>#NUM!</v>
      </c>
      <c r="AJ121" s="118">
        <f>_xlfn.DAYS(AH121,RESUMEN!$D$7)</f>
        <v>-43238</v>
      </c>
      <c r="AK121" s="76"/>
      <c r="AL121" s="73"/>
      <c r="AM121" s="73"/>
      <c r="AN121" s="116" t="e">
        <f t="shared" si="10"/>
        <v>#DIV/0!</v>
      </c>
      <c r="AO121" s="83"/>
      <c r="AP121" s="115"/>
      <c r="AQ121" s="118" t="e">
        <f>WEEKNUM(AP121-RESUMEN!$D$7)</f>
        <v>#NUM!</v>
      </c>
      <c r="AR121" s="118">
        <f>_xlfn.DAYS(AP121,RESUMEN!$D$7)</f>
        <v>-43238</v>
      </c>
      <c r="AS121" s="76"/>
      <c r="AT121" s="73"/>
      <c r="AU121" s="73"/>
      <c r="AV121" s="116" t="e">
        <f t="shared" si="11"/>
        <v>#DIV/0!</v>
      </c>
      <c r="AW121" s="83"/>
    </row>
    <row r="122" spans="2:49" x14ac:dyDescent="0.25">
      <c r="B122" s="115"/>
      <c r="C122" s="118" t="e">
        <f>WEEKNUM(B122-RESUMEN!$D$7)</f>
        <v>#NUM!</v>
      </c>
      <c r="D122" s="118">
        <f>_xlfn.DAYS(B122,RESUMEN!$D$7)</f>
        <v>-43238</v>
      </c>
      <c r="E122" s="76"/>
      <c r="F122" s="73"/>
      <c r="G122" s="73"/>
      <c r="H122" s="116" t="e">
        <f t="shared" si="6"/>
        <v>#DIV/0!</v>
      </c>
      <c r="I122" s="83"/>
      <c r="J122" s="115"/>
      <c r="K122" s="118" t="e">
        <f>WEEKNUM(J122-RESUMEN!$D$7)</f>
        <v>#NUM!</v>
      </c>
      <c r="L122" s="118">
        <f>_xlfn.DAYS(J122,RESUMEN!$D$7)</f>
        <v>-43238</v>
      </c>
      <c r="M122" s="76"/>
      <c r="N122" s="73"/>
      <c r="O122" s="73"/>
      <c r="P122" s="116" t="e">
        <f t="shared" si="7"/>
        <v>#DIV/0!</v>
      </c>
      <c r="Q122" s="83"/>
      <c r="R122" s="115"/>
      <c r="S122" s="118" t="e">
        <f>WEEKNUM(R122-RESUMEN!$D$7)</f>
        <v>#NUM!</v>
      </c>
      <c r="T122" s="118">
        <f>_xlfn.DAYS(R122,RESUMEN!$D$7)</f>
        <v>-43238</v>
      </c>
      <c r="U122" s="76"/>
      <c r="V122" s="73"/>
      <c r="W122" s="73"/>
      <c r="X122" s="116" t="e">
        <f t="shared" si="8"/>
        <v>#DIV/0!</v>
      </c>
      <c r="Y122" s="83"/>
      <c r="Z122" s="115"/>
      <c r="AA122" s="118">
        <f>Z122-RESUMEN!$D$7</f>
        <v>-43238</v>
      </c>
      <c r="AB122" s="118">
        <f>_xlfn.DAYS(Z122,RESUMEN!$D$7)</f>
        <v>-43238</v>
      </c>
      <c r="AC122" s="76"/>
      <c r="AD122" s="73"/>
      <c r="AE122" s="73"/>
      <c r="AF122" s="116" t="e">
        <f t="shared" si="9"/>
        <v>#DIV/0!</v>
      </c>
      <c r="AG122" s="83"/>
      <c r="AH122" s="115"/>
      <c r="AI122" s="118" t="e">
        <f>WEEKNUM(AH122-RESUMEN!$D$7)</f>
        <v>#NUM!</v>
      </c>
      <c r="AJ122" s="118">
        <f>_xlfn.DAYS(AH122,RESUMEN!$D$7)</f>
        <v>-43238</v>
      </c>
      <c r="AK122" s="76"/>
      <c r="AL122" s="73"/>
      <c r="AM122" s="73"/>
      <c r="AN122" s="116" t="e">
        <f t="shared" si="10"/>
        <v>#DIV/0!</v>
      </c>
      <c r="AO122" s="83"/>
      <c r="AP122" s="115"/>
      <c r="AQ122" s="118" t="e">
        <f>WEEKNUM(AP122-RESUMEN!$D$7)</f>
        <v>#NUM!</v>
      </c>
      <c r="AR122" s="118">
        <f>_xlfn.DAYS(AP122,RESUMEN!$D$7)</f>
        <v>-43238</v>
      </c>
      <c r="AS122" s="76"/>
      <c r="AT122" s="73"/>
      <c r="AU122" s="73"/>
      <c r="AV122" s="116" t="e">
        <f t="shared" si="11"/>
        <v>#DIV/0!</v>
      </c>
      <c r="AW122" s="83"/>
    </row>
    <row r="123" spans="2:49" x14ac:dyDescent="0.25">
      <c r="B123" s="115"/>
      <c r="C123" s="118" t="e">
        <f>WEEKNUM(B123-RESUMEN!$D$7)</f>
        <v>#NUM!</v>
      </c>
      <c r="D123" s="118">
        <f>_xlfn.DAYS(B123,RESUMEN!$D$7)</f>
        <v>-43238</v>
      </c>
      <c r="E123" s="76"/>
      <c r="F123" s="73"/>
      <c r="G123" s="73"/>
      <c r="H123" s="116" t="e">
        <f t="shared" si="6"/>
        <v>#DIV/0!</v>
      </c>
      <c r="I123" s="83"/>
      <c r="J123" s="115"/>
      <c r="K123" s="118" t="e">
        <f>WEEKNUM(J123-RESUMEN!$D$7)</f>
        <v>#NUM!</v>
      </c>
      <c r="L123" s="118">
        <f>_xlfn.DAYS(J123,RESUMEN!$D$7)</f>
        <v>-43238</v>
      </c>
      <c r="M123" s="76"/>
      <c r="N123" s="73"/>
      <c r="O123" s="73"/>
      <c r="P123" s="116" t="e">
        <f t="shared" si="7"/>
        <v>#DIV/0!</v>
      </c>
      <c r="Q123" s="83"/>
      <c r="R123" s="115"/>
      <c r="S123" s="118" t="e">
        <f>WEEKNUM(R123-RESUMEN!$D$7)</f>
        <v>#NUM!</v>
      </c>
      <c r="T123" s="118">
        <f>_xlfn.DAYS(R123,RESUMEN!$D$7)</f>
        <v>-43238</v>
      </c>
      <c r="U123" s="76"/>
      <c r="V123" s="73"/>
      <c r="W123" s="73"/>
      <c r="X123" s="116" t="e">
        <f t="shared" si="8"/>
        <v>#DIV/0!</v>
      </c>
      <c r="Y123" s="83"/>
      <c r="Z123" s="115"/>
      <c r="AA123" s="118">
        <f>Z123-RESUMEN!$D$7</f>
        <v>-43238</v>
      </c>
      <c r="AB123" s="118">
        <f>_xlfn.DAYS(Z123,RESUMEN!$D$7)</f>
        <v>-43238</v>
      </c>
      <c r="AC123" s="76"/>
      <c r="AD123" s="73"/>
      <c r="AE123" s="73"/>
      <c r="AF123" s="116" t="e">
        <f t="shared" si="9"/>
        <v>#DIV/0!</v>
      </c>
      <c r="AG123" s="83"/>
      <c r="AH123" s="115"/>
      <c r="AI123" s="118" t="e">
        <f>WEEKNUM(AH123-RESUMEN!$D$7)</f>
        <v>#NUM!</v>
      </c>
      <c r="AJ123" s="118">
        <f>_xlfn.DAYS(AH123,RESUMEN!$D$7)</f>
        <v>-43238</v>
      </c>
      <c r="AK123" s="76"/>
      <c r="AL123" s="73"/>
      <c r="AM123" s="73"/>
      <c r="AN123" s="116" t="e">
        <f t="shared" si="10"/>
        <v>#DIV/0!</v>
      </c>
      <c r="AO123" s="83"/>
      <c r="AP123" s="115"/>
      <c r="AQ123" s="118" t="e">
        <f>WEEKNUM(AP123-RESUMEN!$D$7)</f>
        <v>#NUM!</v>
      </c>
      <c r="AR123" s="118">
        <f>_xlfn.DAYS(AP123,RESUMEN!$D$7)</f>
        <v>-43238</v>
      </c>
      <c r="AS123" s="76"/>
      <c r="AT123" s="73"/>
      <c r="AU123" s="73"/>
      <c r="AV123" s="116" t="e">
        <f t="shared" si="11"/>
        <v>#DIV/0!</v>
      </c>
      <c r="AW123" s="83"/>
    </row>
    <row r="124" spans="2:49" x14ac:dyDescent="0.25">
      <c r="B124" s="115"/>
      <c r="C124" s="118" t="e">
        <f>WEEKNUM(B124-RESUMEN!$D$7)</f>
        <v>#NUM!</v>
      </c>
      <c r="D124" s="118">
        <f>_xlfn.DAYS(B124,RESUMEN!$D$7)</f>
        <v>-43238</v>
      </c>
      <c r="E124" s="76"/>
      <c r="F124" s="73"/>
      <c r="G124" s="73"/>
      <c r="H124" s="116" t="e">
        <f t="shared" si="6"/>
        <v>#DIV/0!</v>
      </c>
      <c r="I124" s="83"/>
      <c r="J124" s="115"/>
      <c r="K124" s="118" t="e">
        <f>WEEKNUM(J124-RESUMEN!$D$7)</f>
        <v>#NUM!</v>
      </c>
      <c r="L124" s="118">
        <f>_xlfn.DAYS(J124,RESUMEN!$D$7)</f>
        <v>-43238</v>
      </c>
      <c r="M124" s="76"/>
      <c r="N124" s="73"/>
      <c r="O124" s="73"/>
      <c r="P124" s="116" t="e">
        <f t="shared" si="7"/>
        <v>#DIV/0!</v>
      </c>
      <c r="Q124" s="83"/>
      <c r="R124" s="115"/>
      <c r="S124" s="118" t="e">
        <f>WEEKNUM(R124-RESUMEN!$D$7)</f>
        <v>#NUM!</v>
      </c>
      <c r="T124" s="118">
        <f>_xlfn.DAYS(R124,RESUMEN!$D$7)</f>
        <v>-43238</v>
      </c>
      <c r="U124" s="76"/>
      <c r="V124" s="73"/>
      <c r="W124" s="73"/>
      <c r="X124" s="116" t="e">
        <f t="shared" si="8"/>
        <v>#DIV/0!</v>
      </c>
      <c r="Y124" s="83"/>
      <c r="Z124" s="115"/>
      <c r="AA124" s="118">
        <f>Z124-RESUMEN!$D$7</f>
        <v>-43238</v>
      </c>
      <c r="AB124" s="118">
        <f>_xlfn.DAYS(Z124,RESUMEN!$D$7)</f>
        <v>-43238</v>
      </c>
      <c r="AC124" s="76"/>
      <c r="AD124" s="73"/>
      <c r="AE124" s="73"/>
      <c r="AF124" s="116" t="e">
        <f t="shared" si="9"/>
        <v>#DIV/0!</v>
      </c>
      <c r="AG124" s="83"/>
      <c r="AH124" s="115"/>
      <c r="AI124" s="118" t="e">
        <f>WEEKNUM(AH124-RESUMEN!$D$7)</f>
        <v>#NUM!</v>
      </c>
      <c r="AJ124" s="118">
        <f>_xlfn.DAYS(AH124,RESUMEN!$D$7)</f>
        <v>-43238</v>
      </c>
      <c r="AK124" s="76"/>
      <c r="AL124" s="73"/>
      <c r="AM124" s="73"/>
      <c r="AN124" s="116" t="e">
        <f t="shared" si="10"/>
        <v>#DIV/0!</v>
      </c>
      <c r="AO124" s="83"/>
      <c r="AP124" s="115"/>
      <c r="AQ124" s="118" t="e">
        <f>WEEKNUM(AP124-RESUMEN!$D$7)</f>
        <v>#NUM!</v>
      </c>
      <c r="AR124" s="118">
        <f>_xlfn.DAYS(AP124,RESUMEN!$D$7)</f>
        <v>-43238</v>
      </c>
      <c r="AS124" s="76"/>
      <c r="AT124" s="73"/>
      <c r="AU124" s="73"/>
      <c r="AV124" s="116" t="e">
        <f t="shared" si="11"/>
        <v>#DIV/0!</v>
      </c>
      <c r="AW124" s="83"/>
    </row>
    <row r="125" spans="2:49" x14ac:dyDescent="0.25">
      <c r="B125" s="115"/>
      <c r="C125" s="118" t="e">
        <f>WEEKNUM(B125-RESUMEN!$D$7)</f>
        <v>#NUM!</v>
      </c>
      <c r="D125" s="118">
        <f>_xlfn.DAYS(B125,RESUMEN!$D$7)</f>
        <v>-43238</v>
      </c>
      <c r="E125" s="76"/>
      <c r="F125" s="73"/>
      <c r="G125" s="73"/>
      <c r="H125" s="116" t="e">
        <f t="shared" si="6"/>
        <v>#DIV/0!</v>
      </c>
      <c r="I125" s="83"/>
      <c r="J125" s="115"/>
      <c r="K125" s="118" t="e">
        <f>WEEKNUM(J125-RESUMEN!$D$7)</f>
        <v>#NUM!</v>
      </c>
      <c r="L125" s="118">
        <f>_xlfn.DAYS(J125,RESUMEN!$D$7)</f>
        <v>-43238</v>
      </c>
      <c r="M125" s="76"/>
      <c r="N125" s="73"/>
      <c r="O125" s="73"/>
      <c r="P125" s="116" t="e">
        <f t="shared" si="7"/>
        <v>#DIV/0!</v>
      </c>
      <c r="Q125" s="83"/>
      <c r="R125" s="115"/>
      <c r="S125" s="118" t="e">
        <f>WEEKNUM(R125-RESUMEN!$D$7)</f>
        <v>#NUM!</v>
      </c>
      <c r="T125" s="118">
        <f>_xlfn.DAYS(R125,RESUMEN!$D$7)</f>
        <v>-43238</v>
      </c>
      <c r="U125" s="76"/>
      <c r="V125" s="73"/>
      <c r="W125" s="73"/>
      <c r="X125" s="116" t="e">
        <f t="shared" si="8"/>
        <v>#DIV/0!</v>
      </c>
      <c r="Y125" s="83"/>
      <c r="Z125" s="115"/>
      <c r="AA125" s="118">
        <f>Z125-RESUMEN!$D$7</f>
        <v>-43238</v>
      </c>
      <c r="AB125" s="118">
        <f>_xlfn.DAYS(Z125,RESUMEN!$D$7)</f>
        <v>-43238</v>
      </c>
      <c r="AC125" s="76"/>
      <c r="AD125" s="73"/>
      <c r="AE125" s="73"/>
      <c r="AF125" s="116" t="e">
        <f t="shared" si="9"/>
        <v>#DIV/0!</v>
      </c>
      <c r="AG125" s="83"/>
      <c r="AH125" s="115"/>
      <c r="AI125" s="118" t="e">
        <f>WEEKNUM(AH125-RESUMEN!$D$7)</f>
        <v>#NUM!</v>
      </c>
      <c r="AJ125" s="118">
        <f>_xlfn.DAYS(AH125,RESUMEN!$D$7)</f>
        <v>-43238</v>
      </c>
      <c r="AK125" s="76"/>
      <c r="AL125" s="73"/>
      <c r="AM125" s="73"/>
      <c r="AN125" s="116" t="e">
        <f t="shared" si="10"/>
        <v>#DIV/0!</v>
      </c>
      <c r="AO125" s="83"/>
      <c r="AP125" s="115"/>
      <c r="AQ125" s="118" t="e">
        <f>WEEKNUM(AP125-RESUMEN!$D$7)</f>
        <v>#NUM!</v>
      </c>
      <c r="AR125" s="118">
        <f>_xlfn.DAYS(AP125,RESUMEN!$D$7)</f>
        <v>-43238</v>
      </c>
      <c r="AS125" s="76"/>
      <c r="AT125" s="73"/>
      <c r="AU125" s="73"/>
      <c r="AV125" s="116" t="e">
        <f t="shared" si="11"/>
        <v>#DIV/0!</v>
      </c>
      <c r="AW125" s="83"/>
    </row>
    <row r="126" spans="2:49" x14ac:dyDescent="0.25">
      <c r="B126" s="115"/>
      <c r="C126" s="118" t="e">
        <f>WEEKNUM(B126-RESUMEN!$D$7)</f>
        <v>#NUM!</v>
      </c>
      <c r="D126" s="118">
        <f>_xlfn.DAYS(B126,RESUMEN!$D$7)</f>
        <v>-43238</v>
      </c>
      <c r="E126" s="76"/>
      <c r="F126" s="73"/>
      <c r="G126" s="73"/>
      <c r="H126" s="116" t="e">
        <f t="shared" si="6"/>
        <v>#DIV/0!</v>
      </c>
      <c r="I126" s="83"/>
      <c r="J126" s="115"/>
      <c r="K126" s="118" t="e">
        <f>WEEKNUM(J126-RESUMEN!$D$7)</f>
        <v>#NUM!</v>
      </c>
      <c r="L126" s="118">
        <f>_xlfn.DAYS(J126,RESUMEN!$D$7)</f>
        <v>-43238</v>
      </c>
      <c r="M126" s="76"/>
      <c r="N126" s="73"/>
      <c r="O126" s="73"/>
      <c r="P126" s="116" t="e">
        <f t="shared" si="7"/>
        <v>#DIV/0!</v>
      </c>
      <c r="Q126" s="83"/>
      <c r="R126" s="115"/>
      <c r="S126" s="118" t="e">
        <f>WEEKNUM(R126-RESUMEN!$D$7)</f>
        <v>#NUM!</v>
      </c>
      <c r="T126" s="118">
        <f>_xlfn.DAYS(R126,RESUMEN!$D$7)</f>
        <v>-43238</v>
      </c>
      <c r="U126" s="76"/>
      <c r="V126" s="73"/>
      <c r="W126" s="73"/>
      <c r="X126" s="116" t="e">
        <f t="shared" si="8"/>
        <v>#DIV/0!</v>
      </c>
      <c r="Y126" s="83"/>
      <c r="Z126" s="115"/>
      <c r="AA126" s="118">
        <f>Z126-RESUMEN!$D$7</f>
        <v>-43238</v>
      </c>
      <c r="AB126" s="118">
        <f>_xlfn.DAYS(Z126,RESUMEN!$D$7)</f>
        <v>-43238</v>
      </c>
      <c r="AC126" s="76"/>
      <c r="AD126" s="73"/>
      <c r="AE126" s="73"/>
      <c r="AF126" s="116" t="e">
        <f t="shared" si="9"/>
        <v>#DIV/0!</v>
      </c>
      <c r="AG126" s="83"/>
      <c r="AH126" s="115"/>
      <c r="AI126" s="118" t="e">
        <f>WEEKNUM(AH126-RESUMEN!$D$7)</f>
        <v>#NUM!</v>
      </c>
      <c r="AJ126" s="118">
        <f>_xlfn.DAYS(AH126,RESUMEN!$D$7)</f>
        <v>-43238</v>
      </c>
      <c r="AK126" s="76"/>
      <c r="AL126" s="73"/>
      <c r="AM126" s="73"/>
      <c r="AN126" s="116" t="e">
        <f t="shared" si="10"/>
        <v>#DIV/0!</v>
      </c>
      <c r="AO126" s="83"/>
      <c r="AP126" s="115"/>
      <c r="AQ126" s="118" t="e">
        <f>WEEKNUM(AP126-RESUMEN!$D$7)</f>
        <v>#NUM!</v>
      </c>
      <c r="AR126" s="118">
        <f>_xlfn.DAYS(AP126,RESUMEN!$D$7)</f>
        <v>-43238</v>
      </c>
      <c r="AS126" s="76"/>
      <c r="AT126" s="73"/>
      <c r="AU126" s="73"/>
      <c r="AV126" s="116" t="e">
        <f t="shared" si="11"/>
        <v>#DIV/0!</v>
      </c>
      <c r="AW126" s="83"/>
    </row>
    <row r="127" spans="2:49" x14ac:dyDescent="0.25">
      <c r="B127" s="115"/>
      <c r="C127" s="118" t="e">
        <f>WEEKNUM(B127-RESUMEN!$D$7)</f>
        <v>#NUM!</v>
      </c>
      <c r="D127" s="118">
        <f>_xlfn.DAYS(B127,RESUMEN!$D$7)</f>
        <v>-43238</v>
      </c>
      <c r="E127" s="76"/>
      <c r="F127" s="73"/>
      <c r="G127" s="73"/>
      <c r="H127" s="116" t="e">
        <f t="shared" si="6"/>
        <v>#DIV/0!</v>
      </c>
      <c r="I127" s="83"/>
      <c r="J127" s="115"/>
      <c r="K127" s="118" t="e">
        <f>WEEKNUM(J127-RESUMEN!$D$7)</f>
        <v>#NUM!</v>
      </c>
      <c r="L127" s="118">
        <f>_xlfn.DAYS(J127,RESUMEN!$D$7)</f>
        <v>-43238</v>
      </c>
      <c r="M127" s="76"/>
      <c r="N127" s="73"/>
      <c r="O127" s="73"/>
      <c r="P127" s="116" t="e">
        <f t="shared" si="7"/>
        <v>#DIV/0!</v>
      </c>
      <c r="Q127" s="83"/>
      <c r="R127" s="115"/>
      <c r="S127" s="118" t="e">
        <f>WEEKNUM(R127-RESUMEN!$D$7)</f>
        <v>#NUM!</v>
      </c>
      <c r="T127" s="118">
        <f>_xlfn.DAYS(R127,RESUMEN!$D$7)</f>
        <v>-43238</v>
      </c>
      <c r="U127" s="76"/>
      <c r="V127" s="73"/>
      <c r="W127" s="73"/>
      <c r="X127" s="116" t="e">
        <f t="shared" si="8"/>
        <v>#DIV/0!</v>
      </c>
      <c r="Y127" s="83"/>
      <c r="Z127" s="115"/>
      <c r="AA127" s="118">
        <f>Z127-RESUMEN!$D$7</f>
        <v>-43238</v>
      </c>
      <c r="AB127" s="118">
        <f>_xlfn.DAYS(Z127,RESUMEN!$D$7)</f>
        <v>-43238</v>
      </c>
      <c r="AC127" s="76"/>
      <c r="AD127" s="73"/>
      <c r="AE127" s="73"/>
      <c r="AF127" s="116" t="e">
        <f t="shared" si="9"/>
        <v>#DIV/0!</v>
      </c>
      <c r="AG127" s="83"/>
      <c r="AH127" s="115"/>
      <c r="AI127" s="118" t="e">
        <f>WEEKNUM(AH127-RESUMEN!$D$7)</f>
        <v>#NUM!</v>
      </c>
      <c r="AJ127" s="118">
        <f>_xlfn.DAYS(AH127,RESUMEN!$D$7)</f>
        <v>-43238</v>
      </c>
      <c r="AK127" s="76"/>
      <c r="AL127" s="73"/>
      <c r="AM127" s="73"/>
      <c r="AN127" s="116" t="e">
        <f t="shared" si="10"/>
        <v>#DIV/0!</v>
      </c>
      <c r="AO127" s="83"/>
      <c r="AP127" s="115"/>
      <c r="AQ127" s="118" t="e">
        <f>WEEKNUM(AP127-RESUMEN!$D$7)</f>
        <v>#NUM!</v>
      </c>
      <c r="AR127" s="118">
        <f>_xlfn.DAYS(AP127,RESUMEN!$D$7)</f>
        <v>-43238</v>
      </c>
      <c r="AS127" s="76"/>
      <c r="AT127" s="73"/>
      <c r="AU127" s="73"/>
      <c r="AV127" s="116" t="e">
        <f t="shared" si="11"/>
        <v>#DIV/0!</v>
      </c>
      <c r="AW127" s="83"/>
    </row>
    <row r="128" spans="2:49" x14ac:dyDescent="0.25">
      <c r="B128" s="115"/>
      <c r="C128" s="118" t="e">
        <f>WEEKNUM(B128-RESUMEN!$D$7)</f>
        <v>#NUM!</v>
      </c>
      <c r="D128" s="118">
        <f>_xlfn.DAYS(B128,RESUMEN!$D$7)</f>
        <v>-43238</v>
      </c>
      <c r="E128" s="76"/>
      <c r="F128" s="73"/>
      <c r="G128" s="73"/>
      <c r="H128" s="116" t="e">
        <f t="shared" si="6"/>
        <v>#DIV/0!</v>
      </c>
      <c r="I128" s="83"/>
      <c r="J128" s="115"/>
      <c r="K128" s="118" t="e">
        <f>WEEKNUM(J128-RESUMEN!$D$7)</f>
        <v>#NUM!</v>
      </c>
      <c r="L128" s="118">
        <f>_xlfn.DAYS(J128,RESUMEN!$D$7)</f>
        <v>-43238</v>
      </c>
      <c r="M128" s="76"/>
      <c r="N128" s="73"/>
      <c r="O128" s="73"/>
      <c r="P128" s="116" t="e">
        <f t="shared" si="7"/>
        <v>#DIV/0!</v>
      </c>
      <c r="Q128" s="83"/>
      <c r="R128" s="115"/>
      <c r="S128" s="118" t="e">
        <f>WEEKNUM(R128-RESUMEN!$D$7)</f>
        <v>#NUM!</v>
      </c>
      <c r="T128" s="118">
        <f>_xlfn.DAYS(R128,RESUMEN!$D$7)</f>
        <v>-43238</v>
      </c>
      <c r="U128" s="76"/>
      <c r="V128" s="73"/>
      <c r="W128" s="73"/>
      <c r="X128" s="116" t="e">
        <f t="shared" si="8"/>
        <v>#DIV/0!</v>
      </c>
      <c r="Y128" s="83"/>
      <c r="Z128" s="115"/>
      <c r="AA128" s="118">
        <f>Z128-RESUMEN!$D$7</f>
        <v>-43238</v>
      </c>
      <c r="AB128" s="118">
        <f>_xlfn.DAYS(Z128,RESUMEN!$D$7)</f>
        <v>-43238</v>
      </c>
      <c r="AC128" s="76"/>
      <c r="AD128" s="73"/>
      <c r="AE128" s="73"/>
      <c r="AF128" s="116" t="e">
        <f t="shared" si="9"/>
        <v>#DIV/0!</v>
      </c>
      <c r="AG128" s="83"/>
      <c r="AH128" s="115"/>
      <c r="AI128" s="118" t="e">
        <f>WEEKNUM(AH128-RESUMEN!$D$7)</f>
        <v>#NUM!</v>
      </c>
      <c r="AJ128" s="118">
        <f>_xlfn.DAYS(AH128,RESUMEN!$D$7)</f>
        <v>-43238</v>
      </c>
      <c r="AK128" s="76"/>
      <c r="AL128" s="73"/>
      <c r="AM128" s="73"/>
      <c r="AN128" s="116" t="e">
        <f t="shared" si="10"/>
        <v>#DIV/0!</v>
      </c>
      <c r="AO128" s="83"/>
      <c r="AP128" s="115"/>
      <c r="AQ128" s="118" t="e">
        <f>WEEKNUM(AP128-RESUMEN!$D$7)</f>
        <v>#NUM!</v>
      </c>
      <c r="AR128" s="118">
        <f>_xlfn.DAYS(AP128,RESUMEN!$D$7)</f>
        <v>-43238</v>
      </c>
      <c r="AS128" s="76"/>
      <c r="AT128" s="73"/>
      <c r="AU128" s="73"/>
      <c r="AV128" s="116" t="e">
        <f t="shared" si="11"/>
        <v>#DIV/0!</v>
      </c>
      <c r="AW128" s="83"/>
    </row>
    <row r="129" spans="2:49" x14ac:dyDescent="0.25">
      <c r="B129" s="115"/>
      <c r="C129" s="118" t="e">
        <f>WEEKNUM(B129-RESUMEN!$D$7)</f>
        <v>#NUM!</v>
      </c>
      <c r="D129" s="118">
        <f>_xlfn.DAYS(B129,RESUMEN!$D$7)</f>
        <v>-43238</v>
      </c>
      <c r="E129" s="76"/>
      <c r="F129" s="73"/>
      <c r="G129" s="73"/>
      <c r="H129" s="116" t="e">
        <f t="shared" si="6"/>
        <v>#DIV/0!</v>
      </c>
      <c r="I129" s="83"/>
      <c r="J129" s="115"/>
      <c r="K129" s="118" t="e">
        <f>WEEKNUM(J129-RESUMEN!$D$7)</f>
        <v>#NUM!</v>
      </c>
      <c r="L129" s="118">
        <f>_xlfn.DAYS(J129,RESUMEN!$D$7)</f>
        <v>-43238</v>
      </c>
      <c r="M129" s="76"/>
      <c r="N129" s="73"/>
      <c r="O129" s="73"/>
      <c r="P129" s="116" t="e">
        <f t="shared" si="7"/>
        <v>#DIV/0!</v>
      </c>
      <c r="Q129" s="83"/>
      <c r="R129" s="115"/>
      <c r="S129" s="118" t="e">
        <f>WEEKNUM(R129-RESUMEN!$D$7)</f>
        <v>#NUM!</v>
      </c>
      <c r="T129" s="118">
        <f>_xlfn.DAYS(R129,RESUMEN!$D$7)</f>
        <v>-43238</v>
      </c>
      <c r="U129" s="76"/>
      <c r="V129" s="73"/>
      <c r="W129" s="73"/>
      <c r="X129" s="116" t="e">
        <f t="shared" si="8"/>
        <v>#DIV/0!</v>
      </c>
      <c r="Y129" s="83"/>
      <c r="Z129" s="115"/>
      <c r="AA129" s="118">
        <f>Z129-RESUMEN!$D$7</f>
        <v>-43238</v>
      </c>
      <c r="AB129" s="118">
        <f>_xlfn.DAYS(Z129,RESUMEN!$D$7)</f>
        <v>-43238</v>
      </c>
      <c r="AC129" s="76"/>
      <c r="AD129" s="73"/>
      <c r="AE129" s="73"/>
      <c r="AF129" s="116" t="e">
        <f t="shared" si="9"/>
        <v>#DIV/0!</v>
      </c>
      <c r="AG129" s="83"/>
      <c r="AH129" s="115"/>
      <c r="AI129" s="118" t="e">
        <f>WEEKNUM(AH129-RESUMEN!$D$7)</f>
        <v>#NUM!</v>
      </c>
      <c r="AJ129" s="118">
        <f>_xlfn.DAYS(AH129,RESUMEN!$D$7)</f>
        <v>-43238</v>
      </c>
      <c r="AK129" s="76"/>
      <c r="AL129" s="73"/>
      <c r="AM129" s="73"/>
      <c r="AN129" s="116" t="e">
        <f t="shared" si="10"/>
        <v>#DIV/0!</v>
      </c>
      <c r="AO129" s="83"/>
      <c r="AP129" s="115"/>
      <c r="AQ129" s="118" t="e">
        <f>WEEKNUM(AP129-RESUMEN!$D$7)</f>
        <v>#NUM!</v>
      </c>
      <c r="AR129" s="118">
        <f>_xlfn.DAYS(AP129,RESUMEN!$D$7)</f>
        <v>-43238</v>
      </c>
      <c r="AS129" s="76"/>
      <c r="AT129" s="73"/>
      <c r="AU129" s="73"/>
      <c r="AV129" s="116" t="e">
        <f t="shared" si="11"/>
        <v>#DIV/0!</v>
      </c>
      <c r="AW129" s="83"/>
    </row>
    <row r="130" spans="2:49" x14ac:dyDescent="0.25">
      <c r="B130" s="115"/>
      <c r="C130" s="118" t="e">
        <f>WEEKNUM(B130-RESUMEN!$D$7)</f>
        <v>#NUM!</v>
      </c>
      <c r="D130" s="118">
        <f>_xlfn.DAYS(B130,RESUMEN!$D$7)</f>
        <v>-43238</v>
      </c>
      <c r="E130" s="76"/>
      <c r="F130" s="73"/>
      <c r="G130" s="73"/>
      <c r="H130" s="116" t="e">
        <f t="shared" si="6"/>
        <v>#DIV/0!</v>
      </c>
      <c r="I130" s="83"/>
      <c r="J130" s="115"/>
      <c r="K130" s="118" t="e">
        <f>WEEKNUM(J130-RESUMEN!$D$7)</f>
        <v>#NUM!</v>
      </c>
      <c r="L130" s="118">
        <f>_xlfn.DAYS(J130,RESUMEN!$D$7)</f>
        <v>-43238</v>
      </c>
      <c r="M130" s="76"/>
      <c r="N130" s="73"/>
      <c r="O130" s="73"/>
      <c r="P130" s="116" t="e">
        <f t="shared" si="7"/>
        <v>#DIV/0!</v>
      </c>
      <c r="Q130" s="83"/>
      <c r="R130" s="115"/>
      <c r="S130" s="118" t="e">
        <f>WEEKNUM(R130-RESUMEN!$D$7)</f>
        <v>#NUM!</v>
      </c>
      <c r="T130" s="118">
        <f>_xlfn.DAYS(R130,RESUMEN!$D$7)</f>
        <v>-43238</v>
      </c>
      <c r="U130" s="76"/>
      <c r="V130" s="73"/>
      <c r="W130" s="73"/>
      <c r="X130" s="116" t="e">
        <f t="shared" si="8"/>
        <v>#DIV/0!</v>
      </c>
      <c r="Y130" s="83"/>
      <c r="Z130" s="115"/>
      <c r="AA130" s="118">
        <f>Z130-RESUMEN!$D$7</f>
        <v>-43238</v>
      </c>
      <c r="AB130" s="118">
        <f>_xlfn.DAYS(Z130,RESUMEN!$D$7)</f>
        <v>-43238</v>
      </c>
      <c r="AC130" s="76"/>
      <c r="AD130" s="73"/>
      <c r="AE130" s="73"/>
      <c r="AF130" s="116" t="e">
        <f t="shared" si="9"/>
        <v>#DIV/0!</v>
      </c>
      <c r="AG130" s="83"/>
      <c r="AH130" s="115"/>
      <c r="AI130" s="118" t="e">
        <f>WEEKNUM(AH130-RESUMEN!$D$7)</f>
        <v>#NUM!</v>
      </c>
      <c r="AJ130" s="118">
        <f>_xlfn.DAYS(AH130,RESUMEN!$D$7)</f>
        <v>-43238</v>
      </c>
      <c r="AK130" s="76"/>
      <c r="AL130" s="73"/>
      <c r="AM130" s="73"/>
      <c r="AN130" s="116" t="e">
        <f t="shared" si="10"/>
        <v>#DIV/0!</v>
      </c>
      <c r="AO130" s="83"/>
      <c r="AP130" s="115"/>
      <c r="AQ130" s="118" t="e">
        <f>WEEKNUM(AP130-RESUMEN!$D$7)</f>
        <v>#NUM!</v>
      </c>
      <c r="AR130" s="118">
        <f>_xlfn.DAYS(AP130,RESUMEN!$D$7)</f>
        <v>-43238</v>
      </c>
      <c r="AS130" s="76"/>
      <c r="AT130" s="73"/>
      <c r="AU130" s="73"/>
      <c r="AV130" s="116" t="e">
        <f t="shared" si="11"/>
        <v>#DIV/0!</v>
      </c>
      <c r="AW130" s="83"/>
    </row>
    <row r="131" spans="2:49" x14ac:dyDescent="0.25">
      <c r="B131" s="115"/>
      <c r="C131" s="118" t="e">
        <f>WEEKNUM(B131-RESUMEN!$D$7)</f>
        <v>#NUM!</v>
      </c>
      <c r="D131" s="118">
        <f>_xlfn.DAYS(B131,RESUMEN!$D$7)</f>
        <v>-43238</v>
      </c>
      <c r="E131" s="76"/>
      <c r="F131" s="73"/>
      <c r="G131" s="73"/>
      <c r="H131" s="116" t="e">
        <f t="shared" si="6"/>
        <v>#DIV/0!</v>
      </c>
      <c r="I131" s="83"/>
      <c r="J131" s="115"/>
      <c r="K131" s="118" t="e">
        <f>WEEKNUM(J131-RESUMEN!$D$7)</f>
        <v>#NUM!</v>
      </c>
      <c r="L131" s="118">
        <f>_xlfn.DAYS(J131,RESUMEN!$D$7)</f>
        <v>-43238</v>
      </c>
      <c r="M131" s="76"/>
      <c r="N131" s="73"/>
      <c r="O131" s="73"/>
      <c r="P131" s="116" t="e">
        <f t="shared" si="7"/>
        <v>#DIV/0!</v>
      </c>
      <c r="Q131" s="83"/>
      <c r="R131" s="115"/>
      <c r="S131" s="118" t="e">
        <f>WEEKNUM(R131-RESUMEN!$D$7)</f>
        <v>#NUM!</v>
      </c>
      <c r="T131" s="118">
        <f>_xlfn.DAYS(R131,RESUMEN!$D$7)</f>
        <v>-43238</v>
      </c>
      <c r="U131" s="76"/>
      <c r="V131" s="73"/>
      <c r="W131" s="73"/>
      <c r="X131" s="116" t="e">
        <f t="shared" si="8"/>
        <v>#DIV/0!</v>
      </c>
      <c r="Y131" s="83"/>
      <c r="Z131" s="115"/>
      <c r="AA131" s="118">
        <f>Z131-RESUMEN!$D$7</f>
        <v>-43238</v>
      </c>
      <c r="AB131" s="118">
        <f>_xlfn.DAYS(Z131,RESUMEN!$D$7)</f>
        <v>-43238</v>
      </c>
      <c r="AC131" s="76"/>
      <c r="AD131" s="73"/>
      <c r="AE131" s="73"/>
      <c r="AF131" s="116" t="e">
        <f t="shared" si="9"/>
        <v>#DIV/0!</v>
      </c>
      <c r="AG131" s="83"/>
      <c r="AH131" s="115"/>
      <c r="AI131" s="118" t="e">
        <f>WEEKNUM(AH131-RESUMEN!$D$7)</f>
        <v>#NUM!</v>
      </c>
      <c r="AJ131" s="118">
        <f>_xlfn.DAYS(AH131,RESUMEN!$D$7)</f>
        <v>-43238</v>
      </c>
      <c r="AK131" s="76"/>
      <c r="AL131" s="73"/>
      <c r="AM131" s="73"/>
      <c r="AN131" s="116" t="e">
        <f t="shared" si="10"/>
        <v>#DIV/0!</v>
      </c>
      <c r="AO131" s="83"/>
      <c r="AP131" s="115"/>
      <c r="AQ131" s="118" t="e">
        <f>WEEKNUM(AP131-RESUMEN!$D$7)</f>
        <v>#NUM!</v>
      </c>
      <c r="AR131" s="118">
        <f>_xlfn.DAYS(AP131,RESUMEN!$D$7)</f>
        <v>-43238</v>
      </c>
      <c r="AS131" s="76"/>
      <c r="AT131" s="73"/>
      <c r="AU131" s="73"/>
      <c r="AV131" s="116" t="e">
        <f t="shared" si="11"/>
        <v>#DIV/0!</v>
      </c>
      <c r="AW131" s="83"/>
    </row>
    <row r="132" spans="2:49" x14ac:dyDescent="0.25">
      <c r="B132" s="115"/>
      <c r="C132" s="118" t="e">
        <f>WEEKNUM(B132-RESUMEN!$D$7)</f>
        <v>#NUM!</v>
      </c>
      <c r="D132" s="118">
        <f>_xlfn.DAYS(B132,RESUMEN!$D$7)</f>
        <v>-43238</v>
      </c>
      <c r="E132" s="76"/>
      <c r="F132" s="73"/>
      <c r="G132" s="73"/>
      <c r="H132" s="116" t="e">
        <f t="shared" si="6"/>
        <v>#DIV/0!</v>
      </c>
      <c r="I132" s="83"/>
      <c r="J132" s="115"/>
      <c r="K132" s="118" t="e">
        <f>WEEKNUM(J132-RESUMEN!$D$7)</f>
        <v>#NUM!</v>
      </c>
      <c r="L132" s="118">
        <f>_xlfn.DAYS(J132,RESUMEN!$D$7)</f>
        <v>-43238</v>
      </c>
      <c r="M132" s="76"/>
      <c r="N132" s="73"/>
      <c r="O132" s="73"/>
      <c r="P132" s="116" t="e">
        <f t="shared" si="7"/>
        <v>#DIV/0!</v>
      </c>
      <c r="Q132" s="83"/>
      <c r="R132" s="115"/>
      <c r="S132" s="118" t="e">
        <f>WEEKNUM(R132-RESUMEN!$D$7)</f>
        <v>#NUM!</v>
      </c>
      <c r="T132" s="118">
        <f>_xlfn.DAYS(R132,RESUMEN!$D$7)</f>
        <v>-43238</v>
      </c>
      <c r="U132" s="76"/>
      <c r="V132" s="73"/>
      <c r="W132" s="73"/>
      <c r="X132" s="116" t="e">
        <f t="shared" si="8"/>
        <v>#DIV/0!</v>
      </c>
      <c r="Y132" s="83"/>
      <c r="Z132" s="115"/>
      <c r="AA132" s="118">
        <f>Z132-RESUMEN!$D$7</f>
        <v>-43238</v>
      </c>
      <c r="AB132" s="118">
        <f>_xlfn.DAYS(Z132,RESUMEN!$D$7)</f>
        <v>-43238</v>
      </c>
      <c r="AC132" s="76"/>
      <c r="AD132" s="73"/>
      <c r="AE132" s="73"/>
      <c r="AF132" s="116" t="e">
        <f t="shared" si="9"/>
        <v>#DIV/0!</v>
      </c>
      <c r="AG132" s="83"/>
      <c r="AH132" s="115"/>
      <c r="AI132" s="118" t="e">
        <f>WEEKNUM(AH132-RESUMEN!$D$7)</f>
        <v>#NUM!</v>
      </c>
      <c r="AJ132" s="118">
        <f>_xlfn.DAYS(AH132,RESUMEN!$D$7)</f>
        <v>-43238</v>
      </c>
      <c r="AK132" s="76"/>
      <c r="AL132" s="73"/>
      <c r="AM132" s="73"/>
      <c r="AN132" s="116" t="e">
        <f t="shared" si="10"/>
        <v>#DIV/0!</v>
      </c>
      <c r="AO132" s="83"/>
      <c r="AP132" s="115"/>
      <c r="AQ132" s="118" t="e">
        <f>WEEKNUM(AP132-RESUMEN!$D$7)</f>
        <v>#NUM!</v>
      </c>
      <c r="AR132" s="118">
        <f>_xlfn.DAYS(AP132,RESUMEN!$D$7)</f>
        <v>-43238</v>
      </c>
      <c r="AS132" s="76"/>
      <c r="AT132" s="73"/>
      <c r="AU132" s="73"/>
      <c r="AV132" s="116" t="e">
        <f t="shared" si="11"/>
        <v>#DIV/0!</v>
      </c>
      <c r="AW132" s="83"/>
    </row>
    <row r="133" spans="2:49" x14ac:dyDescent="0.25">
      <c r="B133" s="115"/>
      <c r="C133" s="118" t="e">
        <f>WEEKNUM(B133-RESUMEN!$D$7)</f>
        <v>#NUM!</v>
      </c>
      <c r="D133" s="118">
        <f>_xlfn.DAYS(B133,RESUMEN!$D$7)</f>
        <v>-43238</v>
      </c>
      <c r="E133" s="76"/>
      <c r="F133" s="73"/>
      <c r="G133" s="73"/>
      <c r="H133" s="116" t="e">
        <f t="shared" si="6"/>
        <v>#DIV/0!</v>
      </c>
      <c r="I133" s="83"/>
      <c r="J133" s="115"/>
      <c r="K133" s="118" t="e">
        <f>WEEKNUM(J133-RESUMEN!$D$7)</f>
        <v>#NUM!</v>
      </c>
      <c r="L133" s="118">
        <f>_xlfn.DAYS(J133,RESUMEN!$D$7)</f>
        <v>-43238</v>
      </c>
      <c r="M133" s="76"/>
      <c r="N133" s="73"/>
      <c r="O133" s="73"/>
      <c r="P133" s="116" t="e">
        <f t="shared" si="7"/>
        <v>#DIV/0!</v>
      </c>
      <c r="Q133" s="83"/>
      <c r="R133" s="115"/>
      <c r="S133" s="118" t="e">
        <f>WEEKNUM(R133-RESUMEN!$D$7)</f>
        <v>#NUM!</v>
      </c>
      <c r="T133" s="118">
        <f>_xlfn.DAYS(R133,RESUMEN!$D$7)</f>
        <v>-43238</v>
      </c>
      <c r="U133" s="76"/>
      <c r="V133" s="73"/>
      <c r="W133" s="73"/>
      <c r="X133" s="116" t="e">
        <f t="shared" si="8"/>
        <v>#DIV/0!</v>
      </c>
      <c r="Y133" s="83"/>
      <c r="Z133" s="115"/>
      <c r="AA133" s="118">
        <f>Z133-RESUMEN!$D$7</f>
        <v>-43238</v>
      </c>
      <c r="AB133" s="118">
        <f>_xlfn.DAYS(Z133,RESUMEN!$D$7)</f>
        <v>-43238</v>
      </c>
      <c r="AC133" s="76"/>
      <c r="AD133" s="73"/>
      <c r="AE133" s="73"/>
      <c r="AF133" s="116" t="e">
        <f t="shared" si="9"/>
        <v>#DIV/0!</v>
      </c>
      <c r="AG133" s="83"/>
      <c r="AH133" s="115"/>
      <c r="AI133" s="118" t="e">
        <f>WEEKNUM(AH133-RESUMEN!$D$7)</f>
        <v>#NUM!</v>
      </c>
      <c r="AJ133" s="118">
        <f>_xlfn.DAYS(AH133,RESUMEN!$D$7)</f>
        <v>-43238</v>
      </c>
      <c r="AK133" s="76"/>
      <c r="AL133" s="73"/>
      <c r="AM133" s="73"/>
      <c r="AN133" s="116" t="e">
        <f t="shared" si="10"/>
        <v>#DIV/0!</v>
      </c>
      <c r="AO133" s="83"/>
      <c r="AP133" s="115"/>
      <c r="AQ133" s="118" t="e">
        <f>WEEKNUM(AP133-RESUMEN!$D$7)</f>
        <v>#NUM!</v>
      </c>
      <c r="AR133" s="118">
        <f>_xlfn.DAYS(AP133,RESUMEN!$D$7)</f>
        <v>-43238</v>
      </c>
      <c r="AS133" s="76"/>
      <c r="AT133" s="73"/>
      <c r="AU133" s="73"/>
      <c r="AV133" s="116" t="e">
        <f t="shared" si="11"/>
        <v>#DIV/0!</v>
      </c>
      <c r="AW133" s="83"/>
    </row>
    <row r="134" spans="2:49" x14ac:dyDescent="0.25">
      <c r="B134" s="115"/>
      <c r="C134" s="118" t="e">
        <f>WEEKNUM(B134-RESUMEN!$D$7)</f>
        <v>#NUM!</v>
      </c>
      <c r="D134" s="118">
        <f>_xlfn.DAYS(B134,RESUMEN!$D$7)</f>
        <v>-43238</v>
      </c>
      <c r="E134" s="76"/>
      <c r="F134" s="73"/>
      <c r="G134" s="73"/>
      <c r="H134" s="116" t="e">
        <f t="shared" si="6"/>
        <v>#DIV/0!</v>
      </c>
      <c r="I134" s="83"/>
      <c r="J134" s="115"/>
      <c r="K134" s="118" t="e">
        <f>WEEKNUM(J134-RESUMEN!$D$7)</f>
        <v>#NUM!</v>
      </c>
      <c r="L134" s="118">
        <f>_xlfn.DAYS(J134,RESUMEN!$D$7)</f>
        <v>-43238</v>
      </c>
      <c r="M134" s="76"/>
      <c r="N134" s="73"/>
      <c r="O134" s="73"/>
      <c r="P134" s="116" t="e">
        <f t="shared" si="7"/>
        <v>#DIV/0!</v>
      </c>
      <c r="Q134" s="83"/>
      <c r="R134" s="115"/>
      <c r="S134" s="118" t="e">
        <f>WEEKNUM(R134-RESUMEN!$D$7)</f>
        <v>#NUM!</v>
      </c>
      <c r="T134" s="118">
        <f>_xlfn.DAYS(R134,RESUMEN!$D$7)</f>
        <v>-43238</v>
      </c>
      <c r="U134" s="76"/>
      <c r="V134" s="73"/>
      <c r="W134" s="73"/>
      <c r="X134" s="116" t="e">
        <f t="shared" si="8"/>
        <v>#DIV/0!</v>
      </c>
      <c r="Y134" s="83"/>
      <c r="Z134" s="115"/>
      <c r="AA134" s="118">
        <f>Z134-RESUMEN!$D$7</f>
        <v>-43238</v>
      </c>
      <c r="AB134" s="118">
        <f>_xlfn.DAYS(Z134,RESUMEN!$D$7)</f>
        <v>-43238</v>
      </c>
      <c r="AC134" s="76"/>
      <c r="AD134" s="73"/>
      <c r="AE134" s="73"/>
      <c r="AF134" s="116" t="e">
        <f t="shared" si="9"/>
        <v>#DIV/0!</v>
      </c>
      <c r="AG134" s="83"/>
      <c r="AH134" s="115"/>
      <c r="AI134" s="118" t="e">
        <f>WEEKNUM(AH134-RESUMEN!$D$7)</f>
        <v>#NUM!</v>
      </c>
      <c r="AJ134" s="118">
        <f>_xlfn.DAYS(AH134,RESUMEN!$D$7)</f>
        <v>-43238</v>
      </c>
      <c r="AK134" s="76"/>
      <c r="AL134" s="73"/>
      <c r="AM134" s="73"/>
      <c r="AN134" s="116" t="e">
        <f t="shared" si="10"/>
        <v>#DIV/0!</v>
      </c>
      <c r="AO134" s="83"/>
      <c r="AP134" s="115"/>
      <c r="AQ134" s="118" t="e">
        <f>WEEKNUM(AP134-RESUMEN!$D$7)</f>
        <v>#NUM!</v>
      </c>
      <c r="AR134" s="118">
        <f>_xlfn.DAYS(AP134,RESUMEN!$D$7)</f>
        <v>-43238</v>
      </c>
      <c r="AS134" s="76"/>
      <c r="AT134" s="73"/>
      <c r="AU134" s="73"/>
      <c r="AV134" s="116" t="e">
        <f t="shared" si="11"/>
        <v>#DIV/0!</v>
      </c>
      <c r="AW134" s="83"/>
    </row>
    <row r="135" spans="2:49" x14ac:dyDescent="0.25">
      <c r="B135" s="115"/>
      <c r="C135" s="118" t="e">
        <f>WEEKNUM(B135-RESUMEN!$D$7)</f>
        <v>#NUM!</v>
      </c>
      <c r="D135" s="118">
        <f>_xlfn.DAYS(B135,RESUMEN!$D$7)</f>
        <v>-43238</v>
      </c>
      <c r="E135" s="76"/>
      <c r="F135" s="73"/>
      <c r="G135" s="73"/>
      <c r="H135" s="116" t="e">
        <f t="shared" ref="H135:H198" si="12">G135/F135</f>
        <v>#DIV/0!</v>
      </c>
      <c r="I135" s="83"/>
      <c r="J135" s="115"/>
      <c r="K135" s="118" t="e">
        <f>WEEKNUM(J135-RESUMEN!$D$7)</f>
        <v>#NUM!</v>
      </c>
      <c r="L135" s="118">
        <f>_xlfn.DAYS(J135,RESUMEN!$D$7)</f>
        <v>-43238</v>
      </c>
      <c r="M135" s="76"/>
      <c r="N135" s="73"/>
      <c r="O135" s="73"/>
      <c r="P135" s="116" t="e">
        <f t="shared" ref="P135:P198" si="13">O135/N135</f>
        <v>#DIV/0!</v>
      </c>
      <c r="Q135" s="83"/>
      <c r="R135" s="115"/>
      <c r="S135" s="118" t="e">
        <f>WEEKNUM(R135-RESUMEN!$D$7)</f>
        <v>#NUM!</v>
      </c>
      <c r="T135" s="118">
        <f>_xlfn.DAYS(R135,RESUMEN!$D$7)</f>
        <v>-43238</v>
      </c>
      <c r="U135" s="76"/>
      <c r="V135" s="73"/>
      <c r="W135" s="73"/>
      <c r="X135" s="116" t="e">
        <f t="shared" ref="X135:X198" si="14">W135/V135</f>
        <v>#DIV/0!</v>
      </c>
      <c r="Y135" s="83"/>
      <c r="Z135" s="115"/>
      <c r="AA135" s="118">
        <f>Z135-RESUMEN!$D$7</f>
        <v>-43238</v>
      </c>
      <c r="AB135" s="118">
        <f>_xlfn.DAYS(Z135,RESUMEN!$D$7)</f>
        <v>-43238</v>
      </c>
      <c r="AC135" s="76"/>
      <c r="AD135" s="73"/>
      <c r="AE135" s="73"/>
      <c r="AF135" s="116" t="e">
        <f t="shared" ref="AF135:AF198" si="15">AE135/AD135</f>
        <v>#DIV/0!</v>
      </c>
      <c r="AG135" s="83"/>
      <c r="AH135" s="115"/>
      <c r="AI135" s="118" t="e">
        <f>WEEKNUM(AH135-RESUMEN!$D$7)</f>
        <v>#NUM!</v>
      </c>
      <c r="AJ135" s="118">
        <f>_xlfn.DAYS(AH135,RESUMEN!$D$7)</f>
        <v>-43238</v>
      </c>
      <c r="AK135" s="76"/>
      <c r="AL135" s="73"/>
      <c r="AM135" s="73"/>
      <c r="AN135" s="116" t="e">
        <f t="shared" ref="AN135:AN198" si="16">AM135/AL135</f>
        <v>#DIV/0!</v>
      </c>
      <c r="AO135" s="83"/>
      <c r="AP135" s="115"/>
      <c r="AQ135" s="118" t="e">
        <f>WEEKNUM(AP135-RESUMEN!$D$7)</f>
        <v>#NUM!</v>
      </c>
      <c r="AR135" s="118">
        <f>_xlfn.DAYS(AP135,RESUMEN!$D$7)</f>
        <v>-43238</v>
      </c>
      <c r="AS135" s="76"/>
      <c r="AT135" s="73"/>
      <c r="AU135" s="73"/>
      <c r="AV135" s="116" t="e">
        <f t="shared" ref="AV135:AV198" si="17">AU135/AT135</f>
        <v>#DIV/0!</v>
      </c>
      <c r="AW135" s="83"/>
    </row>
    <row r="136" spans="2:49" x14ac:dyDescent="0.25">
      <c r="B136" s="115"/>
      <c r="C136" s="118" t="e">
        <f>WEEKNUM(B136-RESUMEN!$D$7)</f>
        <v>#NUM!</v>
      </c>
      <c r="D136" s="118">
        <f>_xlfn.DAYS(B136,RESUMEN!$D$7)</f>
        <v>-43238</v>
      </c>
      <c r="E136" s="76"/>
      <c r="F136" s="73"/>
      <c r="G136" s="73"/>
      <c r="H136" s="116" t="e">
        <f t="shared" si="12"/>
        <v>#DIV/0!</v>
      </c>
      <c r="I136" s="83"/>
      <c r="J136" s="115"/>
      <c r="K136" s="118" t="e">
        <f>WEEKNUM(J136-RESUMEN!$D$7)</f>
        <v>#NUM!</v>
      </c>
      <c r="L136" s="118">
        <f>_xlfn.DAYS(J136,RESUMEN!$D$7)</f>
        <v>-43238</v>
      </c>
      <c r="M136" s="76"/>
      <c r="N136" s="73"/>
      <c r="O136" s="73"/>
      <c r="P136" s="116" t="e">
        <f t="shared" si="13"/>
        <v>#DIV/0!</v>
      </c>
      <c r="Q136" s="83"/>
      <c r="R136" s="115"/>
      <c r="S136" s="118" t="e">
        <f>WEEKNUM(R136-RESUMEN!$D$7)</f>
        <v>#NUM!</v>
      </c>
      <c r="T136" s="118">
        <f>_xlfn.DAYS(R136,RESUMEN!$D$7)</f>
        <v>-43238</v>
      </c>
      <c r="U136" s="76"/>
      <c r="V136" s="73"/>
      <c r="W136" s="73"/>
      <c r="X136" s="116" t="e">
        <f t="shared" si="14"/>
        <v>#DIV/0!</v>
      </c>
      <c r="Y136" s="83"/>
      <c r="Z136" s="115"/>
      <c r="AA136" s="118">
        <f>Z136-RESUMEN!$D$7</f>
        <v>-43238</v>
      </c>
      <c r="AB136" s="118">
        <f>_xlfn.DAYS(Z136,RESUMEN!$D$7)</f>
        <v>-43238</v>
      </c>
      <c r="AC136" s="76"/>
      <c r="AD136" s="73"/>
      <c r="AE136" s="73"/>
      <c r="AF136" s="116" t="e">
        <f t="shared" si="15"/>
        <v>#DIV/0!</v>
      </c>
      <c r="AG136" s="83"/>
      <c r="AH136" s="115"/>
      <c r="AI136" s="118" t="e">
        <f>WEEKNUM(AH136-RESUMEN!$D$7)</f>
        <v>#NUM!</v>
      </c>
      <c r="AJ136" s="118">
        <f>_xlfn.DAYS(AH136,RESUMEN!$D$7)</f>
        <v>-43238</v>
      </c>
      <c r="AK136" s="76"/>
      <c r="AL136" s="73"/>
      <c r="AM136" s="73"/>
      <c r="AN136" s="116" t="e">
        <f t="shared" si="16"/>
        <v>#DIV/0!</v>
      </c>
      <c r="AO136" s="83"/>
      <c r="AP136" s="115"/>
      <c r="AQ136" s="118" t="e">
        <f>WEEKNUM(AP136-RESUMEN!$D$7)</f>
        <v>#NUM!</v>
      </c>
      <c r="AR136" s="118">
        <f>_xlfn.DAYS(AP136,RESUMEN!$D$7)</f>
        <v>-43238</v>
      </c>
      <c r="AS136" s="76"/>
      <c r="AT136" s="73"/>
      <c r="AU136" s="73"/>
      <c r="AV136" s="116" t="e">
        <f t="shared" si="17"/>
        <v>#DIV/0!</v>
      </c>
      <c r="AW136" s="83"/>
    </row>
    <row r="137" spans="2:49" x14ac:dyDescent="0.25">
      <c r="B137" s="115"/>
      <c r="C137" s="118" t="e">
        <f>WEEKNUM(B137-RESUMEN!$D$7)</f>
        <v>#NUM!</v>
      </c>
      <c r="D137" s="118">
        <f>_xlfn.DAYS(B137,RESUMEN!$D$7)</f>
        <v>-43238</v>
      </c>
      <c r="E137" s="76"/>
      <c r="F137" s="73"/>
      <c r="G137" s="73"/>
      <c r="H137" s="116" t="e">
        <f t="shared" si="12"/>
        <v>#DIV/0!</v>
      </c>
      <c r="I137" s="83"/>
      <c r="J137" s="115"/>
      <c r="K137" s="118" t="e">
        <f>WEEKNUM(J137-RESUMEN!$D$7)</f>
        <v>#NUM!</v>
      </c>
      <c r="L137" s="118">
        <f>_xlfn.DAYS(J137,RESUMEN!$D$7)</f>
        <v>-43238</v>
      </c>
      <c r="M137" s="76"/>
      <c r="N137" s="73"/>
      <c r="O137" s="73"/>
      <c r="P137" s="116" t="e">
        <f t="shared" si="13"/>
        <v>#DIV/0!</v>
      </c>
      <c r="Q137" s="83"/>
      <c r="R137" s="115"/>
      <c r="S137" s="118" t="e">
        <f>WEEKNUM(R137-RESUMEN!$D$7)</f>
        <v>#NUM!</v>
      </c>
      <c r="T137" s="118">
        <f>_xlfn.DAYS(R137,RESUMEN!$D$7)</f>
        <v>-43238</v>
      </c>
      <c r="U137" s="76"/>
      <c r="V137" s="73"/>
      <c r="W137" s="73"/>
      <c r="X137" s="116" t="e">
        <f t="shared" si="14"/>
        <v>#DIV/0!</v>
      </c>
      <c r="Y137" s="83"/>
      <c r="Z137" s="115"/>
      <c r="AA137" s="118">
        <f>Z137-RESUMEN!$D$7</f>
        <v>-43238</v>
      </c>
      <c r="AB137" s="118">
        <f>_xlfn.DAYS(Z137,RESUMEN!$D$7)</f>
        <v>-43238</v>
      </c>
      <c r="AC137" s="76"/>
      <c r="AD137" s="73"/>
      <c r="AE137" s="73"/>
      <c r="AF137" s="116" t="e">
        <f t="shared" si="15"/>
        <v>#DIV/0!</v>
      </c>
      <c r="AG137" s="83"/>
      <c r="AH137" s="115"/>
      <c r="AI137" s="118" t="e">
        <f>WEEKNUM(AH137-RESUMEN!$D$7)</f>
        <v>#NUM!</v>
      </c>
      <c r="AJ137" s="118">
        <f>_xlfn.DAYS(AH137,RESUMEN!$D$7)</f>
        <v>-43238</v>
      </c>
      <c r="AK137" s="76"/>
      <c r="AL137" s="73"/>
      <c r="AM137" s="73"/>
      <c r="AN137" s="116" t="e">
        <f t="shared" si="16"/>
        <v>#DIV/0!</v>
      </c>
      <c r="AO137" s="83"/>
      <c r="AP137" s="115"/>
      <c r="AQ137" s="118" t="e">
        <f>WEEKNUM(AP137-RESUMEN!$D$7)</f>
        <v>#NUM!</v>
      </c>
      <c r="AR137" s="118">
        <f>_xlfn.DAYS(AP137,RESUMEN!$D$7)</f>
        <v>-43238</v>
      </c>
      <c r="AS137" s="76"/>
      <c r="AT137" s="73"/>
      <c r="AU137" s="73"/>
      <c r="AV137" s="116" t="e">
        <f t="shared" si="17"/>
        <v>#DIV/0!</v>
      </c>
      <c r="AW137" s="83"/>
    </row>
    <row r="138" spans="2:49" x14ac:dyDescent="0.25">
      <c r="B138" s="115"/>
      <c r="C138" s="118" t="e">
        <f>WEEKNUM(B138-RESUMEN!$D$7)</f>
        <v>#NUM!</v>
      </c>
      <c r="D138" s="118">
        <f>_xlfn.DAYS(B138,RESUMEN!$D$7)</f>
        <v>-43238</v>
      </c>
      <c r="E138" s="76"/>
      <c r="F138" s="73"/>
      <c r="G138" s="73"/>
      <c r="H138" s="116" t="e">
        <f t="shared" si="12"/>
        <v>#DIV/0!</v>
      </c>
      <c r="I138" s="83"/>
      <c r="J138" s="115"/>
      <c r="K138" s="118" t="e">
        <f>WEEKNUM(J138-RESUMEN!$D$7)</f>
        <v>#NUM!</v>
      </c>
      <c r="L138" s="118">
        <f>_xlfn.DAYS(J138,RESUMEN!$D$7)</f>
        <v>-43238</v>
      </c>
      <c r="M138" s="76"/>
      <c r="N138" s="73"/>
      <c r="O138" s="73"/>
      <c r="P138" s="116" t="e">
        <f t="shared" si="13"/>
        <v>#DIV/0!</v>
      </c>
      <c r="Q138" s="83"/>
      <c r="R138" s="115"/>
      <c r="S138" s="118" t="e">
        <f>WEEKNUM(R138-RESUMEN!$D$7)</f>
        <v>#NUM!</v>
      </c>
      <c r="T138" s="118">
        <f>_xlfn.DAYS(R138,RESUMEN!$D$7)</f>
        <v>-43238</v>
      </c>
      <c r="U138" s="76"/>
      <c r="V138" s="73"/>
      <c r="W138" s="73"/>
      <c r="X138" s="116" t="e">
        <f t="shared" si="14"/>
        <v>#DIV/0!</v>
      </c>
      <c r="Y138" s="83"/>
      <c r="Z138" s="115"/>
      <c r="AA138" s="118">
        <f>Z138-RESUMEN!$D$7</f>
        <v>-43238</v>
      </c>
      <c r="AB138" s="118">
        <f>_xlfn.DAYS(Z138,RESUMEN!$D$7)</f>
        <v>-43238</v>
      </c>
      <c r="AC138" s="76"/>
      <c r="AD138" s="73"/>
      <c r="AE138" s="73"/>
      <c r="AF138" s="116" t="e">
        <f t="shared" si="15"/>
        <v>#DIV/0!</v>
      </c>
      <c r="AG138" s="83"/>
      <c r="AH138" s="115"/>
      <c r="AI138" s="118" t="e">
        <f>WEEKNUM(AH138-RESUMEN!$D$7)</f>
        <v>#NUM!</v>
      </c>
      <c r="AJ138" s="118">
        <f>_xlfn.DAYS(AH138,RESUMEN!$D$7)</f>
        <v>-43238</v>
      </c>
      <c r="AK138" s="76"/>
      <c r="AL138" s="73"/>
      <c r="AM138" s="73"/>
      <c r="AN138" s="116" t="e">
        <f t="shared" si="16"/>
        <v>#DIV/0!</v>
      </c>
      <c r="AO138" s="83"/>
      <c r="AP138" s="115"/>
      <c r="AQ138" s="118" t="e">
        <f>WEEKNUM(AP138-RESUMEN!$D$7)</f>
        <v>#NUM!</v>
      </c>
      <c r="AR138" s="118">
        <f>_xlfn.DAYS(AP138,RESUMEN!$D$7)</f>
        <v>-43238</v>
      </c>
      <c r="AS138" s="76"/>
      <c r="AT138" s="73"/>
      <c r="AU138" s="73"/>
      <c r="AV138" s="116" t="e">
        <f t="shared" si="17"/>
        <v>#DIV/0!</v>
      </c>
      <c r="AW138" s="83"/>
    </row>
    <row r="139" spans="2:49" x14ac:dyDescent="0.25">
      <c r="B139" s="115"/>
      <c r="C139" s="118" t="e">
        <f>WEEKNUM(B139-RESUMEN!$D$7)</f>
        <v>#NUM!</v>
      </c>
      <c r="D139" s="118">
        <f>_xlfn.DAYS(B139,RESUMEN!$D$7)</f>
        <v>-43238</v>
      </c>
      <c r="E139" s="76"/>
      <c r="F139" s="73"/>
      <c r="G139" s="73"/>
      <c r="H139" s="116" t="e">
        <f t="shared" si="12"/>
        <v>#DIV/0!</v>
      </c>
      <c r="I139" s="83"/>
      <c r="J139" s="115"/>
      <c r="K139" s="118" t="e">
        <f>WEEKNUM(J139-RESUMEN!$D$7)</f>
        <v>#NUM!</v>
      </c>
      <c r="L139" s="118">
        <f>_xlfn.DAYS(J139,RESUMEN!$D$7)</f>
        <v>-43238</v>
      </c>
      <c r="M139" s="76"/>
      <c r="N139" s="73"/>
      <c r="O139" s="73"/>
      <c r="P139" s="116" t="e">
        <f t="shared" si="13"/>
        <v>#DIV/0!</v>
      </c>
      <c r="Q139" s="83"/>
      <c r="R139" s="115"/>
      <c r="S139" s="118" t="e">
        <f>WEEKNUM(R139-RESUMEN!$D$7)</f>
        <v>#NUM!</v>
      </c>
      <c r="T139" s="118">
        <f>_xlfn.DAYS(R139,RESUMEN!$D$7)</f>
        <v>-43238</v>
      </c>
      <c r="U139" s="76"/>
      <c r="V139" s="73"/>
      <c r="W139" s="73"/>
      <c r="X139" s="116" t="e">
        <f t="shared" si="14"/>
        <v>#DIV/0!</v>
      </c>
      <c r="Y139" s="83"/>
      <c r="Z139" s="115"/>
      <c r="AA139" s="118">
        <f>Z139-RESUMEN!$D$7</f>
        <v>-43238</v>
      </c>
      <c r="AB139" s="118">
        <f>_xlfn.DAYS(Z139,RESUMEN!$D$7)</f>
        <v>-43238</v>
      </c>
      <c r="AC139" s="76"/>
      <c r="AD139" s="73"/>
      <c r="AE139" s="73"/>
      <c r="AF139" s="116" t="e">
        <f t="shared" si="15"/>
        <v>#DIV/0!</v>
      </c>
      <c r="AG139" s="83"/>
      <c r="AH139" s="115"/>
      <c r="AI139" s="118" t="e">
        <f>WEEKNUM(AH139-RESUMEN!$D$7)</f>
        <v>#NUM!</v>
      </c>
      <c r="AJ139" s="118">
        <f>_xlfn.DAYS(AH139,RESUMEN!$D$7)</f>
        <v>-43238</v>
      </c>
      <c r="AK139" s="76"/>
      <c r="AL139" s="73"/>
      <c r="AM139" s="73"/>
      <c r="AN139" s="116" t="e">
        <f t="shared" si="16"/>
        <v>#DIV/0!</v>
      </c>
      <c r="AO139" s="83"/>
      <c r="AP139" s="115"/>
      <c r="AQ139" s="118" t="e">
        <f>WEEKNUM(AP139-RESUMEN!$D$7)</f>
        <v>#NUM!</v>
      </c>
      <c r="AR139" s="118">
        <f>_xlfn.DAYS(AP139,RESUMEN!$D$7)</f>
        <v>-43238</v>
      </c>
      <c r="AS139" s="76"/>
      <c r="AT139" s="73"/>
      <c r="AU139" s="73"/>
      <c r="AV139" s="116" t="e">
        <f t="shared" si="17"/>
        <v>#DIV/0!</v>
      </c>
      <c r="AW139" s="83"/>
    </row>
    <row r="140" spans="2:49" x14ac:dyDescent="0.25">
      <c r="B140" s="115"/>
      <c r="C140" s="118" t="e">
        <f>WEEKNUM(B140-RESUMEN!$D$7)</f>
        <v>#NUM!</v>
      </c>
      <c r="D140" s="118">
        <f>_xlfn.DAYS(B140,RESUMEN!$D$7)</f>
        <v>-43238</v>
      </c>
      <c r="E140" s="76"/>
      <c r="F140" s="73"/>
      <c r="G140" s="73"/>
      <c r="H140" s="116" t="e">
        <f t="shared" si="12"/>
        <v>#DIV/0!</v>
      </c>
      <c r="I140" s="83"/>
      <c r="J140" s="115"/>
      <c r="K140" s="118" t="e">
        <f>WEEKNUM(J140-RESUMEN!$D$7)</f>
        <v>#NUM!</v>
      </c>
      <c r="L140" s="118">
        <f>_xlfn.DAYS(J140,RESUMEN!$D$7)</f>
        <v>-43238</v>
      </c>
      <c r="M140" s="76"/>
      <c r="N140" s="73"/>
      <c r="O140" s="73"/>
      <c r="P140" s="116" t="e">
        <f t="shared" si="13"/>
        <v>#DIV/0!</v>
      </c>
      <c r="Q140" s="83"/>
      <c r="R140" s="115"/>
      <c r="S140" s="118" t="e">
        <f>WEEKNUM(R140-RESUMEN!$D$7)</f>
        <v>#NUM!</v>
      </c>
      <c r="T140" s="118">
        <f>_xlfn.DAYS(R140,RESUMEN!$D$7)</f>
        <v>-43238</v>
      </c>
      <c r="U140" s="76"/>
      <c r="V140" s="73"/>
      <c r="W140" s="73"/>
      <c r="X140" s="116" t="e">
        <f t="shared" si="14"/>
        <v>#DIV/0!</v>
      </c>
      <c r="Y140" s="83"/>
      <c r="Z140" s="115"/>
      <c r="AA140" s="118">
        <f>Z140-RESUMEN!$D$7</f>
        <v>-43238</v>
      </c>
      <c r="AB140" s="118">
        <f>_xlfn.DAYS(Z140,RESUMEN!$D$7)</f>
        <v>-43238</v>
      </c>
      <c r="AC140" s="76"/>
      <c r="AD140" s="73"/>
      <c r="AE140" s="73"/>
      <c r="AF140" s="116" t="e">
        <f t="shared" si="15"/>
        <v>#DIV/0!</v>
      </c>
      <c r="AG140" s="83"/>
      <c r="AH140" s="115"/>
      <c r="AI140" s="118" t="e">
        <f>WEEKNUM(AH140-RESUMEN!$D$7)</f>
        <v>#NUM!</v>
      </c>
      <c r="AJ140" s="118">
        <f>_xlfn.DAYS(AH140,RESUMEN!$D$7)</f>
        <v>-43238</v>
      </c>
      <c r="AK140" s="76"/>
      <c r="AL140" s="73"/>
      <c r="AM140" s="73"/>
      <c r="AN140" s="116" t="e">
        <f t="shared" si="16"/>
        <v>#DIV/0!</v>
      </c>
      <c r="AO140" s="83"/>
      <c r="AP140" s="115"/>
      <c r="AQ140" s="118" t="e">
        <f>WEEKNUM(AP140-RESUMEN!$D$7)</f>
        <v>#NUM!</v>
      </c>
      <c r="AR140" s="118">
        <f>_xlfn.DAYS(AP140,RESUMEN!$D$7)</f>
        <v>-43238</v>
      </c>
      <c r="AS140" s="76"/>
      <c r="AT140" s="73"/>
      <c r="AU140" s="73"/>
      <c r="AV140" s="116" t="e">
        <f t="shared" si="17"/>
        <v>#DIV/0!</v>
      </c>
      <c r="AW140" s="83"/>
    </row>
    <row r="141" spans="2:49" x14ac:dyDescent="0.25">
      <c r="B141" s="115"/>
      <c r="C141" s="118" t="e">
        <f>WEEKNUM(B141-RESUMEN!$D$7)</f>
        <v>#NUM!</v>
      </c>
      <c r="D141" s="118">
        <f>_xlfn.DAYS(B141,RESUMEN!$D$7)</f>
        <v>-43238</v>
      </c>
      <c r="E141" s="76"/>
      <c r="F141" s="73"/>
      <c r="G141" s="73"/>
      <c r="H141" s="116" t="e">
        <f t="shared" si="12"/>
        <v>#DIV/0!</v>
      </c>
      <c r="I141" s="83"/>
      <c r="J141" s="115"/>
      <c r="K141" s="118" t="e">
        <f>WEEKNUM(J141-RESUMEN!$D$7)</f>
        <v>#NUM!</v>
      </c>
      <c r="L141" s="118">
        <f>_xlfn.DAYS(J141,RESUMEN!$D$7)</f>
        <v>-43238</v>
      </c>
      <c r="M141" s="76"/>
      <c r="N141" s="73"/>
      <c r="O141" s="73"/>
      <c r="P141" s="116" t="e">
        <f t="shared" si="13"/>
        <v>#DIV/0!</v>
      </c>
      <c r="Q141" s="83"/>
      <c r="R141" s="115"/>
      <c r="S141" s="118" t="e">
        <f>WEEKNUM(R141-RESUMEN!$D$7)</f>
        <v>#NUM!</v>
      </c>
      <c r="T141" s="118">
        <f>_xlfn.DAYS(R141,RESUMEN!$D$7)</f>
        <v>-43238</v>
      </c>
      <c r="U141" s="76"/>
      <c r="V141" s="73"/>
      <c r="W141" s="73"/>
      <c r="X141" s="116" t="e">
        <f t="shared" si="14"/>
        <v>#DIV/0!</v>
      </c>
      <c r="Y141" s="83"/>
      <c r="Z141" s="115"/>
      <c r="AA141" s="118">
        <f>Z141-RESUMEN!$D$7</f>
        <v>-43238</v>
      </c>
      <c r="AB141" s="118">
        <f>_xlfn.DAYS(Z141,RESUMEN!$D$7)</f>
        <v>-43238</v>
      </c>
      <c r="AC141" s="76"/>
      <c r="AD141" s="73"/>
      <c r="AE141" s="73"/>
      <c r="AF141" s="116" t="e">
        <f t="shared" si="15"/>
        <v>#DIV/0!</v>
      </c>
      <c r="AG141" s="83"/>
      <c r="AH141" s="115"/>
      <c r="AI141" s="118" t="e">
        <f>WEEKNUM(AH141-RESUMEN!$D$7)</f>
        <v>#NUM!</v>
      </c>
      <c r="AJ141" s="118">
        <f>_xlfn.DAYS(AH141,RESUMEN!$D$7)</f>
        <v>-43238</v>
      </c>
      <c r="AK141" s="76"/>
      <c r="AL141" s="73"/>
      <c r="AM141" s="73"/>
      <c r="AN141" s="116" t="e">
        <f t="shared" si="16"/>
        <v>#DIV/0!</v>
      </c>
      <c r="AO141" s="83"/>
      <c r="AP141" s="115"/>
      <c r="AQ141" s="118" t="e">
        <f>WEEKNUM(AP141-RESUMEN!$D$7)</f>
        <v>#NUM!</v>
      </c>
      <c r="AR141" s="118">
        <f>_xlfn.DAYS(AP141,RESUMEN!$D$7)</f>
        <v>-43238</v>
      </c>
      <c r="AS141" s="76"/>
      <c r="AT141" s="73"/>
      <c r="AU141" s="73"/>
      <c r="AV141" s="116" t="e">
        <f t="shared" si="17"/>
        <v>#DIV/0!</v>
      </c>
      <c r="AW141" s="83"/>
    </row>
    <row r="142" spans="2:49" x14ac:dyDescent="0.25">
      <c r="B142" s="115"/>
      <c r="C142" s="118" t="e">
        <f>WEEKNUM(B142-RESUMEN!$D$7)</f>
        <v>#NUM!</v>
      </c>
      <c r="D142" s="118">
        <f>_xlfn.DAYS(B142,RESUMEN!$D$7)</f>
        <v>-43238</v>
      </c>
      <c r="E142" s="76"/>
      <c r="F142" s="73"/>
      <c r="G142" s="73"/>
      <c r="H142" s="116" t="e">
        <f t="shared" si="12"/>
        <v>#DIV/0!</v>
      </c>
      <c r="I142" s="83"/>
      <c r="J142" s="115"/>
      <c r="K142" s="118" t="e">
        <f>WEEKNUM(J142-RESUMEN!$D$7)</f>
        <v>#NUM!</v>
      </c>
      <c r="L142" s="118">
        <f>_xlfn.DAYS(J142,RESUMEN!$D$7)</f>
        <v>-43238</v>
      </c>
      <c r="M142" s="76"/>
      <c r="N142" s="73"/>
      <c r="O142" s="73"/>
      <c r="P142" s="116" t="e">
        <f t="shared" si="13"/>
        <v>#DIV/0!</v>
      </c>
      <c r="Q142" s="83"/>
      <c r="R142" s="115"/>
      <c r="S142" s="118" t="e">
        <f>WEEKNUM(R142-RESUMEN!$D$7)</f>
        <v>#NUM!</v>
      </c>
      <c r="T142" s="118">
        <f>_xlfn.DAYS(R142,RESUMEN!$D$7)</f>
        <v>-43238</v>
      </c>
      <c r="U142" s="76"/>
      <c r="V142" s="73"/>
      <c r="W142" s="73"/>
      <c r="X142" s="116" t="e">
        <f t="shared" si="14"/>
        <v>#DIV/0!</v>
      </c>
      <c r="Y142" s="83"/>
      <c r="Z142" s="115"/>
      <c r="AA142" s="118">
        <f>Z142-RESUMEN!$D$7</f>
        <v>-43238</v>
      </c>
      <c r="AB142" s="118">
        <f>_xlfn.DAYS(Z142,RESUMEN!$D$7)</f>
        <v>-43238</v>
      </c>
      <c r="AC142" s="76"/>
      <c r="AD142" s="73"/>
      <c r="AE142" s="73"/>
      <c r="AF142" s="116" t="e">
        <f t="shared" si="15"/>
        <v>#DIV/0!</v>
      </c>
      <c r="AG142" s="83"/>
      <c r="AH142" s="115"/>
      <c r="AI142" s="118" t="e">
        <f>WEEKNUM(AH142-RESUMEN!$D$7)</f>
        <v>#NUM!</v>
      </c>
      <c r="AJ142" s="118">
        <f>_xlfn.DAYS(AH142,RESUMEN!$D$7)</f>
        <v>-43238</v>
      </c>
      <c r="AK142" s="76"/>
      <c r="AL142" s="73"/>
      <c r="AM142" s="73"/>
      <c r="AN142" s="116" t="e">
        <f t="shared" si="16"/>
        <v>#DIV/0!</v>
      </c>
      <c r="AO142" s="83"/>
      <c r="AP142" s="115"/>
      <c r="AQ142" s="118" t="e">
        <f>WEEKNUM(AP142-RESUMEN!$D$7)</f>
        <v>#NUM!</v>
      </c>
      <c r="AR142" s="118">
        <f>_xlfn.DAYS(AP142,RESUMEN!$D$7)</f>
        <v>-43238</v>
      </c>
      <c r="AS142" s="76"/>
      <c r="AT142" s="73"/>
      <c r="AU142" s="73"/>
      <c r="AV142" s="116" t="e">
        <f t="shared" si="17"/>
        <v>#DIV/0!</v>
      </c>
      <c r="AW142" s="83"/>
    </row>
    <row r="143" spans="2:49" x14ac:dyDescent="0.25">
      <c r="B143" s="115"/>
      <c r="C143" s="118" t="e">
        <f>WEEKNUM(B143-RESUMEN!$D$7)</f>
        <v>#NUM!</v>
      </c>
      <c r="D143" s="118">
        <f>_xlfn.DAYS(B143,RESUMEN!$D$7)</f>
        <v>-43238</v>
      </c>
      <c r="E143" s="76"/>
      <c r="F143" s="73"/>
      <c r="G143" s="73"/>
      <c r="H143" s="116" t="e">
        <f t="shared" si="12"/>
        <v>#DIV/0!</v>
      </c>
      <c r="I143" s="83"/>
      <c r="J143" s="115"/>
      <c r="K143" s="118" t="e">
        <f>WEEKNUM(J143-RESUMEN!$D$7)</f>
        <v>#NUM!</v>
      </c>
      <c r="L143" s="118">
        <f>_xlfn.DAYS(J143,RESUMEN!$D$7)</f>
        <v>-43238</v>
      </c>
      <c r="M143" s="76"/>
      <c r="N143" s="73"/>
      <c r="O143" s="73"/>
      <c r="P143" s="116" t="e">
        <f t="shared" si="13"/>
        <v>#DIV/0!</v>
      </c>
      <c r="Q143" s="83"/>
      <c r="R143" s="115"/>
      <c r="S143" s="118" t="e">
        <f>WEEKNUM(R143-RESUMEN!$D$7)</f>
        <v>#NUM!</v>
      </c>
      <c r="T143" s="118">
        <f>_xlfn.DAYS(R143,RESUMEN!$D$7)</f>
        <v>-43238</v>
      </c>
      <c r="U143" s="76"/>
      <c r="V143" s="73"/>
      <c r="W143" s="73"/>
      <c r="X143" s="116" t="e">
        <f t="shared" si="14"/>
        <v>#DIV/0!</v>
      </c>
      <c r="Y143" s="83"/>
      <c r="Z143" s="115"/>
      <c r="AA143" s="118">
        <f>Z143-RESUMEN!$D$7</f>
        <v>-43238</v>
      </c>
      <c r="AB143" s="118">
        <f>_xlfn.DAYS(Z143,RESUMEN!$D$7)</f>
        <v>-43238</v>
      </c>
      <c r="AC143" s="76"/>
      <c r="AD143" s="73"/>
      <c r="AE143" s="73"/>
      <c r="AF143" s="116" t="e">
        <f t="shared" si="15"/>
        <v>#DIV/0!</v>
      </c>
      <c r="AG143" s="83"/>
      <c r="AH143" s="115"/>
      <c r="AI143" s="118" t="e">
        <f>WEEKNUM(AH143-RESUMEN!$D$7)</f>
        <v>#NUM!</v>
      </c>
      <c r="AJ143" s="118">
        <f>_xlfn.DAYS(AH143,RESUMEN!$D$7)</f>
        <v>-43238</v>
      </c>
      <c r="AK143" s="76"/>
      <c r="AL143" s="73"/>
      <c r="AM143" s="73"/>
      <c r="AN143" s="116" t="e">
        <f t="shared" si="16"/>
        <v>#DIV/0!</v>
      </c>
      <c r="AO143" s="83"/>
      <c r="AP143" s="115"/>
      <c r="AQ143" s="118" t="e">
        <f>WEEKNUM(AP143-RESUMEN!$D$7)</f>
        <v>#NUM!</v>
      </c>
      <c r="AR143" s="118">
        <f>_xlfn.DAYS(AP143,RESUMEN!$D$7)</f>
        <v>-43238</v>
      </c>
      <c r="AS143" s="76"/>
      <c r="AT143" s="73"/>
      <c r="AU143" s="73"/>
      <c r="AV143" s="116" t="e">
        <f t="shared" si="17"/>
        <v>#DIV/0!</v>
      </c>
      <c r="AW143" s="83"/>
    </row>
    <row r="144" spans="2:49" x14ac:dyDescent="0.25">
      <c r="B144" s="115"/>
      <c r="C144" s="118" t="e">
        <f>WEEKNUM(B144-RESUMEN!$D$7)</f>
        <v>#NUM!</v>
      </c>
      <c r="D144" s="118">
        <f>_xlfn.DAYS(B144,RESUMEN!$D$7)</f>
        <v>-43238</v>
      </c>
      <c r="E144" s="76"/>
      <c r="F144" s="73"/>
      <c r="G144" s="73"/>
      <c r="H144" s="116" t="e">
        <f t="shared" si="12"/>
        <v>#DIV/0!</v>
      </c>
      <c r="I144" s="83"/>
      <c r="J144" s="115"/>
      <c r="K144" s="118" t="e">
        <f>WEEKNUM(J144-RESUMEN!$D$7)</f>
        <v>#NUM!</v>
      </c>
      <c r="L144" s="118">
        <f>_xlfn.DAYS(J144,RESUMEN!$D$7)</f>
        <v>-43238</v>
      </c>
      <c r="M144" s="76"/>
      <c r="N144" s="73"/>
      <c r="O144" s="73"/>
      <c r="P144" s="116" t="e">
        <f t="shared" si="13"/>
        <v>#DIV/0!</v>
      </c>
      <c r="Q144" s="83"/>
      <c r="R144" s="115"/>
      <c r="S144" s="118" t="e">
        <f>WEEKNUM(R144-RESUMEN!$D$7)</f>
        <v>#NUM!</v>
      </c>
      <c r="T144" s="118">
        <f>_xlfn.DAYS(R144,RESUMEN!$D$7)</f>
        <v>-43238</v>
      </c>
      <c r="U144" s="76"/>
      <c r="V144" s="73"/>
      <c r="W144" s="73"/>
      <c r="X144" s="116" t="e">
        <f t="shared" si="14"/>
        <v>#DIV/0!</v>
      </c>
      <c r="Y144" s="83"/>
      <c r="Z144" s="115"/>
      <c r="AA144" s="118">
        <f>Z144-RESUMEN!$D$7</f>
        <v>-43238</v>
      </c>
      <c r="AB144" s="118">
        <f>_xlfn.DAYS(Z144,RESUMEN!$D$7)</f>
        <v>-43238</v>
      </c>
      <c r="AC144" s="76"/>
      <c r="AD144" s="73"/>
      <c r="AE144" s="73"/>
      <c r="AF144" s="116" t="e">
        <f t="shared" si="15"/>
        <v>#DIV/0!</v>
      </c>
      <c r="AG144" s="83"/>
      <c r="AH144" s="115"/>
      <c r="AI144" s="118" t="e">
        <f>WEEKNUM(AH144-RESUMEN!$D$7)</f>
        <v>#NUM!</v>
      </c>
      <c r="AJ144" s="118">
        <f>_xlfn.DAYS(AH144,RESUMEN!$D$7)</f>
        <v>-43238</v>
      </c>
      <c r="AK144" s="76"/>
      <c r="AL144" s="73"/>
      <c r="AM144" s="73"/>
      <c r="AN144" s="116" t="e">
        <f t="shared" si="16"/>
        <v>#DIV/0!</v>
      </c>
      <c r="AO144" s="83"/>
      <c r="AP144" s="115"/>
      <c r="AQ144" s="118" t="e">
        <f>WEEKNUM(AP144-RESUMEN!$D$7)</f>
        <v>#NUM!</v>
      </c>
      <c r="AR144" s="118">
        <f>_xlfn.DAYS(AP144,RESUMEN!$D$7)</f>
        <v>-43238</v>
      </c>
      <c r="AS144" s="76"/>
      <c r="AT144" s="73"/>
      <c r="AU144" s="73"/>
      <c r="AV144" s="116" t="e">
        <f t="shared" si="17"/>
        <v>#DIV/0!</v>
      </c>
      <c r="AW144" s="83"/>
    </row>
    <row r="145" spans="2:49" x14ac:dyDescent="0.25">
      <c r="B145" s="115"/>
      <c r="C145" s="118" t="e">
        <f>WEEKNUM(B145-RESUMEN!$D$7)</f>
        <v>#NUM!</v>
      </c>
      <c r="D145" s="118">
        <f>_xlfn.DAYS(B145,RESUMEN!$D$7)</f>
        <v>-43238</v>
      </c>
      <c r="E145" s="76"/>
      <c r="F145" s="73"/>
      <c r="G145" s="73"/>
      <c r="H145" s="116" t="e">
        <f t="shared" si="12"/>
        <v>#DIV/0!</v>
      </c>
      <c r="I145" s="83"/>
      <c r="J145" s="115"/>
      <c r="K145" s="118" t="e">
        <f>WEEKNUM(J145-RESUMEN!$D$7)</f>
        <v>#NUM!</v>
      </c>
      <c r="L145" s="118">
        <f>_xlfn.DAYS(J145,RESUMEN!$D$7)</f>
        <v>-43238</v>
      </c>
      <c r="M145" s="76"/>
      <c r="N145" s="73"/>
      <c r="O145" s="73"/>
      <c r="P145" s="116" t="e">
        <f t="shared" si="13"/>
        <v>#DIV/0!</v>
      </c>
      <c r="Q145" s="83"/>
      <c r="R145" s="115"/>
      <c r="S145" s="118" t="e">
        <f>WEEKNUM(R145-RESUMEN!$D$7)</f>
        <v>#NUM!</v>
      </c>
      <c r="T145" s="118">
        <f>_xlfn.DAYS(R145,RESUMEN!$D$7)</f>
        <v>-43238</v>
      </c>
      <c r="U145" s="76"/>
      <c r="V145" s="73"/>
      <c r="W145" s="73"/>
      <c r="X145" s="116" t="e">
        <f t="shared" si="14"/>
        <v>#DIV/0!</v>
      </c>
      <c r="Y145" s="83"/>
      <c r="Z145" s="115"/>
      <c r="AA145" s="118">
        <f>Z145-RESUMEN!$D$7</f>
        <v>-43238</v>
      </c>
      <c r="AB145" s="118">
        <f>_xlfn.DAYS(Z145,RESUMEN!$D$7)</f>
        <v>-43238</v>
      </c>
      <c r="AC145" s="76"/>
      <c r="AD145" s="73"/>
      <c r="AE145" s="73"/>
      <c r="AF145" s="116" t="e">
        <f t="shared" si="15"/>
        <v>#DIV/0!</v>
      </c>
      <c r="AG145" s="83"/>
      <c r="AH145" s="115"/>
      <c r="AI145" s="118" t="e">
        <f>WEEKNUM(AH145-RESUMEN!$D$7)</f>
        <v>#NUM!</v>
      </c>
      <c r="AJ145" s="118">
        <f>_xlfn.DAYS(AH145,RESUMEN!$D$7)</f>
        <v>-43238</v>
      </c>
      <c r="AK145" s="76"/>
      <c r="AL145" s="73"/>
      <c r="AM145" s="73"/>
      <c r="AN145" s="116" t="e">
        <f t="shared" si="16"/>
        <v>#DIV/0!</v>
      </c>
      <c r="AO145" s="83"/>
      <c r="AP145" s="115"/>
      <c r="AQ145" s="118" t="e">
        <f>WEEKNUM(AP145-RESUMEN!$D$7)</f>
        <v>#NUM!</v>
      </c>
      <c r="AR145" s="118">
        <f>_xlfn.DAYS(AP145,RESUMEN!$D$7)</f>
        <v>-43238</v>
      </c>
      <c r="AS145" s="76"/>
      <c r="AT145" s="73"/>
      <c r="AU145" s="73"/>
      <c r="AV145" s="116" t="e">
        <f t="shared" si="17"/>
        <v>#DIV/0!</v>
      </c>
      <c r="AW145" s="83"/>
    </row>
    <row r="146" spans="2:49" x14ac:dyDescent="0.25">
      <c r="B146" s="115"/>
      <c r="C146" s="118" t="e">
        <f>WEEKNUM(B146-RESUMEN!$D$7)</f>
        <v>#NUM!</v>
      </c>
      <c r="D146" s="118">
        <f>_xlfn.DAYS(B146,RESUMEN!$D$7)</f>
        <v>-43238</v>
      </c>
      <c r="E146" s="76"/>
      <c r="F146" s="73"/>
      <c r="G146" s="73"/>
      <c r="H146" s="116" t="e">
        <f t="shared" si="12"/>
        <v>#DIV/0!</v>
      </c>
      <c r="I146" s="83"/>
      <c r="J146" s="115"/>
      <c r="K146" s="118" t="e">
        <f>WEEKNUM(J146-RESUMEN!$D$7)</f>
        <v>#NUM!</v>
      </c>
      <c r="L146" s="118">
        <f>_xlfn.DAYS(J146,RESUMEN!$D$7)</f>
        <v>-43238</v>
      </c>
      <c r="M146" s="76"/>
      <c r="N146" s="73"/>
      <c r="O146" s="73"/>
      <c r="P146" s="116" t="e">
        <f t="shared" si="13"/>
        <v>#DIV/0!</v>
      </c>
      <c r="Q146" s="83"/>
      <c r="R146" s="115"/>
      <c r="S146" s="118" t="e">
        <f>WEEKNUM(R146-RESUMEN!$D$7)</f>
        <v>#NUM!</v>
      </c>
      <c r="T146" s="118">
        <f>_xlfn.DAYS(R146,RESUMEN!$D$7)</f>
        <v>-43238</v>
      </c>
      <c r="U146" s="76"/>
      <c r="V146" s="73"/>
      <c r="W146" s="73"/>
      <c r="X146" s="116" t="e">
        <f t="shared" si="14"/>
        <v>#DIV/0!</v>
      </c>
      <c r="Y146" s="83"/>
      <c r="Z146" s="115"/>
      <c r="AA146" s="118">
        <f>Z146-RESUMEN!$D$7</f>
        <v>-43238</v>
      </c>
      <c r="AB146" s="118">
        <f>_xlfn.DAYS(Z146,RESUMEN!$D$7)</f>
        <v>-43238</v>
      </c>
      <c r="AC146" s="76"/>
      <c r="AD146" s="73"/>
      <c r="AE146" s="73"/>
      <c r="AF146" s="116" t="e">
        <f t="shared" si="15"/>
        <v>#DIV/0!</v>
      </c>
      <c r="AG146" s="83"/>
      <c r="AH146" s="115"/>
      <c r="AI146" s="118" t="e">
        <f>WEEKNUM(AH146-RESUMEN!$D$7)</f>
        <v>#NUM!</v>
      </c>
      <c r="AJ146" s="118">
        <f>_xlfn.DAYS(AH146,RESUMEN!$D$7)</f>
        <v>-43238</v>
      </c>
      <c r="AK146" s="76"/>
      <c r="AL146" s="73"/>
      <c r="AM146" s="73"/>
      <c r="AN146" s="116" t="e">
        <f t="shared" si="16"/>
        <v>#DIV/0!</v>
      </c>
      <c r="AO146" s="83"/>
      <c r="AP146" s="115"/>
      <c r="AQ146" s="118" t="e">
        <f>WEEKNUM(AP146-RESUMEN!$D$7)</f>
        <v>#NUM!</v>
      </c>
      <c r="AR146" s="118">
        <f>_xlfn.DAYS(AP146,RESUMEN!$D$7)</f>
        <v>-43238</v>
      </c>
      <c r="AS146" s="76"/>
      <c r="AT146" s="73"/>
      <c r="AU146" s="73"/>
      <c r="AV146" s="116" t="e">
        <f t="shared" si="17"/>
        <v>#DIV/0!</v>
      </c>
      <c r="AW146" s="83"/>
    </row>
    <row r="147" spans="2:49" x14ac:dyDescent="0.25">
      <c r="B147" s="115"/>
      <c r="C147" s="118" t="e">
        <f>WEEKNUM(B147-RESUMEN!$D$7)</f>
        <v>#NUM!</v>
      </c>
      <c r="D147" s="118">
        <f>_xlfn.DAYS(B147,RESUMEN!$D$7)</f>
        <v>-43238</v>
      </c>
      <c r="E147" s="76"/>
      <c r="F147" s="73"/>
      <c r="G147" s="73"/>
      <c r="H147" s="116" t="e">
        <f t="shared" si="12"/>
        <v>#DIV/0!</v>
      </c>
      <c r="I147" s="83"/>
      <c r="J147" s="115"/>
      <c r="K147" s="118" t="e">
        <f>WEEKNUM(J147-RESUMEN!$D$7)</f>
        <v>#NUM!</v>
      </c>
      <c r="L147" s="118">
        <f>_xlfn.DAYS(J147,RESUMEN!$D$7)</f>
        <v>-43238</v>
      </c>
      <c r="M147" s="76"/>
      <c r="N147" s="73"/>
      <c r="O147" s="73"/>
      <c r="P147" s="116" t="e">
        <f t="shared" si="13"/>
        <v>#DIV/0!</v>
      </c>
      <c r="Q147" s="83"/>
      <c r="R147" s="115"/>
      <c r="S147" s="118" t="e">
        <f>WEEKNUM(R147-RESUMEN!$D$7)</f>
        <v>#NUM!</v>
      </c>
      <c r="T147" s="118">
        <f>_xlfn.DAYS(R147,RESUMEN!$D$7)</f>
        <v>-43238</v>
      </c>
      <c r="U147" s="76"/>
      <c r="V147" s="73"/>
      <c r="W147" s="73"/>
      <c r="X147" s="116" t="e">
        <f t="shared" si="14"/>
        <v>#DIV/0!</v>
      </c>
      <c r="Y147" s="83"/>
      <c r="Z147" s="115"/>
      <c r="AA147" s="118">
        <f>Z147-RESUMEN!$D$7</f>
        <v>-43238</v>
      </c>
      <c r="AB147" s="118">
        <f>_xlfn.DAYS(Z147,RESUMEN!$D$7)</f>
        <v>-43238</v>
      </c>
      <c r="AC147" s="76"/>
      <c r="AD147" s="73"/>
      <c r="AE147" s="73"/>
      <c r="AF147" s="116" t="e">
        <f t="shared" si="15"/>
        <v>#DIV/0!</v>
      </c>
      <c r="AG147" s="83"/>
      <c r="AH147" s="115"/>
      <c r="AI147" s="118" t="e">
        <f>WEEKNUM(AH147-RESUMEN!$D$7)</f>
        <v>#NUM!</v>
      </c>
      <c r="AJ147" s="118">
        <f>_xlfn.DAYS(AH147,RESUMEN!$D$7)</f>
        <v>-43238</v>
      </c>
      <c r="AK147" s="76"/>
      <c r="AL147" s="73"/>
      <c r="AM147" s="73"/>
      <c r="AN147" s="116" t="e">
        <f t="shared" si="16"/>
        <v>#DIV/0!</v>
      </c>
      <c r="AO147" s="83"/>
      <c r="AP147" s="115"/>
      <c r="AQ147" s="118" t="e">
        <f>WEEKNUM(AP147-RESUMEN!$D$7)</f>
        <v>#NUM!</v>
      </c>
      <c r="AR147" s="118">
        <f>_xlfn.DAYS(AP147,RESUMEN!$D$7)</f>
        <v>-43238</v>
      </c>
      <c r="AS147" s="76"/>
      <c r="AT147" s="73"/>
      <c r="AU147" s="73"/>
      <c r="AV147" s="116" t="e">
        <f t="shared" si="17"/>
        <v>#DIV/0!</v>
      </c>
      <c r="AW147" s="83"/>
    </row>
    <row r="148" spans="2:49" x14ac:dyDescent="0.25">
      <c r="B148" s="115"/>
      <c r="C148" s="118" t="e">
        <f>WEEKNUM(B148-RESUMEN!$D$7)</f>
        <v>#NUM!</v>
      </c>
      <c r="D148" s="118">
        <f>_xlfn.DAYS(B148,RESUMEN!$D$7)</f>
        <v>-43238</v>
      </c>
      <c r="E148" s="76"/>
      <c r="F148" s="73"/>
      <c r="G148" s="73"/>
      <c r="H148" s="116" t="e">
        <f t="shared" si="12"/>
        <v>#DIV/0!</v>
      </c>
      <c r="I148" s="83"/>
      <c r="J148" s="115"/>
      <c r="K148" s="118" t="e">
        <f>WEEKNUM(J148-RESUMEN!$D$7)</f>
        <v>#NUM!</v>
      </c>
      <c r="L148" s="118">
        <f>_xlfn.DAYS(J148,RESUMEN!$D$7)</f>
        <v>-43238</v>
      </c>
      <c r="M148" s="76"/>
      <c r="N148" s="73"/>
      <c r="O148" s="73"/>
      <c r="P148" s="116" t="e">
        <f t="shared" si="13"/>
        <v>#DIV/0!</v>
      </c>
      <c r="Q148" s="83"/>
      <c r="R148" s="115"/>
      <c r="S148" s="118" t="e">
        <f>WEEKNUM(R148-RESUMEN!$D$7)</f>
        <v>#NUM!</v>
      </c>
      <c r="T148" s="118">
        <f>_xlfn.DAYS(R148,RESUMEN!$D$7)</f>
        <v>-43238</v>
      </c>
      <c r="U148" s="76"/>
      <c r="V148" s="73"/>
      <c r="W148" s="73"/>
      <c r="X148" s="116" t="e">
        <f t="shared" si="14"/>
        <v>#DIV/0!</v>
      </c>
      <c r="Y148" s="83"/>
      <c r="Z148" s="115"/>
      <c r="AA148" s="118">
        <f>Z148-RESUMEN!$D$7</f>
        <v>-43238</v>
      </c>
      <c r="AB148" s="118">
        <f>_xlfn.DAYS(Z148,RESUMEN!$D$7)</f>
        <v>-43238</v>
      </c>
      <c r="AC148" s="76"/>
      <c r="AD148" s="73"/>
      <c r="AE148" s="73"/>
      <c r="AF148" s="116" t="e">
        <f t="shared" si="15"/>
        <v>#DIV/0!</v>
      </c>
      <c r="AG148" s="83"/>
      <c r="AH148" s="115"/>
      <c r="AI148" s="118" t="e">
        <f>WEEKNUM(AH148-RESUMEN!$D$7)</f>
        <v>#NUM!</v>
      </c>
      <c r="AJ148" s="118">
        <f>_xlfn.DAYS(AH148,RESUMEN!$D$7)</f>
        <v>-43238</v>
      </c>
      <c r="AK148" s="76"/>
      <c r="AL148" s="73"/>
      <c r="AM148" s="73"/>
      <c r="AN148" s="116" t="e">
        <f t="shared" si="16"/>
        <v>#DIV/0!</v>
      </c>
      <c r="AO148" s="83"/>
      <c r="AP148" s="115"/>
      <c r="AQ148" s="118" t="e">
        <f>WEEKNUM(AP148-RESUMEN!$D$7)</f>
        <v>#NUM!</v>
      </c>
      <c r="AR148" s="118">
        <f>_xlfn.DAYS(AP148,RESUMEN!$D$7)</f>
        <v>-43238</v>
      </c>
      <c r="AS148" s="76"/>
      <c r="AT148" s="73"/>
      <c r="AU148" s="73"/>
      <c r="AV148" s="116" t="e">
        <f t="shared" si="17"/>
        <v>#DIV/0!</v>
      </c>
      <c r="AW148" s="83"/>
    </row>
    <row r="149" spans="2:49" x14ac:dyDescent="0.25">
      <c r="B149" s="115"/>
      <c r="C149" s="118" t="e">
        <f>WEEKNUM(B149-RESUMEN!$D$7)</f>
        <v>#NUM!</v>
      </c>
      <c r="D149" s="118">
        <f>_xlfn.DAYS(B149,RESUMEN!$D$7)</f>
        <v>-43238</v>
      </c>
      <c r="E149" s="76"/>
      <c r="F149" s="73"/>
      <c r="G149" s="73"/>
      <c r="H149" s="116" t="e">
        <f t="shared" si="12"/>
        <v>#DIV/0!</v>
      </c>
      <c r="I149" s="83"/>
      <c r="J149" s="115"/>
      <c r="K149" s="118" t="e">
        <f>WEEKNUM(J149-RESUMEN!$D$7)</f>
        <v>#NUM!</v>
      </c>
      <c r="L149" s="118">
        <f>_xlfn.DAYS(J149,RESUMEN!$D$7)</f>
        <v>-43238</v>
      </c>
      <c r="M149" s="76"/>
      <c r="N149" s="73"/>
      <c r="O149" s="73"/>
      <c r="P149" s="116" t="e">
        <f t="shared" si="13"/>
        <v>#DIV/0!</v>
      </c>
      <c r="Q149" s="83"/>
      <c r="R149" s="115"/>
      <c r="S149" s="118" t="e">
        <f>WEEKNUM(R149-RESUMEN!$D$7)</f>
        <v>#NUM!</v>
      </c>
      <c r="T149" s="118">
        <f>_xlfn.DAYS(R149,RESUMEN!$D$7)</f>
        <v>-43238</v>
      </c>
      <c r="U149" s="76"/>
      <c r="V149" s="73"/>
      <c r="W149" s="73"/>
      <c r="X149" s="116" t="e">
        <f t="shared" si="14"/>
        <v>#DIV/0!</v>
      </c>
      <c r="Y149" s="83"/>
      <c r="Z149" s="115"/>
      <c r="AA149" s="118">
        <f>Z149-RESUMEN!$D$7</f>
        <v>-43238</v>
      </c>
      <c r="AB149" s="118">
        <f>_xlfn.DAYS(Z149,RESUMEN!$D$7)</f>
        <v>-43238</v>
      </c>
      <c r="AC149" s="76"/>
      <c r="AD149" s="73"/>
      <c r="AE149" s="73"/>
      <c r="AF149" s="116" t="e">
        <f t="shared" si="15"/>
        <v>#DIV/0!</v>
      </c>
      <c r="AG149" s="83"/>
      <c r="AH149" s="115"/>
      <c r="AI149" s="118" t="e">
        <f>WEEKNUM(AH149-RESUMEN!$D$7)</f>
        <v>#NUM!</v>
      </c>
      <c r="AJ149" s="118">
        <f>_xlfn.DAYS(AH149,RESUMEN!$D$7)</f>
        <v>-43238</v>
      </c>
      <c r="AK149" s="76"/>
      <c r="AL149" s="73"/>
      <c r="AM149" s="73"/>
      <c r="AN149" s="116" t="e">
        <f t="shared" si="16"/>
        <v>#DIV/0!</v>
      </c>
      <c r="AO149" s="83"/>
      <c r="AP149" s="115"/>
      <c r="AQ149" s="118" t="e">
        <f>WEEKNUM(AP149-RESUMEN!$D$7)</f>
        <v>#NUM!</v>
      </c>
      <c r="AR149" s="118">
        <f>_xlfn.DAYS(AP149,RESUMEN!$D$7)</f>
        <v>-43238</v>
      </c>
      <c r="AS149" s="76"/>
      <c r="AT149" s="73"/>
      <c r="AU149" s="73"/>
      <c r="AV149" s="116" t="e">
        <f t="shared" si="17"/>
        <v>#DIV/0!</v>
      </c>
      <c r="AW149" s="83"/>
    </row>
    <row r="150" spans="2:49" x14ac:dyDescent="0.25">
      <c r="B150" s="115"/>
      <c r="C150" s="118" t="e">
        <f>WEEKNUM(B150-RESUMEN!$D$7)</f>
        <v>#NUM!</v>
      </c>
      <c r="D150" s="118">
        <f>_xlfn.DAYS(B150,RESUMEN!$D$7)</f>
        <v>-43238</v>
      </c>
      <c r="E150" s="76"/>
      <c r="F150" s="73"/>
      <c r="G150" s="73"/>
      <c r="H150" s="116" t="e">
        <f t="shared" si="12"/>
        <v>#DIV/0!</v>
      </c>
      <c r="I150" s="83"/>
      <c r="J150" s="115"/>
      <c r="K150" s="118" t="e">
        <f>WEEKNUM(J150-RESUMEN!$D$7)</f>
        <v>#NUM!</v>
      </c>
      <c r="L150" s="118">
        <f>_xlfn.DAYS(J150,RESUMEN!$D$7)</f>
        <v>-43238</v>
      </c>
      <c r="M150" s="76"/>
      <c r="N150" s="73"/>
      <c r="O150" s="73"/>
      <c r="P150" s="116" t="e">
        <f t="shared" si="13"/>
        <v>#DIV/0!</v>
      </c>
      <c r="Q150" s="83"/>
      <c r="R150" s="115"/>
      <c r="S150" s="118" t="e">
        <f>WEEKNUM(R150-RESUMEN!$D$7)</f>
        <v>#NUM!</v>
      </c>
      <c r="T150" s="118">
        <f>_xlfn.DAYS(R150,RESUMEN!$D$7)</f>
        <v>-43238</v>
      </c>
      <c r="U150" s="76"/>
      <c r="V150" s="73"/>
      <c r="W150" s="73"/>
      <c r="X150" s="116" t="e">
        <f t="shared" si="14"/>
        <v>#DIV/0!</v>
      </c>
      <c r="Y150" s="83"/>
      <c r="Z150" s="115"/>
      <c r="AA150" s="118">
        <f>Z150-RESUMEN!$D$7</f>
        <v>-43238</v>
      </c>
      <c r="AB150" s="118">
        <f>_xlfn.DAYS(Z150,RESUMEN!$D$7)</f>
        <v>-43238</v>
      </c>
      <c r="AC150" s="76"/>
      <c r="AD150" s="73"/>
      <c r="AE150" s="73"/>
      <c r="AF150" s="116" t="e">
        <f t="shared" si="15"/>
        <v>#DIV/0!</v>
      </c>
      <c r="AG150" s="83"/>
      <c r="AH150" s="115"/>
      <c r="AI150" s="118" t="e">
        <f>WEEKNUM(AH150-RESUMEN!$D$7)</f>
        <v>#NUM!</v>
      </c>
      <c r="AJ150" s="118">
        <f>_xlfn.DAYS(AH150,RESUMEN!$D$7)</f>
        <v>-43238</v>
      </c>
      <c r="AK150" s="76"/>
      <c r="AL150" s="73"/>
      <c r="AM150" s="73"/>
      <c r="AN150" s="116" t="e">
        <f t="shared" si="16"/>
        <v>#DIV/0!</v>
      </c>
      <c r="AO150" s="83"/>
      <c r="AP150" s="115"/>
      <c r="AQ150" s="118" t="e">
        <f>WEEKNUM(AP150-RESUMEN!$D$7)</f>
        <v>#NUM!</v>
      </c>
      <c r="AR150" s="118">
        <f>_xlfn.DAYS(AP150,RESUMEN!$D$7)</f>
        <v>-43238</v>
      </c>
      <c r="AS150" s="76"/>
      <c r="AT150" s="73"/>
      <c r="AU150" s="73"/>
      <c r="AV150" s="116" t="e">
        <f t="shared" si="17"/>
        <v>#DIV/0!</v>
      </c>
      <c r="AW150" s="83"/>
    </row>
    <row r="151" spans="2:49" x14ac:dyDescent="0.25">
      <c r="B151" s="115"/>
      <c r="C151" s="118" t="e">
        <f>WEEKNUM(B151-RESUMEN!$D$7)</f>
        <v>#NUM!</v>
      </c>
      <c r="D151" s="118">
        <f>_xlfn.DAYS(B151,RESUMEN!$D$7)</f>
        <v>-43238</v>
      </c>
      <c r="E151" s="76"/>
      <c r="F151" s="73"/>
      <c r="G151" s="73"/>
      <c r="H151" s="116" t="e">
        <f t="shared" si="12"/>
        <v>#DIV/0!</v>
      </c>
      <c r="I151" s="83"/>
      <c r="J151" s="115"/>
      <c r="K151" s="118" t="e">
        <f>WEEKNUM(J151-RESUMEN!$D$7)</f>
        <v>#NUM!</v>
      </c>
      <c r="L151" s="118">
        <f>_xlfn.DAYS(J151,RESUMEN!$D$7)</f>
        <v>-43238</v>
      </c>
      <c r="M151" s="76"/>
      <c r="N151" s="73"/>
      <c r="O151" s="73"/>
      <c r="P151" s="116" t="e">
        <f t="shared" si="13"/>
        <v>#DIV/0!</v>
      </c>
      <c r="Q151" s="83"/>
      <c r="R151" s="115"/>
      <c r="S151" s="118" t="e">
        <f>WEEKNUM(R151-RESUMEN!$D$7)</f>
        <v>#NUM!</v>
      </c>
      <c r="T151" s="118">
        <f>_xlfn.DAYS(R151,RESUMEN!$D$7)</f>
        <v>-43238</v>
      </c>
      <c r="U151" s="76"/>
      <c r="V151" s="73"/>
      <c r="W151" s="73"/>
      <c r="X151" s="116" t="e">
        <f t="shared" si="14"/>
        <v>#DIV/0!</v>
      </c>
      <c r="Y151" s="83"/>
      <c r="Z151" s="115"/>
      <c r="AA151" s="118">
        <f>Z151-RESUMEN!$D$7</f>
        <v>-43238</v>
      </c>
      <c r="AB151" s="118">
        <f>_xlfn.DAYS(Z151,RESUMEN!$D$7)</f>
        <v>-43238</v>
      </c>
      <c r="AC151" s="76"/>
      <c r="AD151" s="73"/>
      <c r="AE151" s="73"/>
      <c r="AF151" s="116" t="e">
        <f t="shared" si="15"/>
        <v>#DIV/0!</v>
      </c>
      <c r="AG151" s="83"/>
      <c r="AH151" s="115"/>
      <c r="AI151" s="118" t="e">
        <f>WEEKNUM(AH151-RESUMEN!$D$7)</f>
        <v>#NUM!</v>
      </c>
      <c r="AJ151" s="118">
        <f>_xlfn.DAYS(AH151,RESUMEN!$D$7)</f>
        <v>-43238</v>
      </c>
      <c r="AK151" s="76"/>
      <c r="AL151" s="73"/>
      <c r="AM151" s="73"/>
      <c r="AN151" s="116" t="e">
        <f t="shared" si="16"/>
        <v>#DIV/0!</v>
      </c>
      <c r="AO151" s="83"/>
      <c r="AP151" s="115"/>
      <c r="AQ151" s="118" t="e">
        <f>WEEKNUM(AP151-RESUMEN!$D$7)</f>
        <v>#NUM!</v>
      </c>
      <c r="AR151" s="118">
        <f>_xlfn.DAYS(AP151,RESUMEN!$D$7)</f>
        <v>-43238</v>
      </c>
      <c r="AS151" s="76"/>
      <c r="AT151" s="73"/>
      <c r="AU151" s="73"/>
      <c r="AV151" s="116" t="e">
        <f t="shared" si="17"/>
        <v>#DIV/0!</v>
      </c>
      <c r="AW151" s="83"/>
    </row>
    <row r="152" spans="2:49" x14ac:dyDescent="0.25">
      <c r="B152" s="115"/>
      <c r="C152" s="118" t="e">
        <f>WEEKNUM(B152-RESUMEN!$D$7)</f>
        <v>#NUM!</v>
      </c>
      <c r="D152" s="118">
        <f>_xlfn.DAYS(B152,RESUMEN!$D$7)</f>
        <v>-43238</v>
      </c>
      <c r="E152" s="76"/>
      <c r="F152" s="73"/>
      <c r="G152" s="73"/>
      <c r="H152" s="116" t="e">
        <f t="shared" si="12"/>
        <v>#DIV/0!</v>
      </c>
      <c r="I152" s="83"/>
      <c r="J152" s="115"/>
      <c r="K152" s="118" t="e">
        <f>WEEKNUM(J152-RESUMEN!$D$7)</f>
        <v>#NUM!</v>
      </c>
      <c r="L152" s="118">
        <f>_xlfn.DAYS(J152,RESUMEN!$D$7)</f>
        <v>-43238</v>
      </c>
      <c r="M152" s="76"/>
      <c r="N152" s="73"/>
      <c r="O152" s="73"/>
      <c r="P152" s="116" t="e">
        <f t="shared" si="13"/>
        <v>#DIV/0!</v>
      </c>
      <c r="Q152" s="83"/>
      <c r="R152" s="115"/>
      <c r="S152" s="118" t="e">
        <f>WEEKNUM(R152-RESUMEN!$D$7)</f>
        <v>#NUM!</v>
      </c>
      <c r="T152" s="118">
        <f>_xlfn.DAYS(R152,RESUMEN!$D$7)</f>
        <v>-43238</v>
      </c>
      <c r="U152" s="76"/>
      <c r="V152" s="73"/>
      <c r="W152" s="73"/>
      <c r="X152" s="116" t="e">
        <f t="shared" si="14"/>
        <v>#DIV/0!</v>
      </c>
      <c r="Y152" s="83"/>
      <c r="Z152" s="115"/>
      <c r="AA152" s="118">
        <f>Z152-RESUMEN!$D$7</f>
        <v>-43238</v>
      </c>
      <c r="AB152" s="118">
        <f>_xlfn.DAYS(Z152,RESUMEN!$D$7)</f>
        <v>-43238</v>
      </c>
      <c r="AC152" s="76"/>
      <c r="AD152" s="73"/>
      <c r="AE152" s="73"/>
      <c r="AF152" s="116" t="e">
        <f t="shared" si="15"/>
        <v>#DIV/0!</v>
      </c>
      <c r="AG152" s="83"/>
      <c r="AH152" s="115"/>
      <c r="AI152" s="118" t="e">
        <f>WEEKNUM(AH152-RESUMEN!$D$7)</f>
        <v>#NUM!</v>
      </c>
      <c r="AJ152" s="118">
        <f>_xlfn.DAYS(AH152,RESUMEN!$D$7)</f>
        <v>-43238</v>
      </c>
      <c r="AK152" s="76"/>
      <c r="AL152" s="73"/>
      <c r="AM152" s="73"/>
      <c r="AN152" s="116" t="e">
        <f t="shared" si="16"/>
        <v>#DIV/0!</v>
      </c>
      <c r="AO152" s="83"/>
      <c r="AP152" s="115"/>
      <c r="AQ152" s="118" t="e">
        <f>WEEKNUM(AP152-RESUMEN!$D$7)</f>
        <v>#NUM!</v>
      </c>
      <c r="AR152" s="118">
        <f>_xlfn.DAYS(AP152,RESUMEN!$D$7)</f>
        <v>-43238</v>
      </c>
      <c r="AS152" s="76"/>
      <c r="AT152" s="73"/>
      <c r="AU152" s="73"/>
      <c r="AV152" s="116" t="e">
        <f t="shared" si="17"/>
        <v>#DIV/0!</v>
      </c>
      <c r="AW152" s="83"/>
    </row>
    <row r="153" spans="2:49" x14ac:dyDescent="0.25">
      <c r="B153" s="115"/>
      <c r="C153" s="118" t="e">
        <f>WEEKNUM(B153-RESUMEN!$D$7)</f>
        <v>#NUM!</v>
      </c>
      <c r="D153" s="118">
        <f>_xlfn.DAYS(B153,RESUMEN!$D$7)</f>
        <v>-43238</v>
      </c>
      <c r="E153" s="76"/>
      <c r="F153" s="73"/>
      <c r="G153" s="73"/>
      <c r="H153" s="116" t="e">
        <f t="shared" si="12"/>
        <v>#DIV/0!</v>
      </c>
      <c r="I153" s="83"/>
      <c r="J153" s="115"/>
      <c r="K153" s="118" t="e">
        <f>WEEKNUM(J153-RESUMEN!$D$7)</f>
        <v>#NUM!</v>
      </c>
      <c r="L153" s="118">
        <f>_xlfn.DAYS(J153,RESUMEN!$D$7)</f>
        <v>-43238</v>
      </c>
      <c r="M153" s="76"/>
      <c r="N153" s="73"/>
      <c r="O153" s="73"/>
      <c r="P153" s="116" t="e">
        <f t="shared" si="13"/>
        <v>#DIV/0!</v>
      </c>
      <c r="Q153" s="83"/>
      <c r="R153" s="115"/>
      <c r="S153" s="118" t="e">
        <f>WEEKNUM(R153-RESUMEN!$D$7)</f>
        <v>#NUM!</v>
      </c>
      <c r="T153" s="118">
        <f>_xlfn.DAYS(R153,RESUMEN!$D$7)</f>
        <v>-43238</v>
      </c>
      <c r="U153" s="76"/>
      <c r="V153" s="73"/>
      <c r="W153" s="73"/>
      <c r="X153" s="116" t="e">
        <f t="shared" si="14"/>
        <v>#DIV/0!</v>
      </c>
      <c r="Y153" s="83"/>
      <c r="Z153" s="115"/>
      <c r="AA153" s="118">
        <f>Z153-RESUMEN!$D$7</f>
        <v>-43238</v>
      </c>
      <c r="AB153" s="118">
        <f>_xlfn.DAYS(Z153,RESUMEN!$D$7)</f>
        <v>-43238</v>
      </c>
      <c r="AC153" s="76"/>
      <c r="AD153" s="73"/>
      <c r="AE153" s="73"/>
      <c r="AF153" s="116" t="e">
        <f t="shared" si="15"/>
        <v>#DIV/0!</v>
      </c>
      <c r="AG153" s="83"/>
      <c r="AH153" s="115"/>
      <c r="AI153" s="118" t="e">
        <f>WEEKNUM(AH153-RESUMEN!$D$7)</f>
        <v>#NUM!</v>
      </c>
      <c r="AJ153" s="118">
        <f>_xlfn.DAYS(AH153,RESUMEN!$D$7)</f>
        <v>-43238</v>
      </c>
      <c r="AK153" s="76"/>
      <c r="AL153" s="73"/>
      <c r="AM153" s="73"/>
      <c r="AN153" s="116" t="e">
        <f t="shared" si="16"/>
        <v>#DIV/0!</v>
      </c>
      <c r="AO153" s="83"/>
      <c r="AP153" s="115"/>
      <c r="AQ153" s="118" t="e">
        <f>WEEKNUM(AP153-RESUMEN!$D$7)</f>
        <v>#NUM!</v>
      </c>
      <c r="AR153" s="118">
        <f>_xlfn.DAYS(AP153,RESUMEN!$D$7)</f>
        <v>-43238</v>
      </c>
      <c r="AS153" s="76"/>
      <c r="AT153" s="73"/>
      <c r="AU153" s="73"/>
      <c r="AV153" s="116" t="e">
        <f t="shared" si="17"/>
        <v>#DIV/0!</v>
      </c>
      <c r="AW153" s="83"/>
    </row>
    <row r="154" spans="2:49" x14ac:dyDescent="0.25">
      <c r="B154" s="115"/>
      <c r="C154" s="118" t="e">
        <f>WEEKNUM(B154-RESUMEN!$D$7)</f>
        <v>#NUM!</v>
      </c>
      <c r="D154" s="118">
        <f>_xlfn.DAYS(B154,RESUMEN!$D$7)</f>
        <v>-43238</v>
      </c>
      <c r="E154" s="76"/>
      <c r="F154" s="73"/>
      <c r="G154" s="73"/>
      <c r="H154" s="116" t="e">
        <f t="shared" si="12"/>
        <v>#DIV/0!</v>
      </c>
      <c r="I154" s="83"/>
      <c r="J154" s="115"/>
      <c r="K154" s="118" t="e">
        <f>WEEKNUM(J154-RESUMEN!$D$7)</f>
        <v>#NUM!</v>
      </c>
      <c r="L154" s="118">
        <f>_xlfn.DAYS(J154,RESUMEN!$D$7)</f>
        <v>-43238</v>
      </c>
      <c r="M154" s="76"/>
      <c r="N154" s="73"/>
      <c r="O154" s="73"/>
      <c r="P154" s="116" t="e">
        <f t="shared" si="13"/>
        <v>#DIV/0!</v>
      </c>
      <c r="Q154" s="83"/>
      <c r="R154" s="115"/>
      <c r="S154" s="118" t="e">
        <f>WEEKNUM(R154-RESUMEN!$D$7)</f>
        <v>#NUM!</v>
      </c>
      <c r="T154" s="118">
        <f>_xlfn.DAYS(R154,RESUMEN!$D$7)</f>
        <v>-43238</v>
      </c>
      <c r="U154" s="76"/>
      <c r="V154" s="73"/>
      <c r="W154" s="73"/>
      <c r="X154" s="116" t="e">
        <f t="shared" si="14"/>
        <v>#DIV/0!</v>
      </c>
      <c r="Y154" s="83"/>
      <c r="Z154" s="115"/>
      <c r="AA154" s="118">
        <f>Z154-RESUMEN!$D$7</f>
        <v>-43238</v>
      </c>
      <c r="AB154" s="118">
        <f>_xlfn.DAYS(Z154,RESUMEN!$D$7)</f>
        <v>-43238</v>
      </c>
      <c r="AC154" s="76"/>
      <c r="AD154" s="73"/>
      <c r="AE154" s="73"/>
      <c r="AF154" s="116" t="e">
        <f t="shared" si="15"/>
        <v>#DIV/0!</v>
      </c>
      <c r="AG154" s="83"/>
      <c r="AH154" s="115"/>
      <c r="AI154" s="118" t="e">
        <f>WEEKNUM(AH154-RESUMEN!$D$7)</f>
        <v>#NUM!</v>
      </c>
      <c r="AJ154" s="118">
        <f>_xlfn.DAYS(AH154,RESUMEN!$D$7)</f>
        <v>-43238</v>
      </c>
      <c r="AK154" s="76"/>
      <c r="AL154" s="73"/>
      <c r="AM154" s="73"/>
      <c r="AN154" s="116" t="e">
        <f t="shared" si="16"/>
        <v>#DIV/0!</v>
      </c>
      <c r="AO154" s="83"/>
      <c r="AP154" s="115"/>
      <c r="AQ154" s="118" t="e">
        <f>WEEKNUM(AP154-RESUMEN!$D$7)</f>
        <v>#NUM!</v>
      </c>
      <c r="AR154" s="118">
        <f>_xlfn.DAYS(AP154,RESUMEN!$D$7)</f>
        <v>-43238</v>
      </c>
      <c r="AS154" s="76"/>
      <c r="AT154" s="73"/>
      <c r="AU154" s="73"/>
      <c r="AV154" s="116" t="e">
        <f t="shared" si="17"/>
        <v>#DIV/0!</v>
      </c>
      <c r="AW154" s="83"/>
    </row>
    <row r="155" spans="2:49" x14ac:dyDescent="0.25">
      <c r="B155" s="115"/>
      <c r="C155" s="118" t="e">
        <f>WEEKNUM(B155-RESUMEN!$D$7)</f>
        <v>#NUM!</v>
      </c>
      <c r="D155" s="118">
        <f>_xlfn.DAYS(B155,RESUMEN!$D$7)</f>
        <v>-43238</v>
      </c>
      <c r="E155" s="76"/>
      <c r="F155" s="73"/>
      <c r="G155" s="73"/>
      <c r="H155" s="116" t="e">
        <f t="shared" si="12"/>
        <v>#DIV/0!</v>
      </c>
      <c r="I155" s="83"/>
      <c r="J155" s="115"/>
      <c r="K155" s="118" t="e">
        <f>WEEKNUM(J155-RESUMEN!$D$7)</f>
        <v>#NUM!</v>
      </c>
      <c r="L155" s="118">
        <f>_xlfn.DAYS(J155,RESUMEN!$D$7)</f>
        <v>-43238</v>
      </c>
      <c r="M155" s="76"/>
      <c r="N155" s="73"/>
      <c r="O155" s="73"/>
      <c r="P155" s="116" t="e">
        <f t="shared" si="13"/>
        <v>#DIV/0!</v>
      </c>
      <c r="Q155" s="83"/>
      <c r="R155" s="115"/>
      <c r="S155" s="118" t="e">
        <f>WEEKNUM(R155-RESUMEN!$D$7)</f>
        <v>#NUM!</v>
      </c>
      <c r="T155" s="118">
        <f>_xlfn.DAYS(R155,RESUMEN!$D$7)</f>
        <v>-43238</v>
      </c>
      <c r="U155" s="76"/>
      <c r="V155" s="73"/>
      <c r="W155" s="73"/>
      <c r="X155" s="116" t="e">
        <f t="shared" si="14"/>
        <v>#DIV/0!</v>
      </c>
      <c r="Y155" s="83"/>
      <c r="Z155" s="115"/>
      <c r="AA155" s="118">
        <f>Z155-RESUMEN!$D$7</f>
        <v>-43238</v>
      </c>
      <c r="AB155" s="118">
        <f>_xlfn.DAYS(Z155,RESUMEN!$D$7)</f>
        <v>-43238</v>
      </c>
      <c r="AC155" s="76"/>
      <c r="AD155" s="73"/>
      <c r="AE155" s="73"/>
      <c r="AF155" s="116" t="e">
        <f t="shared" si="15"/>
        <v>#DIV/0!</v>
      </c>
      <c r="AG155" s="83"/>
      <c r="AH155" s="115"/>
      <c r="AI155" s="118" t="e">
        <f>WEEKNUM(AH155-RESUMEN!$D$7)</f>
        <v>#NUM!</v>
      </c>
      <c r="AJ155" s="118">
        <f>_xlfn.DAYS(AH155,RESUMEN!$D$7)</f>
        <v>-43238</v>
      </c>
      <c r="AK155" s="76"/>
      <c r="AL155" s="73"/>
      <c r="AM155" s="73"/>
      <c r="AN155" s="116" t="e">
        <f t="shared" si="16"/>
        <v>#DIV/0!</v>
      </c>
      <c r="AO155" s="83"/>
      <c r="AP155" s="115"/>
      <c r="AQ155" s="118" t="e">
        <f>WEEKNUM(AP155-RESUMEN!$D$7)</f>
        <v>#NUM!</v>
      </c>
      <c r="AR155" s="118">
        <f>_xlfn.DAYS(AP155,RESUMEN!$D$7)</f>
        <v>-43238</v>
      </c>
      <c r="AS155" s="76"/>
      <c r="AT155" s="73"/>
      <c r="AU155" s="73"/>
      <c r="AV155" s="116" t="e">
        <f t="shared" si="17"/>
        <v>#DIV/0!</v>
      </c>
      <c r="AW155" s="83"/>
    </row>
    <row r="156" spans="2:49" x14ac:dyDescent="0.25">
      <c r="B156" s="115"/>
      <c r="C156" s="118" t="e">
        <f>WEEKNUM(B156-RESUMEN!$D$7)</f>
        <v>#NUM!</v>
      </c>
      <c r="D156" s="118">
        <f>_xlfn.DAYS(B156,RESUMEN!$D$7)</f>
        <v>-43238</v>
      </c>
      <c r="E156" s="76"/>
      <c r="F156" s="73"/>
      <c r="G156" s="73"/>
      <c r="H156" s="116" t="e">
        <f t="shared" si="12"/>
        <v>#DIV/0!</v>
      </c>
      <c r="I156" s="83"/>
      <c r="J156" s="115"/>
      <c r="K156" s="118" t="e">
        <f>WEEKNUM(J156-RESUMEN!$D$7)</f>
        <v>#NUM!</v>
      </c>
      <c r="L156" s="118">
        <f>_xlfn.DAYS(J156,RESUMEN!$D$7)</f>
        <v>-43238</v>
      </c>
      <c r="M156" s="76"/>
      <c r="N156" s="73"/>
      <c r="O156" s="73"/>
      <c r="P156" s="116" t="e">
        <f t="shared" si="13"/>
        <v>#DIV/0!</v>
      </c>
      <c r="Q156" s="83"/>
      <c r="R156" s="115"/>
      <c r="S156" s="118" t="e">
        <f>WEEKNUM(R156-RESUMEN!$D$7)</f>
        <v>#NUM!</v>
      </c>
      <c r="T156" s="118">
        <f>_xlfn.DAYS(R156,RESUMEN!$D$7)</f>
        <v>-43238</v>
      </c>
      <c r="U156" s="76"/>
      <c r="V156" s="73"/>
      <c r="W156" s="73"/>
      <c r="X156" s="116" t="e">
        <f t="shared" si="14"/>
        <v>#DIV/0!</v>
      </c>
      <c r="Y156" s="83"/>
      <c r="Z156" s="115"/>
      <c r="AA156" s="118">
        <f>Z156-RESUMEN!$D$7</f>
        <v>-43238</v>
      </c>
      <c r="AB156" s="118">
        <f>_xlfn.DAYS(Z156,RESUMEN!$D$7)</f>
        <v>-43238</v>
      </c>
      <c r="AC156" s="76"/>
      <c r="AD156" s="73"/>
      <c r="AE156" s="73"/>
      <c r="AF156" s="116" t="e">
        <f t="shared" si="15"/>
        <v>#DIV/0!</v>
      </c>
      <c r="AG156" s="83"/>
      <c r="AH156" s="115"/>
      <c r="AI156" s="118" t="e">
        <f>WEEKNUM(AH156-RESUMEN!$D$7)</f>
        <v>#NUM!</v>
      </c>
      <c r="AJ156" s="118">
        <f>_xlfn.DAYS(AH156,RESUMEN!$D$7)</f>
        <v>-43238</v>
      </c>
      <c r="AK156" s="76"/>
      <c r="AL156" s="73"/>
      <c r="AM156" s="73"/>
      <c r="AN156" s="116" t="e">
        <f t="shared" si="16"/>
        <v>#DIV/0!</v>
      </c>
      <c r="AO156" s="83"/>
      <c r="AP156" s="115"/>
      <c r="AQ156" s="118" t="e">
        <f>WEEKNUM(AP156-RESUMEN!$D$7)</f>
        <v>#NUM!</v>
      </c>
      <c r="AR156" s="118">
        <f>_xlfn.DAYS(AP156,RESUMEN!$D$7)</f>
        <v>-43238</v>
      </c>
      <c r="AS156" s="76"/>
      <c r="AT156" s="73"/>
      <c r="AU156" s="73"/>
      <c r="AV156" s="116" t="e">
        <f t="shared" si="17"/>
        <v>#DIV/0!</v>
      </c>
      <c r="AW156" s="83"/>
    </row>
    <row r="157" spans="2:49" x14ac:dyDescent="0.25">
      <c r="B157" s="115"/>
      <c r="C157" s="118" t="e">
        <f>WEEKNUM(B157-RESUMEN!$D$7)</f>
        <v>#NUM!</v>
      </c>
      <c r="D157" s="118">
        <f>_xlfn.DAYS(B157,RESUMEN!$D$7)</f>
        <v>-43238</v>
      </c>
      <c r="E157" s="76"/>
      <c r="F157" s="73"/>
      <c r="G157" s="73"/>
      <c r="H157" s="116" t="e">
        <f t="shared" si="12"/>
        <v>#DIV/0!</v>
      </c>
      <c r="I157" s="83"/>
      <c r="J157" s="115"/>
      <c r="K157" s="118" t="e">
        <f>WEEKNUM(J157-RESUMEN!$D$7)</f>
        <v>#NUM!</v>
      </c>
      <c r="L157" s="118">
        <f>_xlfn.DAYS(J157,RESUMEN!$D$7)</f>
        <v>-43238</v>
      </c>
      <c r="M157" s="76"/>
      <c r="N157" s="73"/>
      <c r="O157" s="73"/>
      <c r="P157" s="116" t="e">
        <f t="shared" si="13"/>
        <v>#DIV/0!</v>
      </c>
      <c r="Q157" s="83"/>
      <c r="R157" s="115"/>
      <c r="S157" s="118" t="e">
        <f>WEEKNUM(R157-RESUMEN!$D$7)</f>
        <v>#NUM!</v>
      </c>
      <c r="T157" s="118">
        <f>_xlfn.DAYS(R157,RESUMEN!$D$7)</f>
        <v>-43238</v>
      </c>
      <c r="U157" s="76"/>
      <c r="V157" s="73"/>
      <c r="W157" s="73"/>
      <c r="X157" s="116" t="e">
        <f t="shared" si="14"/>
        <v>#DIV/0!</v>
      </c>
      <c r="Y157" s="83"/>
      <c r="Z157" s="115"/>
      <c r="AA157" s="118">
        <f>Z157-RESUMEN!$D$7</f>
        <v>-43238</v>
      </c>
      <c r="AB157" s="118">
        <f>_xlfn.DAYS(Z157,RESUMEN!$D$7)</f>
        <v>-43238</v>
      </c>
      <c r="AC157" s="76"/>
      <c r="AD157" s="73"/>
      <c r="AE157" s="73"/>
      <c r="AF157" s="116" t="e">
        <f t="shared" si="15"/>
        <v>#DIV/0!</v>
      </c>
      <c r="AG157" s="83"/>
      <c r="AH157" s="115"/>
      <c r="AI157" s="118" t="e">
        <f>WEEKNUM(AH157-RESUMEN!$D$7)</f>
        <v>#NUM!</v>
      </c>
      <c r="AJ157" s="118">
        <f>_xlfn.DAYS(AH157,RESUMEN!$D$7)</f>
        <v>-43238</v>
      </c>
      <c r="AK157" s="76"/>
      <c r="AL157" s="73"/>
      <c r="AM157" s="73"/>
      <c r="AN157" s="116" t="e">
        <f t="shared" si="16"/>
        <v>#DIV/0!</v>
      </c>
      <c r="AO157" s="83"/>
      <c r="AP157" s="115"/>
      <c r="AQ157" s="118" t="e">
        <f>WEEKNUM(AP157-RESUMEN!$D$7)</f>
        <v>#NUM!</v>
      </c>
      <c r="AR157" s="118">
        <f>_xlfn.DAYS(AP157,RESUMEN!$D$7)</f>
        <v>-43238</v>
      </c>
      <c r="AS157" s="76"/>
      <c r="AT157" s="73"/>
      <c r="AU157" s="73"/>
      <c r="AV157" s="116" t="e">
        <f t="shared" si="17"/>
        <v>#DIV/0!</v>
      </c>
      <c r="AW157" s="83"/>
    </row>
    <row r="158" spans="2:49" x14ac:dyDescent="0.25">
      <c r="B158" s="115"/>
      <c r="C158" s="118" t="e">
        <f>WEEKNUM(B158-RESUMEN!$D$7)</f>
        <v>#NUM!</v>
      </c>
      <c r="D158" s="118">
        <f>_xlfn.DAYS(B158,RESUMEN!$D$7)</f>
        <v>-43238</v>
      </c>
      <c r="E158" s="76"/>
      <c r="F158" s="73"/>
      <c r="G158" s="73"/>
      <c r="H158" s="116" t="e">
        <f t="shared" si="12"/>
        <v>#DIV/0!</v>
      </c>
      <c r="I158" s="83"/>
      <c r="J158" s="115"/>
      <c r="K158" s="118" t="e">
        <f>WEEKNUM(J158-RESUMEN!$D$7)</f>
        <v>#NUM!</v>
      </c>
      <c r="L158" s="118">
        <f>_xlfn.DAYS(J158,RESUMEN!$D$7)</f>
        <v>-43238</v>
      </c>
      <c r="M158" s="76"/>
      <c r="N158" s="73"/>
      <c r="O158" s="73"/>
      <c r="P158" s="116" t="e">
        <f t="shared" si="13"/>
        <v>#DIV/0!</v>
      </c>
      <c r="Q158" s="83"/>
      <c r="R158" s="115"/>
      <c r="S158" s="118" t="e">
        <f>WEEKNUM(R158-RESUMEN!$D$7)</f>
        <v>#NUM!</v>
      </c>
      <c r="T158" s="118">
        <f>_xlfn.DAYS(R158,RESUMEN!$D$7)</f>
        <v>-43238</v>
      </c>
      <c r="U158" s="76"/>
      <c r="V158" s="73"/>
      <c r="W158" s="73"/>
      <c r="X158" s="116" t="e">
        <f t="shared" si="14"/>
        <v>#DIV/0!</v>
      </c>
      <c r="Y158" s="83"/>
      <c r="Z158" s="115"/>
      <c r="AA158" s="118">
        <f>Z158-RESUMEN!$D$7</f>
        <v>-43238</v>
      </c>
      <c r="AB158" s="118">
        <f>_xlfn.DAYS(Z158,RESUMEN!$D$7)</f>
        <v>-43238</v>
      </c>
      <c r="AC158" s="76"/>
      <c r="AD158" s="73"/>
      <c r="AE158" s="73"/>
      <c r="AF158" s="116" t="e">
        <f t="shared" si="15"/>
        <v>#DIV/0!</v>
      </c>
      <c r="AG158" s="83"/>
      <c r="AH158" s="115"/>
      <c r="AI158" s="118" t="e">
        <f>WEEKNUM(AH158-RESUMEN!$D$7)</f>
        <v>#NUM!</v>
      </c>
      <c r="AJ158" s="118">
        <f>_xlfn.DAYS(AH158,RESUMEN!$D$7)</f>
        <v>-43238</v>
      </c>
      <c r="AK158" s="76"/>
      <c r="AL158" s="73"/>
      <c r="AM158" s="73"/>
      <c r="AN158" s="116" t="e">
        <f t="shared" si="16"/>
        <v>#DIV/0!</v>
      </c>
      <c r="AO158" s="83"/>
      <c r="AP158" s="115"/>
      <c r="AQ158" s="118" t="e">
        <f>WEEKNUM(AP158-RESUMEN!$D$7)</f>
        <v>#NUM!</v>
      </c>
      <c r="AR158" s="118">
        <f>_xlfn.DAYS(AP158,RESUMEN!$D$7)</f>
        <v>-43238</v>
      </c>
      <c r="AS158" s="76"/>
      <c r="AT158" s="73"/>
      <c r="AU158" s="73"/>
      <c r="AV158" s="116" t="e">
        <f t="shared" si="17"/>
        <v>#DIV/0!</v>
      </c>
      <c r="AW158" s="83"/>
    </row>
    <row r="159" spans="2:49" x14ac:dyDescent="0.25">
      <c r="B159" s="115"/>
      <c r="C159" s="118" t="e">
        <f>WEEKNUM(B159-RESUMEN!$D$7)</f>
        <v>#NUM!</v>
      </c>
      <c r="D159" s="118">
        <f>_xlfn.DAYS(B159,RESUMEN!$D$7)</f>
        <v>-43238</v>
      </c>
      <c r="E159" s="76"/>
      <c r="F159" s="73"/>
      <c r="G159" s="73"/>
      <c r="H159" s="116" t="e">
        <f t="shared" si="12"/>
        <v>#DIV/0!</v>
      </c>
      <c r="I159" s="83"/>
      <c r="J159" s="115"/>
      <c r="K159" s="118" t="e">
        <f>WEEKNUM(J159-RESUMEN!$D$7)</f>
        <v>#NUM!</v>
      </c>
      <c r="L159" s="118">
        <f>_xlfn.DAYS(J159,RESUMEN!$D$7)</f>
        <v>-43238</v>
      </c>
      <c r="M159" s="76"/>
      <c r="N159" s="73"/>
      <c r="O159" s="73"/>
      <c r="P159" s="116" t="e">
        <f t="shared" si="13"/>
        <v>#DIV/0!</v>
      </c>
      <c r="Q159" s="83"/>
      <c r="R159" s="115"/>
      <c r="S159" s="118" t="e">
        <f>WEEKNUM(R159-RESUMEN!$D$7)</f>
        <v>#NUM!</v>
      </c>
      <c r="T159" s="118">
        <f>_xlfn.DAYS(R159,RESUMEN!$D$7)</f>
        <v>-43238</v>
      </c>
      <c r="U159" s="76"/>
      <c r="V159" s="73"/>
      <c r="W159" s="73"/>
      <c r="X159" s="116" t="e">
        <f t="shared" si="14"/>
        <v>#DIV/0!</v>
      </c>
      <c r="Y159" s="83"/>
      <c r="Z159" s="115"/>
      <c r="AA159" s="118">
        <f>Z159-RESUMEN!$D$7</f>
        <v>-43238</v>
      </c>
      <c r="AB159" s="118">
        <f>_xlfn.DAYS(Z159,RESUMEN!$D$7)</f>
        <v>-43238</v>
      </c>
      <c r="AC159" s="76"/>
      <c r="AD159" s="73"/>
      <c r="AE159" s="73"/>
      <c r="AF159" s="116" t="e">
        <f t="shared" si="15"/>
        <v>#DIV/0!</v>
      </c>
      <c r="AG159" s="83"/>
      <c r="AH159" s="115"/>
      <c r="AI159" s="118" t="e">
        <f>WEEKNUM(AH159-RESUMEN!$D$7)</f>
        <v>#NUM!</v>
      </c>
      <c r="AJ159" s="118">
        <f>_xlfn.DAYS(AH159,RESUMEN!$D$7)</f>
        <v>-43238</v>
      </c>
      <c r="AK159" s="76"/>
      <c r="AL159" s="73"/>
      <c r="AM159" s="73"/>
      <c r="AN159" s="116" t="e">
        <f t="shared" si="16"/>
        <v>#DIV/0!</v>
      </c>
      <c r="AO159" s="83"/>
      <c r="AP159" s="115"/>
      <c r="AQ159" s="118" t="e">
        <f>WEEKNUM(AP159-RESUMEN!$D$7)</f>
        <v>#NUM!</v>
      </c>
      <c r="AR159" s="118">
        <f>_xlfn.DAYS(AP159,RESUMEN!$D$7)</f>
        <v>-43238</v>
      </c>
      <c r="AS159" s="76"/>
      <c r="AT159" s="73"/>
      <c r="AU159" s="73"/>
      <c r="AV159" s="116" t="e">
        <f t="shared" si="17"/>
        <v>#DIV/0!</v>
      </c>
      <c r="AW159" s="83"/>
    </row>
    <row r="160" spans="2:49" x14ac:dyDescent="0.25">
      <c r="B160" s="115"/>
      <c r="C160" s="118" t="e">
        <f>WEEKNUM(B160-RESUMEN!$D$7)</f>
        <v>#NUM!</v>
      </c>
      <c r="D160" s="118">
        <f>_xlfn.DAYS(B160,RESUMEN!$D$7)</f>
        <v>-43238</v>
      </c>
      <c r="E160" s="76"/>
      <c r="F160" s="73"/>
      <c r="G160" s="73"/>
      <c r="H160" s="116" t="e">
        <f t="shared" si="12"/>
        <v>#DIV/0!</v>
      </c>
      <c r="I160" s="83"/>
      <c r="J160" s="115"/>
      <c r="K160" s="118" t="e">
        <f>WEEKNUM(J160-RESUMEN!$D$7)</f>
        <v>#NUM!</v>
      </c>
      <c r="L160" s="118">
        <f>_xlfn.DAYS(J160,RESUMEN!$D$7)</f>
        <v>-43238</v>
      </c>
      <c r="M160" s="76"/>
      <c r="N160" s="73"/>
      <c r="O160" s="73"/>
      <c r="P160" s="116" t="e">
        <f t="shared" si="13"/>
        <v>#DIV/0!</v>
      </c>
      <c r="Q160" s="83"/>
      <c r="R160" s="115"/>
      <c r="S160" s="118" t="e">
        <f>WEEKNUM(R160-RESUMEN!$D$7)</f>
        <v>#NUM!</v>
      </c>
      <c r="T160" s="118">
        <f>_xlfn.DAYS(R160,RESUMEN!$D$7)</f>
        <v>-43238</v>
      </c>
      <c r="U160" s="76"/>
      <c r="V160" s="73"/>
      <c r="W160" s="73"/>
      <c r="X160" s="116" t="e">
        <f t="shared" si="14"/>
        <v>#DIV/0!</v>
      </c>
      <c r="Y160" s="83"/>
      <c r="Z160" s="115"/>
      <c r="AA160" s="118">
        <f>Z160-RESUMEN!$D$7</f>
        <v>-43238</v>
      </c>
      <c r="AB160" s="118">
        <f>_xlfn.DAYS(Z160,RESUMEN!$D$7)</f>
        <v>-43238</v>
      </c>
      <c r="AC160" s="76"/>
      <c r="AD160" s="73"/>
      <c r="AE160" s="73"/>
      <c r="AF160" s="116" t="e">
        <f t="shared" si="15"/>
        <v>#DIV/0!</v>
      </c>
      <c r="AG160" s="83"/>
      <c r="AH160" s="115"/>
      <c r="AI160" s="118" t="e">
        <f>WEEKNUM(AH160-RESUMEN!$D$7)</f>
        <v>#NUM!</v>
      </c>
      <c r="AJ160" s="118">
        <f>_xlfn.DAYS(AH160,RESUMEN!$D$7)</f>
        <v>-43238</v>
      </c>
      <c r="AK160" s="76"/>
      <c r="AL160" s="73"/>
      <c r="AM160" s="73"/>
      <c r="AN160" s="116" t="e">
        <f t="shared" si="16"/>
        <v>#DIV/0!</v>
      </c>
      <c r="AO160" s="83"/>
      <c r="AP160" s="115"/>
      <c r="AQ160" s="118" t="e">
        <f>WEEKNUM(AP160-RESUMEN!$D$7)</f>
        <v>#NUM!</v>
      </c>
      <c r="AR160" s="118">
        <f>_xlfn.DAYS(AP160,RESUMEN!$D$7)</f>
        <v>-43238</v>
      </c>
      <c r="AS160" s="76"/>
      <c r="AT160" s="73"/>
      <c r="AU160" s="73"/>
      <c r="AV160" s="116" t="e">
        <f t="shared" si="17"/>
        <v>#DIV/0!</v>
      </c>
      <c r="AW160" s="83"/>
    </row>
    <row r="161" spans="2:49" x14ac:dyDescent="0.25">
      <c r="B161" s="115"/>
      <c r="C161" s="118" t="e">
        <f>WEEKNUM(B161-RESUMEN!$D$7)</f>
        <v>#NUM!</v>
      </c>
      <c r="D161" s="118">
        <f>_xlfn.DAYS(B161,RESUMEN!$D$7)</f>
        <v>-43238</v>
      </c>
      <c r="E161" s="76"/>
      <c r="F161" s="73"/>
      <c r="G161" s="73"/>
      <c r="H161" s="116" t="e">
        <f t="shared" si="12"/>
        <v>#DIV/0!</v>
      </c>
      <c r="I161" s="83"/>
      <c r="J161" s="115"/>
      <c r="K161" s="118" t="e">
        <f>WEEKNUM(J161-RESUMEN!$D$7)</f>
        <v>#NUM!</v>
      </c>
      <c r="L161" s="118">
        <f>_xlfn.DAYS(J161,RESUMEN!$D$7)</f>
        <v>-43238</v>
      </c>
      <c r="M161" s="76"/>
      <c r="N161" s="73"/>
      <c r="O161" s="73"/>
      <c r="P161" s="116" t="e">
        <f t="shared" si="13"/>
        <v>#DIV/0!</v>
      </c>
      <c r="Q161" s="83"/>
      <c r="R161" s="115"/>
      <c r="S161" s="118" t="e">
        <f>WEEKNUM(R161-RESUMEN!$D$7)</f>
        <v>#NUM!</v>
      </c>
      <c r="T161" s="118">
        <f>_xlfn.DAYS(R161,RESUMEN!$D$7)</f>
        <v>-43238</v>
      </c>
      <c r="U161" s="76"/>
      <c r="V161" s="73"/>
      <c r="W161" s="73"/>
      <c r="X161" s="116" t="e">
        <f t="shared" si="14"/>
        <v>#DIV/0!</v>
      </c>
      <c r="Y161" s="83"/>
      <c r="Z161" s="115"/>
      <c r="AA161" s="118">
        <f>Z161-RESUMEN!$D$7</f>
        <v>-43238</v>
      </c>
      <c r="AB161" s="118">
        <f>_xlfn.DAYS(Z161,RESUMEN!$D$7)</f>
        <v>-43238</v>
      </c>
      <c r="AC161" s="76"/>
      <c r="AD161" s="73"/>
      <c r="AE161" s="73"/>
      <c r="AF161" s="116" t="e">
        <f t="shared" si="15"/>
        <v>#DIV/0!</v>
      </c>
      <c r="AG161" s="83"/>
      <c r="AH161" s="115"/>
      <c r="AI161" s="118" t="e">
        <f>WEEKNUM(AH161-RESUMEN!$D$7)</f>
        <v>#NUM!</v>
      </c>
      <c r="AJ161" s="118">
        <f>_xlfn.DAYS(AH161,RESUMEN!$D$7)</f>
        <v>-43238</v>
      </c>
      <c r="AK161" s="76"/>
      <c r="AL161" s="73"/>
      <c r="AM161" s="73"/>
      <c r="AN161" s="116" t="e">
        <f t="shared" si="16"/>
        <v>#DIV/0!</v>
      </c>
      <c r="AO161" s="83"/>
      <c r="AP161" s="115"/>
      <c r="AQ161" s="118" t="e">
        <f>WEEKNUM(AP161-RESUMEN!$D$7)</f>
        <v>#NUM!</v>
      </c>
      <c r="AR161" s="118">
        <f>_xlfn.DAYS(AP161,RESUMEN!$D$7)</f>
        <v>-43238</v>
      </c>
      <c r="AS161" s="76"/>
      <c r="AT161" s="73"/>
      <c r="AU161" s="73"/>
      <c r="AV161" s="116" t="e">
        <f t="shared" si="17"/>
        <v>#DIV/0!</v>
      </c>
      <c r="AW161" s="83"/>
    </row>
    <row r="162" spans="2:49" x14ac:dyDescent="0.25">
      <c r="B162" s="115"/>
      <c r="C162" s="118" t="e">
        <f>WEEKNUM(B162-RESUMEN!$D$7)</f>
        <v>#NUM!</v>
      </c>
      <c r="D162" s="118">
        <f>_xlfn.DAYS(B162,RESUMEN!$D$7)</f>
        <v>-43238</v>
      </c>
      <c r="E162" s="76"/>
      <c r="F162" s="73"/>
      <c r="G162" s="73"/>
      <c r="H162" s="116" t="e">
        <f t="shared" si="12"/>
        <v>#DIV/0!</v>
      </c>
      <c r="I162" s="83"/>
      <c r="J162" s="115"/>
      <c r="K162" s="118" t="e">
        <f>WEEKNUM(J162-RESUMEN!$D$7)</f>
        <v>#NUM!</v>
      </c>
      <c r="L162" s="118">
        <f>_xlfn.DAYS(J162,RESUMEN!$D$7)</f>
        <v>-43238</v>
      </c>
      <c r="M162" s="76"/>
      <c r="N162" s="73"/>
      <c r="O162" s="73"/>
      <c r="P162" s="116" t="e">
        <f t="shared" si="13"/>
        <v>#DIV/0!</v>
      </c>
      <c r="Q162" s="83"/>
      <c r="R162" s="115"/>
      <c r="S162" s="118" t="e">
        <f>WEEKNUM(R162-RESUMEN!$D$7)</f>
        <v>#NUM!</v>
      </c>
      <c r="T162" s="118">
        <f>_xlfn.DAYS(R162,RESUMEN!$D$7)</f>
        <v>-43238</v>
      </c>
      <c r="U162" s="76"/>
      <c r="V162" s="73"/>
      <c r="W162" s="73"/>
      <c r="X162" s="116" t="e">
        <f t="shared" si="14"/>
        <v>#DIV/0!</v>
      </c>
      <c r="Y162" s="83"/>
      <c r="Z162" s="115"/>
      <c r="AA162" s="118">
        <f>Z162-RESUMEN!$D$7</f>
        <v>-43238</v>
      </c>
      <c r="AB162" s="118">
        <f>_xlfn.DAYS(Z162,RESUMEN!$D$7)</f>
        <v>-43238</v>
      </c>
      <c r="AC162" s="76"/>
      <c r="AD162" s="73"/>
      <c r="AE162" s="73"/>
      <c r="AF162" s="116" t="e">
        <f t="shared" si="15"/>
        <v>#DIV/0!</v>
      </c>
      <c r="AG162" s="83"/>
      <c r="AH162" s="115"/>
      <c r="AI162" s="118" t="e">
        <f>WEEKNUM(AH162-RESUMEN!$D$7)</f>
        <v>#NUM!</v>
      </c>
      <c r="AJ162" s="118">
        <f>_xlfn.DAYS(AH162,RESUMEN!$D$7)</f>
        <v>-43238</v>
      </c>
      <c r="AK162" s="76"/>
      <c r="AL162" s="73"/>
      <c r="AM162" s="73"/>
      <c r="AN162" s="116" t="e">
        <f t="shared" si="16"/>
        <v>#DIV/0!</v>
      </c>
      <c r="AO162" s="83"/>
      <c r="AP162" s="115"/>
      <c r="AQ162" s="118" t="e">
        <f>WEEKNUM(AP162-RESUMEN!$D$7)</f>
        <v>#NUM!</v>
      </c>
      <c r="AR162" s="118">
        <f>_xlfn.DAYS(AP162,RESUMEN!$D$7)</f>
        <v>-43238</v>
      </c>
      <c r="AS162" s="76"/>
      <c r="AT162" s="73"/>
      <c r="AU162" s="73"/>
      <c r="AV162" s="116" t="e">
        <f t="shared" si="17"/>
        <v>#DIV/0!</v>
      </c>
      <c r="AW162" s="83"/>
    </row>
    <row r="163" spans="2:49" x14ac:dyDescent="0.25">
      <c r="B163" s="115"/>
      <c r="C163" s="118" t="e">
        <f>WEEKNUM(B163-RESUMEN!$D$7)</f>
        <v>#NUM!</v>
      </c>
      <c r="D163" s="118">
        <f>_xlfn.DAYS(B163,RESUMEN!$D$7)</f>
        <v>-43238</v>
      </c>
      <c r="E163" s="76"/>
      <c r="F163" s="73"/>
      <c r="G163" s="73"/>
      <c r="H163" s="116" t="e">
        <f t="shared" si="12"/>
        <v>#DIV/0!</v>
      </c>
      <c r="I163" s="83"/>
      <c r="J163" s="115"/>
      <c r="K163" s="118" t="e">
        <f>WEEKNUM(J163-RESUMEN!$D$7)</f>
        <v>#NUM!</v>
      </c>
      <c r="L163" s="118">
        <f>_xlfn.DAYS(J163,RESUMEN!$D$7)</f>
        <v>-43238</v>
      </c>
      <c r="M163" s="76"/>
      <c r="N163" s="73"/>
      <c r="O163" s="73"/>
      <c r="P163" s="116" t="e">
        <f t="shared" si="13"/>
        <v>#DIV/0!</v>
      </c>
      <c r="Q163" s="83"/>
      <c r="R163" s="115"/>
      <c r="S163" s="118" t="e">
        <f>WEEKNUM(R163-RESUMEN!$D$7)</f>
        <v>#NUM!</v>
      </c>
      <c r="T163" s="118">
        <f>_xlfn.DAYS(R163,RESUMEN!$D$7)</f>
        <v>-43238</v>
      </c>
      <c r="U163" s="76"/>
      <c r="V163" s="73"/>
      <c r="W163" s="73"/>
      <c r="X163" s="116" t="e">
        <f t="shared" si="14"/>
        <v>#DIV/0!</v>
      </c>
      <c r="Y163" s="83"/>
      <c r="Z163" s="115"/>
      <c r="AA163" s="118">
        <f>Z163-RESUMEN!$D$7</f>
        <v>-43238</v>
      </c>
      <c r="AB163" s="118">
        <f>_xlfn.DAYS(Z163,RESUMEN!$D$7)</f>
        <v>-43238</v>
      </c>
      <c r="AC163" s="76"/>
      <c r="AD163" s="73"/>
      <c r="AE163" s="73"/>
      <c r="AF163" s="116" t="e">
        <f t="shared" si="15"/>
        <v>#DIV/0!</v>
      </c>
      <c r="AG163" s="83"/>
      <c r="AH163" s="115"/>
      <c r="AI163" s="118" t="e">
        <f>WEEKNUM(AH163-RESUMEN!$D$7)</f>
        <v>#NUM!</v>
      </c>
      <c r="AJ163" s="118">
        <f>_xlfn.DAYS(AH163,RESUMEN!$D$7)</f>
        <v>-43238</v>
      </c>
      <c r="AK163" s="76"/>
      <c r="AL163" s="73"/>
      <c r="AM163" s="73"/>
      <c r="AN163" s="116" t="e">
        <f t="shared" si="16"/>
        <v>#DIV/0!</v>
      </c>
      <c r="AO163" s="83"/>
      <c r="AP163" s="115"/>
      <c r="AQ163" s="118" t="e">
        <f>WEEKNUM(AP163-RESUMEN!$D$7)</f>
        <v>#NUM!</v>
      </c>
      <c r="AR163" s="118">
        <f>_xlfn.DAYS(AP163,RESUMEN!$D$7)</f>
        <v>-43238</v>
      </c>
      <c r="AS163" s="76"/>
      <c r="AT163" s="73"/>
      <c r="AU163" s="73"/>
      <c r="AV163" s="116" t="e">
        <f t="shared" si="17"/>
        <v>#DIV/0!</v>
      </c>
      <c r="AW163" s="83"/>
    </row>
    <row r="164" spans="2:49" x14ac:dyDescent="0.25">
      <c r="B164" s="115"/>
      <c r="C164" s="118" t="e">
        <f>WEEKNUM(B164-RESUMEN!$D$7)</f>
        <v>#NUM!</v>
      </c>
      <c r="D164" s="118">
        <f>_xlfn.DAYS(B164,RESUMEN!$D$7)</f>
        <v>-43238</v>
      </c>
      <c r="E164" s="76"/>
      <c r="F164" s="73"/>
      <c r="G164" s="73"/>
      <c r="H164" s="116" t="e">
        <f t="shared" si="12"/>
        <v>#DIV/0!</v>
      </c>
      <c r="I164" s="83"/>
      <c r="J164" s="115"/>
      <c r="K164" s="118" t="e">
        <f>WEEKNUM(J164-RESUMEN!$D$7)</f>
        <v>#NUM!</v>
      </c>
      <c r="L164" s="118">
        <f>_xlfn.DAYS(J164,RESUMEN!$D$7)</f>
        <v>-43238</v>
      </c>
      <c r="M164" s="76"/>
      <c r="N164" s="73"/>
      <c r="O164" s="73"/>
      <c r="P164" s="116" t="e">
        <f t="shared" si="13"/>
        <v>#DIV/0!</v>
      </c>
      <c r="Q164" s="83"/>
      <c r="R164" s="115"/>
      <c r="S164" s="118" t="e">
        <f>WEEKNUM(R164-RESUMEN!$D$7)</f>
        <v>#NUM!</v>
      </c>
      <c r="T164" s="118">
        <f>_xlfn.DAYS(R164,RESUMEN!$D$7)</f>
        <v>-43238</v>
      </c>
      <c r="U164" s="76"/>
      <c r="V164" s="73"/>
      <c r="W164" s="73"/>
      <c r="X164" s="116" t="e">
        <f t="shared" si="14"/>
        <v>#DIV/0!</v>
      </c>
      <c r="Y164" s="83"/>
      <c r="Z164" s="115"/>
      <c r="AA164" s="118">
        <f>Z164-RESUMEN!$D$7</f>
        <v>-43238</v>
      </c>
      <c r="AB164" s="118">
        <f>_xlfn.DAYS(Z164,RESUMEN!$D$7)</f>
        <v>-43238</v>
      </c>
      <c r="AC164" s="76"/>
      <c r="AD164" s="73"/>
      <c r="AE164" s="73"/>
      <c r="AF164" s="116" t="e">
        <f t="shared" si="15"/>
        <v>#DIV/0!</v>
      </c>
      <c r="AG164" s="83"/>
      <c r="AH164" s="115"/>
      <c r="AI164" s="118" t="e">
        <f>WEEKNUM(AH164-RESUMEN!$D$7)</f>
        <v>#NUM!</v>
      </c>
      <c r="AJ164" s="118">
        <f>_xlfn.DAYS(AH164,RESUMEN!$D$7)</f>
        <v>-43238</v>
      </c>
      <c r="AK164" s="76"/>
      <c r="AL164" s="73"/>
      <c r="AM164" s="73"/>
      <c r="AN164" s="116" t="e">
        <f t="shared" si="16"/>
        <v>#DIV/0!</v>
      </c>
      <c r="AO164" s="83"/>
      <c r="AP164" s="115"/>
      <c r="AQ164" s="118" t="e">
        <f>WEEKNUM(AP164-RESUMEN!$D$7)</f>
        <v>#NUM!</v>
      </c>
      <c r="AR164" s="118">
        <f>_xlfn.DAYS(AP164,RESUMEN!$D$7)</f>
        <v>-43238</v>
      </c>
      <c r="AS164" s="76"/>
      <c r="AT164" s="73"/>
      <c r="AU164" s="73"/>
      <c r="AV164" s="116" t="e">
        <f t="shared" si="17"/>
        <v>#DIV/0!</v>
      </c>
      <c r="AW164" s="83"/>
    </row>
    <row r="165" spans="2:49" x14ac:dyDescent="0.25">
      <c r="B165" s="115"/>
      <c r="C165" s="118" t="e">
        <f>WEEKNUM(B165-RESUMEN!$D$7)</f>
        <v>#NUM!</v>
      </c>
      <c r="D165" s="118">
        <f>_xlfn.DAYS(B165,RESUMEN!$D$7)</f>
        <v>-43238</v>
      </c>
      <c r="E165" s="76"/>
      <c r="F165" s="73"/>
      <c r="G165" s="73"/>
      <c r="H165" s="116" t="e">
        <f t="shared" si="12"/>
        <v>#DIV/0!</v>
      </c>
      <c r="I165" s="83"/>
      <c r="J165" s="115"/>
      <c r="K165" s="118" t="e">
        <f>WEEKNUM(J165-RESUMEN!$D$7)</f>
        <v>#NUM!</v>
      </c>
      <c r="L165" s="118">
        <f>_xlfn.DAYS(J165,RESUMEN!$D$7)</f>
        <v>-43238</v>
      </c>
      <c r="M165" s="76"/>
      <c r="N165" s="73"/>
      <c r="O165" s="73"/>
      <c r="P165" s="116" t="e">
        <f t="shared" si="13"/>
        <v>#DIV/0!</v>
      </c>
      <c r="Q165" s="83"/>
      <c r="R165" s="115"/>
      <c r="S165" s="118" t="e">
        <f>WEEKNUM(R165-RESUMEN!$D$7)</f>
        <v>#NUM!</v>
      </c>
      <c r="T165" s="118">
        <f>_xlfn.DAYS(R165,RESUMEN!$D$7)</f>
        <v>-43238</v>
      </c>
      <c r="U165" s="76"/>
      <c r="V165" s="73"/>
      <c r="W165" s="73"/>
      <c r="X165" s="116" t="e">
        <f t="shared" si="14"/>
        <v>#DIV/0!</v>
      </c>
      <c r="Y165" s="83"/>
      <c r="Z165" s="115"/>
      <c r="AA165" s="118">
        <f>Z165-RESUMEN!$D$7</f>
        <v>-43238</v>
      </c>
      <c r="AB165" s="118">
        <f>_xlfn.DAYS(Z165,RESUMEN!$D$7)</f>
        <v>-43238</v>
      </c>
      <c r="AC165" s="76"/>
      <c r="AD165" s="73"/>
      <c r="AE165" s="73"/>
      <c r="AF165" s="116" t="e">
        <f t="shared" si="15"/>
        <v>#DIV/0!</v>
      </c>
      <c r="AG165" s="83"/>
      <c r="AH165" s="115"/>
      <c r="AI165" s="118" t="e">
        <f>WEEKNUM(AH165-RESUMEN!$D$7)</f>
        <v>#NUM!</v>
      </c>
      <c r="AJ165" s="118">
        <f>_xlfn.DAYS(AH165,RESUMEN!$D$7)</f>
        <v>-43238</v>
      </c>
      <c r="AK165" s="76"/>
      <c r="AL165" s="73"/>
      <c r="AM165" s="73"/>
      <c r="AN165" s="116" t="e">
        <f t="shared" si="16"/>
        <v>#DIV/0!</v>
      </c>
      <c r="AO165" s="83"/>
      <c r="AP165" s="115"/>
      <c r="AQ165" s="118" t="e">
        <f>WEEKNUM(AP165-RESUMEN!$D$7)</f>
        <v>#NUM!</v>
      </c>
      <c r="AR165" s="118">
        <f>_xlfn.DAYS(AP165,RESUMEN!$D$7)</f>
        <v>-43238</v>
      </c>
      <c r="AS165" s="76"/>
      <c r="AT165" s="73"/>
      <c r="AU165" s="73"/>
      <c r="AV165" s="116" t="e">
        <f t="shared" si="17"/>
        <v>#DIV/0!</v>
      </c>
      <c r="AW165" s="83"/>
    </row>
    <row r="166" spans="2:49" x14ac:dyDescent="0.25">
      <c r="B166" s="115"/>
      <c r="C166" s="118" t="e">
        <f>WEEKNUM(B166-RESUMEN!$D$7)</f>
        <v>#NUM!</v>
      </c>
      <c r="D166" s="118">
        <f>_xlfn.DAYS(B166,RESUMEN!$D$7)</f>
        <v>-43238</v>
      </c>
      <c r="E166" s="76"/>
      <c r="F166" s="73"/>
      <c r="G166" s="73"/>
      <c r="H166" s="116" t="e">
        <f t="shared" si="12"/>
        <v>#DIV/0!</v>
      </c>
      <c r="I166" s="83"/>
      <c r="J166" s="115"/>
      <c r="K166" s="118" t="e">
        <f>WEEKNUM(J166-RESUMEN!$D$7)</f>
        <v>#NUM!</v>
      </c>
      <c r="L166" s="118">
        <f>_xlfn.DAYS(J166,RESUMEN!$D$7)</f>
        <v>-43238</v>
      </c>
      <c r="M166" s="76"/>
      <c r="N166" s="73"/>
      <c r="O166" s="73"/>
      <c r="P166" s="116" t="e">
        <f t="shared" si="13"/>
        <v>#DIV/0!</v>
      </c>
      <c r="Q166" s="83"/>
      <c r="R166" s="115"/>
      <c r="S166" s="118" t="e">
        <f>WEEKNUM(R166-RESUMEN!$D$7)</f>
        <v>#NUM!</v>
      </c>
      <c r="T166" s="118">
        <f>_xlfn.DAYS(R166,RESUMEN!$D$7)</f>
        <v>-43238</v>
      </c>
      <c r="U166" s="76"/>
      <c r="V166" s="73"/>
      <c r="W166" s="73"/>
      <c r="X166" s="116" t="e">
        <f t="shared" si="14"/>
        <v>#DIV/0!</v>
      </c>
      <c r="Y166" s="83"/>
      <c r="Z166" s="115"/>
      <c r="AA166" s="118">
        <f>Z166-RESUMEN!$D$7</f>
        <v>-43238</v>
      </c>
      <c r="AB166" s="118">
        <f>_xlfn.DAYS(Z166,RESUMEN!$D$7)</f>
        <v>-43238</v>
      </c>
      <c r="AC166" s="76"/>
      <c r="AD166" s="73"/>
      <c r="AE166" s="73"/>
      <c r="AF166" s="116" t="e">
        <f t="shared" si="15"/>
        <v>#DIV/0!</v>
      </c>
      <c r="AG166" s="83"/>
      <c r="AH166" s="115"/>
      <c r="AI166" s="118" t="e">
        <f>WEEKNUM(AH166-RESUMEN!$D$7)</f>
        <v>#NUM!</v>
      </c>
      <c r="AJ166" s="118">
        <f>_xlfn.DAYS(AH166,RESUMEN!$D$7)</f>
        <v>-43238</v>
      </c>
      <c r="AK166" s="76"/>
      <c r="AL166" s="73"/>
      <c r="AM166" s="73"/>
      <c r="AN166" s="116" t="e">
        <f t="shared" si="16"/>
        <v>#DIV/0!</v>
      </c>
      <c r="AO166" s="83"/>
      <c r="AP166" s="115"/>
      <c r="AQ166" s="118" t="e">
        <f>WEEKNUM(AP166-RESUMEN!$D$7)</f>
        <v>#NUM!</v>
      </c>
      <c r="AR166" s="118">
        <f>_xlfn.DAYS(AP166,RESUMEN!$D$7)</f>
        <v>-43238</v>
      </c>
      <c r="AS166" s="76"/>
      <c r="AT166" s="73"/>
      <c r="AU166" s="73"/>
      <c r="AV166" s="116" t="e">
        <f t="shared" si="17"/>
        <v>#DIV/0!</v>
      </c>
      <c r="AW166" s="83"/>
    </row>
    <row r="167" spans="2:49" x14ac:dyDescent="0.25">
      <c r="B167" s="115"/>
      <c r="C167" s="118" t="e">
        <f>WEEKNUM(B167-RESUMEN!$D$7)</f>
        <v>#NUM!</v>
      </c>
      <c r="D167" s="118">
        <f>_xlfn.DAYS(B167,RESUMEN!$D$7)</f>
        <v>-43238</v>
      </c>
      <c r="E167" s="76"/>
      <c r="F167" s="73"/>
      <c r="G167" s="73"/>
      <c r="H167" s="116" t="e">
        <f t="shared" si="12"/>
        <v>#DIV/0!</v>
      </c>
      <c r="I167" s="83"/>
      <c r="J167" s="115"/>
      <c r="K167" s="118" t="e">
        <f>WEEKNUM(J167-RESUMEN!$D$7)</f>
        <v>#NUM!</v>
      </c>
      <c r="L167" s="118">
        <f>_xlfn.DAYS(J167,RESUMEN!$D$7)</f>
        <v>-43238</v>
      </c>
      <c r="M167" s="76"/>
      <c r="N167" s="73"/>
      <c r="O167" s="73"/>
      <c r="P167" s="116" t="e">
        <f t="shared" si="13"/>
        <v>#DIV/0!</v>
      </c>
      <c r="Q167" s="83"/>
      <c r="R167" s="115"/>
      <c r="S167" s="118" t="e">
        <f>WEEKNUM(R167-RESUMEN!$D$7)</f>
        <v>#NUM!</v>
      </c>
      <c r="T167" s="118">
        <f>_xlfn.DAYS(R167,RESUMEN!$D$7)</f>
        <v>-43238</v>
      </c>
      <c r="U167" s="76"/>
      <c r="V167" s="73"/>
      <c r="W167" s="73"/>
      <c r="X167" s="116" t="e">
        <f t="shared" si="14"/>
        <v>#DIV/0!</v>
      </c>
      <c r="Y167" s="83"/>
      <c r="Z167" s="115"/>
      <c r="AA167" s="118">
        <f>Z167-RESUMEN!$D$7</f>
        <v>-43238</v>
      </c>
      <c r="AB167" s="118">
        <f>_xlfn.DAYS(Z167,RESUMEN!$D$7)</f>
        <v>-43238</v>
      </c>
      <c r="AC167" s="76"/>
      <c r="AD167" s="73"/>
      <c r="AE167" s="73"/>
      <c r="AF167" s="116" t="e">
        <f t="shared" si="15"/>
        <v>#DIV/0!</v>
      </c>
      <c r="AG167" s="83"/>
      <c r="AH167" s="115"/>
      <c r="AI167" s="118" t="e">
        <f>WEEKNUM(AH167-RESUMEN!$D$7)</f>
        <v>#NUM!</v>
      </c>
      <c r="AJ167" s="118">
        <f>_xlfn.DAYS(AH167,RESUMEN!$D$7)</f>
        <v>-43238</v>
      </c>
      <c r="AK167" s="76"/>
      <c r="AL167" s="73"/>
      <c r="AM167" s="73"/>
      <c r="AN167" s="116" t="e">
        <f t="shared" si="16"/>
        <v>#DIV/0!</v>
      </c>
      <c r="AO167" s="83"/>
      <c r="AP167" s="115"/>
      <c r="AQ167" s="118" t="e">
        <f>WEEKNUM(AP167-RESUMEN!$D$7)</f>
        <v>#NUM!</v>
      </c>
      <c r="AR167" s="118">
        <f>_xlfn.DAYS(AP167,RESUMEN!$D$7)</f>
        <v>-43238</v>
      </c>
      <c r="AS167" s="76"/>
      <c r="AT167" s="73"/>
      <c r="AU167" s="73"/>
      <c r="AV167" s="116" t="e">
        <f t="shared" si="17"/>
        <v>#DIV/0!</v>
      </c>
      <c r="AW167" s="83"/>
    </row>
    <row r="168" spans="2:49" x14ac:dyDescent="0.25">
      <c r="B168" s="115"/>
      <c r="C168" s="118" t="e">
        <f>WEEKNUM(B168-RESUMEN!$D$7)</f>
        <v>#NUM!</v>
      </c>
      <c r="D168" s="118">
        <f>_xlfn.DAYS(B168,RESUMEN!$D$7)</f>
        <v>-43238</v>
      </c>
      <c r="E168" s="76"/>
      <c r="F168" s="73"/>
      <c r="G168" s="73"/>
      <c r="H168" s="116" t="e">
        <f t="shared" si="12"/>
        <v>#DIV/0!</v>
      </c>
      <c r="I168" s="83"/>
      <c r="J168" s="115"/>
      <c r="K168" s="118" t="e">
        <f>WEEKNUM(J168-RESUMEN!$D$7)</f>
        <v>#NUM!</v>
      </c>
      <c r="L168" s="118">
        <f>_xlfn.DAYS(J168,RESUMEN!$D$7)</f>
        <v>-43238</v>
      </c>
      <c r="M168" s="76"/>
      <c r="N168" s="73"/>
      <c r="O168" s="73"/>
      <c r="P168" s="116" t="e">
        <f t="shared" si="13"/>
        <v>#DIV/0!</v>
      </c>
      <c r="Q168" s="83"/>
      <c r="R168" s="115"/>
      <c r="S168" s="118" t="e">
        <f>WEEKNUM(R168-RESUMEN!$D$7)</f>
        <v>#NUM!</v>
      </c>
      <c r="T168" s="118">
        <f>_xlfn.DAYS(R168,RESUMEN!$D$7)</f>
        <v>-43238</v>
      </c>
      <c r="U168" s="76"/>
      <c r="V168" s="73"/>
      <c r="W168" s="73"/>
      <c r="X168" s="116" t="e">
        <f t="shared" si="14"/>
        <v>#DIV/0!</v>
      </c>
      <c r="Y168" s="83"/>
      <c r="Z168" s="115"/>
      <c r="AA168" s="118">
        <f>Z168-RESUMEN!$D$7</f>
        <v>-43238</v>
      </c>
      <c r="AB168" s="118">
        <f>_xlfn.DAYS(Z168,RESUMEN!$D$7)</f>
        <v>-43238</v>
      </c>
      <c r="AC168" s="76"/>
      <c r="AD168" s="73"/>
      <c r="AE168" s="73"/>
      <c r="AF168" s="116" t="e">
        <f t="shared" si="15"/>
        <v>#DIV/0!</v>
      </c>
      <c r="AG168" s="83"/>
      <c r="AH168" s="115"/>
      <c r="AI168" s="118" t="e">
        <f>WEEKNUM(AH168-RESUMEN!$D$7)</f>
        <v>#NUM!</v>
      </c>
      <c r="AJ168" s="118">
        <f>_xlfn.DAYS(AH168,RESUMEN!$D$7)</f>
        <v>-43238</v>
      </c>
      <c r="AK168" s="76"/>
      <c r="AL168" s="73"/>
      <c r="AM168" s="73"/>
      <c r="AN168" s="116" t="e">
        <f t="shared" si="16"/>
        <v>#DIV/0!</v>
      </c>
      <c r="AO168" s="83"/>
      <c r="AP168" s="115"/>
      <c r="AQ168" s="118" t="e">
        <f>WEEKNUM(AP168-RESUMEN!$D$7)</f>
        <v>#NUM!</v>
      </c>
      <c r="AR168" s="118">
        <f>_xlfn.DAYS(AP168,RESUMEN!$D$7)</f>
        <v>-43238</v>
      </c>
      <c r="AS168" s="76"/>
      <c r="AT168" s="73"/>
      <c r="AU168" s="73"/>
      <c r="AV168" s="116" t="e">
        <f t="shared" si="17"/>
        <v>#DIV/0!</v>
      </c>
      <c r="AW168" s="83"/>
    </row>
    <row r="169" spans="2:49" x14ac:dyDescent="0.25">
      <c r="B169" s="115"/>
      <c r="C169" s="118" t="e">
        <f>WEEKNUM(B169-RESUMEN!$D$7)</f>
        <v>#NUM!</v>
      </c>
      <c r="D169" s="118">
        <f>_xlfn.DAYS(B169,RESUMEN!$D$7)</f>
        <v>-43238</v>
      </c>
      <c r="E169" s="76"/>
      <c r="F169" s="73"/>
      <c r="G169" s="73"/>
      <c r="H169" s="116" t="e">
        <f t="shared" si="12"/>
        <v>#DIV/0!</v>
      </c>
      <c r="I169" s="83"/>
      <c r="J169" s="115"/>
      <c r="K169" s="118" t="e">
        <f>WEEKNUM(J169-RESUMEN!$D$7)</f>
        <v>#NUM!</v>
      </c>
      <c r="L169" s="118">
        <f>_xlfn.DAYS(J169,RESUMEN!$D$7)</f>
        <v>-43238</v>
      </c>
      <c r="M169" s="76"/>
      <c r="N169" s="73"/>
      <c r="O169" s="73"/>
      <c r="P169" s="116" t="e">
        <f t="shared" si="13"/>
        <v>#DIV/0!</v>
      </c>
      <c r="Q169" s="83"/>
      <c r="R169" s="115"/>
      <c r="S169" s="118" t="e">
        <f>WEEKNUM(R169-RESUMEN!$D$7)</f>
        <v>#NUM!</v>
      </c>
      <c r="T169" s="118">
        <f>_xlfn.DAYS(R169,RESUMEN!$D$7)</f>
        <v>-43238</v>
      </c>
      <c r="U169" s="76"/>
      <c r="V169" s="73"/>
      <c r="W169" s="73"/>
      <c r="X169" s="116" t="e">
        <f t="shared" si="14"/>
        <v>#DIV/0!</v>
      </c>
      <c r="Y169" s="83"/>
      <c r="Z169" s="115"/>
      <c r="AA169" s="118">
        <f>Z169-RESUMEN!$D$7</f>
        <v>-43238</v>
      </c>
      <c r="AB169" s="118">
        <f>_xlfn.DAYS(Z169,RESUMEN!$D$7)</f>
        <v>-43238</v>
      </c>
      <c r="AC169" s="76"/>
      <c r="AD169" s="73"/>
      <c r="AE169" s="73"/>
      <c r="AF169" s="116" t="e">
        <f t="shared" si="15"/>
        <v>#DIV/0!</v>
      </c>
      <c r="AG169" s="83"/>
      <c r="AH169" s="115"/>
      <c r="AI169" s="118" t="e">
        <f>WEEKNUM(AH169-RESUMEN!$D$7)</f>
        <v>#NUM!</v>
      </c>
      <c r="AJ169" s="118">
        <f>_xlfn.DAYS(AH169,RESUMEN!$D$7)</f>
        <v>-43238</v>
      </c>
      <c r="AK169" s="76"/>
      <c r="AL169" s="73"/>
      <c r="AM169" s="73"/>
      <c r="AN169" s="116" t="e">
        <f t="shared" si="16"/>
        <v>#DIV/0!</v>
      </c>
      <c r="AO169" s="83"/>
      <c r="AP169" s="115"/>
      <c r="AQ169" s="118" t="e">
        <f>WEEKNUM(AP169-RESUMEN!$D$7)</f>
        <v>#NUM!</v>
      </c>
      <c r="AR169" s="118">
        <f>_xlfn.DAYS(AP169,RESUMEN!$D$7)</f>
        <v>-43238</v>
      </c>
      <c r="AS169" s="76"/>
      <c r="AT169" s="73"/>
      <c r="AU169" s="73"/>
      <c r="AV169" s="116" t="e">
        <f t="shared" si="17"/>
        <v>#DIV/0!</v>
      </c>
      <c r="AW169" s="83"/>
    </row>
    <row r="170" spans="2:49" x14ac:dyDescent="0.25">
      <c r="B170" s="115"/>
      <c r="C170" s="118" t="e">
        <f>WEEKNUM(B170-RESUMEN!$D$7)</f>
        <v>#NUM!</v>
      </c>
      <c r="D170" s="118">
        <f>_xlfn.DAYS(B170,RESUMEN!$D$7)</f>
        <v>-43238</v>
      </c>
      <c r="E170" s="76"/>
      <c r="F170" s="73"/>
      <c r="G170" s="73"/>
      <c r="H170" s="116" t="e">
        <f t="shared" si="12"/>
        <v>#DIV/0!</v>
      </c>
      <c r="I170" s="83"/>
      <c r="J170" s="115"/>
      <c r="K170" s="118" t="e">
        <f>WEEKNUM(J170-RESUMEN!$D$7)</f>
        <v>#NUM!</v>
      </c>
      <c r="L170" s="118">
        <f>_xlfn.DAYS(J170,RESUMEN!$D$7)</f>
        <v>-43238</v>
      </c>
      <c r="M170" s="76"/>
      <c r="N170" s="73"/>
      <c r="O170" s="73"/>
      <c r="P170" s="116" t="e">
        <f t="shared" si="13"/>
        <v>#DIV/0!</v>
      </c>
      <c r="Q170" s="83"/>
      <c r="R170" s="115"/>
      <c r="S170" s="118" t="e">
        <f>WEEKNUM(R170-RESUMEN!$D$7)</f>
        <v>#NUM!</v>
      </c>
      <c r="T170" s="118">
        <f>_xlfn.DAYS(R170,RESUMEN!$D$7)</f>
        <v>-43238</v>
      </c>
      <c r="U170" s="76"/>
      <c r="V170" s="73"/>
      <c r="W170" s="73"/>
      <c r="X170" s="116" t="e">
        <f t="shared" si="14"/>
        <v>#DIV/0!</v>
      </c>
      <c r="Y170" s="83"/>
      <c r="Z170" s="115"/>
      <c r="AA170" s="118">
        <f>Z170-RESUMEN!$D$7</f>
        <v>-43238</v>
      </c>
      <c r="AB170" s="118">
        <f>_xlfn.DAYS(Z170,RESUMEN!$D$7)</f>
        <v>-43238</v>
      </c>
      <c r="AC170" s="76"/>
      <c r="AD170" s="73"/>
      <c r="AE170" s="73"/>
      <c r="AF170" s="116" t="e">
        <f t="shared" si="15"/>
        <v>#DIV/0!</v>
      </c>
      <c r="AG170" s="83"/>
      <c r="AH170" s="115"/>
      <c r="AI170" s="118" t="e">
        <f>WEEKNUM(AH170-RESUMEN!$D$7)</f>
        <v>#NUM!</v>
      </c>
      <c r="AJ170" s="118">
        <f>_xlfn.DAYS(AH170,RESUMEN!$D$7)</f>
        <v>-43238</v>
      </c>
      <c r="AK170" s="76"/>
      <c r="AL170" s="73"/>
      <c r="AM170" s="73"/>
      <c r="AN170" s="116" t="e">
        <f t="shared" si="16"/>
        <v>#DIV/0!</v>
      </c>
      <c r="AO170" s="83"/>
      <c r="AP170" s="115"/>
      <c r="AQ170" s="118" t="e">
        <f>WEEKNUM(AP170-RESUMEN!$D$7)</f>
        <v>#NUM!</v>
      </c>
      <c r="AR170" s="118">
        <f>_xlfn.DAYS(AP170,RESUMEN!$D$7)</f>
        <v>-43238</v>
      </c>
      <c r="AS170" s="76"/>
      <c r="AT170" s="73"/>
      <c r="AU170" s="73"/>
      <c r="AV170" s="116" t="e">
        <f t="shared" si="17"/>
        <v>#DIV/0!</v>
      </c>
      <c r="AW170" s="83"/>
    </row>
    <row r="171" spans="2:49" x14ac:dyDescent="0.25">
      <c r="B171" s="115"/>
      <c r="C171" s="118" t="e">
        <f>WEEKNUM(B171-RESUMEN!$D$7)</f>
        <v>#NUM!</v>
      </c>
      <c r="D171" s="118">
        <f>_xlfn.DAYS(B171,RESUMEN!$D$7)</f>
        <v>-43238</v>
      </c>
      <c r="E171" s="76"/>
      <c r="F171" s="73"/>
      <c r="G171" s="73"/>
      <c r="H171" s="116" t="e">
        <f t="shared" si="12"/>
        <v>#DIV/0!</v>
      </c>
      <c r="I171" s="83"/>
      <c r="J171" s="115"/>
      <c r="K171" s="118" t="e">
        <f>WEEKNUM(J171-RESUMEN!$D$7)</f>
        <v>#NUM!</v>
      </c>
      <c r="L171" s="118">
        <f>_xlfn.DAYS(J171,RESUMEN!$D$7)</f>
        <v>-43238</v>
      </c>
      <c r="M171" s="76"/>
      <c r="N171" s="73"/>
      <c r="O171" s="73"/>
      <c r="P171" s="116" t="e">
        <f t="shared" si="13"/>
        <v>#DIV/0!</v>
      </c>
      <c r="Q171" s="83"/>
      <c r="R171" s="115"/>
      <c r="S171" s="118" t="e">
        <f>WEEKNUM(R171-RESUMEN!$D$7)</f>
        <v>#NUM!</v>
      </c>
      <c r="T171" s="118">
        <f>_xlfn.DAYS(R171,RESUMEN!$D$7)</f>
        <v>-43238</v>
      </c>
      <c r="U171" s="76"/>
      <c r="V171" s="73"/>
      <c r="W171" s="73"/>
      <c r="X171" s="116" t="e">
        <f t="shared" si="14"/>
        <v>#DIV/0!</v>
      </c>
      <c r="Y171" s="83"/>
      <c r="Z171" s="115"/>
      <c r="AA171" s="118">
        <f>Z171-RESUMEN!$D$7</f>
        <v>-43238</v>
      </c>
      <c r="AB171" s="118">
        <f>_xlfn.DAYS(Z171,RESUMEN!$D$7)</f>
        <v>-43238</v>
      </c>
      <c r="AC171" s="76"/>
      <c r="AD171" s="73"/>
      <c r="AE171" s="73"/>
      <c r="AF171" s="116" t="e">
        <f t="shared" si="15"/>
        <v>#DIV/0!</v>
      </c>
      <c r="AG171" s="83"/>
      <c r="AH171" s="115"/>
      <c r="AI171" s="118" t="e">
        <f>WEEKNUM(AH171-RESUMEN!$D$7)</f>
        <v>#NUM!</v>
      </c>
      <c r="AJ171" s="118">
        <f>_xlfn.DAYS(AH171,RESUMEN!$D$7)</f>
        <v>-43238</v>
      </c>
      <c r="AK171" s="76"/>
      <c r="AL171" s="73"/>
      <c r="AM171" s="73"/>
      <c r="AN171" s="116" t="e">
        <f t="shared" si="16"/>
        <v>#DIV/0!</v>
      </c>
      <c r="AO171" s="83"/>
      <c r="AP171" s="115"/>
      <c r="AQ171" s="118" t="e">
        <f>WEEKNUM(AP171-RESUMEN!$D$7)</f>
        <v>#NUM!</v>
      </c>
      <c r="AR171" s="118">
        <f>_xlfn.DAYS(AP171,RESUMEN!$D$7)</f>
        <v>-43238</v>
      </c>
      <c r="AS171" s="76"/>
      <c r="AT171" s="73"/>
      <c r="AU171" s="73"/>
      <c r="AV171" s="116" t="e">
        <f t="shared" si="17"/>
        <v>#DIV/0!</v>
      </c>
      <c r="AW171" s="83"/>
    </row>
    <row r="172" spans="2:49" x14ac:dyDescent="0.25">
      <c r="B172" s="115"/>
      <c r="C172" s="118" t="e">
        <f>WEEKNUM(B172-RESUMEN!$D$7)</f>
        <v>#NUM!</v>
      </c>
      <c r="D172" s="118">
        <f>_xlfn.DAYS(B172,RESUMEN!$D$7)</f>
        <v>-43238</v>
      </c>
      <c r="E172" s="76"/>
      <c r="F172" s="73"/>
      <c r="G172" s="73"/>
      <c r="H172" s="116" t="e">
        <f t="shared" si="12"/>
        <v>#DIV/0!</v>
      </c>
      <c r="I172" s="83"/>
      <c r="J172" s="115"/>
      <c r="K172" s="118" t="e">
        <f>WEEKNUM(J172-RESUMEN!$D$7)</f>
        <v>#NUM!</v>
      </c>
      <c r="L172" s="118">
        <f>_xlfn.DAYS(J172,RESUMEN!$D$7)</f>
        <v>-43238</v>
      </c>
      <c r="M172" s="76"/>
      <c r="N172" s="73"/>
      <c r="O172" s="73"/>
      <c r="P172" s="116" t="e">
        <f t="shared" si="13"/>
        <v>#DIV/0!</v>
      </c>
      <c r="Q172" s="83"/>
      <c r="R172" s="115"/>
      <c r="S172" s="118" t="e">
        <f>WEEKNUM(R172-RESUMEN!$D$7)</f>
        <v>#NUM!</v>
      </c>
      <c r="T172" s="118">
        <f>_xlfn.DAYS(R172,RESUMEN!$D$7)</f>
        <v>-43238</v>
      </c>
      <c r="U172" s="76"/>
      <c r="V172" s="73"/>
      <c r="W172" s="73"/>
      <c r="X172" s="116" t="e">
        <f t="shared" si="14"/>
        <v>#DIV/0!</v>
      </c>
      <c r="Y172" s="83"/>
      <c r="Z172" s="115"/>
      <c r="AA172" s="118">
        <f>Z172-RESUMEN!$D$7</f>
        <v>-43238</v>
      </c>
      <c r="AB172" s="118">
        <f>_xlfn.DAYS(Z172,RESUMEN!$D$7)</f>
        <v>-43238</v>
      </c>
      <c r="AC172" s="76"/>
      <c r="AD172" s="73"/>
      <c r="AE172" s="73"/>
      <c r="AF172" s="116" t="e">
        <f t="shared" si="15"/>
        <v>#DIV/0!</v>
      </c>
      <c r="AG172" s="83"/>
      <c r="AH172" s="115"/>
      <c r="AI172" s="118" t="e">
        <f>WEEKNUM(AH172-RESUMEN!$D$7)</f>
        <v>#NUM!</v>
      </c>
      <c r="AJ172" s="118">
        <f>_xlfn.DAYS(AH172,RESUMEN!$D$7)</f>
        <v>-43238</v>
      </c>
      <c r="AK172" s="76"/>
      <c r="AL172" s="73"/>
      <c r="AM172" s="73"/>
      <c r="AN172" s="116" t="e">
        <f t="shared" si="16"/>
        <v>#DIV/0!</v>
      </c>
      <c r="AO172" s="83"/>
      <c r="AP172" s="115"/>
      <c r="AQ172" s="118" t="e">
        <f>WEEKNUM(AP172-RESUMEN!$D$7)</f>
        <v>#NUM!</v>
      </c>
      <c r="AR172" s="118">
        <f>_xlfn.DAYS(AP172,RESUMEN!$D$7)</f>
        <v>-43238</v>
      </c>
      <c r="AS172" s="76"/>
      <c r="AT172" s="73"/>
      <c r="AU172" s="73"/>
      <c r="AV172" s="116" t="e">
        <f t="shared" si="17"/>
        <v>#DIV/0!</v>
      </c>
      <c r="AW172" s="83"/>
    </row>
    <row r="173" spans="2:49" x14ac:dyDescent="0.25">
      <c r="B173" s="115"/>
      <c r="C173" s="118" t="e">
        <f>WEEKNUM(B173-RESUMEN!$D$7)</f>
        <v>#NUM!</v>
      </c>
      <c r="D173" s="118">
        <f>_xlfn.DAYS(B173,RESUMEN!$D$7)</f>
        <v>-43238</v>
      </c>
      <c r="E173" s="76"/>
      <c r="F173" s="73"/>
      <c r="G173" s="73"/>
      <c r="H173" s="116" t="e">
        <f t="shared" si="12"/>
        <v>#DIV/0!</v>
      </c>
      <c r="I173" s="83"/>
      <c r="J173" s="115"/>
      <c r="K173" s="118" t="e">
        <f>WEEKNUM(J173-RESUMEN!$D$7)</f>
        <v>#NUM!</v>
      </c>
      <c r="L173" s="118">
        <f>_xlfn.DAYS(J173,RESUMEN!$D$7)</f>
        <v>-43238</v>
      </c>
      <c r="M173" s="76"/>
      <c r="N173" s="73"/>
      <c r="O173" s="73"/>
      <c r="P173" s="116" t="e">
        <f t="shared" si="13"/>
        <v>#DIV/0!</v>
      </c>
      <c r="Q173" s="83"/>
      <c r="R173" s="115"/>
      <c r="S173" s="118" t="e">
        <f>WEEKNUM(R173-RESUMEN!$D$7)</f>
        <v>#NUM!</v>
      </c>
      <c r="T173" s="118">
        <f>_xlfn.DAYS(R173,RESUMEN!$D$7)</f>
        <v>-43238</v>
      </c>
      <c r="U173" s="76"/>
      <c r="V173" s="73"/>
      <c r="W173" s="73"/>
      <c r="X173" s="116" t="e">
        <f t="shared" si="14"/>
        <v>#DIV/0!</v>
      </c>
      <c r="Y173" s="83"/>
      <c r="Z173" s="115"/>
      <c r="AA173" s="118">
        <f>Z173-RESUMEN!$D$7</f>
        <v>-43238</v>
      </c>
      <c r="AB173" s="118">
        <f>_xlfn.DAYS(Z173,RESUMEN!$D$7)</f>
        <v>-43238</v>
      </c>
      <c r="AC173" s="76"/>
      <c r="AD173" s="73"/>
      <c r="AE173" s="73"/>
      <c r="AF173" s="116" t="e">
        <f t="shared" si="15"/>
        <v>#DIV/0!</v>
      </c>
      <c r="AG173" s="83"/>
      <c r="AH173" s="115"/>
      <c r="AI173" s="118" t="e">
        <f>WEEKNUM(AH173-RESUMEN!$D$7)</f>
        <v>#NUM!</v>
      </c>
      <c r="AJ173" s="118">
        <f>_xlfn.DAYS(AH173,RESUMEN!$D$7)</f>
        <v>-43238</v>
      </c>
      <c r="AK173" s="76"/>
      <c r="AL173" s="73"/>
      <c r="AM173" s="73"/>
      <c r="AN173" s="116" t="e">
        <f t="shared" si="16"/>
        <v>#DIV/0!</v>
      </c>
      <c r="AO173" s="83"/>
      <c r="AP173" s="115"/>
      <c r="AQ173" s="118" t="e">
        <f>WEEKNUM(AP173-RESUMEN!$D$7)</f>
        <v>#NUM!</v>
      </c>
      <c r="AR173" s="118">
        <f>_xlfn.DAYS(AP173,RESUMEN!$D$7)</f>
        <v>-43238</v>
      </c>
      <c r="AS173" s="76"/>
      <c r="AT173" s="73"/>
      <c r="AU173" s="73"/>
      <c r="AV173" s="116" t="e">
        <f t="shared" si="17"/>
        <v>#DIV/0!</v>
      </c>
      <c r="AW173" s="83"/>
    </row>
    <row r="174" spans="2:49" x14ac:dyDescent="0.25">
      <c r="B174" s="115"/>
      <c r="C174" s="118" t="e">
        <f>WEEKNUM(B174-RESUMEN!$D$7)</f>
        <v>#NUM!</v>
      </c>
      <c r="D174" s="118">
        <f>_xlfn.DAYS(B174,RESUMEN!$D$7)</f>
        <v>-43238</v>
      </c>
      <c r="E174" s="76"/>
      <c r="F174" s="73"/>
      <c r="G174" s="73"/>
      <c r="H174" s="116" t="e">
        <f t="shared" si="12"/>
        <v>#DIV/0!</v>
      </c>
      <c r="I174" s="83"/>
      <c r="J174" s="115"/>
      <c r="K174" s="118" t="e">
        <f>WEEKNUM(J174-RESUMEN!$D$7)</f>
        <v>#NUM!</v>
      </c>
      <c r="L174" s="118">
        <f>_xlfn.DAYS(J174,RESUMEN!$D$7)</f>
        <v>-43238</v>
      </c>
      <c r="M174" s="76"/>
      <c r="N174" s="73"/>
      <c r="O174" s="73"/>
      <c r="P174" s="116" t="e">
        <f t="shared" si="13"/>
        <v>#DIV/0!</v>
      </c>
      <c r="Q174" s="83"/>
      <c r="R174" s="115"/>
      <c r="S174" s="118" t="e">
        <f>WEEKNUM(R174-RESUMEN!$D$7)</f>
        <v>#NUM!</v>
      </c>
      <c r="T174" s="118">
        <f>_xlfn.DAYS(R174,RESUMEN!$D$7)</f>
        <v>-43238</v>
      </c>
      <c r="U174" s="76"/>
      <c r="V174" s="73"/>
      <c r="W174" s="73"/>
      <c r="X174" s="116" t="e">
        <f t="shared" si="14"/>
        <v>#DIV/0!</v>
      </c>
      <c r="Y174" s="83"/>
      <c r="Z174" s="115"/>
      <c r="AA174" s="118">
        <f>Z174-RESUMEN!$D$7</f>
        <v>-43238</v>
      </c>
      <c r="AB174" s="118">
        <f>_xlfn.DAYS(Z174,RESUMEN!$D$7)</f>
        <v>-43238</v>
      </c>
      <c r="AC174" s="76"/>
      <c r="AD174" s="73"/>
      <c r="AE174" s="73"/>
      <c r="AF174" s="116" t="e">
        <f t="shared" si="15"/>
        <v>#DIV/0!</v>
      </c>
      <c r="AG174" s="83"/>
      <c r="AH174" s="115"/>
      <c r="AI174" s="118" t="e">
        <f>WEEKNUM(AH174-RESUMEN!$D$7)</f>
        <v>#NUM!</v>
      </c>
      <c r="AJ174" s="118">
        <f>_xlfn.DAYS(AH174,RESUMEN!$D$7)</f>
        <v>-43238</v>
      </c>
      <c r="AK174" s="76"/>
      <c r="AL174" s="73"/>
      <c r="AM174" s="73"/>
      <c r="AN174" s="116" t="e">
        <f t="shared" si="16"/>
        <v>#DIV/0!</v>
      </c>
      <c r="AO174" s="83"/>
      <c r="AP174" s="115"/>
      <c r="AQ174" s="118" t="e">
        <f>WEEKNUM(AP174-RESUMEN!$D$7)</f>
        <v>#NUM!</v>
      </c>
      <c r="AR174" s="118">
        <f>_xlfn.DAYS(AP174,RESUMEN!$D$7)</f>
        <v>-43238</v>
      </c>
      <c r="AS174" s="76"/>
      <c r="AT174" s="73"/>
      <c r="AU174" s="73"/>
      <c r="AV174" s="116" t="e">
        <f t="shared" si="17"/>
        <v>#DIV/0!</v>
      </c>
      <c r="AW174" s="83"/>
    </row>
    <row r="175" spans="2:49" x14ac:dyDescent="0.25">
      <c r="B175" s="115"/>
      <c r="C175" s="118" t="e">
        <f>WEEKNUM(B175-RESUMEN!$D$7)</f>
        <v>#NUM!</v>
      </c>
      <c r="D175" s="118">
        <f>_xlfn.DAYS(B175,RESUMEN!$D$7)</f>
        <v>-43238</v>
      </c>
      <c r="E175" s="76"/>
      <c r="F175" s="73"/>
      <c r="G175" s="73"/>
      <c r="H175" s="116" t="e">
        <f t="shared" si="12"/>
        <v>#DIV/0!</v>
      </c>
      <c r="I175" s="83"/>
      <c r="J175" s="115"/>
      <c r="K175" s="118" t="e">
        <f>WEEKNUM(J175-RESUMEN!$D$7)</f>
        <v>#NUM!</v>
      </c>
      <c r="L175" s="118">
        <f>_xlfn.DAYS(J175,RESUMEN!$D$7)</f>
        <v>-43238</v>
      </c>
      <c r="M175" s="76"/>
      <c r="N175" s="73"/>
      <c r="O175" s="73"/>
      <c r="P175" s="116" t="e">
        <f t="shared" si="13"/>
        <v>#DIV/0!</v>
      </c>
      <c r="Q175" s="83"/>
      <c r="R175" s="115"/>
      <c r="S175" s="118" t="e">
        <f>WEEKNUM(R175-RESUMEN!$D$7)</f>
        <v>#NUM!</v>
      </c>
      <c r="T175" s="118">
        <f>_xlfn.DAYS(R175,RESUMEN!$D$7)</f>
        <v>-43238</v>
      </c>
      <c r="U175" s="76"/>
      <c r="V175" s="73"/>
      <c r="W175" s="73"/>
      <c r="X175" s="116" t="e">
        <f t="shared" si="14"/>
        <v>#DIV/0!</v>
      </c>
      <c r="Y175" s="83"/>
      <c r="Z175" s="115"/>
      <c r="AA175" s="118">
        <f>Z175-RESUMEN!$D$7</f>
        <v>-43238</v>
      </c>
      <c r="AB175" s="118">
        <f>_xlfn.DAYS(Z175,RESUMEN!$D$7)</f>
        <v>-43238</v>
      </c>
      <c r="AC175" s="76"/>
      <c r="AD175" s="73"/>
      <c r="AE175" s="73"/>
      <c r="AF175" s="116" t="e">
        <f t="shared" si="15"/>
        <v>#DIV/0!</v>
      </c>
      <c r="AG175" s="83"/>
      <c r="AH175" s="115"/>
      <c r="AI175" s="118" t="e">
        <f>WEEKNUM(AH175-RESUMEN!$D$7)</f>
        <v>#NUM!</v>
      </c>
      <c r="AJ175" s="118">
        <f>_xlfn.DAYS(AH175,RESUMEN!$D$7)</f>
        <v>-43238</v>
      </c>
      <c r="AK175" s="76"/>
      <c r="AL175" s="73"/>
      <c r="AM175" s="73"/>
      <c r="AN175" s="116" t="e">
        <f t="shared" si="16"/>
        <v>#DIV/0!</v>
      </c>
      <c r="AO175" s="83"/>
      <c r="AP175" s="115"/>
      <c r="AQ175" s="118" t="e">
        <f>WEEKNUM(AP175-RESUMEN!$D$7)</f>
        <v>#NUM!</v>
      </c>
      <c r="AR175" s="118">
        <f>_xlfn.DAYS(AP175,RESUMEN!$D$7)</f>
        <v>-43238</v>
      </c>
      <c r="AS175" s="76"/>
      <c r="AT175" s="73"/>
      <c r="AU175" s="73"/>
      <c r="AV175" s="116" t="e">
        <f t="shared" si="17"/>
        <v>#DIV/0!</v>
      </c>
      <c r="AW175" s="83"/>
    </row>
    <row r="176" spans="2:49" x14ac:dyDescent="0.25">
      <c r="B176" s="115"/>
      <c r="C176" s="118" t="e">
        <f>WEEKNUM(B176-RESUMEN!$D$7)</f>
        <v>#NUM!</v>
      </c>
      <c r="D176" s="118">
        <f>_xlfn.DAYS(B176,RESUMEN!$D$7)</f>
        <v>-43238</v>
      </c>
      <c r="E176" s="76"/>
      <c r="F176" s="73"/>
      <c r="G176" s="73"/>
      <c r="H176" s="116" t="e">
        <f t="shared" si="12"/>
        <v>#DIV/0!</v>
      </c>
      <c r="I176" s="83"/>
      <c r="J176" s="115"/>
      <c r="K176" s="118" t="e">
        <f>WEEKNUM(J176-RESUMEN!$D$7)</f>
        <v>#NUM!</v>
      </c>
      <c r="L176" s="118">
        <f>_xlfn.DAYS(J176,RESUMEN!$D$7)</f>
        <v>-43238</v>
      </c>
      <c r="M176" s="76"/>
      <c r="N176" s="73"/>
      <c r="O176" s="73"/>
      <c r="P176" s="116" t="e">
        <f t="shared" si="13"/>
        <v>#DIV/0!</v>
      </c>
      <c r="Q176" s="83"/>
      <c r="R176" s="115"/>
      <c r="S176" s="118" t="e">
        <f>WEEKNUM(R176-RESUMEN!$D$7)</f>
        <v>#NUM!</v>
      </c>
      <c r="T176" s="118">
        <f>_xlfn.DAYS(R176,RESUMEN!$D$7)</f>
        <v>-43238</v>
      </c>
      <c r="U176" s="76"/>
      <c r="V176" s="73"/>
      <c r="W176" s="73"/>
      <c r="X176" s="116" t="e">
        <f t="shared" si="14"/>
        <v>#DIV/0!</v>
      </c>
      <c r="Y176" s="83"/>
      <c r="Z176" s="115"/>
      <c r="AA176" s="118">
        <f>Z176-RESUMEN!$D$7</f>
        <v>-43238</v>
      </c>
      <c r="AB176" s="118">
        <f>_xlfn.DAYS(Z176,RESUMEN!$D$7)</f>
        <v>-43238</v>
      </c>
      <c r="AC176" s="76"/>
      <c r="AD176" s="73"/>
      <c r="AE176" s="73"/>
      <c r="AF176" s="116" t="e">
        <f t="shared" si="15"/>
        <v>#DIV/0!</v>
      </c>
      <c r="AG176" s="83"/>
      <c r="AH176" s="115"/>
      <c r="AI176" s="118" t="e">
        <f>WEEKNUM(AH176-RESUMEN!$D$7)</f>
        <v>#NUM!</v>
      </c>
      <c r="AJ176" s="118">
        <f>_xlfn.DAYS(AH176,RESUMEN!$D$7)</f>
        <v>-43238</v>
      </c>
      <c r="AK176" s="76"/>
      <c r="AL176" s="73"/>
      <c r="AM176" s="73"/>
      <c r="AN176" s="116" t="e">
        <f t="shared" si="16"/>
        <v>#DIV/0!</v>
      </c>
      <c r="AO176" s="83"/>
      <c r="AP176" s="115"/>
      <c r="AQ176" s="118" t="e">
        <f>WEEKNUM(AP176-RESUMEN!$D$7)</f>
        <v>#NUM!</v>
      </c>
      <c r="AR176" s="118">
        <f>_xlfn.DAYS(AP176,RESUMEN!$D$7)</f>
        <v>-43238</v>
      </c>
      <c r="AS176" s="76"/>
      <c r="AT176" s="73"/>
      <c r="AU176" s="73"/>
      <c r="AV176" s="116" t="e">
        <f t="shared" si="17"/>
        <v>#DIV/0!</v>
      </c>
      <c r="AW176" s="83"/>
    </row>
    <row r="177" spans="2:49" x14ac:dyDescent="0.25">
      <c r="B177" s="115"/>
      <c r="C177" s="118" t="e">
        <f>WEEKNUM(B177-RESUMEN!$D$7)</f>
        <v>#NUM!</v>
      </c>
      <c r="D177" s="118">
        <f>_xlfn.DAYS(B177,RESUMEN!$D$7)</f>
        <v>-43238</v>
      </c>
      <c r="E177" s="76"/>
      <c r="F177" s="73"/>
      <c r="G177" s="73"/>
      <c r="H177" s="116" t="e">
        <f t="shared" si="12"/>
        <v>#DIV/0!</v>
      </c>
      <c r="I177" s="83"/>
      <c r="J177" s="115"/>
      <c r="K177" s="118" t="e">
        <f>WEEKNUM(J177-RESUMEN!$D$7)</f>
        <v>#NUM!</v>
      </c>
      <c r="L177" s="118">
        <f>_xlfn.DAYS(J177,RESUMEN!$D$7)</f>
        <v>-43238</v>
      </c>
      <c r="M177" s="76"/>
      <c r="N177" s="73"/>
      <c r="O177" s="73"/>
      <c r="P177" s="116" t="e">
        <f t="shared" si="13"/>
        <v>#DIV/0!</v>
      </c>
      <c r="Q177" s="83"/>
      <c r="R177" s="115"/>
      <c r="S177" s="118" t="e">
        <f>WEEKNUM(R177-RESUMEN!$D$7)</f>
        <v>#NUM!</v>
      </c>
      <c r="T177" s="118">
        <f>_xlfn.DAYS(R177,RESUMEN!$D$7)</f>
        <v>-43238</v>
      </c>
      <c r="U177" s="76"/>
      <c r="V177" s="73"/>
      <c r="W177" s="73"/>
      <c r="X177" s="116" t="e">
        <f t="shared" si="14"/>
        <v>#DIV/0!</v>
      </c>
      <c r="Y177" s="83"/>
      <c r="Z177" s="115"/>
      <c r="AA177" s="118">
        <f>Z177-RESUMEN!$D$7</f>
        <v>-43238</v>
      </c>
      <c r="AB177" s="118">
        <f>_xlfn.DAYS(Z177,RESUMEN!$D$7)</f>
        <v>-43238</v>
      </c>
      <c r="AC177" s="76"/>
      <c r="AD177" s="73"/>
      <c r="AE177" s="73"/>
      <c r="AF177" s="116" t="e">
        <f t="shared" si="15"/>
        <v>#DIV/0!</v>
      </c>
      <c r="AG177" s="83"/>
      <c r="AH177" s="115"/>
      <c r="AI177" s="118" t="e">
        <f>WEEKNUM(AH177-RESUMEN!$D$7)</f>
        <v>#NUM!</v>
      </c>
      <c r="AJ177" s="118">
        <f>_xlfn.DAYS(AH177,RESUMEN!$D$7)</f>
        <v>-43238</v>
      </c>
      <c r="AK177" s="76"/>
      <c r="AL177" s="73"/>
      <c r="AM177" s="73"/>
      <c r="AN177" s="116" t="e">
        <f t="shared" si="16"/>
        <v>#DIV/0!</v>
      </c>
      <c r="AO177" s="83"/>
      <c r="AP177" s="115"/>
      <c r="AQ177" s="118" t="e">
        <f>WEEKNUM(AP177-RESUMEN!$D$7)</f>
        <v>#NUM!</v>
      </c>
      <c r="AR177" s="118">
        <f>_xlfn.DAYS(AP177,RESUMEN!$D$7)</f>
        <v>-43238</v>
      </c>
      <c r="AS177" s="76"/>
      <c r="AT177" s="73"/>
      <c r="AU177" s="73"/>
      <c r="AV177" s="116" t="e">
        <f t="shared" si="17"/>
        <v>#DIV/0!</v>
      </c>
      <c r="AW177" s="83"/>
    </row>
    <row r="178" spans="2:49" x14ac:dyDescent="0.25">
      <c r="B178" s="115"/>
      <c r="C178" s="118" t="e">
        <f>WEEKNUM(B178-RESUMEN!$D$7)</f>
        <v>#NUM!</v>
      </c>
      <c r="D178" s="118">
        <f>_xlfn.DAYS(B178,RESUMEN!$D$7)</f>
        <v>-43238</v>
      </c>
      <c r="E178" s="76"/>
      <c r="F178" s="73"/>
      <c r="G178" s="73"/>
      <c r="H178" s="116" t="e">
        <f t="shared" si="12"/>
        <v>#DIV/0!</v>
      </c>
      <c r="I178" s="83"/>
      <c r="J178" s="115"/>
      <c r="K178" s="118" t="e">
        <f>WEEKNUM(J178-RESUMEN!$D$7)</f>
        <v>#NUM!</v>
      </c>
      <c r="L178" s="118">
        <f>_xlfn.DAYS(J178,RESUMEN!$D$7)</f>
        <v>-43238</v>
      </c>
      <c r="M178" s="76"/>
      <c r="N178" s="73"/>
      <c r="O178" s="73"/>
      <c r="P178" s="116" t="e">
        <f t="shared" si="13"/>
        <v>#DIV/0!</v>
      </c>
      <c r="Q178" s="83"/>
      <c r="R178" s="115"/>
      <c r="S178" s="118" t="e">
        <f>WEEKNUM(R178-RESUMEN!$D$7)</f>
        <v>#NUM!</v>
      </c>
      <c r="T178" s="118">
        <f>_xlfn.DAYS(R178,RESUMEN!$D$7)</f>
        <v>-43238</v>
      </c>
      <c r="U178" s="76"/>
      <c r="V178" s="73"/>
      <c r="W178" s="73"/>
      <c r="X178" s="116" t="e">
        <f t="shared" si="14"/>
        <v>#DIV/0!</v>
      </c>
      <c r="Y178" s="83"/>
      <c r="Z178" s="115"/>
      <c r="AA178" s="118">
        <f>Z178-RESUMEN!$D$7</f>
        <v>-43238</v>
      </c>
      <c r="AB178" s="118">
        <f>_xlfn.DAYS(Z178,RESUMEN!$D$7)</f>
        <v>-43238</v>
      </c>
      <c r="AC178" s="76"/>
      <c r="AD178" s="73"/>
      <c r="AE178" s="73"/>
      <c r="AF178" s="116" t="e">
        <f t="shared" si="15"/>
        <v>#DIV/0!</v>
      </c>
      <c r="AG178" s="83"/>
      <c r="AH178" s="115"/>
      <c r="AI178" s="118" t="e">
        <f>WEEKNUM(AH178-RESUMEN!$D$7)</f>
        <v>#NUM!</v>
      </c>
      <c r="AJ178" s="118">
        <f>_xlfn.DAYS(AH178,RESUMEN!$D$7)</f>
        <v>-43238</v>
      </c>
      <c r="AK178" s="76"/>
      <c r="AL178" s="73"/>
      <c r="AM178" s="73"/>
      <c r="AN178" s="116" t="e">
        <f t="shared" si="16"/>
        <v>#DIV/0!</v>
      </c>
      <c r="AO178" s="83"/>
      <c r="AP178" s="115"/>
      <c r="AQ178" s="118" t="e">
        <f>WEEKNUM(AP178-RESUMEN!$D$7)</f>
        <v>#NUM!</v>
      </c>
      <c r="AR178" s="118">
        <f>_xlfn.DAYS(AP178,RESUMEN!$D$7)</f>
        <v>-43238</v>
      </c>
      <c r="AS178" s="76"/>
      <c r="AT178" s="73"/>
      <c r="AU178" s="73"/>
      <c r="AV178" s="116" t="e">
        <f t="shared" si="17"/>
        <v>#DIV/0!</v>
      </c>
      <c r="AW178" s="83"/>
    </row>
    <row r="179" spans="2:49" x14ac:dyDescent="0.25">
      <c r="B179" s="115"/>
      <c r="C179" s="118" t="e">
        <f>WEEKNUM(B179-RESUMEN!$D$7)</f>
        <v>#NUM!</v>
      </c>
      <c r="D179" s="118">
        <f>_xlfn.DAYS(B179,RESUMEN!$D$7)</f>
        <v>-43238</v>
      </c>
      <c r="E179" s="76"/>
      <c r="F179" s="73"/>
      <c r="G179" s="73"/>
      <c r="H179" s="116" t="e">
        <f t="shared" si="12"/>
        <v>#DIV/0!</v>
      </c>
      <c r="I179" s="83"/>
      <c r="J179" s="115"/>
      <c r="K179" s="118" t="e">
        <f>WEEKNUM(J179-RESUMEN!$D$7)</f>
        <v>#NUM!</v>
      </c>
      <c r="L179" s="118">
        <f>_xlfn.DAYS(J179,RESUMEN!$D$7)</f>
        <v>-43238</v>
      </c>
      <c r="M179" s="76"/>
      <c r="N179" s="73"/>
      <c r="O179" s="73"/>
      <c r="P179" s="116" t="e">
        <f t="shared" si="13"/>
        <v>#DIV/0!</v>
      </c>
      <c r="Q179" s="83"/>
      <c r="R179" s="115"/>
      <c r="S179" s="118" t="e">
        <f>WEEKNUM(R179-RESUMEN!$D$7)</f>
        <v>#NUM!</v>
      </c>
      <c r="T179" s="118">
        <f>_xlfn.DAYS(R179,RESUMEN!$D$7)</f>
        <v>-43238</v>
      </c>
      <c r="U179" s="76"/>
      <c r="V179" s="73"/>
      <c r="W179" s="73"/>
      <c r="X179" s="116" t="e">
        <f t="shared" si="14"/>
        <v>#DIV/0!</v>
      </c>
      <c r="Y179" s="83"/>
      <c r="Z179" s="115"/>
      <c r="AA179" s="118">
        <f>Z179-RESUMEN!$D$7</f>
        <v>-43238</v>
      </c>
      <c r="AB179" s="118">
        <f>_xlfn.DAYS(Z179,RESUMEN!$D$7)</f>
        <v>-43238</v>
      </c>
      <c r="AC179" s="76"/>
      <c r="AD179" s="73"/>
      <c r="AE179" s="73"/>
      <c r="AF179" s="116" t="e">
        <f t="shared" si="15"/>
        <v>#DIV/0!</v>
      </c>
      <c r="AG179" s="83"/>
      <c r="AH179" s="115"/>
      <c r="AI179" s="118" t="e">
        <f>WEEKNUM(AH179-RESUMEN!$D$7)</f>
        <v>#NUM!</v>
      </c>
      <c r="AJ179" s="118">
        <f>_xlfn.DAYS(AH179,RESUMEN!$D$7)</f>
        <v>-43238</v>
      </c>
      <c r="AK179" s="76"/>
      <c r="AL179" s="73"/>
      <c r="AM179" s="73"/>
      <c r="AN179" s="116" t="e">
        <f t="shared" si="16"/>
        <v>#DIV/0!</v>
      </c>
      <c r="AO179" s="83"/>
      <c r="AP179" s="115"/>
      <c r="AQ179" s="118" t="e">
        <f>WEEKNUM(AP179-RESUMEN!$D$7)</f>
        <v>#NUM!</v>
      </c>
      <c r="AR179" s="118">
        <f>_xlfn.DAYS(AP179,RESUMEN!$D$7)</f>
        <v>-43238</v>
      </c>
      <c r="AS179" s="76"/>
      <c r="AT179" s="73"/>
      <c r="AU179" s="73"/>
      <c r="AV179" s="116" t="e">
        <f t="shared" si="17"/>
        <v>#DIV/0!</v>
      </c>
      <c r="AW179" s="83"/>
    </row>
    <row r="180" spans="2:49" x14ac:dyDescent="0.25">
      <c r="B180" s="115"/>
      <c r="C180" s="118" t="e">
        <f>WEEKNUM(B180-RESUMEN!$D$7)</f>
        <v>#NUM!</v>
      </c>
      <c r="D180" s="118">
        <f>_xlfn.DAYS(B180,RESUMEN!$D$7)</f>
        <v>-43238</v>
      </c>
      <c r="E180" s="76"/>
      <c r="F180" s="73"/>
      <c r="G180" s="73"/>
      <c r="H180" s="116" t="e">
        <f t="shared" si="12"/>
        <v>#DIV/0!</v>
      </c>
      <c r="I180" s="83"/>
      <c r="J180" s="115"/>
      <c r="K180" s="118" t="e">
        <f>WEEKNUM(J180-RESUMEN!$D$7)</f>
        <v>#NUM!</v>
      </c>
      <c r="L180" s="118">
        <f>_xlfn.DAYS(J180,RESUMEN!$D$7)</f>
        <v>-43238</v>
      </c>
      <c r="M180" s="76"/>
      <c r="N180" s="73"/>
      <c r="O180" s="73"/>
      <c r="P180" s="116" t="e">
        <f t="shared" si="13"/>
        <v>#DIV/0!</v>
      </c>
      <c r="Q180" s="83"/>
      <c r="R180" s="115"/>
      <c r="S180" s="118" t="e">
        <f>WEEKNUM(R180-RESUMEN!$D$7)</f>
        <v>#NUM!</v>
      </c>
      <c r="T180" s="118">
        <f>_xlfn.DAYS(R180,RESUMEN!$D$7)</f>
        <v>-43238</v>
      </c>
      <c r="U180" s="76"/>
      <c r="V180" s="73"/>
      <c r="W180" s="73"/>
      <c r="X180" s="116" t="e">
        <f t="shared" si="14"/>
        <v>#DIV/0!</v>
      </c>
      <c r="Y180" s="83"/>
      <c r="Z180" s="115"/>
      <c r="AA180" s="118">
        <f>Z180-RESUMEN!$D$7</f>
        <v>-43238</v>
      </c>
      <c r="AB180" s="118">
        <f>_xlfn.DAYS(Z180,RESUMEN!$D$7)</f>
        <v>-43238</v>
      </c>
      <c r="AC180" s="76"/>
      <c r="AD180" s="73"/>
      <c r="AE180" s="73"/>
      <c r="AF180" s="116" t="e">
        <f t="shared" si="15"/>
        <v>#DIV/0!</v>
      </c>
      <c r="AG180" s="83"/>
      <c r="AH180" s="115"/>
      <c r="AI180" s="118" t="e">
        <f>WEEKNUM(AH180-RESUMEN!$D$7)</f>
        <v>#NUM!</v>
      </c>
      <c r="AJ180" s="118">
        <f>_xlfn.DAYS(AH180,RESUMEN!$D$7)</f>
        <v>-43238</v>
      </c>
      <c r="AK180" s="76"/>
      <c r="AL180" s="73"/>
      <c r="AM180" s="73"/>
      <c r="AN180" s="116" t="e">
        <f t="shared" si="16"/>
        <v>#DIV/0!</v>
      </c>
      <c r="AO180" s="83"/>
      <c r="AP180" s="115"/>
      <c r="AQ180" s="118" t="e">
        <f>WEEKNUM(AP180-RESUMEN!$D$7)</f>
        <v>#NUM!</v>
      </c>
      <c r="AR180" s="118">
        <f>_xlfn.DAYS(AP180,RESUMEN!$D$7)</f>
        <v>-43238</v>
      </c>
      <c r="AS180" s="76"/>
      <c r="AT180" s="73"/>
      <c r="AU180" s="73"/>
      <c r="AV180" s="116" t="e">
        <f t="shared" si="17"/>
        <v>#DIV/0!</v>
      </c>
      <c r="AW180" s="83"/>
    </row>
    <row r="181" spans="2:49" x14ac:dyDescent="0.25">
      <c r="B181" s="115"/>
      <c r="C181" s="118" t="e">
        <f>WEEKNUM(B181-RESUMEN!$D$7)</f>
        <v>#NUM!</v>
      </c>
      <c r="D181" s="118">
        <f>_xlfn.DAYS(B181,RESUMEN!$D$7)</f>
        <v>-43238</v>
      </c>
      <c r="E181" s="76"/>
      <c r="F181" s="73"/>
      <c r="G181" s="73"/>
      <c r="H181" s="116" t="e">
        <f t="shared" si="12"/>
        <v>#DIV/0!</v>
      </c>
      <c r="I181" s="83"/>
      <c r="J181" s="115"/>
      <c r="K181" s="118" t="e">
        <f>WEEKNUM(J181-RESUMEN!$D$7)</f>
        <v>#NUM!</v>
      </c>
      <c r="L181" s="118">
        <f>_xlfn.DAYS(J181,RESUMEN!$D$7)</f>
        <v>-43238</v>
      </c>
      <c r="M181" s="76"/>
      <c r="N181" s="73"/>
      <c r="O181" s="73"/>
      <c r="P181" s="116" t="e">
        <f t="shared" si="13"/>
        <v>#DIV/0!</v>
      </c>
      <c r="Q181" s="83"/>
      <c r="R181" s="115"/>
      <c r="S181" s="118" t="e">
        <f>WEEKNUM(R181-RESUMEN!$D$7)</f>
        <v>#NUM!</v>
      </c>
      <c r="T181" s="118">
        <f>_xlfn.DAYS(R181,RESUMEN!$D$7)</f>
        <v>-43238</v>
      </c>
      <c r="U181" s="76"/>
      <c r="V181" s="73"/>
      <c r="W181" s="73"/>
      <c r="X181" s="116" t="e">
        <f t="shared" si="14"/>
        <v>#DIV/0!</v>
      </c>
      <c r="Y181" s="83"/>
      <c r="Z181" s="115"/>
      <c r="AA181" s="118">
        <f>Z181-RESUMEN!$D$7</f>
        <v>-43238</v>
      </c>
      <c r="AB181" s="118">
        <f>_xlfn.DAYS(Z181,RESUMEN!$D$7)</f>
        <v>-43238</v>
      </c>
      <c r="AC181" s="76"/>
      <c r="AD181" s="73"/>
      <c r="AE181" s="73"/>
      <c r="AF181" s="116" t="e">
        <f t="shared" si="15"/>
        <v>#DIV/0!</v>
      </c>
      <c r="AG181" s="83"/>
      <c r="AH181" s="115"/>
      <c r="AI181" s="118" t="e">
        <f>WEEKNUM(AH181-RESUMEN!$D$7)</f>
        <v>#NUM!</v>
      </c>
      <c r="AJ181" s="118">
        <f>_xlfn.DAYS(AH181,RESUMEN!$D$7)</f>
        <v>-43238</v>
      </c>
      <c r="AK181" s="76"/>
      <c r="AL181" s="73"/>
      <c r="AM181" s="73"/>
      <c r="AN181" s="116" t="e">
        <f t="shared" si="16"/>
        <v>#DIV/0!</v>
      </c>
      <c r="AO181" s="83"/>
      <c r="AP181" s="115"/>
      <c r="AQ181" s="118" t="e">
        <f>WEEKNUM(AP181-RESUMEN!$D$7)</f>
        <v>#NUM!</v>
      </c>
      <c r="AR181" s="118">
        <f>_xlfn.DAYS(AP181,RESUMEN!$D$7)</f>
        <v>-43238</v>
      </c>
      <c r="AS181" s="76"/>
      <c r="AT181" s="73"/>
      <c r="AU181" s="73"/>
      <c r="AV181" s="116" t="e">
        <f t="shared" si="17"/>
        <v>#DIV/0!</v>
      </c>
      <c r="AW181" s="83"/>
    </row>
    <row r="182" spans="2:49" x14ac:dyDescent="0.25">
      <c r="B182" s="115"/>
      <c r="C182" s="118" t="e">
        <f>WEEKNUM(B182-RESUMEN!$D$7)</f>
        <v>#NUM!</v>
      </c>
      <c r="D182" s="118">
        <f>_xlfn.DAYS(B182,RESUMEN!$D$7)</f>
        <v>-43238</v>
      </c>
      <c r="E182" s="76"/>
      <c r="F182" s="73"/>
      <c r="G182" s="73"/>
      <c r="H182" s="116" t="e">
        <f t="shared" si="12"/>
        <v>#DIV/0!</v>
      </c>
      <c r="I182" s="83"/>
      <c r="J182" s="115"/>
      <c r="K182" s="118" t="e">
        <f>WEEKNUM(J182-RESUMEN!$D$7)</f>
        <v>#NUM!</v>
      </c>
      <c r="L182" s="118">
        <f>_xlfn.DAYS(J182,RESUMEN!$D$7)</f>
        <v>-43238</v>
      </c>
      <c r="M182" s="76"/>
      <c r="N182" s="73"/>
      <c r="O182" s="73"/>
      <c r="P182" s="116" t="e">
        <f t="shared" si="13"/>
        <v>#DIV/0!</v>
      </c>
      <c r="Q182" s="83"/>
      <c r="R182" s="115"/>
      <c r="S182" s="118" t="e">
        <f>WEEKNUM(R182-RESUMEN!$D$7)</f>
        <v>#NUM!</v>
      </c>
      <c r="T182" s="118">
        <f>_xlfn.DAYS(R182,RESUMEN!$D$7)</f>
        <v>-43238</v>
      </c>
      <c r="U182" s="76"/>
      <c r="V182" s="73"/>
      <c r="W182" s="73"/>
      <c r="X182" s="116" t="e">
        <f t="shared" si="14"/>
        <v>#DIV/0!</v>
      </c>
      <c r="Y182" s="83"/>
      <c r="Z182" s="115"/>
      <c r="AA182" s="118">
        <f>Z182-RESUMEN!$D$7</f>
        <v>-43238</v>
      </c>
      <c r="AB182" s="118">
        <f>_xlfn.DAYS(Z182,RESUMEN!$D$7)</f>
        <v>-43238</v>
      </c>
      <c r="AC182" s="76"/>
      <c r="AD182" s="73"/>
      <c r="AE182" s="73"/>
      <c r="AF182" s="116" t="e">
        <f t="shared" si="15"/>
        <v>#DIV/0!</v>
      </c>
      <c r="AG182" s="83"/>
      <c r="AH182" s="115"/>
      <c r="AI182" s="118" t="e">
        <f>WEEKNUM(AH182-RESUMEN!$D$7)</f>
        <v>#NUM!</v>
      </c>
      <c r="AJ182" s="118">
        <f>_xlfn.DAYS(AH182,RESUMEN!$D$7)</f>
        <v>-43238</v>
      </c>
      <c r="AK182" s="76"/>
      <c r="AL182" s="73"/>
      <c r="AM182" s="73"/>
      <c r="AN182" s="116" t="e">
        <f t="shared" si="16"/>
        <v>#DIV/0!</v>
      </c>
      <c r="AO182" s="83"/>
      <c r="AP182" s="115"/>
      <c r="AQ182" s="118" t="e">
        <f>WEEKNUM(AP182-RESUMEN!$D$7)</f>
        <v>#NUM!</v>
      </c>
      <c r="AR182" s="118">
        <f>_xlfn.DAYS(AP182,RESUMEN!$D$7)</f>
        <v>-43238</v>
      </c>
      <c r="AS182" s="76"/>
      <c r="AT182" s="73"/>
      <c r="AU182" s="73"/>
      <c r="AV182" s="116" t="e">
        <f t="shared" si="17"/>
        <v>#DIV/0!</v>
      </c>
      <c r="AW182" s="83"/>
    </row>
    <row r="183" spans="2:49" x14ac:dyDescent="0.25">
      <c r="B183" s="115"/>
      <c r="C183" s="118" t="e">
        <f>WEEKNUM(B183-RESUMEN!$D$7)</f>
        <v>#NUM!</v>
      </c>
      <c r="D183" s="118">
        <f>_xlfn.DAYS(B183,RESUMEN!$D$7)</f>
        <v>-43238</v>
      </c>
      <c r="E183" s="76"/>
      <c r="F183" s="73"/>
      <c r="G183" s="73"/>
      <c r="H183" s="116" t="e">
        <f t="shared" si="12"/>
        <v>#DIV/0!</v>
      </c>
      <c r="I183" s="83"/>
      <c r="J183" s="115"/>
      <c r="K183" s="118" t="e">
        <f>WEEKNUM(J183-RESUMEN!$D$7)</f>
        <v>#NUM!</v>
      </c>
      <c r="L183" s="118">
        <f>_xlfn.DAYS(J183,RESUMEN!$D$7)</f>
        <v>-43238</v>
      </c>
      <c r="M183" s="76"/>
      <c r="N183" s="73"/>
      <c r="O183" s="73"/>
      <c r="P183" s="116" t="e">
        <f t="shared" si="13"/>
        <v>#DIV/0!</v>
      </c>
      <c r="Q183" s="83"/>
      <c r="R183" s="115"/>
      <c r="S183" s="118" t="e">
        <f>WEEKNUM(R183-RESUMEN!$D$7)</f>
        <v>#NUM!</v>
      </c>
      <c r="T183" s="118">
        <f>_xlfn.DAYS(R183,RESUMEN!$D$7)</f>
        <v>-43238</v>
      </c>
      <c r="U183" s="76"/>
      <c r="V183" s="73"/>
      <c r="W183" s="73"/>
      <c r="X183" s="116" t="e">
        <f t="shared" si="14"/>
        <v>#DIV/0!</v>
      </c>
      <c r="Y183" s="83"/>
      <c r="Z183" s="115"/>
      <c r="AA183" s="118">
        <f>Z183-RESUMEN!$D$7</f>
        <v>-43238</v>
      </c>
      <c r="AB183" s="118">
        <f>_xlfn.DAYS(Z183,RESUMEN!$D$7)</f>
        <v>-43238</v>
      </c>
      <c r="AC183" s="76"/>
      <c r="AD183" s="73"/>
      <c r="AE183" s="73"/>
      <c r="AF183" s="116" t="e">
        <f t="shared" si="15"/>
        <v>#DIV/0!</v>
      </c>
      <c r="AG183" s="83"/>
      <c r="AH183" s="115"/>
      <c r="AI183" s="118" t="e">
        <f>WEEKNUM(AH183-RESUMEN!$D$7)</f>
        <v>#NUM!</v>
      </c>
      <c r="AJ183" s="118">
        <f>_xlfn.DAYS(AH183,RESUMEN!$D$7)</f>
        <v>-43238</v>
      </c>
      <c r="AK183" s="76"/>
      <c r="AL183" s="73"/>
      <c r="AM183" s="73"/>
      <c r="AN183" s="116" t="e">
        <f t="shared" si="16"/>
        <v>#DIV/0!</v>
      </c>
      <c r="AO183" s="83"/>
      <c r="AP183" s="115"/>
      <c r="AQ183" s="118" t="e">
        <f>WEEKNUM(AP183-RESUMEN!$D$7)</f>
        <v>#NUM!</v>
      </c>
      <c r="AR183" s="118">
        <f>_xlfn.DAYS(AP183,RESUMEN!$D$7)</f>
        <v>-43238</v>
      </c>
      <c r="AS183" s="76"/>
      <c r="AT183" s="73"/>
      <c r="AU183" s="73"/>
      <c r="AV183" s="116" t="e">
        <f t="shared" si="17"/>
        <v>#DIV/0!</v>
      </c>
      <c r="AW183" s="83"/>
    </row>
    <row r="184" spans="2:49" x14ac:dyDescent="0.25">
      <c r="B184" s="115"/>
      <c r="C184" s="118" t="e">
        <f>WEEKNUM(B184-RESUMEN!$D$7)</f>
        <v>#NUM!</v>
      </c>
      <c r="D184" s="118">
        <f>_xlfn.DAYS(B184,RESUMEN!$D$7)</f>
        <v>-43238</v>
      </c>
      <c r="E184" s="76"/>
      <c r="F184" s="73"/>
      <c r="G184" s="73"/>
      <c r="H184" s="116" t="e">
        <f t="shared" si="12"/>
        <v>#DIV/0!</v>
      </c>
      <c r="I184" s="83"/>
      <c r="J184" s="115"/>
      <c r="K184" s="118" t="e">
        <f>WEEKNUM(J184-RESUMEN!$D$7)</f>
        <v>#NUM!</v>
      </c>
      <c r="L184" s="118">
        <f>_xlfn.DAYS(J184,RESUMEN!$D$7)</f>
        <v>-43238</v>
      </c>
      <c r="M184" s="76"/>
      <c r="N184" s="73"/>
      <c r="O184" s="73"/>
      <c r="P184" s="116" t="e">
        <f t="shared" si="13"/>
        <v>#DIV/0!</v>
      </c>
      <c r="Q184" s="83"/>
      <c r="R184" s="115"/>
      <c r="S184" s="118" t="e">
        <f>WEEKNUM(R184-RESUMEN!$D$7)</f>
        <v>#NUM!</v>
      </c>
      <c r="T184" s="118">
        <f>_xlfn.DAYS(R184,RESUMEN!$D$7)</f>
        <v>-43238</v>
      </c>
      <c r="U184" s="76"/>
      <c r="V184" s="73"/>
      <c r="W184" s="73"/>
      <c r="X184" s="116" t="e">
        <f t="shared" si="14"/>
        <v>#DIV/0!</v>
      </c>
      <c r="Y184" s="83"/>
      <c r="Z184" s="115"/>
      <c r="AA184" s="118">
        <f>Z184-RESUMEN!$D$7</f>
        <v>-43238</v>
      </c>
      <c r="AB184" s="118">
        <f>_xlfn.DAYS(Z184,RESUMEN!$D$7)</f>
        <v>-43238</v>
      </c>
      <c r="AC184" s="76"/>
      <c r="AD184" s="73"/>
      <c r="AE184" s="73"/>
      <c r="AF184" s="116" t="e">
        <f t="shared" si="15"/>
        <v>#DIV/0!</v>
      </c>
      <c r="AG184" s="83"/>
      <c r="AH184" s="115"/>
      <c r="AI184" s="118" t="e">
        <f>WEEKNUM(AH184-RESUMEN!$D$7)</f>
        <v>#NUM!</v>
      </c>
      <c r="AJ184" s="118">
        <f>_xlfn.DAYS(AH184,RESUMEN!$D$7)</f>
        <v>-43238</v>
      </c>
      <c r="AK184" s="76"/>
      <c r="AL184" s="73"/>
      <c r="AM184" s="73"/>
      <c r="AN184" s="116" t="e">
        <f t="shared" si="16"/>
        <v>#DIV/0!</v>
      </c>
      <c r="AO184" s="83"/>
      <c r="AP184" s="115"/>
      <c r="AQ184" s="118" t="e">
        <f>WEEKNUM(AP184-RESUMEN!$D$7)</f>
        <v>#NUM!</v>
      </c>
      <c r="AR184" s="118">
        <f>_xlfn.DAYS(AP184,RESUMEN!$D$7)</f>
        <v>-43238</v>
      </c>
      <c r="AS184" s="76"/>
      <c r="AT184" s="73"/>
      <c r="AU184" s="73"/>
      <c r="AV184" s="116" t="e">
        <f t="shared" si="17"/>
        <v>#DIV/0!</v>
      </c>
      <c r="AW184" s="83"/>
    </row>
    <row r="185" spans="2:49" x14ac:dyDescent="0.25">
      <c r="B185" s="115"/>
      <c r="C185" s="118" t="e">
        <f>WEEKNUM(B185-RESUMEN!$D$7)</f>
        <v>#NUM!</v>
      </c>
      <c r="D185" s="118">
        <f>_xlfn.DAYS(B185,RESUMEN!$D$7)</f>
        <v>-43238</v>
      </c>
      <c r="E185" s="76"/>
      <c r="F185" s="73"/>
      <c r="G185" s="73"/>
      <c r="H185" s="116" t="e">
        <f t="shared" si="12"/>
        <v>#DIV/0!</v>
      </c>
      <c r="I185" s="83"/>
      <c r="J185" s="115"/>
      <c r="K185" s="118" t="e">
        <f>WEEKNUM(J185-RESUMEN!$D$7)</f>
        <v>#NUM!</v>
      </c>
      <c r="L185" s="118">
        <f>_xlfn.DAYS(J185,RESUMEN!$D$7)</f>
        <v>-43238</v>
      </c>
      <c r="M185" s="76"/>
      <c r="N185" s="73"/>
      <c r="O185" s="73"/>
      <c r="P185" s="116" t="e">
        <f t="shared" si="13"/>
        <v>#DIV/0!</v>
      </c>
      <c r="Q185" s="83"/>
      <c r="R185" s="115"/>
      <c r="S185" s="118" t="e">
        <f>WEEKNUM(R185-RESUMEN!$D$7)</f>
        <v>#NUM!</v>
      </c>
      <c r="T185" s="118">
        <f>_xlfn.DAYS(R185,RESUMEN!$D$7)</f>
        <v>-43238</v>
      </c>
      <c r="U185" s="76"/>
      <c r="V185" s="73"/>
      <c r="W185" s="73"/>
      <c r="X185" s="116" t="e">
        <f t="shared" si="14"/>
        <v>#DIV/0!</v>
      </c>
      <c r="Y185" s="83"/>
      <c r="Z185" s="115"/>
      <c r="AA185" s="118">
        <f>Z185-RESUMEN!$D$7</f>
        <v>-43238</v>
      </c>
      <c r="AB185" s="118">
        <f>_xlfn.DAYS(Z185,RESUMEN!$D$7)</f>
        <v>-43238</v>
      </c>
      <c r="AC185" s="76"/>
      <c r="AD185" s="73"/>
      <c r="AE185" s="73"/>
      <c r="AF185" s="116" t="e">
        <f t="shared" si="15"/>
        <v>#DIV/0!</v>
      </c>
      <c r="AG185" s="83"/>
      <c r="AH185" s="115"/>
      <c r="AI185" s="118" t="e">
        <f>WEEKNUM(AH185-RESUMEN!$D$7)</f>
        <v>#NUM!</v>
      </c>
      <c r="AJ185" s="118">
        <f>_xlfn.DAYS(AH185,RESUMEN!$D$7)</f>
        <v>-43238</v>
      </c>
      <c r="AK185" s="76"/>
      <c r="AL185" s="73"/>
      <c r="AM185" s="73"/>
      <c r="AN185" s="116" t="e">
        <f t="shared" si="16"/>
        <v>#DIV/0!</v>
      </c>
      <c r="AO185" s="83"/>
      <c r="AP185" s="115"/>
      <c r="AQ185" s="118" t="e">
        <f>WEEKNUM(AP185-RESUMEN!$D$7)</f>
        <v>#NUM!</v>
      </c>
      <c r="AR185" s="118">
        <f>_xlfn.DAYS(AP185,RESUMEN!$D$7)</f>
        <v>-43238</v>
      </c>
      <c r="AS185" s="76"/>
      <c r="AT185" s="73"/>
      <c r="AU185" s="73"/>
      <c r="AV185" s="116" t="e">
        <f t="shared" si="17"/>
        <v>#DIV/0!</v>
      </c>
      <c r="AW185" s="83"/>
    </row>
    <row r="186" spans="2:49" x14ac:dyDescent="0.25">
      <c r="B186" s="115"/>
      <c r="C186" s="118" t="e">
        <f>WEEKNUM(B186-RESUMEN!$D$7)</f>
        <v>#NUM!</v>
      </c>
      <c r="D186" s="118">
        <f>_xlfn.DAYS(B186,RESUMEN!$D$7)</f>
        <v>-43238</v>
      </c>
      <c r="E186" s="76"/>
      <c r="F186" s="73"/>
      <c r="G186" s="73"/>
      <c r="H186" s="116" t="e">
        <f t="shared" si="12"/>
        <v>#DIV/0!</v>
      </c>
      <c r="I186" s="83"/>
      <c r="J186" s="115"/>
      <c r="K186" s="118" t="e">
        <f>WEEKNUM(J186-RESUMEN!$D$7)</f>
        <v>#NUM!</v>
      </c>
      <c r="L186" s="118">
        <f>_xlfn.DAYS(J186,RESUMEN!$D$7)</f>
        <v>-43238</v>
      </c>
      <c r="M186" s="76"/>
      <c r="N186" s="73"/>
      <c r="O186" s="73"/>
      <c r="P186" s="116" t="e">
        <f t="shared" si="13"/>
        <v>#DIV/0!</v>
      </c>
      <c r="Q186" s="83"/>
      <c r="R186" s="115"/>
      <c r="S186" s="118" t="e">
        <f>WEEKNUM(R186-RESUMEN!$D$7)</f>
        <v>#NUM!</v>
      </c>
      <c r="T186" s="118">
        <f>_xlfn.DAYS(R186,RESUMEN!$D$7)</f>
        <v>-43238</v>
      </c>
      <c r="U186" s="76"/>
      <c r="V186" s="73"/>
      <c r="W186" s="73"/>
      <c r="X186" s="116" t="e">
        <f t="shared" si="14"/>
        <v>#DIV/0!</v>
      </c>
      <c r="Y186" s="83"/>
      <c r="Z186" s="115"/>
      <c r="AA186" s="118">
        <f>Z186-RESUMEN!$D$7</f>
        <v>-43238</v>
      </c>
      <c r="AB186" s="118">
        <f>_xlfn.DAYS(Z186,RESUMEN!$D$7)</f>
        <v>-43238</v>
      </c>
      <c r="AC186" s="76"/>
      <c r="AD186" s="73"/>
      <c r="AE186" s="73"/>
      <c r="AF186" s="116" t="e">
        <f t="shared" si="15"/>
        <v>#DIV/0!</v>
      </c>
      <c r="AG186" s="83"/>
      <c r="AH186" s="115"/>
      <c r="AI186" s="118" t="e">
        <f>WEEKNUM(AH186-RESUMEN!$D$7)</f>
        <v>#NUM!</v>
      </c>
      <c r="AJ186" s="118">
        <f>_xlfn.DAYS(AH186,RESUMEN!$D$7)</f>
        <v>-43238</v>
      </c>
      <c r="AK186" s="76"/>
      <c r="AL186" s="73"/>
      <c r="AM186" s="73"/>
      <c r="AN186" s="116" t="e">
        <f t="shared" si="16"/>
        <v>#DIV/0!</v>
      </c>
      <c r="AO186" s="83"/>
      <c r="AP186" s="115"/>
      <c r="AQ186" s="118" t="e">
        <f>WEEKNUM(AP186-RESUMEN!$D$7)</f>
        <v>#NUM!</v>
      </c>
      <c r="AR186" s="118">
        <f>_xlfn.DAYS(AP186,RESUMEN!$D$7)</f>
        <v>-43238</v>
      </c>
      <c r="AS186" s="76"/>
      <c r="AT186" s="73"/>
      <c r="AU186" s="73"/>
      <c r="AV186" s="116" t="e">
        <f t="shared" si="17"/>
        <v>#DIV/0!</v>
      </c>
      <c r="AW186" s="83"/>
    </row>
    <row r="187" spans="2:49" x14ac:dyDescent="0.25">
      <c r="B187" s="115"/>
      <c r="C187" s="118" t="e">
        <f>WEEKNUM(B187-RESUMEN!$D$7)</f>
        <v>#NUM!</v>
      </c>
      <c r="D187" s="118">
        <f>_xlfn.DAYS(B187,RESUMEN!$D$7)</f>
        <v>-43238</v>
      </c>
      <c r="E187" s="76"/>
      <c r="F187" s="73"/>
      <c r="G187" s="73"/>
      <c r="H187" s="116" t="e">
        <f t="shared" si="12"/>
        <v>#DIV/0!</v>
      </c>
      <c r="I187" s="83"/>
      <c r="J187" s="115"/>
      <c r="K187" s="118" t="e">
        <f>WEEKNUM(J187-RESUMEN!$D$7)</f>
        <v>#NUM!</v>
      </c>
      <c r="L187" s="118">
        <f>_xlfn.DAYS(J187,RESUMEN!$D$7)</f>
        <v>-43238</v>
      </c>
      <c r="M187" s="76"/>
      <c r="N187" s="73"/>
      <c r="O187" s="73"/>
      <c r="P187" s="116" t="e">
        <f t="shared" si="13"/>
        <v>#DIV/0!</v>
      </c>
      <c r="Q187" s="83"/>
      <c r="R187" s="115"/>
      <c r="S187" s="118" t="e">
        <f>WEEKNUM(R187-RESUMEN!$D$7)</f>
        <v>#NUM!</v>
      </c>
      <c r="T187" s="118">
        <f>_xlfn.DAYS(R187,RESUMEN!$D$7)</f>
        <v>-43238</v>
      </c>
      <c r="U187" s="76"/>
      <c r="V187" s="73"/>
      <c r="W187" s="73"/>
      <c r="X187" s="116" t="e">
        <f t="shared" si="14"/>
        <v>#DIV/0!</v>
      </c>
      <c r="Y187" s="83"/>
      <c r="Z187" s="115"/>
      <c r="AA187" s="118">
        <f>Z187-RESUMEN!$D$7</f>
        <v>-43238</v>
      </c>
      <c r="AB187" s="118">
        <f>_xlfn.DAYS(Z187,RESUMEN!$D$7)</f>
        <v>-43238</v>
      </c>
      <c r="AC187" s="76"/>
      <c r="AD187" s="73"/>
      <c r="AE187" s="73"/>
      <c r="AF187" s="116" t="e">
        <f t="shared" si="15"/>
        <v>#DIV/0!</v>
      </c>
      <c r="AG187" s="83"/>
      <c r="AH187" s="115"/>
      <c r="AI187" s="118" t="e">
        <f>WEEKNUM(AH187-RESUMEN!$D$7)</f>
        <v>#NUM!</v>
      </c>
      <c r="AJ187" s="118">
        <f>_xlfn.DAYS(AH187,RESUMEN!$D$7)</f>
        <v>-43238</v>
      </c>
      <c r="AK187" s="76"/>
      <c r="AL187" s="73"/>
      <c r="AM187" s="73"/>
      <c r="AN187" s="116" t="e">
        <f t="shared" si="16"/>
        <v>#DIV/0!</v>
      </c>
      <c r="AO187" s="83"/>
      <c r="AP187" s="115"/>
      <c r="AQ187" s="118" t="e">
        <f>WEEKNUM(AP187-RESUMEN!$D$7)</f>
        <v>#NUM!</v>
      </c>
      <c r="AR187" s="118">
        <f>_xlfn.DAYS(AP187,RESUMEN!$D$7)</f>
        <v>-43238</v>
      </c>
      <c r="AS187" s="76"/>
      <c r="AT187" s="73"/>
      <c r="AU187" s="73"/>
      <c r="AV187" s="116" t="e">
        <f t="shared" si="17"/>
        <v>#DIV/0!</v>
      </c>
      <c r="AW187" s="83"/>
    </row>
    <row r="188" spans="2:49" x14ac:dyDescent="0.25">
      <c r="B188" s="115"/>
      <c r="C188" s="118" t="e">
        <f>WEEKNUM(B188-RESUMEN!$D$7)</f>
        <v>#NUM!</v>
      </c>
      <c r="D188" s="118">
        <f>_xlfn.DAYS(B188,RESUMEN!$D$7)</f>
        <v>-43238</v>
      </c>
      <c r="E188" s="76"/>
      <c r="F188" s="73"/>
      <c r="G188" s="73"/>
      <c r="H188" s="116" t="e">
        <f t="shared" si="12"/>
        <v>#DIV/0!</v>
      </c>
      <c r="I188" s="83"/>
      <c r="J188" s="115"/>
      <c r="K188" s="118" t="e">
        <f>WEEKNUM(J188-RESUMEN!$D$7)</f>
        <v>#NUM!</v>
      </c>
      <c r="L188" s="118">
        <f>_xlfn.DAYS(J188,RESUMEN!$D$7)</f>
        <v>-43238</v>
      </c>
      <c r="M188" s="76"/>
      <c r="N188" s="73"/>
      <c r="O188" s="73"/>
      <c r="P188" s="116" t="e">
        <f t="shared" si="13"/>
        <v>#DIV/0!</v>
      </c>
      <c r="Q188" s="83"/>
      <c r="R188" s="115"/>
      <c r="S188" s="118" t="e">
        <f>WEEKNUM(R188-RESUMEN!$D$7)</f>
        <v>#NUM!</v>
      </c>
      <c r="T188" s="118">
        <f>_xlfn.DAYS(R188,RESUMEN!$D$7)</f>
        <v>-43238</v>
      </c>
      <c r="U188" s="76"/>
      <c r="V188" s="73"/>
      <c r="W188" s="73"/>
      <c r="X188" s="116" t="e">
        <f t="shared" si="14"/>
        <v>#DIV/0!</v>
      </c>
      <c r="Y188" s="83"/>
      <c r="Z188" s="115"/>
      <c r="AA188" s="118">
        <f>Z188-RESUMEN!$D$7</f>
        <v>-43238</v>
      </c>
      <c r="AB188" s="118">
        <f>_xlfn.DAYS(Z188,RESUMEN!$D$7)</f>
        <v>-43238</v>
      </c>
      <c r="AC188" s="76"/>
      <c r="AD188" s="73"/>
      <c r="AE188" s="73"/>
      <c r="AF188" s="116" t="e">
        <f t="shared" si="15"/>
        <v>#DIV/0!</v>
      </c>
      <c r="AG188" s="83"/>
      <c r="AH188" s="115"/>
      <c r="AI188" s="118" t="e">
        <f>WEEKNUM(AH188-RESUMEN!$D$7)</f>
        <v>#NUM!</v>
      </c>
      <c r="AJ188" s="118">
        <f>_xlfn.DAYS(AH188,RESUMEN!$D$7)</f>
        <v>-43238</v>
      </c>
      <c r="AK188" s="76"/>
      <c r="AL188" s="73"/>
      <c r="AM188" s="73"/>
      <c r="AN188" s="116" t="e">
        <f t="shared" si="16"/>
        <v>#DIV/0!</v>
      </c>
      <c r="AO188" s="83"/>
      <c r="AP188" s="115"/>
      <c r="AQ188" s="118" t="e">
        <f>WEEKNUM(AP188-RESUMEN!$D$7)</f>
        <v>#NUM!</v>
      </c>
      <c r="AR188" s="118">
        <f>_xlfn.DAYS(AP188,RESUMEN!$D$7)</f>
        <v>-43238</v>
      </c>
      <c r="AS188" s="76"/>
      <c r="AT188" s="73"/>
      <c r="AU188" s="73"/>
      <c r="AV188" s="116" t="e">
        <f t="shared" si="17"/>
        <v>#DIV/0!</v>
      </c>
      <c r="AW188" s="83"/>
    </row>
    <row r="189" spans="2:49" x14ac:dyDescent="0.25">
      <c r="B189" s="115"/>
      <c r="C189" s="118" t="e">
        <f>WEEKNUM(B189-RESUMEN!$D$7)</f>
        <v>#NUM!</v>
      </c>
      <c r="D189" s="118">
        <f>_xlfn.DAYS(B189,RESUMEN!$D$7)</f>
        <v>-43238</v>
      </c>
      <c r="E189" s="76"/>
      <c r="F189" s="73"/>
      <c r="G189" s="73"/>
      <c r="H189" s="116" t="e">
        <f t="shared" si="12"/>
        <v>#DIV/0!</v>
      </c>
      <c r="I189" s="83"/>
      <c r="J189" s="115"/>
      <c r="K189" s="118" t="e">
        <f>WEEKNUM(J189-RESUMEN!$D$7)</f>
        <v>#NUM!</v>
      </c>
      <c r="L189" s="118">
        <f>_xlfn.DAYS(J189,RESUMEN!$D$7)</f>
        <v>-43238</v>
      </c>
      <c r="M189" s="76"/>
      <c r="N189" s="73"/>
      <c r="O189" s="73"/>
      <c r="P189" s="116" t="e">
        <f t="shared" si="13"/>
        <v>#DIV/0!</v>
      </c>
      <c r="Q189" s="83"/>
      <c r="R189" s="115"/>
      <c r="S189" s="118" t="e">
        <f>WEEKNUM(R189-RESUMEN!$D$7)</f>
        <v>#NUM!</v>
      </c>
      <c r="T189" s="118">
        <f>_xlfn.DAYS(R189,RESUMEN!$D$7)</f>
        <v>-43238</v>
      </c>
      <c r="U189" s="76"/>
      <c r="V189" s="73"/>
      <c r="W189" s="73"/>
      <c r="X189" s="116" t="e">
        <f t="shared" si="14"/>
        <v>#DIV/0!</v>
      </c>
      <c r="Y189" s="83"/>
      <c r="Z189" s="115"/>
      <c r="AA189" s="118">
        <f>Z189-RESUMEN!$D$7</f>
        <v>-43238</v>
      </c>
      <c r="AB189" s="118">
        <f>_xlfn.DAYS(Z189,RESUMEN!$D$7)</f>
        <v>-43238</v>
      </c>
      <c r="AC189" s="76"/>
      <c r="AD189" s="73"/>
      <c r="AE189" s="73"/>
      <c r="AF189" s="116" t="e">
        <f t="shared" si="15"/>
        <v>#DIV/0!</v>
      </c>
      <c r="AG189" s="83"/>
      <c r="AH189" s="115"/>
      <c r="AI189" s="118" t="e">
        <f>WEEKNUM(AH189-RESUMEN!$D$7)</f>
        <v>#NUM!</v>
      </c>
      <c r="AJ189" s="118">
        <f>_xlfn.DAYS(AH189,RESUMEN!$D$7)</f>
        <v>-43238</v>
      </c>
      <c r="AK189" s="76"/>
      <c r="AL189" s="73"/>
      <c r="AM189" s="73"/>
      <c r="AN189" s="116" t="e">
        <f t="shared" si="16"/>
        <v>#DIV/0!</v>
      </c>
      <c r="AO189" s="83"/>
      <c r="AP189" s="115"/>
      <c r="AQ189" s="118" t="e">
        <f>WEEKNUM(AP189-RESUMEN!$D$7)</f>
        <v>#NUM!</v>
      </c>
      <c r="AR189" s="118">
        <f>_xlfn.DAYS(AP189,RESUMEN!$D$7)</f>
        <v>-43238</v>
      </c>
      <c r="AS189" s="76"/>
      <c r="AT189" s="73"/>
      <c r="AU189" s="73"/>
      <c r="AV189" s="116" t="e">
        <f t="shared" si="17"/>
        <v>#DIV/0!</v>
      </c>
      <c r="AW189" s="83"/>
    </row>
    <row r="190" spans="2:49" x14ac:dyDescent="0.25">
      <c r="B190" s="115"/>
      <c r="C190" s="118" t="e">
        <f>WEEKNUM(B190-RESUMEN!$D$7)</f>
        <v>#NUM!</v>
      </c>
      <c r="D190" s="118">
        <f>_xlfn.DAYS(B190,RESUMEN!$D$7)</f>
        <v>-43238</v>
      </c>
      <c r="E190" s="76"/>
      <c r="F190" s="73"/>
      <c r="G190" s="73"/>
      <c r="H190" s="116" t="e">
        <f t="shared" si="12"/>
        <v>#DIV/0!</v>
      </c>
      <c r="I190" s="83"/>
      <c r="J190" s="115"/>
      <c r="K190" s="118" t="e">
        <f>WEEKNUM(J190-RESUMEN!$D$7)</f>
        <v>#NUM!</v>
      </c>
      <c r="L190" s="118">
        <f>_xlfn.DAYS(J190,RESUMEN!$D$7)</f>
        <v>-43238</v>
      </c>
      <c r="M190" s="76"/>
      <c r="N190" s="73"/>
      <c r="O190" s="73"/>
      <c r="P190" s="116" t="e">
        <f t="shared" si="13"/>
        <v>#DIV/0!</v>
      </c>
      <c r="Q190" s="83"/>
      <c r="R190" s="115"/>
      <c r="S190" s="118" t="e">
        <f>WEEKNUM(R190-RESUMEN!$D$7)</f>
        <v>#NUM!</v>
      </c>
      <c r="T190" s="118">
        <f>_xlfn.DAYS(R190,RESUMEN!$D$7)</f>
        <v>-43238</v>
      </c>
      <c r="U190" s="76"/>
      <c r="V190" s="73"/>
      <c r="W190" s="73"/>
      <c r="X190" s="116" t="e">
        <f t="shared" si="14"/>
        <v>#DIV/0!</v>
      </c>
      <c r="Y190" s="83"/>
      <c r="Z190" s="115"/>
      <c r="AA190" s="118">
        <f>Z190-RESUMEN!$D$7</f>
        <v>-43238</v>
      </c>
      <c r="AB190" s="118">
        <f>_xlfn.DAYS(Z190,RESUMEN!$D$7)</f>
        <v>-43238</v>
      </c>
      <c r="AC190" s="76"/>
      <c r="AD190" s="73"/>
      <c r="AE190" s="73"/>
      <c r="AF190" s="116" t="e">
        <f t="shared" si="15"/>
        <v>#DIV/0!</v>
      </c>
      <c r="AG190" s="83"/>
      <c r="AH190" s="115"/>
      <c r="AI190" s="118" t="e">
        <f>WEEKNUM(AH190-RESUMEN!$D$7)</f>
        <v>#NUM!</v>
      </c>
      <c r="AJ190" s="118">
        <f>_xlfn.DAYS(AH190,RESUMEN!$D$7)</f>
        <v>-43238</v>
      </c>
      <c r="AK190" s="76"/>
      <c r="AL190" s="73"/>
      <c r="AM190" s="73"/>
      <c r="AN190" s="116" t="e">
        <f t="shared" si="16"/>
        <v>#DIV/0!</v>
      </c>
      <c r="AO190" s="83"/>
      <c r="AP190" s="115"/>
      <c r="AQ190" s="118" t="e">
        <f>WEEKNUM(AP190-RESUMEN!$D$7)</f>
        <v>#NUM!</v>
      </c>
      <c r="AR190" s="118">
        <f>_xlfn.DAYS(AP190,RESUMEN!$D$7)</f>
        <v>-43238</v>
      </c>
      <c r="AS190" s="76"/>
      <c r="AT190" s="73"/>
      <c r="AU190" s="73"/>
      <c r="AV190" s="116" t="e">
        <f t="shared" si="17"/>
        <v>#DIV/0!</v>
      </c>
      <c r="AW190" s="83"/>
    </row>
    <row r="191" spans="2:49" x14ac:dyDescent="0.25">
      <c r="B191" s="115"/>
      <c r="C191" s="118" t="e">
        <f>WEEKNUM(B191-RESUMEN!$D$7)</f>
        <v>#NUM!</v>
      </c>
      <c r="D191" s="118">
        <f>_xlfn.DAYS(B191,RESUMEN!$D$7)</f>
        <v>-43238</v>
      </c>
      <c r="E191" s="76"/>
      <c r="F191" s="73"/>
      <c r="G191" s="73"/>
      <c r="H191" s="116" t="e">
        <f t="shared" si="12"/>
        <v>#DIV/0!</v>
      </c>
      <c r="I191" s="83"/>
      <c r="J191" s="115"/>
      <c r="K191" s="118" t="e">
        <f>WEEKNUM(J191-RESUMEN!$D$7)</f>
        <v>#NUM!</v>
      </c>
      <c r="L191" s="118">
        <f>_xlfn.DAYS(J191,RESUMEN!$D$7)</f>
        <v>-43238</v>
      </c>
      <c r="M191" s="76"/>
      <c r="N191" s="73"/>
      <c r="O191" s="73"/>
      <c r="P191" s="116" t="e">
        <f t="shared" si="13"/>
        <v>#DIV/0!</v>
      </c>
      <c r="Q191" s="83"/>
      <c r="R191" s="115"/>
      <c r="S191" s="118" t="e">
        <f>WEEKNUM(R191-RESUMEN!$D$7)</f>
        <v>#NUM!</v>
      </c>
      <c r="T191" s="118">
        <f>_xlfn.DAYS(R191,RESUMEN!$D$7)</f>
        <v>-43238</v>
      </c>
      <c r="U191" s="76"/>
      <c r="V191" s="73"/>
      <c r="W191" s="73"/>
      <c r="X191" s="116" t="e">
        <f t="shared" si="14"/>
        <v>#DIV/0!</v>
      </c>
      <c r="Y191" s="83"/>
      <c r="Z191" s="115"/>
      <c r="AA191" s="118">
        <f>Z191-RESUMEN!$D$7</f>
        <v>-43238</v>
      </c>
      <c r="AB191" s="118">
        <f>_xlfn.DAYS(Z191,RESUMEN!$D$7)</f>
        <v>-43238</v>
      </c>
      <c r="AC191" s="76"/>
      <c r="AD191" s="73"/>
      <c r="AE191" s="73"/>
      <c r="AF191" s="116" t="e">
        <f t="shared" si="15"/>
        <v>#DIV/0!</v>
      </c>
      <c r="AG191" s="83"/>
      <c r="AH191" s="115"/>
      <c r="AI191" s="118" t="e">
        <f>WEEKNUM(AH191-RESUMEN!$D$7)</f>
        <v>#NUM!</v>
      </c>
      <c r="AJ191" s="118">
        <f>_xlfn.DAYS(AH191,RESUMEN!$D$7)</f>
        <v>-43238</v>
      </c>
      <c r="AK191" s="76"/>
      <c r="AL191" s="73"/>
      <c r="AM191" s="73"/>
      <c r="AN191" s="116" t="e">
        <f t="shared" si="16"/>
        <v>#DIV/0!</v>
      </c>
      <c r="AO191" s="83"/>
      <c r="AP191" s="115"/>
      <c r="AQ191" s="118" t="e">
        <f>WEEKNUM(AP191-RESUMEN!$D$7)</f>
        <v>#NUM!</v>
      </c>
      <c r="AR191" s="118">
        <f>_xlfn.DAYS(AP191,RESUMEN!$D$7)</f>
        <v>-43238</v>
      </c>
      <c r="AS191" s="76"/>
      <c r="AT191" s="73"/>
      <c r="AU191" s="73"/>
      <c r="AV191" s="116" t="e">
        <f t="shared" si="17"/>
        <v>#DIV/0!</v>
      </c>
      <c r="AW191" s="83"/>
    </row>
    <row r="192" spans="2:49" x14ac:dyDescent="0.25">
      <c r="B192" s="115"/>
      <c r="C192" s="118" t="e">
        <f>WEEKNUM(B192-RESUMEN!$D$7)</f>
        <v>#NUM!</v>
      </c>
      <c r="D192" s="118">
        <f>_xlfn.DAYS(B192,RESUMEN!$D$7)</f>
        <v>-43238</v>
      </c>
      <c r="E192" s="76"/>
      <c r="F192" s="73"/>
      <c r="G192" s="73"/>
      <c r="H192" s="116" t="e">
        <f t="shared" si="12"/>
        <v>#DIV/0!</v>
      </c>
      <c r="I192" s="83"/>
      <c r="J192" s="115"/>
      <c r="K192" s="118" t="e">
        <f>WEEKNUM(J192-RESUMEN!$D$7)</f>
        <v>#NUM!</v>
      </c>
      <c r="L192" s="118">
        <f>_xlfn.DAYS(J192,RESUMEN!$D$7)</f>
        <v>-43238</v>
      </c>
      <c r="M192" s="76"/>
      <c r="N192" s="73"/>
      <c r="O192" s="73"/>
      <c r="P192" s="116" t="e">
        <f t="shared" si="13"/>
        <v>#DIV/0!</v>
      </c>
      <c r="Q192" s="83"/>
      <c r="R192" s="115"/>
      <c r="S192" s="118" t="e">
        <f>WEEKNUM(R192-RESUMEN!$D$7)</f>
        <v>#NUM!</v>
      </c>
      <c r="T192" s="118">
        <f>_xlfn.DAYS(R192,RESUMEN!$D$7)</f>
        <v>-43238</v>
      </c>
      <c r="U192" s="76"/>
      <c r="V192" s="73"/>
      <c r="W192" s="73"/>
      <c r="X192" s="116" t="e">
        <f t="shared" si="14"/>
        <v>#DIV/0!</v>
      </c>
      <c r="Y192" s="83"/>
      <c r="Z192" s="115"/>
      <c r="AA192" s="118">
        <f>Z192-RESUMEN!$D$7</f>
        <v>-43238</v>
      </c>
      <c r="AB192" s="118">
        <f>_xlfn.DAYS(Z192,RESUMEN!$D$7)</f>
        <v>-43238</v>
      </c>
      <c r="AC192" s="76"/>
      <c r="AD192" s="73"/>
      <c r="AE192" s="73"/>
      <c r="AF192" s="116" t="e">
        <f t="shared" si="15"/>
        <v>#DIV/0!</v>
      </c>
      <c r="AG192" s="83"/>
      <c r="AH192" s="115"/>
      <c r="AI192" s="118" t="e">
        <f>WEEKNUM(AH192-RESUMEN!$D$7)</f>
        <v>#NUM!</v>
      </c>
      <c r="AJ192" s="118">
        <f>_xlfn.DAYS(AH192,RESUMEN!$D$7)</f>
        <v>-43238</v>
      </c>
      <c r="AK192" s="76"/>
      <c r="AL192" s="73"/>
      <c r="AM192" s="73"/>
      <c r="AN192" s="116" t="e">
        <f t="shared" si="16"/>
        <v>#DIV/0!</v>
      </c>
      <c r="AO192" s="83"/>
      <c r="AP192" s="115"/>
      <c r="AQ192" s="118" t="e">
        <f>WEEKNUM(AP192-RESUMEN!$D$7)</f>
        <v>#NUM!</v>
      </c>
      <c r="AR192" s="118">
        <f>_xlfn.DAYS(AP192,RESUMEN!$D$7)</f>
        <v>-43238</v>
      </c>
      <c r="AS192" s="76"/>
      <c r="AT192" s="73"/>
      <c r="AU192" s="73"/>
      <c r="AV192" s="116" t="e">
        <f t="shared" si="17"/>
        <v>#DIV/0!</v>
      </c>
      <c r="AW192" s="83"/>
    </row>
    <row r="193" spans="2:49" x14ac:dyDescent="0.25">
      <c r="B193" s="115"/>
      <c r="C193" s="118" t="e">
        <f>WEEKNUM(B193-RESUMEN!$D$7)</f>
        <v>#NUM!</v>
      </c>
      <c r="D193" s="118">
        <f>_xlfn.DAYS(B193,RESUMEN!$D$7)</f>
        <v>-43238</v>
      </c>
      <c r="E193" s="76"/>
      <c r="F193" s="73"/>
      <c r="G193" s="73"/>
      <c r="H193" s="116" t="e">
        <f t="shared" si="12"/>
        <v>#DIV/0!</v>
      </c>
      <c r="I193" s="83"/>
      <c r="J193" s="115"/>
      <c r="K193" s="118" t="e">
        <f>WEEKNUM(J193-RESUMEN!$D$7)</f>
        <v>#NUM!</v>
      </c>
      <c r="L193" s="118">
        <f>_xlfn.DAYS(J193,RESUMEN!$D$7)</f>
        <v>-43238</v>
      </c>
      <c r="M193" s="76"/>
      <c r="N193" s="73"/>
      <c r="O193" s="73"/>
      <c r="P193" s="116" t="e">
        <f t="shared" si="13"/>
        <v>#DIV/0!</v>
      </c>
      <c r="Q193" s="83"/>
      <c r="R193" s="115"/>
      <c r="S193" s="118" t="e">
        <f>WEEKNUM(R193-RESUMEN!$D$7)</f>
        <v>#NUM!</v>
      </c>
      <c r="T193" s="118">
        <f>_xlfn.DAYS(R193,RESUMEN!$D$7)</f>
        <v>-43238</v>
      </c>
      <c r="U193" s="76"/>
      <c r="V193" s="73"/>
      <c r="W193" s="73"/>
      <c r="X193" s="116" t="e">
        <f t="shared" si="14"/>
        <v>#DIV/0!</v>
      </c>
      <c r="Y193" s="83"/>
      <c r="Z193" s="115"/>
      <c r="AA193" s="118">
        <f>Z193-RESUMEN!$D$7</f>
        <v>-43238</v>
      </c>
      <c r="AB193" s="118">
        <f>_xlfn.DAYS(Z193,RESUMEN!$D$7)</f>
        <v>-43238</v>
      </c>
      <c r="AC193" s="76"/>
      <c r="AD193" s="73"/>
      <c r="AE193" s="73"/>
      <c r="AF193" s="116" t="e">
        <f t="shared" si="15"/>
        <v>#DIV/0!</v>
      </c>
      <c r="AG193" s="83"/>
      <c r="AH193" s="115"/>
      <c r="AI193" s="118" t="e">
        <f>WEEKNUM(AH193-RESUMEN!$D$7)</f>
        <v>#NUM!</v>
      </c>
      <c r="AJ193" s="118">
        <f>_xlfn.DAYS(AH193,RESUMEN!$D$7)</f>
        <v>-43238</v>
      </c>
      <c r="AK193" s="76"/>
      <c r="AL193" s="73"/>
      <c r="AM193" s="73"/>
      <c r="AN193" s="116" t="e">
        <f t="shared" si="16"/>
        <v>#DIV/0!</v>
      </c>
      <c r="AO193" s="83"/>
      <c r="AP193" s="115"/>
      <c r="AQ193" s="118" t="e">
        <f>WEEKNUM(AP193-RESUMEN!$D$7)</f>
        <v>#NUM!</v>
      </c>
      <c r="AR193" s="118">
        <f>_xlfn.DAYS(AP193,RESUMEN!$D$7)</f>
        <v>-43238</v>
      </c>
      <c r="AS193" s="76"/>
      <c r="AT193" s="73"/>
      <c r="AU193" s="73"/>
      <c r="AV193" s="116" t="e">
        <f t="shared" si="17"/>
        <v>#DIV/0!</v>
      </c>
      <c r="AW193" s="83"/>
    </row>
    <row r="194" spans="2:49" x14ac:dyDescent="0.25">
      <c r="B194" s="115"/>
      <c r="C194" s="118" t="e">
        <f>WEEKNUM(B194-RESUMEN!$D$7)</f>
        <v>#NUM!</v>
      </c>
      <c r="D194" s="118">
        <f>_xlfn.DAYS(B194,RESUMEN!$D$7)</f>
        <v>-43238</v>
      </c>
      <c r="E194" s="76"/>
      <c r="F194" s="73"/>
      <c r="G194" s="73"/>
      <c r="H194" s="116" t="e">
        <f t="shared" si="12"/>
        <v>#DIV/0!</v>
      </c>
      <c r="I194" s="83"/>
      <c r="J194" s="115"/>
      <c r="K194" s="118" t="e">
        <f>WEEKNUM(J194-RESUMEN!$D$7)</f>
        <v>#NUM!</v>
      </c>
      <c r="L194" s="118">
        <f>_xlfn.DAYS(J194,RESUMEN!$D$7)</f>
        <v>-43238</v>
      </c>
      <c r="M194" s="76"/>
      <c r="N194" s="73"/>
      <c r="O194" s="73"/>
      <c r="P194" s="116" t="e">
        <f t="shared" si="13"/>
        <v>#DIV/0!</v>
      </c>
      <c r="Q194" s="83"/>
      <c r="R194" s="115"/>
      <c r="S194" s="118" t="e">
        <f>WEEKNUM(R194-RESUMEN!$D$7)</f>
        <v>#NUM!</v>
      </c>
      <c r="T194" s="118">
        <f>_xlfn.DAYS(R194,RESUMEN!$D$7)</f>
        <v>-43238</v>
      </c>
      <c r="U194" s="76"/>
      <c r="V194" s="73"/>
      <c r="W194" s="73"/>
      <c r="X194" s="116" t="e">
        <f t="shared" si="14"/>
        <v>#DIV/0!</v>
      </c>
      <c r="Y194" s="83"/>
      <c r="Z194" s="115"/>
      <c r="AA194" s="118">
        <f>Z194-RESUMEN!$D$7</f>
        <v>-43238</v>
      </c>
      <c r="AB194" s="118">
        <f>_xlfn.DAYS(Z194,RESUMEN!$D$7)</f>
        <v>-43238</v>
      </c>
      <c r="AC194" s="76"/>
      <c r="AD194" s="73"/>
      <c r="AE194" s="73"/>
      <c r="AF194" s="116" t="e">
        <f t="shared" si="15"/>
        <v>#DIV/0!</v>
      </c>
      <c r="AG194" s="83"/>
      <c r="AH194" s="115"/>
      <c r="AI194" s="118" t="e">
        <f>WEEKNUM(AH194-RESUMEN!$D$7)</f>
        <v>#NUM!</v>
      </c>
      <c r="AJ194" s="118">
        <f>_xlfn.DAYS(AH194,RESUMEN!$D$7)</f>
        <v>-43238</v>
      </c>
      <c r="AK194" s="76"/>
      <c r="AL194" s="73"/>
      <c r="AM194" s="73"/>
      <c r="AN194" s="116" t="e">
        <f t="shared" si="16"/>
        <v>#DIV/0!</v>
      </c>
      <c r="AO194" s="83"/>
      <c r="AP194" s="115"/>
      <c r="AQ194" s="118" t="e">
        <f>WEEKNUM(AP194-RESUMEN!$D$7)</f>
        <v>#NUM!</v>
      </c>
      <c r="AR194" s="118">
        <f>_xlfn.DAYS(AP194,RESUMEN!$D$7)</f>
        <v>-43238</v>
      </c>
      <c r="AS194" s="76"/>
      <c r="AT194" s="73"/>
      <c r="AU194" s="73"/>
      <c r="AV194" s="116" t="e">
        <f t="shared" si="17"/>
        <v>#DIV/0!</v>
      </c>
      <c r="AW194" s="83"/>
    </row>
    <row r="195" spans="2:49" x14ac:dyDescent="0.25">
      <c r="B195" s="115"/>
      <c r="C195" s="118" t="e">
        <f>WEEKNUM(B195-RESUMEN!$D$7)</f>
        <v>#NUM!</v>
      </c>
      <c r="D195" s="118">
        <f>_xlfn.DAYS(B195,RESUMEN!$D$7)</f>
        <v>-43238</v>
      </c>
      <c r="E195" s="76"/>
      <c r="F195" s="73"/>
      <c r="G195" s="73"/>
      <c r="H195" s="116" t="e">
        <f t="shared" si="12"/>
        <v>#DIV/0!</v>
      </c>
      <c r="I195" s="83"/>
      <c r="J195" s="115"/>
      <c r="K195" s="118" t="e">
        <f>WEEKNUM(J195-RESUMEN!$D$7)</f>
        <v>#NUM!</v>
      </c>
      <c r="L195" s="118">
        <f>_xlfn.DAYS(J195,RESUMEN!$D$7)</f>
        <v>-43238</v>
      </c>
      <c r="M195" s="76"/>
      <c r="N195" s="73"/>
      <c r="O195" s="73"/>
      <c r="P195" s="116" t="e">
        <f t="shared" si="13"/>
        <v>#DIV/0!</v>
      </c>
      <c r="Q195" s="83"/>
      <c r="R195" s="115"/>
      <c r="S195" s="118" t="e">
        <f>WEEKNUM(R195-RESUMEN!$D$7)</f>
        <v>#NUM!</v>
      </c>
      <c r="T195" s="118">
        <f>_xlfn.DAYS(R195,RESUMEN!$D$7)</f>
        <v>-43238</v>
      </c>
      <c r="U195" s="76"/>
      <c r="V195" s="73"/>
      <c r="W195" s="73"/>
      <c r="X195" s="116" t="e">
        <f t="shared" si="14"/>
        <v>#DIV/0!</v>
      </c>
      <c r="Y195" s="83"/>
      <c r="Z195" s="115"/>
      <c r="AA195" s="118">
        <f>Z195-RESUMEN!$D$7</f>
        <v>-43238</v>
      </c>
      <c r="AB195" s="118">
        <f>_xlfn.DAYS(Z195,RESUMEN!$D$7)</f>
        <v>-43238</v>
      </c>
      <c r="AC195" s="76"/>
      <c r="AD195" s="73"/>
      <c r="AE195" s="73"/>
      <c r="AF195" s="116" t="e">
        <f t="shared" si="15"/>
        <v>#DIV/0!</v>
      </c>
      <c r="AG195" s="83"/>
      <c r="AH195" s="115"/>
      <c r="AI195" s="118" t="e">
        <f>WEEKNUM(AH195-RESUMEN!$D$7)</f>
        <v>#NUM!</v>
      </c>
      <c r="AJ195" s="118">
        <f>_xlfn.DAYS(AH195,RESUMEN!$D$7)</f>
        <v>-43238</v>
      </c>
      <c r="AK195" s="76"/>
      <c r="AL195" s="73"/>
      <c r="AM195" s="73"/>
      <c r="AN195" s="116" t="e">
        <f t="shared" si="16"/>
        <v>#DIV/0!</v>
      </c>
      <c r="AO195" s="83"/>
      <c r="AP195" s="115"/>
      <c r="AQ195" s="118" t="e">
        <f>WEEKNUM(AP195-RESUMEN!$D$7)</f>
        <v>#NUM!</v>
      </c>
      <c r="AR195" s="118">
        <f>_xlfn.DAYS(AP195,RESUMEN!$D$7)</f>
        <v>-43238</v>
      </c>
      <c r="AS195" s="76"/>
      <c r="AT195" s="73"/>
      <c r="AU195" s="73"/>
      <c r="AV195" s="116" t="e">
        <f t="shared" si="17"/>
        <v>#DIV/0!</v>
      </c>
      <c r="AW195" s="83"/>
    </row>
    <row r="196" spans="2:49" x14ac:dyDescent="0.25">
      <c r="B196" s="115"/>
      <c r="C196" s="118" t="e">
        <f>WEEKNUM(B196-RESUMEN!$D$7)</f>
        <v>#NUM!</v>
      </c>
      <c r="D196" s="118">
        <f>_xlfn.DAYS(B196,RESUMEN!$D$7)</f>
        <v>-43238</v>
      </c>
      <c r="E196" s="76"/>
      <c r="F196" s="73"/>
      <c r="G196" s="73"/>
      <c r="H196" s="116" t="e">
        <f t="shared" si="12"/>
        <v>#DIV/0!</v>
      </c>
      <c r="I196" s="83"/>
      <c r="J196" s="115"/>
      <c r="K196" s="118" t="e">
        <f>WEEKNUM(J196-RESUMEN!$D$7)</f>
        <v>#NUM!</v>
      </c>
      <c r="L196" s="118">
        <f>_xlfn.DAYS(J196,RESUMEN!$D$7)</f>
        <v>-43238</v>
      </c>
      <c r="M196" s="76"/>
      <c r="N196" s="73"/>
      <c r="O196" s="73"/>
      <c r="P196" s="116" t="e">
        <f t="shared" si="13"/>
        <v>#DIV/0!</v>
      </c>
      <c r="Q196" s="83"/>
      <c r="R196" s="115"/>
      <c r="S196" s="118" t="e">
        <f>WEEKNUM(R196-RESUMEN!$D$7)</f>
        <v>#NUM!</v>
      </c>
      <c r="T196" s="118">
        <f>_xlfn.DAYS(R196,RESUMEN!$D$7)</f>
        <v>-43238</v>
      </c>
      <c r="U196" s="76"/>
      <c r="V196" s="73"/>
      <c r="W196" s="73"/>
      <c r="X196" s="116" t="e">
        <f t="shared" si="14"/>
        <v>#DIV/0!</v>
      </c>
      <c r="Y196" s="83"/>
      <c r="Z196" s="115"/>
      <c r="AA196" s="118">
        <f>Z196-RESUMEN!$D$7</f>
        <v>-43238</v>
      </c>
      <c r="AB196" s="118">
        <f>_xlfn.DAYS(Z196,RESUMEN!$D$7)</f>
        <v>-43238</v>
      </c>
      <c r="AC196" s="76"/>
      <c r="AD196" s="73"/>
      <c r="AE196" s="73"/>
      <c r="AF196" s="116" t="e">
        <f t="shared" si="15"/>
        <v>#DIV/0!</v>
      </c>
      <c r="AG196" s="83"/>
      <c r="AH196" s="115"/>
      <c r="AI196" s="118" t="e">
        <f>WEEKNUM(AH196-RESUMEN!$D$7)</f>
        <v>#NUM!</v>
      </c>
      <c r="AJ196" s="118">
        <f>_xlfn.DAYS(AH196,RESUMEN!$D$7)</f>
        <v>-43238</v>
      </c>
      <c r="AK196" s="76"/>
      <c r="AL196" s="73"/>
      <c r="AM196" s="73"/>
      <c r="AN196" s="116" t="e">
        <f t="shared" si="16"/>
        <v>#DIV/0!</v>
      </c>
      <c r="AO196" s="83"/>
      <c r="AP196" s="115"/>
      <c r="AQ196" s="118" t="e">
        <f>WEEKNUM(AP196-RESUMEN!$D$7)</f>
        <v>#NUM!</v>
      </c>
      <c r="AR196" s="118">
        <f>_xlfn.DAYS(AP196,RESUMEN!$D$7)</f>
        <v>-43238</v>
      </c>
      <c r="AS196" s="76"/>
      <c r="AT196" s="73"/>
      <c r="AU196" s="73"/>
      <c r="AV196" s="116" t="e">
        <f t="shared" si="17"/>
        <v>#DIV/0!</v>
      </c>
      <c r="AW196" s="83"/>
    </row>
    <row r="197" spans="2:49" x14ac:dyDescent="0.25">
      <c r="B197" s="115"/>
      <c r="C197" s="118" t="e">
        <f>WEEKNUM(B197-RESUMEN!$D$7)</f>
        <v>#NUM!</v>
      </c>
      <c r="D197" s="118">
        <f>_xlfn.DAYS(B197,RESUMEN!$D$7)</f>
        <v>-43238</v>
      </c>
      <c r="E197" s="76"/>
      <c r="F197" s="73"/>
      <c r="G197" s="73"/>
      <c r="H197" s="116" t="e">
        <f t="shared" si="12"/>
        <v>#DIV/0!</v>
      </c>
      <c r="I197" s="83"/>
      <c r="J197" s="115"/>
      <c r="K197" s="118" t="e">
        <f>WEEKNUM(J197-RESUMEN!$D$7)</f>
        <v>#NUM!</v>
      </c>
      <c r="L197" s="118">
        <f>_xlfn.DAYS(J197,RESUMEN!$D$7)</f>
        <v>-43238</v>
      </c>
      <c r="M197" s="76"/>
      <c r="N197" s="73"/>
      <c r="O197" s="73"/>
      <c r="P197" s="116" t="e">
        <f t="shared" si="13"/>
        <v>#DIV/0!</v>
      </c>
      <c r="Q197" s="83"/>
      <c r="R197" s="115"/>
      <c r="S197" s="118" t="e">
        <f>WEEKNUM(R197-RESUMEN!$D$7)</f>
        <v>#NUM!</v>
      </c>
      <c r="T197" s="118">
        <f>_xlfn.DAYS(R197,RESUMEN!$D$7)</f>
        <v>-43238</v>
      </c>
      <c r="U197" s="76"/>
      <c r="V197" s="73"/>
      <c r="W197" s="73"/>
      <c r="X197" s="116" t="e">
        <f t="shared" si="14"/>
        <v>#DIV/0!</v>
      </c>
      <c r="Y197" s="83"/>
      <c r="Z197" s="115"/>
      <c r="AA197" s="118">
        <f>Z197-RESUMEN!$D$7</f>
        <v>-43238</v>
      </c>
      <c r="AB197" s="118">
        <f>_xlfn.DAYS(Z197,RESUMEN!$D$7)</f>
        <v>-43238</v>
      </c>
      <c r="AC197" s="76"/>
      <c r="AD197" s="73"/>
      <c r="AE197" s="73"/>
      <c r="AF197" s="116" t="e">
        <f t="shared" si="15"/>
        <v>#DIV/0!</v>
      </c>
      <c r="AG197" s="83"/>
      <c r="AH197" s="115"/>
      <c r="AI197" s="118" t="e">
        <f>WEEKNUM(AH197-RESUMEN!$D$7)</f>
        <v>#NUM!</v>
      </c>
      <c r="AJ197" s="118">
        <f>_xlfn.DAYS(AH197,RESUMEN!$D$7)</f>
        <v>-43238</v>
      </c>
      <c r="AK197" s="76"/>
      <c r="AL197" s="73"/>
      <c r="AM197" s="73"/>
      <c r="AN197" s="116" t="e">
        <f t="shared" si="16"/>
        <v>#DIV/0!</v>
      </c>
      <c r="AO197" s="83"/>
      <c r="AP197" s="115"/>
      <c r="AQ197" s="118" t="e">
        <f>WEEKNUM(AP197-RESUMEN!$D$7)</f>
        <v>#NUM!</v>
      </c>
      <c r="AR197" s="118">
        <f>_xlfn.DAYS(AP197,RESUMEN!$D$7)</f>
        <v>-43238</v>
      </c>
      <c r="AS197" s="76"/>
      <c r="AT197" s="73"/>
      <c r="AU197" s="73"/>
      <c r="AV197" s="116" t="e">
        <f t="shared" si="17"/>
        <v>#DIV/0!</v>
      </c>
      <c r="AW197" s="83"/>
    </row>
    <row r="198" spans="2:49" x14ac:dyDescent="0.25">
      <c r="B198" s="115"/>
      <c r="C198" s="118" t="e">
        <f>WEEKNUM(B198-RESUMEN!$D$7)</f>
        <v>#NUM!</v>
      </c>
      <c r="D198" s="118">
        <f>_xlfn.DAYS(B198,RESUMEN!$D$7)</f>
        <v>-43238</v>
      </c>
      <c r="E198" s="76"/>
      <c r="F198" s="73"/>
      <c r="G198" s="73"/>
      <c r="H198" s="116" t="e">
        <f t="shared" si="12"/>
        <v>#DIV/0!</v>
      </c>
      <c r="I198" s="83"/>
      <c r="J198" s="115"/>
      <c r="K198" s="118" t="e">
        <f>WEEKNUM(J198-RESUMEN!$D$7)</f>
        <v>#NUM!</v>
      </c>
      <c r="L198" s="118">
        <f>_xlfn.DAYS(J198,RESUMEN!$D$7)</f>
        <v>-43238</v>
      </c>
      <c r="M198" s="76"/>
      <c r="N198" s="73"/>
      <c r="O198" s="73"/>
      <c r="P198" s="116" t="e">
        <f t="shared" si="13"/>
        <v>#DIV/0!</v>
      </c>
      <c r="Q198" s="83"/>
      <c r="R198" s="115"/>
      <c r="S198" s="118" t="e">
        <f>WEEKNUM(R198-RESUMEN!$D$7)</f>
        <v>#NUM!</v>
      </c>
      <c r="T198" s="118">
        <f>_xlfn.DAYS(R198,RESUMEN!$D$7)</f>
        <v>-43238</v>
      </c>
      <c r="U198" s="76"/>
      <c r="V198" s="73"/>
      <c r="W198" s="73"/>
      <c r="X198" s="116" t="e">
        <f t="shared" si="14"/>
        <v>#DIV/0!</v>
      </c>
      <c r="Y198" s="83"/>
      <c r="Z198" s="115"/>
      <c r="AA198" s="118">
        <f>Z198-RESUMEN!$D$7</f>
        <v>-43238</v>
      </c>
      <c r="AB198" s="118">
        <f>_xlfn.DAYS(Z198,RESUMEN!$D$7)</f>
        <v>-43238</v>
      </c>
      <c r="AC198" s="76"/>
      <c r="AD198" s="73"/>
      <c r="AE198" s="73"/>
      <c r="AF198" s="116" t="e">
        <f t="shared" si="15"/>
        <v>#DIV/0!</v>
      </c>
      <c r="AG198" s="83"/>
      <c r="AH198" s="115"/>
      <c r="AI198" s="118" t="e">
        <f>WEEKNUM(AH198-RESUMEN!$D$7)</f>
        <v>#NUM!</v>
      </c>
      <c r="AJ198" s="118">
        <f>_xlfn.DAYS(AH198,RESUMEN!$D$7)</f>
        <v>-43238</v>
      </c>
      <c r="AK198" s="76"/>
      <c r="AL198" s="73"/>
      <c r="AM198" s="73"/>
      <c r="AN198" s="116" t="e">
        <f t="shared" si="16"/>
        <v>#DIV/0!</v>
      </c>
      <c r="AO198" s="83"/>
      <c r="AP198" s="115"/>
      <c r="AQ198" s="118" t="e">
        <f>WEEKNUM(AP198-RESUMEN!$D$7)</f>
        <v>#NUM!</v>
      </c>
      <c r="AR198" s="118">
        <f>_xlfn.DAYS(AP198,RESUMEN!$D$7)</f>
        <v>-43238</v>
      </c>
      <c r="AS198" s="76"/>
      <c r="AT198" s="73"/>
      <c r="AU198" s="73"/>
      <c r="AV198" s="116" t="e">
        <f t="shared" si="17"/>
        <v>#DIV/0!</v>
      </c>
      <c r="AW198" s="83"/>
    </row>
    <row r="199" spans="2:49" x14ac:dyDescent="0.25">
      <c r="B199" s="115"/>
      <c r="C199" s="118" t="e">
        <f>WEEKNUM(B199-RESUMEN!$D$7)</f>
        <v>#NUM!</v>
      </c>
      <c r="D199" s="118">
        <f>_xlfn.DAYS(B199,RESUMEN!$D$7)</f>
        <v>-43238</v>
      </c>
      <c r="E199" s="76"/>
      <c r="F199" s="73"/>
      <c r="G199" s="73"/>
      <c r="H199" s="116" t="e">
        <f t="shared" ref="H199:H200" si="18">G199/F199</f>
        <v>#DIV/0!</v>
      </c>
      <c r="I199" s="83"/>
      <c r="J199" s="115"/>
      <c r="K199" s="118" t="e">
        <f>WEEKNUM(J199-RESUMEN!$D$7)</f>
        <v>#NUM!</v>
      </c>
      <c r="L199" s="118">
        <f>_xlfn.DAYS(J199,RESUMEN!$D$7)</f>
        <v>-43238</v>
      </c>
      <c r="M199" s="76"/>
      <c r="N199" s="73"/>
      <c r="O199" s="73"/>
      <c r="P199" s="116" t="e">
        <f t="shared" ref="P199:P200" si="19">O199/N199</f>
        <v>#DIV/0!</v>
      </c>
      <c r="Q199" s="83"/>
      <c r="R199" s="115"/>
      <c r="S199" s="118" t="e">
        <f>WEEKNUM(R199-RESUMEN!$D$7)</f>
        <v>#NUM!</v>
      </c>
      <c r="T199" s="118">
        <f>_xlfn.DAYS(R199,RESUMEN!$D$7)</f>
        <v>-43238</v>
      </c>
      <c r="U199" s="76"/>
      <c r="V199" s="73"/>
      <c r="W199" s="73"/>
      <c r="X199" s="116" t="e">
        <f t="shared" ref="X199:X200" si="20">W199/V199</f>
        <v>#DIV/0!</v>
      </c>
      <c r="Y199" s="83"/>
      <c r="Z199" s="115"/>
      <c r="AA199" s="118">
        <f>Z199-RESUMEN!$D$7</f>
        <v>-43238</v>
      </c>
      <c r="AB199" s="118">
        <f>_xlfn.DAYS(Z199,RESUMEN!$D$7)</f>
        <v>-43238</v>
      </c>
      <c r="AC199" s="76"/>
      <c r="AD199" s="73"/>
      <c r="AE199" s="73"/>
      <c r="AF199" s="116" t="e">
        <f t="shared" ref="AF199:AF200" si="21">AE199/AD199</f>
        <v>#DIV/0!</v>
      </c>
      <c r="AG199" s="83"/>
      <c r="AH199" s="115"/>
      <c r="AI199" s="118" t="e">
        <f>WEEKNUM(AH199-RESUMEN!$D$7)</f>
        <v>#NUM!</v>
      </c>
      <c r="AJ199" s="118">
        <f>_xlfn.DAYS(AH199,RESUMEN!$D$7)</f>
        <v>-43238</v>
      </c>
      <c r="AK199" s="76"/>
      <c r="AL199" s="73"/>
      <c r="AM199" s="73"/>
      <c r="AN199" s="116" t="e">
        <f t="shared" ref="AN199:AN200" si="22">AM199/AL199</f>
        <v>#DIV/0!</v>
      </c>
      <c r="AO199" s="83"/>
      <c r="AP199" s="115"/>
      <c r="AQ199" s="118" t="e">
        <f>WEEKNUM(AP199-RESUMEN!$D$7)</f>
        <v>#NUM!</v>
      </c>
      <c r="AR199" s="118">
        <f>_xlfn.DAYS(AP199,RESUMEN!$D$7)</f>
        <v>-43238</v>
      </c>
      <c r="AS199" s="76"/>
      <c r="AT199" s="73"/>
      <c r="AU199" s="73"/>
      <c r="AV199" s="116" t="e">
        <f t="shared" ref="AV199:AV200" si="23">AU199/AT199</f>
        <v>#DIV/0!</v>
      </c>
      <c r="AW199" s="83"/>
    </row>
    <row r="200" spans="2:49" x14ac:dyDescent="0.25">
      <c r="B200" s="115"/>
      <c r="C200" s="118" t="e">
        <f>WEEKNUM(B200-RESUMEN!$D$7)</f>
        <v>#NUM!</v>
      </c>
      <c r="D200" s="118">
        <f>_xlfn.DAYS(B200,RESUMEN!$D$7)</f>
        <v>-43238</v>
      </c>
      <c r="E200" s="76"/>
      <c r="F200" s="73"/>
      <c r="G200" s="73"/>
      <c r="H200" s="116" t="e">
        <f t="shared" si="18"/>
        <v>#DIV/0!</v>
      </c>
      <c r="I200" s="83"/>
      <c r="J200" s="115"/>
      <c r="K200" s="118" t="e">
        <f>WEEKNUM(J200-RESUMEN!$D$7)</f>
        <v>#NUM!</v>
      </c>
      <c r="L200" s="118">
        <f>_xlfn.DAYS(J200,RESUMEN!$D$7)</f>
        <v>-43238</v>
      </c>
      <c r="M200" s="76"/>
      <c r="N200" s="73"/>
      <c r="O200" s="73"/>
      <c r="P200" s="116" t="e">
        <f t="shared" si="19"/>
        <v>#DIV/0!</v>
      </c>
      <c r="Q200" s="83"/>
      <c r="R200" s="115"/>
      <c r="S200" s="118" t="e">
        <f>WEEKNUM(R200-RESUMEN!$D$7)</f>
        <v>#NUM!</v>
      </c>
      <c r="T200" s="118">
        <f>_xlfn.DAYS(R200,RESUMEN!$D$7)</f>
        <v>-43238</v>
      </c>
      <c r="U200" s="76"/>
      <c r="V200" s="73"/>
      <c r="W200" s="73"/>
      <c r="X200" s="116" t="e">
        <f t="shared" si="20"/>
        <v>#DIV/0!</v>
      </c>
      <c r="Y200" s="83"/>
      <c r="Z200" s="115"/>
      <c r="AA200" s="118">
        <f>Z200-RESUMEN!$D$7</f>
        <v>-43238</v>
      </c>
      <c r="AB200" s="118">
        <f>_xlfn.DAYS(Z200,RESUMEN!$D$7)</f>
        <v>-43238</v>
      </c>
      <c r="AC200" s="76"/>
      <c r="AD200" s="73"/>
      <c r="AE200" s="73"/>
      <c r="AF200" s="116" t="e">
        <f t="shared" si="21"/>
        <v>#DIV/0!</v>
      </c>
      <c r="AG200" s="83"/>
      <c r="AH200" s="115"/>
      <c r="AI200" s="118" t="e">
        <f>WEEKNUM(AH200-RESUMEN!$D$7)</f>
        <v>#NUM!</v>
      </c>
      <c r="AJ200" s="118">
        <f>_xlfn.DAYS(AH200,RESUMEN!$D$7)</f>
        <v>-43238</v>
      </c>
      <c r="AK200" s="76"/>
      <c r="AL200" s="73"/>
      <c r="AM200" s="73"/>
      <c r="AN200" s="116" t="e">
        <f t="shared" si="22"/>
        <v>#DIV/0!</v>
      </c>
      <c r="AO200" s="83"/>
      <c r="AP200" s="115"/>
      <c r="AQ200" s="118" t="e">
        <f>WEEKNUM(AP200-RESUMEN!$D$7)</f>
        <v>#NUM!</v>
      </c>
      <c r="AR200" s="118">
        <f>_xlfn.DAYS(AP200,RESUMEN!$D$7)</f>
        <v>-43238</v>
      </c>
      <c r="AS200" s="76"/>
      <c r="AT200" s="73"/>
      <c r="AU200" s="73"/>
      <c r="AV200" s="116" t="e">
        <f t="shared" si="23"/>
        <v>#DIV/0!</v>
      </c>
      <c r="AW200" s="83"/>
    </row>
    <row r="201" spans="2:49" x14ac:dyDescent="0.25">
      <c r="I201" s="83"/>
    </row>
    <row r="202" spans="2:49" x14ac:dyDescent="0.25">
      <c r="I202" s="83"/>
    </row>
    <row r="203" spans="2:49" x14ac:dyDescent="0.25">
      <c r="I203" s="83"/>
    </row>
    <row r="204" spans="2:49" x14ac:dyDescent="0.25">
      <c r="I204" s="83"/>
    </row>
    <row r="205" spans="2:49" x14ac:dyDescent="0.25">
      <c r="I205" s="83"/>
    </row>
    <row r="206" spans="2:49" x14ac:dyDescent="0.25">
      <c r="I206" s="83"/>
    </row>
    <row r="207" spans="2:49" x14ac:dyDescent="0.25">
      <c r="I207" s="83"/>
    </row>
    <row r="208" spans="2:49" x14ac:dyDescent="0.25">
      <c r="I208" s="83"/>
    </row>
    <row r="209" spans="9:9" x14ac:dyDescent="0.25">
      <c r="I209" s="83"/>
    </row>
    <row r="210" spans="9:9" x14ac:dyDescent="0.25">
      <c r="I210" s="83"/>
    </row>
    <row r="211" spans="9:9" x14ac:dyDescent="0.25">
      <c r="I211" s="83"/>
    </row>
    <row r="212" spans="9:9" x14ac:dyDescent="0.25">
      <c r="I212" s="83"/>
    </row>
    <row r="213" spans="9:9" x14ac:dyDescent="0.25">
      <c r="I213" s="83"/>
    </row>
    <row r="214" spans="9:9" x14ac:dyDescent="0.25">
      <c r="I214" s="83"/>
    </row>
    <row r="215" spans="9:9" x14ac:dyDescent="0.25">
      <c r="I215" s="83"/>
    </row>
    <row r="216" spans="9:9" x14ac:dyDescent="0.25">
      <c r="I216" s="83"/>
    </row>
    <row r="217" spans="9:9" x14ac:dyDescent="0.25">
      <c r="I217" s="83"/>
    </row>
    <row r="218" spans="9:9" x14ac:dyDescent="0.25">
      <c r="I218" s="83"/>
    </row>
    <row r="219" spans="9:9" x14ac:dyDescent="0.25">
      <c r="I219" s="83"/>
    </row>
    <row r="220" spans="9:9" x14ac:dyDescent="0.25">
      <c r="I220" s="83"/>
    </row>
    <row r="221" spans="9:9" x14ac:dyDescent="0.25">
      <c r="I221" s="83"/>
    </row>
    <row r="222" spans="9:9" x14ac:dyDescent="0.25">
      <c r="I222" s="83"/>
    </row>
    <row r="223" spans="9:9" x14ac:dyDescent="0.25">
      <c r="I223" s="83"/>
    </row>
    <row r="224" spans="9:9" x14ac:dyDescent="0.25">
      <c r="I224" s="83"/>
    </row>
    <row r="225" spans="9:9" x14ac:dyDescent="0.25">
      <c r="I225" s="83"/>
    </row>
    <row r="226" spans="9:9" x14ac:dyDescent="0.25">
      <c r="I226" s="83"/>
    </row>
    <row r="227" spans="9:9" x14ac:dyDescent="0.25">
      <c r="I227" s="83"/>
    </row>
    <row r="228" spans="9:9" x14ac:dyDescent="0.25">
      <c r="I228" s="83"/>
    </row>
    <row r="229" spans="9:9" x14ac:dyDescent="0.25">
      <c r="I229" s="83"/>
    </row>
    <row r="230" spans="9:9" x14ac:dyDescent="0.25">
      <c r="I230" s="83"/>
    </row>
    <row r="231" spans="9:9" x14ac:dyDescent="0.25"/>
    <row r="232" spans="9:9" x14ac:dyDescent="0.25"/>
    <row r="233" spans="9:9" x14ac:dyDescent="0.25"/>
    <row r="234" spans="9:9" x14ac:dyDescent="0.25"/>
    <row r="235" spans="9:9" x14ac:dyDescent="0.25"/>
    <row r="236" spans="9:9" x14ac:dyDescent="0.25"/>
    <row r="237" spans="9:9" x14ac:dyDescent="0.25"/>
    <row r="238" spans="9:9" x14ac:dyDescent="0.25"/>
    <row r="239" spans="9:9" x14ac:dyDescent="0.25"/>
    <row r="240" spans="9:9" x14ac:dyDescent="0.25"/>
    <row r="241" x14ac:dyDescent="0.25"/>
    <row r="242" x14ac:dyDescent="0.25"/>
    <row r="243" x14ac:dyDescent="0.25"/>
    <row r="244" x14ac:dyDescent="0.25"/>
    <row r="245" x14ac:dyDescent="0.25"/>
    <row r="246" x14ac:dyDescent="0.25"/>
  </sheetData>
  <protectedRanges>
    <protectedRange sqref="B6:B200 E6:G200 I6:J200 M6:O200 Q6:R200 U6:W200 Y6:Z200 AC6:AE200 AG6:AH200 AK6:AM200 AO6:AP200 AS6:AU200 AW6:AW200" name="Rango1"/>
  </protectedRanges>
  <customSheetViews>
    <customSheetView guid="{D0A72333-44E4-44B0-93CA-B728F04236CB}" showPageBreaks="1" showGridLines="0" hiddenRows="1" hiddenColumns="1" view="pageLayout" showRuler="0" topLeftCell="AA1">
      <selection activeCell="AT6" sqref="AT6"/>
      <pageMargins left="0.39370078740157483" right="0.39370078740157483" top="0.39370078740157483" bottom="0.39370078740157483" header="0" footer="0"/>
      <pageSetup orientation="portrait" horizontalDpi="4294967293" verticalDpi="4294967293" r:id="rId1"/>
      <headerFooter>
        <oddHeader>&amp;CREPORTE DE VENTAS</oddHeader>
        <oddFooter>&amp;CREPORTE DE VENTAS</oddFooter>
      </headerFooter>
    </customSheetView>
    <customSheetView guid="{E3163CA8-A8FB-4416-898F-A92046F72E9D}" showPageBreaks="1" showGridLines="0" hiddenRows="1" hiddenColumns="1" view="pageLayout" showRuler="0" topLeftCell="AA1">
      <selection activeCell="AT6" sqref="AT6"/>
      <pageMargins left="0.39370078740157483" right="0.39370078740157483" top="0.39370078740157483" bottom="0.39370078740157483" header="0" footer="0"/>
      <pageSetup orientation="portrait" horizontalDpi="4294967293" verticalDpi="4294967293" r:id="rId2"/>
      <headerFooter>
        <oddHeader>&amp;CREPORTE DE VENTAS</oddHeader>
        <oddFooter>&amp;CREPORTE DE VENTAS</oddFooter>
      </headerFooter>
    </customSheetView>
  </customSheetViews>
  <conditionalFormatting sqref="Q6">
    <cfRule type="containsText" dxfId="472" priority="41" operator="containsText" text="P">
      <formula>NOT(ISERROR(SEARCH("P",Q6)))</formula>
    </cfRule>
    <cfRule type="colorScale" priority="42">
      <colorScale>
        <cfvo type="formula" val="&quot;D&quot;"/>
        <cfvo type="formula" val="&quot;S&quot;"/>
        <cfvo type="formula" val="&quot;L&quot;"/>
        <color rgb="FFF8696B"/>
        <color rgb="FFFFEB84"/>
        <color rgb="FF63BE7B"/>
      </colorScale>
    </cfRule>
  </conditionalFormatting>
  <conditionalFormatting sqref="Q5:Q200">
    <cfRule type="containsText" dxfId="471" priority="38" operator="containsText" text="D">
      <formula>NOT(ISERROR(SEARCH("D",Q5)))</formula>
    </cfRule>
    <cfRule type="containsText" dxfId="470" priority="39" operator="containsText" text="S">
      <formula>NOT(ISERROR(SEARCH("S",Q5)))</formula>
    </cfRule>
    <cfRule type="containsText" dxfId="469" priority="40" operator="containsText" text="L">
      <formula>NOT(ISERROR(SEARCH("L",Q5)))</formula>
    </cfRule>
  </conditionalFormatting>
  <conditionalFormatting sqref="Y6">
    <cfRule type="containsText" dxfId="468" priority="36" operator="containsText" text="P">
      <formula>NOT(ISERROR(SEARCH("P",Y6)))</formula>
    </cfRule>
    <cfRule type="colorScale" priority="37">
      <colorScale>
        <cfvo type="formula" val="&quot;D&quot;"/>
        <cfvo type="formula" val="&quot;S&quot;"/>
        <cfvo type="formula" val="&quot;L&quot;"/>
        <color rgb="FFF8696B"/>
        <color rgb="FFFFEB84"/>
        <color rgb="FF63BE7B"/>
      </colorScale>
    </cfRule>
  </conditionalFormatting>
  <conditionalFormatting sqref="Y5:Y200">
    <cfRule type="containsText" dxfId="467" priority="33" operator="containsText" text="D">
      <formula>NOT(ISERROR(SEARCH("D",Y5)))</formula>
    </cfRule>
    <cfRule type="containsText" dxfId="466" priority="34" operator="containsText" text="S">
      <formula>NOT(ISERROR(SEARCH("S",Y5)))</formula>
    </cfRule>
    <cfRule type="containsText" dxfId="465" priority="35" operator="containsText" text="L">
      <formula>NOT(ISERROR(SEARCH("L",Y5)))</formula>
    </cfRule>
  </conditionalFormatting>
  <conditionalFormatting sqref="AG6">
    <cfRule type="containsText" dxfId="464" priority="31" operator="containsText" text="P">
      <formula>NOT(ISERROR(SEARCH("P",AG6)))</formula>
    </cfRule>
    <cfRule type="colorScale" priority="32">
      <colorScale>
        <cfvo type="formula" val="&quot;D&quot;"/>
        <cfvo type="formula" val="&quot;S&quot;"/>
        <cfvo type="formula" val="&quot;L&quot;"/>
        <color rgb="FFF8696B"/>
        <color rgb="FFFFEB84"/>
        <color rgb="FF63BE7B"/>
      </colorScale>
    </cfRule>
  </conditionalFormatting>
  <conditionalFormatting sqref="AG5:AG200">
    <cfRule type="containsText" dxfId="463" priority="28" operator="containsText" text="D">
      <formula>NOT(ISERROR(SEARCH("D",AG5)))</formula>
    </cfRule>
    <cfRule type="containsText" dxfId="462" priority="29" operator="containsText" text="S">
      <formula>NOT(ISERROR(SEARCH("S",AG5)))</formula>
    </cfRule>
    <cfRule type="containsText" dxfId="461" priority="30" operator="containsText" text="L">
      <formula>NOT(ISERROR(SEARCH("L",AG5)))</formula>
    </cfRule>
  </conditionalFormatting>
  <conditionalFormatting sqref="AO6">
    <cfRule type="containsText" dxfId="460" priority="26" operator="containsText" text="P">
      <formula>NOT(ISERROR(SEARCH("P",AO6)))</formula>
    </cfRule>
    <cfRule type="colorScale" priority="27">
      <colorScale>
        <cfvo type="formula" val="&quot;D&quot;"/>
        <cfvo type="formula" val="&quot;S&quot;"/>
        <cfvo type="formula" val="&quot;L&quot;"/>
        <color rgb="FFF8696B"/>
        <color rgb="FFFFEB84"/>
        <color rgb="FF63BE7B"/>
      </colorScale>
    </cfRule>
  </conditionalFormatting>
  <conditionalFormatting sqref="AO5:AO200">
    <cfRule type="containsText" dxfId="459" priority="23" operator="containsText" text="D">
      <formula>NOT(ISERROR(SEARCH("D",AO5)))</formula>
    </cfRule>
    <cfRule type="containsText" dxfId="458" priority="24" operator="containsText" text="S">
      <formula>NOT(ISERROR(SEARCH("S",AO5)))</formula>
    </cfRule>
    <cfRule type="containsText" dxfId="457" priority="25" operator="containsText" text="L">
      <formula>NOT(ISERROR(SEARCH("L",AO5)))</formula>
    </cfRule>
  </conditionalFormatting>
  <conditionalFormatting sqref="AW6">
    <cfRule type="containsText" dxfId="456" priority="21" operator="containsText" text="P">
      <formula>NOT(ISERROR(SEARCH("P",AW6)))</formula>
    </cfRule>
    <cfRule type="colorScale" priority="22">
      <colorScale>
        <cfvo type="formula" val="&quot;D&quot;"/>
        <cfvo type="formula" val="&quot;S&quot;"/>
        <cfvo type="formula" val="&quot;L&quot;"/>
        <color rgb="FFF8696B"/>
        <color rgb="FFFFEB84"/>
        <color rgb="FF63BE7B"/>
      </colorScale>
    </cfRule>
  </conditionalFormatting>
  <conditionalFormatting sqref="AW5:AW200">
    <cfRule type="containsText" dxfId="455" priority="18" operator="containsText" text="D">
      <formula>NOT(ISERROR(SEARCH("D",AW5)))</formula>
    </cfRule>
    <cfRule type="containsText" dxfId="454" priority="19" operator="containsText" text="S">
      <formula>NOT(ISERROR(SEARCH("S",AW5)))</formula>
    </cfRule>
    <cfRule type="containsText" dxfId="453" priority="20" operator="containsText" text="L">
      <formula>NOT(ISERROR(SEARCH("L",AW5)))</formula>
    </cfRule>
  </conditionalFormatting>
  <conditionalFormatting sqref="I6">
    <cfRule type="containsText" dxfId="452" priority="11" operator="containsText" text="P">
      <formula>NOT(ISERROR(SEARCH("P",I6)))</formula>
    </cfRule>
    <cfRule type="colorScale" priority="12">
      <colorScale>
        <cfvo type="formula" val="&quot;D&quot;"/>
        <cfvo type="formula" val="&quot;S&quot;"/>
        <cfvo type="formula" val="&quot;L&quot;"/>
        <color rgb="FFF8696B"/>
        <color rgb="FFFFEB84"/>
        <color rgb="FF63BE7B"/>
      </colorScale>
    </cfRule>
  </conditionalFormatting>
  <conditionalFormatting sqref="I5:I200">
    <cfRule type="containsText" dxfId="451" priority="8" operator="containsText" text="D">
      <formula>NOT(ISERROR(SEARCH("D",I5)))</formula>
    </cfRule>
    <cfRule type="containsText" dxfId="450" priority="9" operator="containsText" text="S">
      <formula>NOT(ISERROR(SEARCH("S",I5)))</formula>
    </cfRule>
    <cfRule type="containsText" dxfId="449" priority="10" operator="containsText" text="L">
      <formula>NOT(ISERROR(SEARCH("L",I5)))</formula>
    </cfRule>
  </conditionalFormatting>
  <pageMargins left="0.39370078740157483" right="0.39370078740157483" top="0.39370078740157483" bottom="0.39370078740157483" header="0" footer="0"/>
  <pageSetup orientation="portrait" r:id="rId3"/>
  <headerFooter>
    <oddHeader>&amp;CREPORTE DE VENTAS</oddHeader>
    <oddFooter>&amp;CREPORTE DE VENTAS</oddFooter>
  </headerFooter>
  <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7" operator="greaterThan" id="{90E2BF0A-6EEE-4F43-A933-E8B661B46886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B5:I200</xm:sqref>
        </x14:conditionalFormatting>
        <x14:conditionalFormatting xmlns:xm="http://schemas.microsoft.com/office/excel/2006/main">
          <x14:cfRule type="cellIs" priority="6" operator="greaterThan" id="{83727CA5-1232-4C6C-AC3F-A9F4B70536D0}">
            <xm:f>RESUMEN!$U$2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J5:Q200</xm:sqref>
        </x14:conditionalFormatting>
        <x14:conditionalFormatting xmlns:xm="http://schemas.microsoft.com/office/excel/2006/main">
          <x14:cfRule type="cellIs" priority="5" operator="greaterThan" id="{710457DA-89B5-42F6-AF4A-6B20AE933BE2}">
            <xm:f>RESUMEN!$AG$2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R5:Y200</xm:sqref>
        </x14:conditionalFormatting>
        <x14:conditionalFormatting xmlns:xm="http://schemas.microsoft.com/office/excel/2006/main">
          <x14:cfRule type="cellIs" priority="4" operator="greaterThan" id="{E725CABD-6449-49BD-901E-CFB3B66D8F47}">
            <xm:f>RESUMEN!$AS$2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Z5:AG200</xm:sqref>
        </x14:conditionalFormatting>
        <x14:conditionalFormatting xmlns:xm="http://schemas.microsoft.com/office/excel/2006/main">
          <x14:cfRule type="cellIs" priority="3" operator="greaterThan" id="{060CA60B-A63B-4A1D-973C-A6709A2481B0}">
            <xm:f>RESUMEN!$BE$2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AH5:AO36 AH38:AO200 AI37:AO37</xm:sqref>
        </x14:conditionalFormatting>
        <x14:conditionalFormatting xmlns:xm="http://schemas.microsoft.com/office/excel/2006/main">
          <x14:cfRule type="cellIs" priority="2" operator="greaterThan" id="{3BDCCF30-A929-4481-90DA-03CB7320BA58}">
            <xm:f>RESUMEN!$BQ$2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AP5:AW200</xm:sqref>
        </x14:conditionalFormatting>
        <x14:conditionalFormatting xmlns:xm="http://schemas.microsoft.com/office/excel/2006/main">
          <x14:cfRule type="cellIs" priority="1" operator="greaterThan" id="{E77371C5-290D-4C8E-8AED-B2C2FABB81A7}">
            <xm:f>RESUMEN!$AS$2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AH37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U306"/>
  <sheetViews>
    <sheetView view="pageLayout" topLeftCell="A71" zoomScaleNormal="100" workbookViewId="0">
      <selection activeCell="A85" sqref="A85"/>
    </sheetView>
  </sheetViews>
  <sheetFormatPr baseColWidth="10" defaultColWidth="0" defaultRowHeight="15" x14ac:dyDescent="0.25"/>
  <cols>
    <col min="1" max="5" width="10.7109375" style="70" customWidth="1"/>
    <col min="6" max="6" width="10.7109375" style="72" customWidth="1"/>
    <col min="7" max="8" width="10.7109375" style="70" customWidth="1"/>
    <col min="9" max="9" width="12.5703125" style="70" customWidth="1"/>
    <col min="10" max="10" width="11.140625" style="70" customWidth="1"/>
    <col min="11" max="11" width="8.42578125" style="70" customWidth="1"/>
    <col min="12" max="12" width="5.42578125" style="70" customWidth="1"/>
    <col min="13" max="17" width="10.7109375" style="70" customWidth="1"/>
    <col min="18" max="18" width="10.7109375" style="72" customWidth="1"/>
    <col min="19" max="20" width="10.7109375" style="70" customWidth="1"/>
    <col min="21" max="21" width="12.5703125" style="70" customWidth="1"/>
    <col min="22" max="22" width="11.140625" style="70" customWidth="1"/>
    <col min="23" max="23" width="8.42578125" style="70" customWidth="1"/>
    <col min="24" max="24" width="6" style="70" customWidth="1"/>
    <col min="25" max="29" width="10.7109375" style="70" customWidth="1"/>
    <col min="30" max="30" width="10.7109375" style="72" customWidth="1"/>
    <col min="31" max="32" width="10.7109375" style="70" customWidth="1"/>
    <col min="33" max="33" width="12.5703125" style="70" customWidth="1"/>
    <col min="34" max="34" width="11.140625" style="70" customWidth="1"/>
    <col min="35" max="35" width="8.42578125" style="70" customWidth="1"/>
    <col min="36" max="36" width="5.42578125" style="70" customWidth="1"/>
    <col min="37" max="41" width="10.7109375" style="70" customWidth="1"/>
    <col min="42" max="43" width="10.7109375" style="72" customWidth="1"/>
    <col min="44" max="44" width="10.7109375" style="70" customWidth="1"/>
    <col min="45" max="45" width="12.5703125" style="70" customWidth="1"/>
    <col min="46" max="46" width="11.140625" style="70" customWidth="1"/>
    <col min="47" max="47" width="8.42578125" style="70" customWidth="1"/>
    <col min="48" max="48" width="5.42578125" style="70" customWidth="1"/>
    <col min="49" max="53" width="10.7109375" style="70" customWidth="1"/>
    <col min="54" max="54" width="10.7109375" style="72" customWidth="1"/>
    <col min="55" max="56" width="10.7109375" style="70" customWidth="1"/>
    <col min="57" max="57" width="12.5703125" style="70" customWidth="1"/>
    <col min="58" max="58" width="11.140625" style="70" customWidth="1"/>
    <col min="59" max="59" width="8.42578125" style="70" customWidth="1"/>
    <col min="60" max="60" width="5.42578125" style="70" customWidth="1"/>
    <col min="61" max="65" width="10.7109375" style="70" customWidth="1"/>
    <col min="66" max="66" width="10.7109375" style="72" customWidth="1"/>
    <col min="67" max="67" width="11.42578125" style="70" bestFit="1" customWidth="1"/>
    <col min="68" max="68" width="10.7109375" style="70" customWidth="1"/>
    <col min="69" max="69" width="12.5703125" style="70" customWidth="1"/>
    <col min="70" max="70" width="11.140625" style="70" customWidth="1"/>
    <col min="71" max="71" width="8.42578125" style="70" customWidth="1"/>
    <col min="72" max="72" width="5.42578125" style="70" customWidth="1"/>
    <col min="73" max="16384" width="10.7109375" style="70" hidden="1"/>
  </cols>
  <sheetData>
    <row r="1" spans="1:72" x14ac:dyDescent="0.25">
      <c r="B1" s="71" t="s">
        <v>0</v>
      </c>
      <c r="C1" s="73" t="str">
        <f>RESUMEN!F2</f>
        <v>ESPERANZA</v>
      </c>
      <c r="D1" s="70" t="s">
        <v>0</v>
      </c>
      <c r="E1" s="73">
        <f>RESUMEN!I5</f>
        <v>0</v>
      </c>
      <c r="N1" s="71" t="s">
        <v>0</v>
      </c>
      <c r="O1" s="73" t="str">
        <f>RESUMEN!R2</f>
        <v>ESPERANZA</v>
      </c>
      <c r="P1" s="70" t="s">
        <v>0</v>
      </c>
      <c r="Q1" s="73">
        <f>RESUMEN!U5</f>
        <v>0</v>
      </c>
      <c r="Z1" s="71" t="s">
        <v>0</v>
      </c>
      <c r="AA1" s="73" t="str">
        <f>RESUMEN!AD2</f>
        <v>ESPERANZA</v>
      </c>
      <c r="AB1" s="70" t="s">
        <v>0</v>
      </c>
      <c r="AC1" s="73">
        <f>RESUMEN!AG5</f>
        <v>0</v>
      </c>
      <c r="AL1" s="71" t="s">
        <v>0</v>
      </c>
      <c r="AM1" s="73" t="str">
        <f>RESUMEN!AP2</f>
        <v>ESPERANZA</v>
      </c>
      <c r="AN1" s="70" t="s">
        <v>0</v>
      </c>
      <c r="AO1" s="73">
        <f>RESUMEN!AS5</f>
        <v>0</v>
      </c>
      <c r="AX1" s="71">
        <f>-AK6126/7/2018+ALIMENTO_NUEVO!AK61</f>
        <v>43307</v>
      </c>
      <c r="AY1" s="73" t="str">
        <f>RESUMEN!BB2</f>
        <v>ESPERANZA</v>
      </c>
      <c r="AZ1" s="70" t="s">
        <v>0</v>
      </c>
      <c r="BA1" s="73">
        <f>RESUMEN!BE5</f>
        <v>0</v>
      </c>
      <c r="BJ1" s="71" t="s">
        <v>0</v>
      </c>
      <c r="BK1" s="73" t="str">
        <f>RESUMEN!BN2</f>
        <v>ESPERANZA</v>
      </c>
      <c r="BL1" s="70" t="s">
        <v>0</v>
      </c>
      <c r="BM1" s="73">
        <f>RESUMEN!BQ5</f>
        <v>0</v>
      </c>
    </row>
    <row r="2" spans="1:72" x14ac:dyDescent="0.25">
      <c r="B2" s="71" t="s">
        <v>1</v>
      </c>
      <c r="C2" s="120" t="s">
        <v>267</v>
      </c>
      <c r="D2" s="70" t="s">
        <v>1</v>
      </c>
      <c r="E2" s="121">
        <f>RESUMEN!I4</f>
        <v>0</v>
      </c>
      <c r="N2" s="71" t="s">
        <v>1</v>
      </c>
      <c r="O2" s="120" t="s">
        <v>267</v>
      </c>
      <c r="P2" s="70" t="s">
        <v>1</v>
      </c>
      <c r="Q2" s="121">
        <f>RESUMEN!U4</f>
        <v>0</v>
      </c>
      <c r="Z2" s="71" t="s">
        <v>1</v>
      </c>
      <c r="AA2" s="120" t="s">
        <v>270</v>
      </c>
      <c r="AB2" s="70" t="s">
        <v>1</v>
      </c>
      <c r="AC2" s="121">
        <f>RESUMEN!AG4</f>
        <v>0</v>
      </c>
      <c r="AL2" s="71" t="s">
        <v>1</v>
      </c>
      <c r="AM2" s="120" t="s">
        <v>269</v>
      </c>
      <c r="AN2" s="70" t="s">
        <v>1</v>
      </c>
      <c r="AO2" s="121">
        <f>RESUMEN!AS4</f>
        <v>0</v>
      </c>
      <c r="AX2" s="71" t="s">
        <v>1</v>
      </c>
      <c r="AY2" s="120" t="s">
        <v>269</v>
      </c>
      <c r="AZ2" s="70" t="s">
        <v>1</v>
      </c>
      <c r="BA2" s="121">
        <f>RESUMEN!BE4</f>
        <v>0</v>
      </c>
      <c r="BJ2" s="71" t="s">
        <v>1</v>
      </c>
      <c r="BK2" s="120" t="s">
        <v>268</v>
      </c>
      <c r="BL2" s="70" t="s">
        <v>1</v>
      </c>
      <c r="BM2" s="121">
        <f>RESUMEN!BQ4</f>
        <v>0</v>
      </c>
    </row>
    <row r="3" spans="1:72" x14ac:dyDescent="0.25">
      <c r="B3" s="71" t="s">
        <v>2</v>
      </c>
      <c r="C3" s="73">
        <f>RESUMEN!F5</f>
        <v>18044</v>
      </c>
      <c r="N3" s="71" t="s">
        <v>2</v>
      </c>
      <c r="O3" s="73">
        <v>18045</v>
      </c>
      <c r="Z3" s="71" t="s">
        <v>2</v>
      </c>
      <c r="AA3" s="73">
        <v>18046</v>
      </c>
      <c r="AL3" s="71" t="s">
        <v>2</v>
      </c>
      <c r="AM3" s="73">
        <v>18047</v>
      </c>
      <c r="AX3" s="71" t="s">
        <v>2</v>
      </c>
      <c r="AY3" s="73">
        <v>18048</v>
      </c>
      <c r="BJ3" s="71" t="s">
        <v>2</v>
      </c>
      <c r="BK3" s="73">
        <v>18049</v>
      </c>
    </row>
    <row r="5" spans="1:72" x14ac:dyDescent="0.25">
      <c r="A5" s="67" t="s">
        <v>10</v>
      </c>
      <c r="B5" s="67" t="s">
        <v>9</v>
      </c>
      <c r="C5" s="67" t="s">
        <v>104</v>
      </c>
      <c r="D5" s="67" t="s">
        <v>81</v>
      </c>
      <c r="E5" s="67" t="s">
        <v>82</v>
      </c>
      <c r="F5" s="68" t="s">
        <v>105</v>
      </c>
      <c r="G5" s="67" t="s">
        <v>106</v>
      </c>
      <c r="H5" s="67" t="s">
        <v>19</v>
      </c>
      <c r="I5" s="73" t="s">
        <v>107</v>
      </c>
      <c r="J5" s="73" t="s">
        <v>108</v>
      </c>
      <c r="K5" s="73" t="s">
        <v>109</v>
      </c>
      <c r="L5" s="73" t="s">
        <v>110</v>
      </c>
      <c r="M5" s="67" t="s">
        <v>10</v>
      </c>
      <c r="N5" s="67" t="s">
        <v>9</v>
      </c>
      <c r="O5" s="67" t="s">
        <v>104</v>
      </c>
      <c r="P5" s="67" t="s">
        <v>81</v>
      </c>
      <c r="Q5" s="67" t="s">
        <v>82</v>
      </c>
      <c r="R5" s="68" t="s">
        <v>105</v>
      </c>
      <c r="S5" s="67" t="s">
        <v>106</v>
      </c>
      <c r="T5" s="67" t="s">
        <v>19</v>
      </c>
      <c r="U5" s="73" t="s">
        <v>107</v>
      </c>
      <c r="V5" s="73" t="s">
        <v>108</v>
      </c>
      <c r="W5" s="73" t="s">
        <v>109</v>
      </c>
      <c r="X5" s="73" t="s">
        <v>110</v>
      </c>
      <c r="Y5" s="67" t="s">
        <v>10</v>
      </c>
      <c r="Z5" s="67" t="s">
        <v>9</v>
      </c>
      <c r="AA5" s="67" t="s">
        <v>104</v>
      </c>
      <c r="AB5" s="67" t="s">
        <v>81</v>
      </c>
      <c r="AC5" s="67" t="s">
        <v>82</v>
      </c>
      <c r="AD5" s="68" t="s">
        <v>105</v>
      </c>
      <c r="AE5" s="67" t="s">
        <v>106</v>
      </c>
      <c r="AF5" s="67" t="s">
        <v>19</v>
      </c>
      <c r="AG5" s="73" t="s">
        <v>107</v>
      </c>
      <c r="AH5" s="73" t="s">
        <v>108</v>
      </c>
      <c r="AI5" s="73" t="s">
        <v>109</v>
      </c>
      <c r="AJ5" s="73" t="s">
        <v>110</v>
      </c>
      <c r="AK5" s="67" t="s">
        <v>10</v>
      </c>
      <c r="AL5" s="67" t="s">
        <v>9</v>
      </c>
      <c r="AM5" s="67" t="s">
        <v>104</v>
      </c>
      <c r="AN5" s="67" t="s">
        <v>81</v>
      </c>
      <c r="AO5" s="67" t="s">
        <v>82</v>
      </c>
      <c r="AP5" s="68" t="s">
        <v>105</v>
      </c>
      <c r="AQ5" s="68" t="s">
        <v>106</v>
      </c>
      <c r="AR5" s="67" t="s">
        <v>19</v>
      </c>
      <c r="AS5" s="73" t="s">
        <v>107</v>
      </c>
      <c r="AT5" s="73" t="s">
        <v>108</v>
      </c>
      <c r="AU5" s="73" t="s">
        <v>109</v>
      </c>
      <c r="AV5" s="73" t="s">
        <v>110</v>
      </c>
      <c r="AW5" s="67" t="s">
        <v>10</v>
      </c>
      <c r="AX5" s="67" t="s">
        <v>9</v>
      </c>
      <c r="AY5" s="67" t="s">
        <v>104</v>
      </c>
      <c r="AZ5" s="67" t="s">
        <v>81</v>
      </c>
      <c r="BA5" s="67" t="s">
        <v>82</v>
      </c>
      <c r="BB5" s="68" t="s">
        <v>105</v>
      </c>
      <c r="BC5" s="67" t="s">
        <v>106</v>
      </c>
      <c r="BD5" s="67" t="s">
        <v>19</v>
      </c>
      <c r="BE5" s="73" t="s">
        <v>107</v>
      </c>
      <c r="BF5" s="73" t="s">
        <v>108</v>
      </c>
      <c r="BG5" s="73" t="s">
        <v>109</v>
      </c>
      <c r="BH5" s="73" t="s">
        <v>110</v>
      </c>
      <c r="BI5" s="67" t="s">
        <v>10</v>
      </c>
      <c r="BJ5" s="67" t="s">
        <v>9</v>
      </c>
      <c r="BK5" s="67" t="s">
        <v>104</v>
      </c>
      <c r="BL5" s="67" t="s">
        <v>81</v>
      </c>
      <c r="BM5" s="67" t="s">
        <v>82</v>
      </c>
      <c r="BN5" s="68" t="s">
        <v>105</v>
      </c>
      <c r="BO5" s="67" t="s">
        <v>106</v>
      </c>
      <c r="BP5" s="67" t="s">
        <v>19</v>
      </c>
      <c r="BQ5" s="73" t="s">
        <v>107</v>
      </c>
      <c r="BR5" s="73" t="s">
        <v>108</v>
      </c>
      <c r="BS5" s="73" t="s">
        <v>109</v>
      </c>
      <c r="BT5" s="73" t="s">
        <v>110</v>
      </c>
    </row>
    <row r="6" spans="1:72" x14ac:dyDescent="0.25">
      <c r="A6" s="122">
        <v>43262</v>
      </c>
      <c r="B6" s="74">
        <f>WEEKNUM(A6-RESUMEN!$D$7)</f>
        <v>4</v>
      </c>
      <c r="C6" s="74">
        <f>_xlfn.DAYS(A6,RESUMEN!$D$7)</f>
        <v>24</v>
      </c>
      <c r="D6" s="123"/>
      <c r="E6" s="73" t="e">
        <f>LOOKUP(D6,FORMULAS!$A:$A,FORMULAS!$B:$B)</f>
        <v>#N/A</v>
      </c>
      <c r="F6" s="124"/>
      <c r="G6" s="75"/>
      <c r="H6" s="75"/>
      <c r="I6" s="76" t="s">
        <v>111</v>
      </c>
      <c r="J6" s="77"/>
      <c r="K6" s="77"/>
      <c r="L6" s="77">
        <v>0</v>
      </c>
      <c r="M6" s="113">
        <v>43262</v>
      </c>
      <c r="N6" s="73">
        <f>WEEKNUM(M6-RESUMEN!$P$7)</f>
        <v>3</v>
      </c>
      <c r="O6" s="73">
        <f>_xlfn.DAYS(M6,RESUMEN!$P$7)</f>
        <v>20</v>
      </c>
      <c r="P6" s="128"/>
      <c r="Q6" s="73" t="e">
        <f>LOOKUP(P6,FORMULAS!$A:$A,FORMULAS!$B:$B)</f>
        <v>#N/A</v>
      </c>
      <c r="R6" s="129"/>
      <c r="S6" s="129"/>
      <c r="T6" s="73"/>
      <c r="U6" s="76" t="s">
        <v>111</v>
      </c>
      <c r="V6" s="77"/>
      <c r="W6" s="77"/>
      <c r="X6" s="77">
        <v>0</v>
      </c>
      <c r="Y6" s="115">
        <v>43262</v>
      </c>
      <c r="Z6" s="73">
        <f>WEEKNUM(Y6-RESUMEN!$AB$7)</f>
        <v>3</v>
      </c>
      <c r="AA6" s="73">
        <f>_xlfn.DAYS(Y6,RESUMEN!$AB$7)</f>
        <v>15</v>
      </c>
      <c r="AB6" s="128"/>
      <c r="AC6" s="73" t="e">
        <f>LOOKUP(AB6,FORMULAS!$A:$A,FORMULAS!$B:$B)</f>
        <v>#N/A</v>
      </c>
      <c r="AD6" s="129"/>
      <c r="AE6" s="129"/>
      <c r="AF6" s="73"/>
      <c r="AG6" s="76" t="s">
        <v>111</v>
      </c>
      <c r="AH6" s="77"/>
      <c r="AI6" s="77"/>
      <c r="AJ6" s="77">
        <v>0</v>
      </c>
      <c r="AK6" s="113">
        <v>43262</v>
      </c>
      <c r="AL6" s="73">
        <f>WEEKNUM(AK6-RESUMEN!$AN$7)</f>
        <v>2</v>
      </c>
      <c r="AM6" s="73">
        <f>_xlfn.DAYS(AK6,RESUMEN!$AN$7)</f>
        <v>8</v>
      </c>
      <c r="AN6" s="128"/>
      <c r="AO6" s="73" t="e">
        <f>LOOKUP(AN6,FORMULAS!$A:$A,FORMULAS!$B:$B)</f>
        <v>#N/A</v>
      </c>
      <c r="AP6" s="129"/>
      <c r="AQ6" s="78"/>
      <c r="AR6" s="73"/>
      <c r="AS6" s="76" t="s">
        <v>111</v>
      </c>
      <c r="AT6" s="77"/>
      <c r="AU6" s="77"/>
      <c r="AV6" s="77">
        <v>0</v>
      </c>
      <c r="AW6" s="117">
        <v>43262</v>
      </c>
      <c r="AX6" s="73">
        <f>WEEKNUM(AW6-RESUMEN!$AZ$7)</f>
        <v>1</v>
      </c>
      <c r="AY6" s="73">
        <f>_xlfn.DAYS(AW6,RESUMEN!$AZ$7)</f>
        <v>1</v>
      </c>
      <c r="AZ6" s="128"/>
      <c r="BA6" s="73" t="e">
        <f>LOOKUP(AZ6,FORMULAS!$A:$A,FORMULAS!$B:$B)</f>
        <v>#N/A</v>
      </c>
      <c r="BB6" s="129"/>
      <c r="BC6" s="129"/>
      <c r="BD6" s="73"/>
      <c r="BE6" s="76" t="s">
        <v>111</v>
      </c>
      <c r="BF6" s="77"/>
      <c r="BG6" s="77"/>
      <c r="BH6" s="77">
        <v>0</v>
      </c>
      <c r="BI6" s="117">
        <v>43262</v>
      </c>
      <c r="BJ6" s="73" t="e">
        <f>WEEKNUM(BI6-RESUMEN!$BL$7)</f>
        <v>#NUM!</v>
      </c>
      <c r="BK6" s="73">
        <f>_xlfn.DAYS(BI6,RESUMEN!$BL$7)</f>
        <v>-5</v>
      </c>
      <c r="BL6" s="130"/>
      <c r="BM6" s="73" t="e">
        <f>LOOKUP(BL6,FORMULAS!$A:$A,FORMULAS!$B:$B)</f>
        <v>#N/A</v>
      </c>
      <c r="BN6" s="129"/>
      <c r="BO6" s="73"/>
      <c r="BP6" s="73"/>
      <c r="BQ6" s="76" t="s">
        <v>111</v>
      </c>
      <c r="BR6" s="77"/>
      <c r="BS6" s="77"/>
      <c r="BT6" s="77">
        <v>0</v>
      </c>
    </row>
    <row r="7" spans="1:72" x14ac:dyDescent="0.25">
      <c r="A7" s="122">
        <v>43262</v>
      </c>
      <c r="B7" s="74">
        <f>WEEKNUM(A7-RESUMEN!$D$7)</f>
        <v>4</v>
      </c>
      <c r="C7" s="74">
        <f>_xlfn.DAYS(A7,RESUMEN!$D$7)</f>
        <v>24</v>
      </c>
      <c r="D7" s="123">
        <v>10130147</v>
      </c>
      <c r="E7" s="73" t="str">
        <f>LOOKUP(D7,FORMULAS!$A:$A,FORMULAS!$B:$B)</f>
        <v>Nupig Sew 150 Ppm Tiamulina+400Ppm Amoxicilina</v>
      </c>
      <c r="F7" s="124">
        <v>600</v>
      </c>
      <c r="G7" s="75"/>
      <c r="H7" s="75"/>
      <c r="I7" s="76">
        <v>10130147</v>
      </c>
      <c r="J7" s="77">
        <v>600</v>
      </c>
      <c r="K7" s="77">
        <v>-600</v>
      </c>
      <c r="L7" s="77">
        <v>0</v>
      </c>
      <c r="M7" s="113">
        <v>43262</v>
      </c>
      <c r="N7" s="73">
        <f>WEEKNUM(M7-RESUMEN!$P$7)</f>
        <v>3</v>
      </c>
      <c r="O7" s="73">
        <f>_xlfn.DAYS(M7,RESUMEN!$P$7)</f>
        <v>20</v>
      </c>
      <c r="P7" s="123">
        <v>10130147</v>
      </c>
      <c r="Q7" s="73" t="str">
        <f>LOOKUP(P7,FORMULAS!$A:$A,FORMULAS!$B:$B)</f>
        <v>Nupig Sew 150 Ppm Tiamulina+400Ppm Amoxicilina</v>
      </c>
      <c r="R7" s="131">
        <v>600</v>
      </c>
      <c r="S7" s="131"/>
      <c r="T7" s="73"/>
      <c r="U7" s="76">
        <v>10130147</v>
      </c>
      <c r="V7" s="77">
        <v>600</v>
      </c>
      <c r="W7" s="77">
        <v>-600</v>
      </c>
      <c r="X7" s="77">
        <v>0</v>
      </c>
      <c r="Y7" s="115">
        <v>43262</v>
      </c>
      <c r="Z7" s="73">
        <f>WEEKNUM(Y7-RESUMEN!$AB$7)</f>
        <v>3</v>
      </c>
      <c r="AA7" s="73">
        <f>_xlfn.DAYS(Y7,RESUMEN!$AB$7)</f>
        <v>15</v>
      </c>
      <c r="AB7" s="128">
        <v>10130147</v>
      </c>
      <c r="AC7" s="73" t="str">
        <f>LOOKUP(AB7,FORMULAS!$A:$A,FORMULAS!$B:$B)</f>
        <v>Nupig Sew 150 Ppm Tiamulina+400Ppm Amoxicilina</v>
      </c>
      <c r="AD7" s="131">
        <v>600</v>
      </c>
      <c r="AE7" s="131"/>
      <c r="AF7" s="73"/>
      <c r="AG7" s="76">
        <v>10130149</v>
      </c>
      <c r="AH7" s="77">
        <v>4500</v>
      </c>
      <c r="AI7" s="77">
        <v>-4500</v>
      </c>
      <c r="AJ7" s="77">
        <v>0</v>
      </c>
      <c r="AK7" s="113">
        <v>43262</v>
      </c>
      <c r="AL7" s="73">
        <f>WEEKNUM(AK7-RESUMEN!$AN$7)</f>
        <v>2</v>
      </c>
      <c r="AM7" s="73">
        <f>_xlfn.DAYS(AK7,RESUMEN!$AN$7)</f>
        <v>8</v>
      </c>
      <c r="AN7" s="128">
        <v>10130147</v>
      </c>
      <c r="AO7" s="73" t="str">
        <f>LOOKUP(AN7,FORMULAS!$A:$A,FORMULAS!$B:$B)</f>
        <v>Nupig Sew 150 Ppm Tiamulina+400Ppm Amoxicilina</v>
      </c>
      <c r="AP7" s="131">
        <v>600</v>
      </c>
      <c r="AQ7" s="78"/>
      <c r="AR7" s="73"/>
      <c r="AS7" s="76">
        <v>10130147</v>
      </c>
      <c r="AT7" s="77">
        <v>600</v>
      </c>
      <c r="AU7" s="77">
        <v>-600</v>
      </c>
      <c r="AV7" s="77">
        <v>0</v>
      </c>
      <c r="AW7" s="117">
        <v>43262</v>
      </c>
      <c r="AX7" s="73">
        <f>WEEKNUM(AW7-RESUMEN!$AZ$7)</f>
        <v>1</v>
      </c>
      <c r="AY7" s="73">
        <f>_xlfn.DAYS(AW7,RESUMEN!$AZ$7)</f>
        <v>1</v>
      </c>
      <c r="AZ7" s="128">
        <v>10130147</v>
      </c>
      <c r="BA7" s="73" t="str">
        <f>LOOKUP(AZ7,FORMULAS!$A:$A,FORMULAS!$B:$B)</f>
        <v>Nupig Sew 150 Ppm Tiamulina+400Ppm Amoxicilina</v>
      </c>
      <c r="BB7" s="131">
        <v>600</v>
      </c>
      <c r="BC7" s="131"/>
      <c r="BD7" s="73"/>
      <c r="BE7" s="76">
        <v>10130147</v>
      </c>
      <c r="BF7" s="77">
        <v>600</v>
      </c>
      <c r="BG7" s="77">
        <v>-600</v>
      </c>
      <c r="BH7" s="77">
        <v>0</v>
      </c>
      <c r="BI7" s="117">
        <v>43262</v>
      </c>
      <c r="BJ7" s="73" t="e">
        <f>WEEKNUM(BI7-RESUMEN!$BL$7)</f>
        <v>#NUM!</v>
      </c>
      <c r="BK7" s="73">
        <f>_xlfn.DAYS(BI7,RESUMEN!$BL$7)</f>
        <v>-5</v>
      </c>
      <c r="BL7" s="130">
        <v>10130147</v>
      </c>
      <c r="BM7" s="73" t="str">
        <f>LOOKUP(BL7,FORMULAS!$A:$A,FORMULAS!$B:$B)</f>
        <v>Nupig Sew 150 Ppm Tiamulina+400Ppm Amoxicilina</v>
      </c>
      <c r="BN7" s="131">
        <v>600</v>
      </c>
      <c r="BO7" s="73"/>
      <c r="BP7" s="73"/>
      <c r="BQ7" s="76">
        <v>10130147</v>
      </c>
      <c r="BR7" s="77">
        <v>600</v>
      </c>
      <c r="BS7" s="77">
        <v>-600</v>
      </c>
      <c r="BT7" s="77">
        <v>0</v>
      </c>
    </row>
    <row r="8" spans="1:72" x14ac:dyDescent="0.25">
      <c r="A8" s="122">
        <v>43262</v>
      </c>
      <c r="B8" s="74">
        <f>WEEKNUM(A8-RESUMEN!$D$7)</f>
        <v>4</v>
      </c>
      <c r="C8" s="74">
        <f>_xlfn.DAYS(A8,RESUMEN!$D$7)</f>
        <v>24</v>
      </c>
      <c r="D8" s="123">
        <v>10130149</v>
      </c>
      <c r="E8" s="73" t="str">
        <f>LOOKUP(D8,FORMULAS!$A:$A,FORMULAS!$B:$B)</f>
        <v>Nupig Uno Kappa</v>
      </c>
      <c r="F8" s="125">
        <v>4500</v>
      </c>
      <c r="G8" s="75"/>
      <c r="H8" s="75"/>
      <c r="I8" s="76">
        <v>10130149</v>
      </c>
      <c r="J8" s="77">
        <v>4500</v>
      </c>
      <c r="K8" s="77">
        <v>-4500</v>
      </c>
      <c r="L8" s="77">
        <v>0</v>
      </c>
      <c r="M8" s="117">
        <v>43262</v>
      </c>
      <c r="N8" s="73">
        <f>WEEKNUM(M8-RESUMEN!$P$7)</f>
        <v>3</v>
      </c>
      <c r="O8" s="73">
        <f>_xlfn.DAYS(M8,RESUMEN!$P$7)</f>
        <v>20</v>
      </c>
      <c r="P8" s="123">
        <v>10130149</v>
      </c>
      <c r="Q8" s="73" t="str">
        <f>LOOKUP(P8,FORMULAS!$A:$A,FORMULAS!$B:$B)</f>
        <v>Nupig Uno Kappa</v>
      </c>
      <c r="R8" s="131">
        <v>4500</v>
      </c>
      <c r="S8" s="131"/>
      <c r="T8" s="132"/>
      <c r="U8" s="76">
        <v>10130149</v>
      </c>
      <c r="V8" s="77">
        <v>4500</v>
      </c>
      <c r="W8" s="77">
        <v>-4500</v>
      </c>
      <c r="X8" s="77">
        <v>0</v>
      </c>
      <c r="Y8" s="115">
        <v>43262</v>
      </c>
      <c r="Z8" s="73">
        <f>WEEKNUM(Y8-RESUMEN!$AB$7)</f>
        <v>3</v>
      </c>
      <c r="AA8" s="73">
        <f>_xlfn.DAYS(Y8,RESUMEN!$AB$7)</f>
        <v>15</v>
      </c>
      <c r="AB8" s="133">
        <v>10130149</v>
      </c>
      <c r="AC8" s="73" t="str">
        <f>LOOKUP(AB8,FORMULAS!$A:$A,FORMULAS!$B:$B)</f>
        <v>Nupig Uno Kappa</v>
      </c>
      <c r="AD8" s="131">
        <v>4500</v>
      </c>
      <c r="AE8" s="131"/>
      <c r="AF8" s="132"/>
      <c r="AG8" s="76">
        <v>10130147</v>
      </c>
      <c r="AH8" s="77">
        <v>600</v>
      </c>
      <c r="AI8" s="77">
        <v>-600</v>
      </c>
      <c r="AJ8" s="77">
        <v>0</v>
      </c>
      <c r="AK8" s="117">
        <v>43262</v>
      </c>
      <c r="AL8" s="73">
        <f>WEEKNUM(AK8-RESUMEN!$AN$7)</f>
        <v>2</v>
      </c>
      <c r="AM8" s="73">
        <f>_xlfn.DAYS(AK8,RESUMEN!$AN$7)</f>
        <v>8</v>
      </c>
      <c r="AN8" s="133">
        <v>10130149</v>
      </c>
      <c r="AO8" s="73" t="str">
        <f>LOOKUP(AN8,FORMULAS!$A:$A,FORMULAS!$B:$B)</f>
        <v>Nupig Uno Kappa</v>
      </c>
      <c r="AP8" s="131">
        <v>4500</v>
      </c>
      <c r="AQ8" s="78"/>
      <c r="AR8" s="132"/>
      <c r="AS8" s="76">
        <v>10130149</v>
      </c>
      <c r="AT8" s="77">
        <v>4500</v>
      </c>
      <c r="AU8" s="77">
        <v>-4500</v>
      </c>
      <c r="AV8" s="77">
        <v>0</v>
      </c>
      <c r="AW8" s="117">
        <v>43262</v>
      </c>
      <c r="AX8" s="73">
        <f>WEEKNUM(AW8-RESUMEN!$AZ$7)</f>
        <v>1</v>
      </c>
      <c r="AY8" s="73">
        <f>_xlfn.DAYS(AW8,RESUMEN!$AZ$7)</f>
        <v>1</v>
      </c>
      <c r="AZ8" s="128">
        <v>10130149</v>
      </c>
      <c r="BA8" s="73" t="str">
        <f>LOOKUP(AZ8,FORMULAS!$A:$A,FORMULAS!$B:$B)</f>
        <v>Nupig Uno Kappa</v>
      </c>
      <c r="BB8" s="131">
        <v>4500</v>
      </c>
      <c r="BC8" s="131"/>
      <c r="BD8" s="73"/>
      <c r="BE8" s="76">
        <v>10130149</v>
      </c>
      <c r="BF8" s="77">
        <v>4500</v>
      </c>
      <c r="BG8" s="77">
        <v>-4500</v>
      </c>
      <c r="BH8" s="77">
        <v>0</v>
      </c>
      <c r="BI8" s="117">
        <v>43262</v>
      </c>
      <c r="BJ8" s="73" t="e">
        <f>WEEKNUM(BI8-RESUMEN!$BL$7)</f>
        <v>#NUM!</v>
      </c>
      <c r="BK8" s="73">
        <f>_xlfn.DAYS(BI8,RESUMEN!$BL$7)</f>
        <v>-5</v>
      </c>
      <c r="BL8" s="130">
        <v>10130149</v>
      </c>
      <c r="BM8" s="73" t="str">
        <f>LOOKUP(BL8,FORMULAS!$A:$A,FORMULAS!$B:$B)</f>
        <v>Nupig Uno Kappa</v>
      </c>
      <c r="BN8" s="131">
        <v>4500</v>
      </c>
      <c r="BO8" s="73"/>
      <c r="BP8" s="73"/>
      <c r="BQ8" s="76">
        <v>10130149</v>
      </c>
      <c r="BR8" s="77">
        <v>4500</v>
      </c>
      <c r="BS8" s="77">
        <v>-4500</v>
      </c>
      <c r="BT8" s="77">
        <v>0</v>
      </c>
    </row>
    <row r="9" spans="1:72" x14ac:dyDescent="0.25">
      <c r="A9" s="122">
        <v>43262</v>
      </c>
      <c r="B9" s="74">
        <f>WEEKNUM(A9-RESUMEN!$D$7)</f>
        <v>4</v>
      </c>
      <c r="C9" s="74">
        <f>_xlfn.DAYS(A9,RESUMEN!$D$7)</f>
        <v>24</v>
      </c>
      <c r="D9" s="123">
        <v>10130147</v>
      </c>
      <c r="E9" s="73" t="str">
        <f>LOOKUP(D9,FORMULAS!$A:$A,FORMULAS!$B:$B)</f>
        <v>Nupig Sew 150 Ppm Tiamulina+400Ppm Amoxicilina</v>
      </c>
      <c r="F9" s="125"/>
      <c r="G9" s="75">
        <v>-25</v>
      </c>
      <c r="H9" s="126"/>
      <c r="I9" s="76">
        <v>21121205</v>
      </c>
      <c r="J9" s="77">
        <v>25520</v>
      </c>
      <c r="K9" s="77">
        <v>-18020</v>
      </c>
      <c r="L9" s="77">
        <v>7500</v>
      </c>
      <c r="M9" s="117">
        <v>43265</v>
      </c>
      <c r="N9" s="73">
        <f>WEEKNUM(M9-RESUMEN!$P$7)</f>
        <v>4</v>
      </c>
      <c r="O9" s="73">
        <f>_xlfn.DAYS(M9,RESUMEN!$P$7)</f>
        <v>23</v>
      </c>
      <c r="P9" s="123">
        <v>10130149</v>
      </c>
      <c r="Q9" s="73" t="str">
        <f>LOOKUP(P9,FORMULAS!$A:$A,FORMULAS!$B:$B)</f>
        <v>Nupig Uno Kappa</v>
      </c>
      <c r="R9" s="131"/>
      <c r="S9" s="131">
        <v>-125</v>
      </c>
      <c r="T9" s="132"/>
      <c r="U9" s="76">
        <v>21121205</v>
      </c>
      <c r="V9" s="77">
        <v>22570</v>
      </c>
      <c r="W9" s="77">
        <v>-10070</v>
      </c>
      <c r="X9" s="77">
        <v>12500</v>
      </c>
      <c r="Y9" s="115">
        <v>43273</v>
      </c>
      <c r="Z9" s="73">
        <f>WEEKNUM(Y9-RESUMEN!$AB$7)</f>
        <v>4</v>
      </c>
      <c r="AA9" s="73">
        <f>_xlfn.DAYS(Y9,RESUMEN!$AB$7)</f>
        <v>26</v>
      </c>
      <c r="AB9" s="128">
        <v>10130147</v>
      </c>
      <c r="AC9" s="73" t="str">
        <f>LOOKUP(AB9,FORMULAS!$A:$A,FORMULAS!$B:$B)</f>
        <v>Nupig Sew 150 Ppm Tiamulina+400Ppm Amoxicilina</v>
      </c>
      <c r="AD9" s="131"/>
      <c r="AE9" s="131">
        <v>-50</v>
      </c>
      <c r="AF9" s="132"/>
      <c r="AG9" s="76">
        <v>21111214</v>
      </c>
      <c r="AH9" s="77">
        <v>12780</v>
      </c>
      <c r="AI9" s="77">
        <v>-12780</v>
      </c>
      <c r="AJ9" s="77">
        <v>0</v>
      </c>
      <c r="AK9" s="117">
        <v>43276</v>
      </c>
      <c r="AL9" s="73">
        <f>WEEKNUM(AK9-RESUMEN!$AN$7)</f>
        <v>4</v>
      </c>
      <c r="AM9" s="73">
        <f>_xlfn.DAYS(AK9,RESUMEN!$AN$7)</f>
        <v>22</v>
      </c>
      <c r="AN9" s="133">
        <v>10130149</v>
      </c>
      <c r="AO9" s="73" t="str">
        <f>LOOKUP(AN9,FORMULAS!$A:$A,FORMULAS!$B:$B)</f>
        <v>Nupig Uno Kappa</v>
      </c>
      <c r="AP9" s="131"/>
      <c r="AQ9" s="78">
        <v>-100</v>
      </c>
      <c r="AR9" s="132"/>
      <c r="AS9" s="76">
        <v>21121205</v>
      </c>
      <c r="AT9" s="77">
        <v>13860</v>
      </c>
      <c r="AU9" s="77">
        <v>-6360</v>
      </c>
      <c r="AV9" s="77">
        <v>7500</v>
      </c>
      <c r="AW9" s="117">
        <v>43283</v>
      </c>
      <c r="AX9" s="73">
        <f>WEEKNUM(AW9-RESUMEN!$AZ$7)</f>
        <v>4</v>
      </c>
      <c r="AY9" s="73">
        <f>_xlfn.DAYS(AW9,RESUMEN!$AZ$7)</f>
        <v>22</v>
      </c>
      <c r="AZ9" s="128">
        <v>10130149</v>
      </c>
      <c r="BA9" s="73" t="str">
        <f>LOOKUP(AZ9,FORMULAS!$A:$A,FORMULAS!$B:$B)</f>
        <v>Nupig Uno Kappa</v>
      </c>
      <c r="BB9" s="131"/>
      <c r="BC9" s="131">
        <v>-125</v>
      </c>
      <c r="BD9" s="132"/>
      <c r="BE9" s="76">
        <v>21111214</v>
      </c>
      <c r="BF9" s="77">
        <v>9310</v>
      </c>
      <c r="BG9" s="77">
        <v>-5310</v>
      </c>
      <c r="BH9" s="77">
        <v>4000</v>
      </c>
      <c r="BI9" s="117">
        <v>43293</v>
      </c>
      <c r="BJ9" s="73">
        <f>WEEKNUM(BI9-RESUMEN!$BL$7)</f>
        <v>4</v>
      </c>
      <c r="BK9" s="73">
        <f>_xlfn.DAYS(BI9,RESUMEN!$BL$7)</f>
        <v>26</v>
      </c>
      <c r="BL9" s="130">
        <v>10130147</v>
      </c>
      <c r="BM9" s="73" t="str">
        <f>LOOKUP(BL9,FORMULAS!$A:$A,FORMULAS!$B:$B)</f>
        <v>Nupig Sew 150 Ppm Tiamulina+400Ppm Amoxicilina</v>
      </c>
      <c r="BN9" s="131"/>
      <c r="BO9" s="73">
        <v>-50</v>
      </c>
      <c r="BP9" s="73"/>
      <c r="BQ9" s="76">
        <v>21111214</v>
      </c>
      <c r="BR9" s="77">
        <v>10000</v>
      </c>
      <c r="BS9" s="77">
        <v>-7000</v>
      </c>
      <c r="BT9" s="77">
        <v>3000</v>
      </c>
    </row>
    <row r="10" spans="1:72" x14ac:dyDescent="0.25">
      <c r="A10" s="122">
        <v>43262</v>
      </c>
      <c r="B10" s="74">
        <f>WEEKNUM(A10-RESUMEN!$D$7)</f>
        <v>4</v>
      </c>
      <c r="C10" s="74">
        <f>_xlfn.DAYS(A10,RESUMEN!$D$7)</f>
        <v>24</v>
      </c>
      <c r="D10" s="123">
        <v>10130149</v>
      </c>
      <c r="E10" s="73" t="str">
        <f>LOOKUP(D10,FORMULAS!$A:$A,FORMULAS!$B:$B)</f>
        <v>Nupig Uno Kappa</v>
      </c>
      <c r="F10" s="125"/>
      <c r="G10" s="75">
        <v>-125</v>
      </c>
      <c r="H10" s="126"/>
      <c r="I10" s="76">
        <v>21111214</v>
      </c>
      <c r="J10" s="77">
        <v>10000</v>
      </c>
      <c r="K10" s="77">
        <v>-10000</v>
      </c>
      <c r="L10" s="77">
        <v>0</v>
      </c>
      <c r="M10" s="117">
        <v>43266</v>
      </c>
      <c r="N10" s="73">
        <f>WEEKNUM(M10-RESUMEN!$P$7)</f>
        <v>4</v>
      </c>
      <c r="O10" s="73">
        <f>_xlfn.DAYS(M10,RESUMEN!$P$7)</f>
        <v>24</v>
      </c>
      <c r="P10" s="123">
        <v>10130149</v>
      </c>
      <c r="Q10" s="73" t="str">
        <f>LOOKUP(P10,FORMULAS!$A:$A,FORMULAS!$B:$B)</f>
        <v>Nupig Uno Kappa</v>
      </c>
      <c r="R10" s="131"/>
      <c r="S10" s="131">
        <v>-150</v>
      </c>
      <c r="T10" s="132"/>
      <c r="U10" s="76">
        <v>21111214</v>
      </c>
      <c r="V10" s="77">
        <v>9650</v>
      </c>
      <c r="W10" s="77">
        <v>-9650</v>
      </c>
      <c r="X10" s="77">
        <v>0</v>
      </c>
      <c r="Y10" s="115">
        <v>43273</v>
      </c>
      <c r="Z10" s="73">
        <f>WEEKNUM(Y10-RESUMEN!$AB$7)</f>
        <v>4</v>
      </c>
      <c r="AA10" s="73">
        <f>_xlfn.DAYS(Y10,RESUMEN!$AB$7)</f>
        <v>26</v>
      </c>
      <c r="AB10" s="133">
        <v>10130149</v>
      </c>
      <c r="AC10" s="73" t="str">
        <f>LOOKUP(AB10,FORMULAS!$A:$A,FORMULAS!$B:$B)</f>
        <v>Nupig Uno Kappa</v>
      </c>
      <c r="AD10" s="131"/>
      <c r="AE10" s="131">
        <v>-475</v>
      </c>
      <c r="AF10" s="132"/>
      <c r="AG10" s="76">
        <v>21121205</v>
      </c>
      <c r="AH10" s="77">
        <v>16100</v>
      </c>
      <c r="AI10" s="77">
        <v>-8100</v>
      </c>
      <c r="AJ10" s="77">
        <v>8000</v>
      </c>
      <c r="AK10" s="117">
        <v>43277</v>
      </c>
      <c r="AL10" s="73">
        <f>WEEKNUM(AK10-RESUMEN!$AN$7)</f>
        <v>4</v>
      </c>
      <c r="AM10" s="73">
        <f>_xlfn.DAYS(AK10,RESUMEN!$AN$7)</f>
        <v>23</v>
      </c>
      <c r="AN10" s="133">
        <v>10130149</v>
      </c>
      <c r="AO10" s="73" t="str">
        <f>LOOKUP(AN10,FORMULAS!$A:$A,FORMULAS!$B:$B)</f>
        <v>Nupig Uno Kappa</v>
      </c>
      <c r="AP10" s="131"/>
      <c r="AQ10" s="78">
        <v>-150</v>
      </c>
      <c r="AR10" s="132"/>
      <c r="AS10" s="76">
        <v>21111214</v>
      </c>
      <c r="AT10" s="77">
        <v>6740</v>
      </c>
      <c r="AU10" s="77">
        <v>-6740</v>
      </c>
      <c r="AV10" s="77">
        <v>0</v>
      </c>
      <c r="AW10" s="117">
        <v>43285</v>
      </c>
      <c r="AX10" s="73">
        <f>WEEKNUM(AW10-RESUMEN!$AZ$7)</f>
        <v>4</v>
      </c>
      <c r="AY10" s="73">
        <f>_xlfn.DAYS(AW10,RESUMEN!$AZ$7)</f>
        <v>24</v>
      </c>
      <c r="AZ10" s="128">
        <v>10130149</v>
      </c>
      <c r="BA10" s="73" t="str">
        <f>LOOKUP(AZ10,FORMULAS!$A:$A,FORMULAS!$B:$B)</f>
        <v>Nupig Uno Kappa</v>
      </c>
      <c r="BB10" s="131"/>
      <c r="BC10" s="131">
        <v>-125</v>
      </c>
      <c r="BD10" s="132"/>
      <c r="BE10" s="76" t="s">
        <v>112</v>
      </c>
      <c r="BF10" s="77">
        <v>14410</v>
      </c>
      <c r="BG10" s="77">
        <v>-10410</v>
      </c>
      <c r="BH10" s="77">
        <v>4000</v>
      </c>
      <c r="BI10" s="117">
        <v>43293</v>
      </c>
      <c r="BJ10" s="73">
        <f>WEEKNUM(BI10-RESUMEN!$BL$7)</f>
        <v>4</v>
      </c>
      <c r="BK10" s="73">
        <f>_xlfn.DAYS(BI10,RESUMEN!$BL$7)</f>
        <v>26</v>
      </c>
      <c r="BL10" s="130">
        <v>10130149</v>
      </c>
      <c r="BM10" s="73" t="str">
        <f>LOOKUP(BL10,FORMULAS!$A:$A,FORMULAS!$B:$B)</f>
        <v>Nupig Uno Kappa</v>
      </c>
      <c r="BN10" s="131"/>
      <c r="BO10" s="73">
        <v>-300</v>
      </c>
      <c r="BP10" s="132"/>
      <c r="BQ10" s="76" t="s">
        <v>112</v>
      </c>
      <c r="BR10" s="77">
        <v>15100</v>
      </c>
      <c r="BS10" s="77">
        <v>-12100</v>
      </c>
      <c r="BT10" s="77">
        <v>3000</v>
      </c>
    </row>
    <row r="11" spans="1:72" x14ac:dyDescent="0.25">
      <c r="A11" s="122">
        <v>43263</v>
      </c>
      <c r="B11" s="74">
        <f>WEEKNUM(A11-RESUMEN!$D$7)</f>
        <v>4</v>
      </c>
      <c r="C11" s="74">
        <f>_xlfn.DAYS(A11,RESUMEN!$D$7)</f>
        <v>25</v>
      </c>
      <c r="D11" s="123">
        <v>10130149</v>
      </c>
      <c r="E11" s="73" t="str">
        <f>LOOKUP(D11,FORMULAS!$A:$A,FORMULAS!$B:$B)</f>
        <v>Nupig Uno Kappa</v>
      </c>
      <c r="F11" s="125"/>
      <c r="G11" s="75">
        <v>-100</v>
      </c>
      <c r="H11" s="126"/>
      <c r="I11" s="76" t="s">
        <v>112</v>
      </c>
      <c r="J11" s="77">
        <v>40620</v>
      </c>
      <c r="K11" s="77">
        <v>-33120</v>
      </c>
      <c r="L11" s="77">
        <v>7500</v>
      </c>
      <c r="M11" s="117">
        <v>43267</v>
      </c>
      <c r="N11" s="73">
        <f>WEEKNUM(M11-RESUMEN!$P$7)</f>
        <v>4</v>
      </c>
      <c r="O11" s="73">
        <f>_xlfn.DAYS(M11,RESUMEN!$P$7)</f>
        <v>25</v>
      </c>
      <c r="P11" s="123">
        <v>10130149</v>
      </c>
      <c r="Q11" s="73" t="str">
        <f>LOOKUP(P11,FORMULAS!$A:$A,FORMULAS!$B:$B)</f>
        <v>Nupig Uno Kappa</v>
      </c>
      <c r="R11" s="131"/>
      <c r="S11" s="131">
        <v>-50</v>
      </c>
      <c r="T11" s="132"/>
      <c r="U11" s="76" t="s">
        <v>112</v>
      </c>
      <c r="V11" s="77">
        <v>37320</v>
      </c>
      <c r="W11" s="77">
        <v>-24820</v>
      </c>
      <c r="X11" s="77">
        <v>12500</v>
      </c>
      <c r="Y11" s="115">
        <v>43274</v>
      </c>
      <c r="Z11" s="73">
        <f>WEEKNUM(Y11-RESUMEN!$AB$7)</f>
        <v>4</v>
      </c>
      <c r="AA11" s="73">
        <f>_xlfn.DAYS(Y11,RESUMEN!$AB$7)</f>
        <v>27</v>
      </c>
      <c r="AB11" s="133">
        <v>10130149</v>
      </c>
      <c r="AC11" s="73" t="str">
        <f>LOOKUP(AB11,FORMULAS!$A:$A,FORMULAS!$B:$B)</f>
        <v>Nupig Uno Kappa</v>
      </c>
      <c r="AD11" s="78"/>
      <c r="AE11" s="78">
        <v>-50</v>
      </c>
      <c r="AF11" s="135"/>
      <c r="AG11" s="76" t="s">
        <v>112</v>
      </c>
      <c r="AH11" s="77">
        <v>33980</v>
      </c>
      <c r="AI11" s="77">
        <v>-25980</v>
      </c>
      <c r="AJ11" s="77">
        <v>8000</v>
      </c>
      <c r="AK11" s="117">
        <v>43279</v>
      </c>
      <c r="AL11" s="73">
        <f>WEEKNUM(AK11-RESUMEN!$AN$7)</f>
        <v>4</v>
      </c>
      <c r="AM11" s="73">
        <f>_xlfn.DAYS(AK11,RESUMEN!$AN$7)</f>
        <v>25</v>
      </c>
      <c r="AN11" s="133">
        <v>10130149</v>
      </c>
      <c r="AO11" s="73" t="str">
        <f>LOOKUP(AN11,FORMULAS!$A:$A,FORMULAS!$B:$B)</f>
        <v>Nupig Uno Kappa</v>
      </c>
      <c r="AP11" s="78"/>
      <c r="AQ11" s="78">
        <v>-200</v>
      </c>
      <c r="AR11" s="135"/>
      <c r="AS11" s="76" t="s">
        <v>112</v>
      </c>
      <c r="AT11" s="77">
        <v>25700</v>
      </c>
      <c r="AU11" s="77">
        <v>-18200</v>
      </c>
      <c r="AV11" s="77">
        <v>7500</v>
      </c>
      <c r="AW11" s="117">
        <v>43286</v>
      </c>
      <c r="AX11" s="73">
        <f>WEEKNUM(AW11-RESUMEN!$AZ$7)</f>
        <v>4</v>
      </c>
      <c r="AY11" s="73">
        <f>_xlfn.DAYS(AW11,RESUMEN!$AZ$7)</f>
        <v>25</v>
      </c>
      <c r="AZ11" s="128">
        <v>10130149</v>
      </c>
      <c r="BA11" s="73" t="str">
        <f>LOOKUP(AZ11,FORMULAS!$A:$A,FORMULAS!$B:$B)</f>
        <v>Nupig Uno Kappa</v>
      </c>
      <c r="BB11" s="78"/>
      <c r="BC11" s="78">
        <v>-125</v>
      </c>
      <c r="BD11" s="135"/>
      <c r="BE11" s="73"/>
      <c r="BF11" s="73"/>
      <c r="BG11" s="73"/>
      <c r="BH11" s="73"/>
      <c r="BI11" s="117">
        <v>43294</v>
      </c>
      <c r="BJ11" s="73">
        <f>WEEKNUM(BI11-RESUMEN!$BL$7)</f>
        <v>4</v>
      </c>
      <c r="BK11" s="73">
        <f>_xlfn.DAYS(BI11,RESUMEN!$BL$7)</f>
        <v>27</v>
      </c>
      <c r="BL11" s="130">
        <v>10130149</v>
      </c>
      <c r="BM11" s="73" t="str">
        <f>LOOKUP(BL11,FORMULAS!$A:$A,FORMULAS!$B:$B)</f>
        <v>Nupig Uno Kappa</v>
      </c>
      <c r="BN11" s="78"/>
      <c r="BO11" s="73">
        <v>-600</v>
      </c>
      <c r="BP11" s="135"/>
      <c r="BQ11" s="73"/>
      <c r="BR11" s="73"/>
      <c r="BS11" s="73"/>
      <c r="BT11" s="73"/>
    </row>
    <row r="12" spans="1:72" x14ac:dyDescent="0.25">
      <c r="A12" s="122">
        <v>43264</v>
      </c>
      <c r="B12" s="74">
        <f>WEEKNUM(A12-RESUMEN!$D$7)</f>
        <v>4</v>
      </c>
      <c r="C12" s="74">
        <f>_xlfn.DAYS(A12,RESUMEN!$D$7)</f>
        <v>26</v>
      </c>
      <c r="D12" s="123">
        <v>10130149</v>
      </c>
      <c r="E12" s="73" t="str">
        <f>LOOKUP(D12,FORMULAS!$A:$A,FORMULAS!$B:$B)</f>
        <v>Nupig Uno Kappa</v>
      </c>
      <c r="F12" s="80"/>
      <c r="G12" s="75">
        <v>-200</v>
      </c>
      <c r="H12" s="126"/>
      <c r="I12" s="73"/>
      <c r="J12" s="73"/>
      <c r="K12" s="73"/>
      <c r="L12" s="73"/>
      <c r="M12" s="117">
        <v>43268</v>
      </c>
      <c r="N12" s="73">
        <f>WEEKNUM(M12-RESUMEN!$P$7)</f>
        <v>4</v>
      </c>
      <c r="O12" s="73">
        <f>_xlfn.DAYS(M12,RESUMEN!$P$7)</f>
        <v>26</v>
      </c>
      <c r="P12" s="123">
        <v>10130149</v>
      </c>
      <c r="Q12" s="73" t="str">
        <f>LOOKUP(P12,FORMULAS!$A:$A,FORMULAS!$B:$B)</f>
        <v>Nupig Uno Kappa</v>
      </c>
      <c r="R12" s="78"/>
      <c r="S12" s="78">
        <v>-25</v>
      </c>
      <c r="T12" s="135"/>
      <c r="U12" s="73"/>
      <c r="V12" s="73"/>
      <c r="W12" s="73"/>
      <c r="X12" s="73"/>
      <c r="Y12" s="115">
        <v>43275</v>
      </c>
      <c r="Z12" s="73">
        <f>WEEKNUM(Y12-RESUMEN!$AB$7)</f>
        <v>4</v>
      </c>
      <c r="AA12" s="73">
        <f>_xlfn.DAYS(Y12,RESUMEN!$AB$7)</f>
        <v>28</v>
      </c>
      <c r="AB12" s="133">
        <v>10130149</v>
      </c>
      <c r="AC12" s="73" t="str">
        <f>LOOKUP(AB12,FORMULAS!$A:$A,FORMULAS!$B:$B)</f>
        <v>Nupig Uno Kappa</v>
      </c>
      <c r="AD12" s="78"/>
      <c r="AE12" s="78">
        <v>-175</v>
      </c>
      <c r="AF12" s="135"/>
      <c r="AG12" s="73"/>
      <c r="AH12" s="73"/>
      <c r="AI12" s="73"/>
      <c r="AJ12" s="73"/>
      <c r="AK12" s="117">
        <v>43280</v>
      </c>
      <c r="AL12" s="73">
        <f>WEEKNUM(AK12-RESUMEN!$AN$7)</f>
        <v>4</v>
      </c>
      <c r="AM12" s="73">
        <f>_xlfn.DAYS(AK12,RESUMEN!$AN$7)</f>
        <v>26</v>
      </c>
      <c r="AN12" s="128">
        <v>10130147</v>
      </c>
      <c r="AO12" s="73" t="str">
        <f>LOOKUP(AN12,FORMULAS!$A:$A,FORMULAS!$B:$B)</f>
        <v>Nupig Sew 150 Ppm Tiamulina+400Ppm Amoxicilina</v>
      </c>
      <c r="AP12" s="78"/>
      <c r="AQ12" s="78">
        <v>-50</v>
      </c>
      <c r="AR12" s="135"/>
      <c r="AS12" s="73"/>
      <c r="AT12" s="73"/>
      <c r="AU12" s="73"/>
      <c r="AV12" s="73"/>
      <c r="AW12" s="117">
        <v>43287</v>
      </c>
      <c r="AX12" s="73">
        <f>WEEKNUM(AW12-RESUMEN!$AZ$7)</f>
        <v>4</v>
      </c>
      <c r="AY12" s="73">
        <f>_xlfn.DAYS(AW12,RESUMEN!$AZ$7)</f>
        <v>26</v>
      </c>
      <c r="AZ12" s="128">
        <v>10130147</v>
      </c>
      <c r="BA12" s="73" t="str">
        <f>LOOKUP(AZ12,FORMULAS!$A:$A,FORMULAS!$B:$B)</f>
        <v>Nupig Sew 150 Ppm Tiamulina+400Ppm Amoxicilina</v>
      </c>
      <c r="BB12" s="78"/>
      <c r="BC12" s="78">
        <v>-50</v>
      </c>
      <c r="BD12" s="135"/>
      <c r="BE12" s="73"/>
      <c r="BF12" s="73"/>
      <c r="BG12" s="73"/>
      <c r="BH12" s="73"/>
      <c r="BI12" s="117">
        <v>43295</v>
      </c>
      <c r="BJ12" s="73">
        <f>WEEKNUM(BI12-RESUMEN!$BL$7)</f>
        <v>4</v>
      </c>
      <c r="BK12" s="73">
        <f>_xlfn.DAYS(BI12,RESUMEN!$BL$7)</f>
        <v>28</v>
      </c>
      <c r="BL12" s="130">
        <v>10130149</v>
      </c>
      <c r="BM12" s="73" t="str">
        <f>LOOKUP(BL12,FORMULAS!$A:$A,FORMULAS!$B:$B)</f>
        <v>Nupig Uno Kappa</v>
      </c>
      <c r="BN12" s="78"/>
      <c r="BO12" s="73">
        <v>-250</v>
      </c>
      <c r="BP12" s="135"/>
      <c r="BQ12" s="73"/>
      <c r="BR12" s="73"/>
      <c r="BS12" s="73"/>
      <c r="BT12" s="73"/>
    </row>
    <row r="13" spans="1:72" x14ac:dyDescent="0.25">
      <c r="A13" s="122">
        <v>43265</v>
      </c>
      <c r="B13" s="74">
        <f>WEEKNUM(A13-RESUMEN!$D$7)</f>
        <v>4</v>
      </c>
      <c r="C13" s="74">
        <f>_xlfn.DAYS(A13,RESUMEN!$D$7)</f>
        <v>27</v>
      </c>
      <c r="D13" s="123">
        <v>10130147</v>
      </c>
      <c r="E13" s="73" t="str">
        <f>LOOKUP(D13,FORMULAS!$A:$A,FORMULAS!$B:$B)</f>
        <v>Nupig Sew 150 Ppm Tiamulina+400Ppm Amoxicilina</v>
      </c>
      <c r="F13" s="80"/>
      <c r="G13" s="75">
        <v>-50</v>
      </c>
      <c r="H13" s="127"/>
      <c r="I13" s="73"/>
      <c r="J13" s="73"/>
      <c r="K13" s="73"/>
      <c r="L13" s="73"/>
      <c r="M13" s="117">
        <v>43269</v>
      </c>
      <c r="N13" s="73">
        <f>WEEKNUM(M13-RESUMEN!$P$7)</f>
        <v>4</v>
      </c>
      <c r="O13" s="73">
        <f>_xlfn.DAYS(M13,RESUMEN!$P$7)</f>
        <v>27</v>
      </c>
      <c r="P13" s="123">
        <v>10130149</v>
      </c>
      <c r="Q13" s="73" t="str">
        <f>LOOKUP(P13,FORMULAS!$A:$A,FORMULAS!$B:$B)</f>
        <v>Nupig Uno Kappa</v>
      </c>
      <c r="R13" s="78"/>
      <c r="S13" s="78">
        <v>-150</v>
      </c>
      <c r="T13" s="135"/>
      <c r="U13" s="73"/>
      <c r="V13" s="73"/>
      <c r="W13" s="73"/>
      <c r="X13" s="73"/>
      <c r="Y13" s="115">
        <v>43275</v>
      </c>
      <c r="Z13" s="73">
        <f>WEEKNUM(Y13-RESUMEN!$AB$7)</f>
        <v>4</v>
      </c>
      <c r="AA13" s="73">
        <f>_xlfn.DAYS(Y13,RESUMEN!$AB$7)</f>
        <v>28</v>
      </c>
      <c r="AB13" s="128">
        <v>10130147</v>
      </c>
      <c r="AC13" s="73" t="str">
        <f>LOOKUP(AB13,FORMULAS!$A:$A,FORMULAS!$B:$B)</f>
        <v>Nupig Sew 150 Ppm Tiamulina+400Ppm Amoxicilina</v>
      </c>
      <c r="AD13" s="78"/>
      <c r="AE13" s="78">
        <v>-25</v>
      </c>
      <c r="AF13" s="135"/>
      <c r="AG13" s="73"/>
      <c r="AH13" s="73"/>
      <c r="AI13" s="73"/>
      <c r="AJ13" s="73"/>
      <c r="AK13" s="117">
        <v>43280</v>
      </c>
      <c r="AL13" s="73">
        <f>WEEKNUM(AK13-RESUMEN!$AN$7)</f>
        <v>4</v>
      </c>
      <c r="AM13" s="73">
        <f>_xlfn.DAYS(AK13,RESUMEN!$AN$7)</f>
        <v>26</v>
      </c>
      <c r="AN13" s="133">
        <v>10130149</v>
      </c>
      <c r="AO13" s="73" t="str">
        <f>LOOKUP(AN13,FORMULAS!$A:$A,FORMULAS!$B:$B)</f>
        <v>Nupig Uno Kappa</v>
      </c>
      <c r="AP13" s="78"/>
      <c r="AQ13" s="78">
        <v>-175</v>
      </c>
      <c r="AR13" s="135"/>
      <c r="AS13" s="73"/>
      <c r="AT13" s="73"/>
      <c r="AU13" s="73"/>
      <c r="AV13" s="73"/>
      <c r="AW13" s="117">
        <v>43287</v>
      </c>
      <c r="AX13" s="73">
        <f>WEEKNUM(AW13-RESUMEN!$AZ$7)</f>
        <v>4</v>
      </c>
      <c r="AY13" s="73">
        <f>_xlfn.DAYS(AW13,RESUMEN!$AZ$7)</f>
        <v>26</v>
      </c>
      <c r="AZ13" s="128">
        <v>10130149</v>
      </c>
      <c r="BA13" s="73" t="str">
        <f>LOOKUP(AZ13,FORMULAS!$A:$A,FORMULAS!$B:$B)</f>
        <v>Nupig Uno Kappa</v>
      </c>
      <c r="BB13" s="78"/>
      <c r="BC13" s="78">
        <v>-250</v>
      </c>
      <c r="BD13" s="135"/>
      <c r="BE13" s="73"/>
      <c r="BF13" s="73"/>
      <c r="BG13" s="73"/>
      <c r="BH13" s="73"/>
      <c r="BI13" s="117">
        <v>43297</v>
      </c>
      <c r="BJ13" s="73">
        <f>WEEKNUM(BI13-RESUMEN!$BL$7)</f>
        <v>5</v>
      </c>
      <c r="BK13" s="73">
        <f>_xlfn.DAYS(BI13,RESUMEN!$BL$7)</f>
        <v>30</v>
      </c>
      <c r="BL13" s="130">
        <v>10130149</v>
      </c>
      <c r="BM13" s="73" t="str">
        <f>LOOKUP(BL13,FORMULAS!$A:$A,FORMULAS!$B:$B)</f>
        <v>Nupig Uno Kappa</v>
      </c>
      <c r="BN13" s="78"/>
      <c r="BO13" s="73">
        <v>-250</v>
      </c>
      <c r="BP13" s="135"/>
      <c r="BQ13" s="73"/>
      <c r="BR13" s="73"/>
      <c r="BS13" s="73"/>
      <c r="BT13" s="73"/>
    </row>
    <row r="14" spans="1:72" x14ac:dyDescent="0.25">
      <c r="A14" s="122">
        <v>43265</v>
      </c>
      <c r="B14" s="74">
        <f>WEEKNUM(A14-RESUMEN!$D$7)</f>
        <v>4</v>
      </c>
      <c r="C14" s="74">
        <f>_xlfn.DAYS(A14,RESUMEN!$D$7)</f>
        <v>27</v>
      </c>
      <c r="D14" s="123">
        <v>10130149</v>
      </c>
      <c r="E14" s="73" t="str">
        <f>LOOKUP(D14,FORMULAS!$A:$A,FORMULAS!$B:$B)</f>
        <v>Nupig Uno Kappa</v>
      </c>
      <c r="F14" s="80"/>
      <c r="G14" s="75">
        <v>-250</v>
      </c>
      <c r="H14" s="127"/>
      <c r="I14" s="73"/>
      <c r="J14" s="73"/>
      <c r="K14" s="73"/>
      <c r="L14" s="73"/>
      <c r="M14" s="117">
        <v>43269</v>
      </c>
      <c r="N14" s="73">
        <f>WEEKNUM(M14-RESUMEN!$P$7)</f>
        <v>4</v>
      </c>
      <c r="O14" s="73">
        <f>_xlfn.DAYS(M14,RESUMEN!$P$7)</f>
        <v>27</v>
      </c>
      <c r="P14" s="123">
        <v>10130147</v>
      </c>
      <c r="Q14" s="73" t="str">
        <f>LOOKUP(P14,FORMULAS!$A:$A,FORMULAS!$B:$B)</f>
        <v>Nupig Sew 150 Ppm Tiamulina+400Ppm Amoxicilina</v>
      </c>
      <c r="R14" s="78"/>
      <c r="S14" s="78">
        <v>-50</v>
      </c>
      <c r="T14" s="135"/>
      <c r="U14" s="73"/>
      <c r="V14" s="73"/>
      <c r="W14" s="73"/>
      <c r="X14" s="73"/>
      <c r="Y14" s="115">
        <v>43276</v>
      </c>
      <c r="Z14" s="73">
        <f>WEEKNUM(Y14-RESUMEN!$AB$7)</f>
        <v>5</v>
      </c>
      <c r="AA14" s="73">
        <f>_xlfn.DAYS(Y14,RESUMEN!$AB$7)</f>
        <v>29</v>
      </c>
      <c r="AB14" s="133">
        <v>10130149</v>
      </c>
      <c r="AC14" s="73" t="str">
        <f>LOOKUP(AB14,FORMULAS!$A:$A,FORMULAS!$B:$B)</f>
        <v>Nupig Uno Kappa</v>
      </c>
      <c r="AD14" s="78"/>
      <c r="AE14" s="78">
        <v>-200</v>
      </c>
      <c r="AF14" s="135"/>
      <c r="AG14" s="73"/>
      <c r="AH14" s="73"/>
      <c r="AI14" s="73"/>
      <c r="AJ14" s="73"/>
      <c r="AK14" s="117">
        <v>43281</v>
      </c>
      <c r="AL14" s="73">
        <f>WEEKNUM(AK14-RESUMEN!$AN$7)</f>
        <v>4</v>
      </c>
      <c r="AM14" s="73">
        <f>_xlfn.DAYS(AK14,RESUMEN!$AN$7)</f>
        <v>27</v>
      </c>
      <c r="AN14" s="128">
        <v>10130147</v>
      </c>
      <c r="AO14" s="73" t="str">
        <f>LOOKUP(AN14,FORMULAS!$A:$A,FORMULAS!$B:$B)</f>
        <v>Nupig Sew 150 Ppm Tiamulina+400Ppm Amoxicilina</v>
      </c>
      <c r="AP14" s="78"/>
      <c r="AQ14" s="78">
        <v>-25</v>
      </c>
      <c r="AR14" s="135"/>
      <c r="AS14" s="73"/>
      <c r="AT14" s="73"/>
      <c r="AU14" s="73"/>
      <c r="AV14" s="73"/>
      <c r="AW14" s="117">
        <v>43289</v>
      </c>
      <c r="AX14" s="73">
        <f>WEEKNUM(AW14-RESUMEN!$AZ$7)</f>
        <v>4</v>
      </c>
      <c r="AY14" s="73">
        <f>_xlfn.DAYS(AW14,RESUMEN!$AZ$7)</f>
        <v>28</v>
      </c>
      <c r="AZ14" s="128">
        <v>10130149</v>
      </c>
      <c r="BA14" s="73" t="str">
        <f>LOOKUP(AZ14,FORMULAS!$A:$A,FORMULAS!$B:$B)</f>
        <v>Nupig Uno Kappa</v>
      </c>
      <c r="BB14" s="78"/>
      <c r="BC14" s="78">
        <v>-175</v>
      </c>
      <c r="BD14" s="135"/>
      <c r="BE14" s="73"/>
      <c r="BF14" s="73"/>
      <c r="BG14" s="73"/>
      <c r="BH14" s="73"/>
      <c r="BI14" s="117">
        <v>43297</v>
      </c>
      <c r="BJ14" s="73">
        <f>WEEKNUM(BI14-RESUMEN!$BL$7)</f>
        <v>5</v>
      </c>
      <c r="BK14" s="73">
        <f>_xlfn.DAYS(BI14,RESUMEN!$BL$7)</f>
        <v>30</v>
      </c>
      <c r="BL14" s="135">
        <v>21111214</v>
      </c>
      <c r="BM14" s="73" t="str">
        <f>LOOKUP(BL14,FORMULAS!$A:$A,FORMULAS!$B:$B)</f>
        <v>Cerdos Fase 2 Med</v>
      </c>
      <c r="BN14" s="78">
        <v>10000</v>
      </c>
      <c r="BO14" s="73"/>
      <c r="BP14" s="135" t="s">
        <v>294</v>
      </c>
      <c r="BQ14" s="73"/>
      <c r="BR14" s="73"/>
      <c r="BS14" s="73"/>
      <c r="BT14" s="73"/>
    </row>
    <row r="15" spans="1:72" x14ac:dyDescent="0.25">
      <c r="A15" s="122">
        <v>43266</v>
      </c>
      <c r="B15" s="74">
        <f>WEEKNUM(A15-RESUMEN!$D$7)</f>
        <v>4</v>
      </c>
      <c r="C15" s="74">
        <f>_xlfn.DAYS(A15,RESUMEN!$D$7)</f>
        <v>28</v>
      </c>
      <c r="D15" s="123">
        <v>10130149</v>
      </c>
      <c r="E15" s="73" t="str">
        <f>LOOKUP(D15,FORMULAS!$A:$A,FORMULAS!$B:$B)</f>
        <v>Nupig Uno Kappa</v>
      </c>
      <c r="F15" s="80"/>
      <c r="G15" s="75">
        <v>-475</v>
      </c>
      <c r="H15" s="127"/>
      <c r="I15" s="73"/>
      <c r="J15" s="73"/>
      <c r="K15" s="73"/>
      <c r="L15" s="73"/>
      <c r="M15" s="117">
        <v>43270</v>
      </c>
      <c r="N15" s="73">
        <f>WEEKNUM(M15-RESUMEN!$P$7)</f>
        <v>4</v>
      </c>
      <c r="O15" s="73">
        <f>_xlfn.DAYS(M15,RESUMEN!$P$7)</f>
        <v>28</v>
      </c>
      <c r="P15" s="123">
        <v>10130149</v>
      </c>
      <c r="Q15" s="73" t="str">
        <f>LOOKUP(P15,FORMULAS!$A:$A,FORMULAS!$B:$B)</f>
        <v>Nupig Uno Kappa</v>
      </c>
      <c r="R15" s="78"/>
      <c r="S15" s="78">
        <v>-275</v>
      </c>
      <c r="T15" s="135"/>
      <c r="U15" s="73"/>
      <c r="V15" s="73"/>
      <c r="W15" s="73"/>
      <c r="X15" s="73"/>
      <c r="Y15" s="115">
        <v>43276</v>
      </c>
      <c r="Z15" s="73">
        <f>WEEKNUM(Y15-RESUMEN!$AB$7)</f>
        <v>5</v>
      </c>
      <c r="AA15" s="73">
        <f>_xlfn.DAYS(Y15,RESUMEN!$AB$7)</f>
        <v>29</v>
      </c>
      <c r="AB15" s="128">
        <v>10130147</v>
      </c>
      <c r="AC15" s="73" t="str">
        <f>LOOKUP(AB15,FORMULAS!$A:$A,FORMULAS!$B:$B)</f>
        <v>Nupig Sew 150 Ppm Tiamulina+400Ppm Amoxicilina</v>
      </c>
      <c r="AD15" s="78"/>
      <c r="AE15" s="78">
        <v>-50</v>
      </c>
      <c r="AF15" s="135"/>
      <c r="AG15" s="73"/>
      <c r="AH15" s="73"/>
      <c r="AI15" s="73"/>
      <c r="AJ15" s="73"/>
      <c r="AK15" s="117">
        <v>43281</v>
      </c>
      <c r="AL15" s="73">
        <f>WEEKNUM(AK15-RESUMEN!$AN$7)</f>
        <v>4</v>
      </c>
      <c r="AM15" s="73">
        <f>_xlfn.DAYS(AK15,RESUMEN!$AN$7)</f>
        <v>27</v>
      </c>
      <c r="AN15" s="133">
        <v>10130149</v>
      </c>
      <c r="AO15" s="73" t="str">
        <f>LOOKUP(AN15,FORMULAS!$A:$A,FORMULAS!$B:$B)</f>
        <v>Nupig Uno Kappa</v>
      </c>
      <c r="AP15" s="78"/>
      <c r="AQ15" s="78">
        <v>-175</v>
      </c>
      <c r="AR15" s="135"/>
      <c r="AS15" s="73"/>
      <c r="AT15" s="73"/>
      <c r="AU15" s="73"/>
      <c r="AV15" s="73"/>
      <c r="AW15" s="117">
        <v>43290</v>
      </c>
      <c r="AX15" s="73">
        <f>WEEKNUM(AW15-RESUMEN!$AZ$7)</f>
        <v>5</v>
      </c>
      <c r="AY15" s="73">
        <f>_xlfn.DAYS(AW15,RESUMEN!$AZ$7)</f>
        <v>29</v>
      </c>
      <c r="AZ15" s="128">
        <v>10130149</v>
      </c>
      <c r="BA15" s="73" t="str">
        <f>LOOKUP(AZ15,FORMULAS!$A:$A,FORMULAS!$B:$B)</f>
        <v>Nupig Uno Kappa</v>
      </c>
      <c r="BB15" s="78"/>
      <c r="BC15" s="78">
        <v>-275</v>
      </c>
      <c r="BD15" s="135"/>
      <c r="BE15" s="73"/>
      <c r="BF15" s="73"/>
      <c r="BG15" s="73"/>
      <c r="BH15" s="73"/>
      <c r="BI15" s="117">
        <v>43298</v>
      </c>
      <c r="BJ15" s="73">
        <f>WEEKNUM(BI15-RESUMEN!$BL$7)</f>
        <v>5</v>
      </c>
      <c r="BK15" s="73">
        <f>_xlfn.DAYS(BI15,RESUMEN!$BL$7)</f>
        <v>31</v>
      </c>
      <c r="BL15" s="130">
        <v>10130149</v>
      </c>
      <c r="BM15" s="73" t="str">
        <f>LOOKUP(BL15,FORMULAS!$A:$A,FORMULAS!$B:$B)</f>
        <v>Nupig Uno Kappa</v>
      </c>
      <c r="BN15" s="78"/>
      <c r="BO15" s="73">
        <v>-75</v>
      </c>
      <c r="BP15" s="135"/>
      <c r="BQ15" s="73"/>
      <c r="BR15" s="73"/>
      <c r="BS15" s="73"/>
      <c r="BT15" s="73"/>
    </row>
    <row r="16" spans="1:72" x14ac:dyDescent="0.25">
      <c r="A16" s="122">
        <v>43266</v>
      </c>
      <c r="B16" s="74">
        <f>WEEKNUM(A16-RESUMEN!$D$7)</f>
        <v>4</v>
      </c>
      <c r="C16" s="74">
        <f>_xlfn.DAYS(A16,RESUMEN!$D$7)</f>
        <v>28</v>
      </c>
      <c r="D16" s="123">
        <v>10130147</v>
      </c>
      <c r="E16" s="73" t="str">
        <f>LOOKUP(D16,FORMULAS!$A:$A,FORMULAS!$B:$B)</f>
        <v>Nupig Sew 150 Ppm Tiamulina+400Ppm Amoxicilina</v>
      </c>
      <c r="F16" s="80"/>
      <c r="G16" s="75">
        <v>-50</v>
      </c>
      <c r="H16" s="127"/>
      <c r="I16" s="73"/>
      <c r="J16" s="73"/>
      <c r="K16" s="73"/>
      <c r="L16" s="73"/>
      <c r="M16" s="117">
        <v>43270</v>
      </c>
      <c r="N16" s="73">
        <f>WEEKNUM(M16-RESUMEN!$P$7)</f>
        <v>4</v>
      </c>
      <c r="O16" s="73">
        <f>_xlfn.DAYS(M16,RESUMEN!$P$7)</f>
        <v>28</v>
      </c>
      <c r="P16" s="123">
        <v>10130147</v>
      </c>
      <c r="Q16" s="73" t="str">
        <f>LOOKUP(P16,FORMULAS!$A:$A,FORMULAS!$B:$B)</f>
        <v>Nupig Sew 150 Ppm Tiamulina+400Ppm Amoxicilina</v>
      </c>
      <c r="R16" s="78"/>
      <c r="S16" s="78">
        <v>-25</v>
      </c>
      <c r="T16" s="135"/>
      <c r="U16" s="73"/>
      <c r="V16" s="73"/>
      <c r="W16" s="73"/>
      <c r="X16" s="73"/>
      <c r="Y16" s="115">
        <v>43277</v>
      </c>
      <c r="Z16" s="73">
        <f>WEEKNUM(Y16-RESUMEN!$AB$7)</f>
        <v>5</v>
      </c>
      <c r="AA16" s="73">
        <f>_xlfn.DAYS(Y16,RESUMEN!$AB$7)</f>
        <v>30</v>
      </c>
      <c r="AB16" s="133">
        <v>10130149</v>
      </c>
      <c r="AC16" s="73" t="str">
        <f>LOOKUP(AB16,FORMULAS!$A:$A,FORMULAS!$B:$B)</f>
        <v>Nupig Uno Kappa</v>
      </c>
      <c r="AD16" s="78"/>
      <c r="AE16" s="78">
        <v>-275</v>
      </c>
      <c r="AF16" s="135"/>
      <c r="AG16" s="73"/>
      <c r="AH16" s="73"/>
      <c r="AI16" s="73"/>
      <c r="AJ16" s="73"/>
      <c r="AK16" s="117">
        <v>43282</v>
      </c>
      <c r="AL16" s="73">
        <f>WEEKNUM(AK16-RESUMEN!$AN$7)</f>
        <v>4</v>
      </c>
      <c r="AM16" s="73">
        <f>_xlfn.DAYS(AK16,RESUMEN!$AN$7)</f>
        <v>28</v>
      </c>
      <c r="AN16" s="128">
        <v>10130147</v>
      </c>
      <c r="AO16" s="73" t="str">
        <f>LOOKUP(AN16,FORMULAS!$A:$A,FORMULAS!$B:$B)</f>
        <v>Nupig Sew 150 Ppm Tiamulina+400Ppm Amoxicilina</v>
      </c>
      <c r="AP16" s="78"/>
      <c r="AQ16" s="78">
        <v>-25</v>
      </c>
      <c r="AR16" s="135"/>
      <c r="AS16" s="73"/>
      <c r="AT16" s="73"/>
      <c r="AU16" s="73"/>
      <c r="AV16" s="73"/>
      <c r="AW16" s="117">
        <v>43291</v>
      </c>
      <c r="AX16" s="73">
        <f>WEEKNUM(AW16-RESUMEN!$AZ$7)</f>
        <v>5</v>
      </c>
      <c r="AY16" s="73">
        <f>_xlfn.DAYS(AW16,RESUMEN!$AZ$7)</f>
        <v>30</v>
      </c>
      <c r="AZ16" s="128">
        <v>10130149</v>
      </c>
      <c r="BA16" s="73" t="str">
        <f>LOOKUP(AZ16,FORMULAS!$A:$A,FORMULAS!$B:$B)</f>
        <v>Nupig Uno Kappa</v>
      </c>
      <c r="BB16" s="78"/>
      <c r="BC16" s="78">
        <v>-75</v>
      </c>
      <c r="BD16" s="135"/>
      <c r="BE16" s="73"/>
      <c r="BF16" s="73"/>
      <c r="BG16" s="73"/>
      <c r="BH16" s="73"/>
      <c r="BI16" s="117">
        <v>43300</v>
      </c>
      <c r="BJ16" s="73">
        <f>WEEKNUM(BI16-RESUMEN!$BL$7)</f>
        <v>5</v>
      </c>
      <c r="BK16" s="73">
        <f>_xlfn.DAYS(BI16,RESUMEN!$BL$7)</f>
        <v>33</v>
      </c>
      <c r="BL16" s="130">
        <v>10130147</v>
      </c>
      <c r="BM16" s="73" t="str">
        <f>LOOKUP(BL16,FORMULAS!$A:$A,FORMULAS!$B:$B)</f>
        <v>Nupig Sew 150 Ppm Tiamulina+400Ppm Amoxicilina</v>
      </c>
      <c r="BN16" s="78"/>
      <c r="BO16" s="73">
        <v>-50</v>
      </c>
      <c r="BP16" s="135"/>
      <c r="BQ16" s="73"/>
      <c r="BR16" s="73"/>
      <c r="BS16" s="73"/>
      <c r="BT16" s="73"/>
    </row>
    <row r="17" spans="1:73" x14ac:dyDescent="0.25">
      <c r="A17" s="122">
        <v>43267</v>
      </c>
      <c r="B17" s="74">
        <f>WEEKNUM(A17-RESUMEN!$D$7)</f>
        <v>5</v>
      </c>
      <c r="C17" s="74">
        <f>_xlfn.DAYS(A17,RESUMEN!$D$7)</f>
        <v>29</v>
      </c>
      <c r="D17" s="123">
        <v>10130149</v>
      </c>
      <c r="E17" s="73" t="str">
        <f>LOOKUP(D17,FORMULAS!$A:$A,FORMULAS!$B:$B)</f>
        <v>Nupig Uno Kappa</v>
      </c>
      <c r="F17" s="80"/>
      <c r="G17" s="75">
        <v>-225</v>
      </c>
      <c r="H17" s="127"/>
      <c r="I17" s="73"/>
      <c r="J17" s="73"/>
      <c r="K17" s="73"/>
      <c r="L17" s="73"/>
      <c r="M17" s="117">
        <v>43271</v>
      </c>
      <c r="N17" s="73">
        <f>WEEKNUM(M17-RESUMEN!$P$7)</f>
        <v>5</v>
      </c>
      <c r="O17" s="73">
        <f>_xlfn.DAYS(M17,RESUMEN!$P$7)</f>
        <v>29</v>
      </c>
      <c r="P17" s="134">
        <v>21111214</v>
      </c>
      <c r="Q17" s="73" t="str">
        <f>LOOKUP(P17,FORMULAS!$A:$A,FORMULAS!$B:$B)</f>
        <v>Cerdos Fase 2 Med</v>
      </c>
      <c r="R17" s="78">
        <v>9650</v>
      </c>
      <c r="S17" s="78"/>
      <c r="T17" s="135"/>
      <c r="U17" s="73"/>
      <c r="V17" s="73"/>
      <c r="W17" s="73"/>
      <c r="X17" s="73"/>
      <c r="Y17" s="115">
        <v>43277</v>
      </c>
      <c r="Z17" s="73">
        <f>WEEKNUM(Y17-RESUMEN!$AB$7)</f>
        <v>5</v>
      </c>
      <c r="AA17" s="73">
        <f>_xlfn.DAYS(Y17,RESUMEN!$AB$7)</f>
        <v>30</v>
      </c>
      <c r="AB17" s="128">
        <v>10130147</v>
      </c>
      <c r="AC17" s="73" t="str">
        <f>LOOKUP(AB17,FORMULAS!$A:$A,FORMULAS!$B:$B)</f>
        <v>Nupig Sew 150 Ppm Tiamulina+400Ppm Amoxicilina</v>
      </c>
      <c r="AD17" s="78"/>
      <c r="AE17" s="78">
        <v>-50</v>
      </c>
      <c r="AF17" s="135"/>
      <c r="AG17" s="73"/>
      <c r="AH17" s="73"/>
      <c r="AI17" s="73"/>
      <c r="AJ17" s="73"/>
      <c r="AK17" s="117">
        <v>43282</v>
      </c>
      <c r="AL17" s="73">
        <f>WEEKNUM(AK17-RESUMEN!$AN$7)</f>
        <v>4</v>
      </c>
      <c r="AM17" s="73">
        <f>_xlfn.DAYS(AK17,RESUMEN!$AN$7)</f>
        <v>28</v>
      </c>
      <c r="AN17" s="133">
        <v>10130149</v>
      </c>
      <c r="AO17" s="73" t="str">
        <f>LOOKUP(AN17,FORMULAS!$A:$A,FORMULAS!$B:$B)</f>
        <v>Nupig Uno Kappa</v>
      </c>
      <c r="AP17" s="78"/>
      <c r="AQ17" s="78">
        <v>-250</v>
      </c>
      <c r="AR17" s="135"/>
      <c r="AS17" s="73"/>
      <c r="AT17" s="73"/>
      <c r="AU17" s="73"/>
      <c r="AV17" s="73"/>
      <c r="AW17" s="117">
        <v>43292</v>
      </c>
      <c r="AX17" s="73">
        <f>WEEKNUM(AW17-RESUMEN!$AZ$7)</f>
        <v>5</v>
      </c>
      <c r="AY17" s="73">
        <f>_xlfn.DAYS(AW17,RESUMEN!$AZ$7)</f>
        <v>31</v>
      </c>
      <c r="AZ17" s="128">
        <v>10130147</v>
      </c>
      <c r="BA17" s="73" t="str">
        <f>LOOKUP(AZ17,FORMULAS!$A:$A,FORMULAS!$B:$B)</f>
        <v>Nupig Sew 150 Ppm Tiamulina+400Ppm Amoxicilina</v>
      </c>
      <c r="BB17" s="78"/>
      <c r="BC17" s="78">
        <v>-25</v>
      </c>
      <c r="BD17" s="135"/>
      <c r="BE17" s="73"/>
      <c r="BF17" s="73"/>
      <c r="BG17" s="73"/>
      <c r="BH17" s="73"/>
      <c r="BI17" s="117">
        <v>43300</v>
      </c>
      <c r="BJ17" s="73">
        <f>WEEKNUM(BI17-RESUMEN!$BL$7)</f>
        <v>5</v>
      </c>
      <c r="BK17" s="73">
        <f>_xlfn.DAYS(BI17,RESUMEN!$BL$7)</f>
        <v>33</v>
      </c>
      <c r="BL17" s="130">
        <v>10130149</v>
      </c>
      <c r="BM17" s="73" t="str">
        <f>LOOKUP(BL17,FORMULAS!$A:$A,FORMULAS!$B:$B)</f>
        <v>Nupig Uno Kappa</v>
      </c>
      <c r="BN17" s="78"/>
      <c r="BO17" s="73">
        <v>-450</v>
      </c>
      <c r="BP17" s="135"/>
      <c r="BQ17" s="73"/>
      <c r="BR17" s="73"/>
      <c r="BS17" s="73"/>
      <c r="BT17" s="73"/>
    </row>
    <row r="18" spans="1:73" x14ac:dyDescent="0.25">
      <c r="A18" s="122">
        <v>43267</v>
      </c>
      <c r="B18" s="74">
        <f>WEEKNUM(A18-RESUMEN!$D$7)</f>
        <v>5</v>
      </c>
      <c r="C18" s="74">
        <f>_xlfn.DAYS(A18,RESUMEN!$D$7)</f>
        <v>29</v>
      </c>
      <c r="D18" s="123">
        <v>10130147</v>
      </c>
      <c r="E18" s="73" t="str">
        <f>LOOKUP(D18,FORMULAS!$A:$A,FORMULAS!$B:$B)</f>
        <v>Nupig Sew 150 Ppm Tiamulina+400Ppm Amoxicilina</v>
      </c>
      <c r="F18" s="80"/>
      <c r="G18" s="75">
        <v>-25</v>
      </c>
      <c r="H18" s="127"/>
      <c r="I18" s="73"/>
      <c r="J18" s="73"/>
      <c r="K18" s="73"/>
      <c r="L18" s="73"/>
      <c r="M18" s="117">
        <v>43271</v>
      </c>
      <c r="N18" s="73">
        <f>WEEKNUM(M18-RESUMEN!$P$7)</f>
        <v>5</v>
      </c>
      <c r="O18" s="73">
        <f>_xlfn.DAYS(M18,RESUMEN!$P$7)</f>
        <v>29</v>
      </c>
      <c r="P18" s="123">
        <v>10130149</v>
      </c>
      <c r="Q18" s="73" t="str">
        <f>LOOKUP(P18,FORMULAS!$A:$A,FORMULAS!$B:$B)</f>
        <v>Nupig Uno Kappa</v>
      </c>
      <c r="R18" s="78"/>
      <c r="S18" s="78">
        <v>-225</v>
      </c>
      <c r="T18" s="135"/>
      <c r="U18" s="73"/>
      <c r="V18" s="73"/>
      <c r="W18" s="73"/>
      <c r="X18" s="73"/>
      <c r="Y18" s="115">
        <v>43278</v>
      </c>
      <c r="Z18" s="73">
        <f>WEEKNUM(Y18-RESUMEN!$AB$7)</f>
        <v>5</v>
      </c>
      <c r="AA18" s="73">
        <f>_xlfn.DAYS(Y18,RESUMEN!$AB$7)</f>
        <v>31</v>
      </c>
      <c r="AB18" s="133">
        <v>10130149</v>
      </c>
      <c r="AC18" s="73" t="str">
        <f>LOOKUP(AB18,FORMULAS!$A:$A,FORMULAS!$B:$B)</f>
        <v>Nupig Uno Kappa</v>
      </c>
      <c r="AD18" s="78"/>
      <c r="AE18" s="78">
        <v>-425</v>
      </c>
      <c r="AF18" s="135"/>
      <c r="AG18" s="73"/>
      <c r="AH18" s="73"/>
      <c r="AI18" s="73"/>
      <c r="AJ18" s="73"/>
      <c r="AK18" s="117">
        <v>43283</v>
      </c>
      <c r="AL18" s="73">
        <f>WEEKNUM(AK18-RESUMEN!$AN$7)</f>
        <v>5</v>
      </c>
      <c r="AM18" s="73">
        <f>_xlfn.DAYS(AK18,RESUMEN!$AN$7)</f>
        <v>29</v>
      </c>
      <c r="AN18" s="135">
        <v>21111214</v>
      </c>
      <c r="AO18" s="73" t="str">
        <f>LOOKUP(AN18,FORMULAS!$A:$A,FORMULAS!$B:$B)</f>
        <v>Cerdos Fase 2 Med</v>
      </c>
      <c r="AP18" s="78">
        <v>6740</v>
      </c>
      <c r="AQ18" s="78"/>
      <c r="AR18" s="135" t="s">
        <v>280</v>
      </c>
      <c r="AS18" s="73"/>
      <c r="AT18" s="73"/>
      <c r="AU18" s="73"/>
      <c r="AV18" s="73"/>
      <c r="AW18" s="117">
        <v>43292</v>
      </c>
      <c r="AX18" s="73">
        <f>WEEKNUM(AW18-RESUMEN!$AZ$7)</f>
        <v>5</v>
      </c>
      <c r="AY18" s="73">
        <f>_xlfn.DAYS(AW18,RESUMEN!$AZ$7)</f>
        <v>31</v>
      </c>
      <c r="AZ18" s="128">
        <v>10130149</v>
      </c>
      <c r="BA18" s="73" t="str">
        <f>LOOKUP(AZ18,FORMULAS!$A:$A,FORMULAS!$B:$B)</f>
        <v>Nupig Uno Kappa</v>
      </c>
      <c r="BB18" s="78"/>
      <c r="BC18" s="78">
        <v>-150</v>
      </c>
      <c r="BD18" s="135"/>
      <c r="BE18" s="73"/>
      <c r="BF18" s="73"/>
      <c r="BG18" s="73"/>
      <c r="BH18" s="73"/>
      <c r="BI18" s="117">
        <v>43301</v>
      </c>
      <c r="BJ18" s="73">
        <f>WEEKNUM(BI18-RESUMEN!$BL$7)</f>
        <v>5</v>
      </c>
      <c r="BK18" s="73">
        <f>_xlfn.DAYS(BI18,RESUMEN!$BL$7)</f>
        <v>34</v>
      </c>
      <c r="BL18" s="130">
        <v>10130149</v>
      </c>
      <c r="BM18" s="73" t="str">
        <f>LOOKUP(BL18,FORMULAS!$A:$A,FORMULAS!$B:$B)</f>
        <v>Nupig Uno Kappa</v>
      </c>
      <c r="BN18" s="78"/>
      <c r="BO18" s="73">
        <v>-175</v>
      </c>
      <c r="BP18" s="135"/>
      <c r="BQ18" s="73"/>
      <c r="BR18" s="73"/>
      <c r="BS18" s="73"/>
      <c r="BT18" s="73"/>
    </row>
    <row r="19" spans="1:73" x14ac:dyDescent="0.25">
      <c r="A19" s="122">
        <v>43268</v>
      </c>
      <c r="B19" s="74">
        <f>WEEKNUM(A19-RESUMEN!$D$7)</f>
        <v>5</v>
      </c>
      <c r="C19" s="74">
        <f>_xlfn.DAYS(A19,RESUMEN!$D$7)</f>
        <v>30</v>
      </c>
      <c r="D19" s="123">
        <v>10130149</v>
      </c>
      <c r="E19" s="73" t="str">
        <f>LOOKUP(D19,FORMULAS!$A:$A,FORMULAS!$B:$B)</f>
        <v>Nupig Uno Kappa</v>
      </c>
      <c r="F19" s="80"/>
      <c r="G19" s="75">
        <v>-150</v>
      </c>
      <c r="H19" s="127"/>
      <c r="I19" s="73"/>
      <c r="J19" s="73"/>
      <c r="K19" s="73"/>
      <c r="L19" s="73"/>
      <c r="M19" s="117">
        <v>43272</v>
      </c>
      <c r="N19" s="73">
        <f>WEEKNUM(M19-RESUMEN!$P$7)</f>
        <v>5</v>
      </c>
      <c r="O19" s="73">
        <f>_xlfn.DAYS(M19,RESUMEN!$P$7)</f>
        <v>30</v>
      </c>
      <c r="P19" s="123">
        <v>10130149</v>
      </c>
      <c r="Q19" s="73" t="str">
        <f>LOOKUP(P19,FORMULAS!$A:$A,FORMULAS!$B:$B)</f>
        <v>Nupig Uno Kappa</v>
      </c>
      <c r="R19" s="78"/>
      <c r="S19" s="78">
        <v>-125</v>
      </c>
      <c r="T19" s="135"/>
      <c r="U19" s="73"/>
      <c r="V19" s="73"/>
      <c r="W19" s="73"/>
      <c r="X19" s="73"/>
      <c r="Y19" s="115">
        <v>43278</v>
      </c>
      <c r="Z19" s="73">
        <f>WEEKNUM(Y19-RESUMEN!$AB$7)</f>
        <v>5</v>
      </c>
      <c r="AA19" s="73">
        <f>_xlfn.DAYS(Y19,RESUMEN!$AB$7)</f>
        <v>31</v>
      </c>
      <c r="AB19" s="128">
        <v>10130147</v>
      </c>
      <c r="AC19" s="73" t="str">
        <f>LOOKUP(AB19,FORMULAS!$A:$A,FORMULAS!$B:$B)</f>
        <v>Nupig Sew 150 Ppm Tiamulina+400Ppm Amoxicilina</v>
      </c>
      <c r="AD19" s="78"/>
      <c r="AE19" s="78">
        <v>-50</v>
      </c>
      <c r="AF19" s="135"/>
      <c r="AG19" s="73"/>
      <c r="AH19" s="73"/>
      <c r="AI19" s="73"/>
      <c r="AJ19" s="73"/>
      <c r="AK19" s="117">
        <v>43284</v>
      </c>
      <c r="AL19" s="73">
        <f>WEEKNUM(AK19-RESUMEN!$AN$7)</f>
        <v>5</v>
      </c>
      <c r="AM19" s="73">
        <f>_xlfn.DAYS(AK19,RESUMEN!$AN$7)</f>
        <v>30</v>
      </c>
      <c r="AN19" s="133">
        <v>10130149</v>
      </c>
      <c r="AO19" s="73" t="str">
        <f>LOOKUP(AN19,FORMULAS!$A:$A,FORMULAS!$B:$B)</f>
        <v>Nupig Uno Kappa</v>
      </c>
      <c r="AP19" s="78"/>
      <c r="AQ19" s="78">
        <v>-300</v>
      </c>
      <c r="AR19" s="135"/>
      <c r="AS19" s="73"/>
      <c r="AT19" s="73"/>
      <c r="AU19" s="73"/>
      <c r="AV19" s="73"/>
      <c r="AW19" s="117">
        <v>43293</v>
      </c>
      <c r="AX19" s="73">
        <f>WEEKNUM(AW19-RESUMEN!$AZ$7)</f>
        <v>5</v>
      </c>
      <c r="AY19" s="73">
        <f>_xlfn.DAYS(AW19,RESUMEN!$AZ$7)</f>
        <v>32</v>
      </c>
      <c r="AZ19" s="128">
        <v>10130147</v>
      </c>
      <c r="BA19" s="73" t="str">
        <f>LOOKUP(AZ19,FORMULAS!$A:$A,FORMULAS!$B:$B)</f>
        <v>Nupig Sew 150 Ppm Tiamulina+400Ppm Amoxicilina</v>
      </c>
      <c r="BB19" s="78"/>
      <c r="BC19" s="78">
        <v>-25</v>
      </c>
      <c r="BD19" s="135"/>
      <c r="BE19" s="73"/>
      <c r="BF19" s="73"/>
      <c r="BG19" s="73"/>
      <c r="BH19" s="73"/>
      <c r="BI19" s="117">
        <v>43302</v>
      </c>
      <c r="BJ19" s="73">
        <f>WEEKNUM(BI19-RESUMEN!$BL$7)</f>
        <v>5</v>
      </c>
      <c r="BK19" s="73">
        <f>_xlfn.DAYS(BI19,RESUMEN!$BL$7)</f>
        <v>35</v>
      </c>
      <c r="BL19" s="130">
        <v>10130147</v>
      </c>
      <c r="BM19" s="73" t="str">
        <f>LOOKUP(BL19,FORMULAS!$A:$A,FORMULAS!$B:$B)</f>
        <v>Nupig Sew 150 Ppm Tiamulina+400Ppm Amoxicilina</v>
      </c>
      <c r="BN19" s="78"/>
      <c r="BO19" s="73">
        <v>-50</v>
      </c>
      <c r="BP19" s="135"/>
      <c r="BQ19" s="73"/>
      <c r="BR19" s="73"/>
      <c r="BS19" s="73"/>
      <c r="BT19" s="73"/>
    </row>
    <row r="20" spans="1:73" x14ac:dyDescent="0.25">
      <c r="A20" s="122">
        <v>43268</v>
      </c>
      <c r="B20" s="74">
        <f>WEEKNUM(A20-RESUMEN!$D$7)</f>
        <v>5</v>
      </c>
      <c r="C20" s="74">
        <f>_xlfn.DAYS(A20,RESUMEN!$D$7)</f>
        <v>30</v>
      </c>
      <c r="D20" s="123">
        <v>10130147</v>
      </c>
      <c r="E20" s="73" t="str">
        <f>LOOKUP(D20,FORMULAS!$A:$A,FORMULAS!$B:$B)</f>
        <v>Nupig Sew 150 Ppm Tiamulina+400Ppm Amoxicilina</v>
      </c>
      <c r="F20" s="80"/>
      <c r="G20" s="75">
        <v>-50</v>
      </c>
      <c r="H20" s="127"/>
      <c r="I20" s="73"/>
      <c r="J20" s="73"/>
      <c r="K20" s="73"/>
      <c r="L20" s="73"/>
      <c r="M20" s="117">
        <v>43272</v>
      </c>
      <c r="N20" s="73">
        <f>WEEKNUM(M20-RESUMEN!$P$7)</f>
        <v>5</v>
      </c>
      <c r="O20" s="73">
        <f>_xlfn.DAYS(M20,RESUMEN!$P$7)</f>
        <v>30</v>
      </c>
      <c r="P20" s="123">
        <v>10130147</v>
      </c>
      <c r="Q20" s="73" t="str">
        <f>LOOKUP(P20,FORMULAS!$A:$A,FORMULAS!$B:$B)</f>
        <v>Nupig Sew 150 Ppm Tiamulina+400Ppm Amoxicilina</v>
      </c>
      <c r="R20" s="78"/>
      <c r="S20" s="78">
        <v>-50</v>
      </c>
      <c r="T20" s="135"/>
      <c r="U20" s="73"/>
      <c r="V20" s="73"/>
      <c r="W20" s="73"/>
      <c r="X20" s="73"/>
      <c r="Y20" s="115">
        <v>43279</v>
      </c>
      <c r="Z20" s="73">
        <f>WEEKNUM(Y20-RESUMEN!$AB$7)</f>
        <v>5</v>
      </c>
      <c r="AA20" s="73">
        <f>_xlfn.DAYS(Y20,RESUMEN!$AB$7)</f>
        <v>32</v>
      </c>
      <c r="AB20" s="133">
        <v>10130149</v>
      </c>
      <c r="AC20" s="73" t="str">
        <f>LOOKUP(AB20,FORMULAS!$A:$A,FORMULAS!$B:$B)</f>
        <v>Nupig Uno Kappa</v>
      </c>
      <c r="AD20" s="78"/>
      <c r="AE20" s="78">
        <v>-50</v>
      </c>
      <c r="AF20" s="135"/>
      <c r="AG20" s="73"/>
      <c r="AH20" s="73"/>
      <c r="AI20" s="73"/>
      <c r="AJ20" s="73"/>
      <c r="AK20" s="117">
        <v>43285</v>
      </c>
      <c r="AL20" s="73">
        <f>WEEKNUM(AK20-RESUMEN!$AN$7)</f>
        <v>5</v>
      </c>
      <c r="AM20" s="73">
        <f>_xlfn.DAYS(AK20,RESUMEN!$AN$7)</f>
        <v>31</v>
      </c>
      <c r="AN20" s="128">
        <v>10130147</v>
      </c>
      <c r="AO20" s="73" t="str">
        <f>LOOKUP(AN20,FORMULAS!$A:$A,FORMULAS!$B:$B)</f>
        <v>Nupig Sew 150 Ppm Tiamulina+400Ppm Amoxicilina</v>
      </c>
      <c r="AP20" s="78"/>
      <c r="AQ20" s="78">
        <v>-50</v>
      </c>
      <c r="AR20" s="135"/>
      <c r="AS20" s="73"/>
      <c r="AT20" s="73"/>
      <c r="AU20" s="73"/>
      <c r="AV20" s="73"/>
      <c r="AW20" s="117">
        <v>43293</v>
      </c>
      <c r="AX20" s="73">
        <f>WEEKNUM(AW20-RESUMEN!$AZ$7)</f>
        <v>5</v>
      </c>
      <c r="AY20" s="73">
        <f>_xlfn.DAYS(AW20,RESUMEN!$AZ$7)</f>
        <v>32</v>
      </c>
      <c r="AZ20" s="128">
        <v>10130149</v>
      </c>
      <c r="BA20" s="73" t="str">
        <f>LOOKUP(AZ20,FORMULAS!$A:$A,FORMULAS!$B:$B)</f>
        <v>Nupig Uno Kappa</v>
      </c>
      <c r="BB20" s="78"/>
      <c r="BC20" s="78">
        <v>-125</v>
      </c>
      <c r="BD20" s="135"/>
      <c r="BE20" s="73"/>
      <c r="BF20" s="73"/>
      <c r="BG20" s="73"/>
      <c r="BH20" s="73"/>
      <c r="BI20" s="117">
        <v>43302</v>
      </c>
      <c r="BJ20" s="73">
        <f>WEEKNUM(BI20-RESUMEN!$BL$7)</f>
        <v>5</v>
      </c>
      <c r="BK20" s="73">
        <f>_xlfn.DAYS(BI20,RESUMEN!$BL$7)</f>
        <v>35</v>
      </c>
      <c r="BL20" s="130">
        <v>10130149</v>
      </c>
      <c r="BM20" s="73" t="str">
        <f>LOOKUP(BL20,FORMULAS!$A:$A,FORMULAS!$B:$B)</f>
        <v>Nupig Uno Kappa</v>
      </c>
      <c r="BN20" s="78"/>
      <c r="BO20" s="73">
        <v>-375</v>
      </c>
      <c r="BP20" s="135"/>
      <c r="BQ20" s="73"/>
      <c r="BR20" s="73"/>
      <c r="BS20" s="73"/>
      <c r="BT20" s="73"/>
    </row>
    <row r="21" spans="1:73" x14ac:dyDescent="0.25">
      <c r="A21" s="122">
        <v>43269</v>
      </c>
      <c r="B21" s="74">
        <f>WEEKNUM(A21-RESUMEN!$D$7)</f>
        <v>5</v>
      </c>
      <c r="C21" s="74">
        <f>_xlfn.DAYS(A21,RESUMEN!$D$7)</f>
        <v>31</v>
      </c>
      <c r="D21" s="123">
        <v>10130149</v>
      </c>
      <c r="E21" s="73" t="str">
        <f>LOOKUP(D21,FORMULAS!$A:$A,FORMULAS!$B:$B)</f>
        <v>Nupig Uno Kappa</v>
      </c>
      <c r="F21" s="80"/>
      <c r="G21" s="75">
        <v>-325</v>
      </c>
      <c r="H21" s="127"/>
      <c r="I21" s="73"/>
      <c r="J21" s="73"/>
      <c r="K21" s="73"/>
      <c r="L21" s="73"/>
      <c r="M21" s="117">
        <v>43273</v>
      </c>
      <c r="N21" s="73">
        <f>WEEKNUM(M21-RESUMEN!$P$7)</f>
        <v>5</v>
      </c>
      <c r="O21" s="73">
        <f>_xlfn.DAYS(M21,RESUMEN!$P$7)</f>
        <v>31</v>
      </c>
      <c r="P21" s="123">
        <v>10130149</v>
      </c>
      <c r="Q21" s="73" t="str">
        <f>LOOKUP(P21,FORMULAS!$A:$A,FORMULAS!$B:$B)</f>
        <v>Nupig Uno Kappa</v>
      </c>
      <c r="R21" s="78"/>
      <c r="S21" s="78">
        <v>-225</v>
      </c>
      <c r="T21" s="135"/>
      <c r="U21" s="73"/>
      <c r="V21" s="73"/>
      <c r="W21" s="73"/>
      <c r="X21" s="73"/>
      <c r="Y21" s="115">
        <v>43280</v>
      </c>
      <c r="Z21" s="73">
        <f>WEEKNUM(Y21-RESUMEN!$AB$7)</f>
        <v>5</v>
      </c>
      <c r="AA21" s="73">
        <f>_xlfn.DAYS(Y21,RESUMEN!$AB$7)</f>
        <v>33</v>
      </c>
      <c r="AB21" s="128">
        <v>10130147</v>
      </c>
      <c r="AC21" s="73" t="str">
        <f>LOOKUP(AB21,FORMULAS!$A:$A,FORMULAS!$B:$B)</f>
        <v>Nupig Sew 150 Ppm Tiamulina+400Ppm Amoxicilina</v>
      </c>
      <c r="AD21" s="78"/>
      <c r="AE21" s="78">
        <v>-25</v>
      </c>
      <c r="AF21" s="135"/>
      <c r="AG21" s="73"/>
      <c r="AH21" s="73"/>
      <c r="AI21" s="73"/>
      <c r="AJ21" s="73"/>
      <c r="AK21" s="117">
        <v>43285</v>
      </c>
      <c r="AL21" s="73">
        <f>WEEKNUM(AK21-RESUMEN!$AN$7)</f>
        <v>5</v>
      </c>
      <c r="AM21" s="73">
        <f>_xlfn.DAYS(AK21,RESUMEN!$AN$7)</f>
        <v>31</v>
      </c>
      <c r="AN21" s="133">
        <v>10130149</v>
      </c>
      <c r="AO21" s="73" t="str">
        <f>LOOKUP(AN21,FORMULAS!$A:$A,FORMULAS!$B:$B)</f>
        <v>Nupig Uno Kappa</v>
      </c>
      <c r="AP21" s="78"/>
      <c r="AQ21" s="78">
        <v>-350</v>
      </c>
      <c r="AR21" s="135"/>
      <c r="AS21" s="73"/>
      <c r="AT21" s="73"/>
      <c r="AU21" s="73"/>
      <c r="AV21" s="73"/>
      <c r="AW21" s="117">
        <v>43294</v>
      </c>
      <c r="AX21" s="73">
        <f>WEEKNUM(AW21-RESUMEN!$AZ$7)</f>
        <v>5</v>
      </c>
      <c r="AY21" s="73">
        <f>_xlfn.DAYS(AW21,RESUMEN!$AZ$7)</f>
        <v>33</v>
      </c>
      <c r="AZ21" s="128">
        <v>10130149</v>
      </c>
      <c r="BA21" s="73" t="str">
        <f>LOOKUP(AZ21,FORMULAS!$A:$A,FORMULAS!$B:$B)</f>
        <v>Nupig Uno Kappa</v>
      </c>
      <c r="BB21" s="78"/>
      <c r="BC21" s="78">
        <v>-250</v>
      </c>
      <c r="BD21" s="135"/>
      <c r="BE21" s="73"/>
      <c r="BF21" s="73"/>
      <c r="BG21" s="73"/>
      <c r="BH21" s="73"/>
      <c r="BI21" s="117">
        <v>43303</v>
      </c>
      <c r="BJ21" s="73">
        <f>WEEKNUM(BI21-RESUMEN!$BL$7)</f>
        <v>6</v>
      </c>
      <c r="BK21" s="73">
        <f>_xlfn.DAYS(BI21,RESUMEN!$BL$7)</f>
        <v>36</v>
      </c>
      <c r="BL21" s="130">
        <v>10130147</v>
      </c>
      <c r="BM21" s="73" t="str">
        <f>LOOKUP(BL21,FORMULAS!$A:$A,FORMULAS!$B:$B)</f>
        <v>Nupig Sew 150 Ppm Tiamulina+400Ppm Amoxicilina</v>
      </c>
      <c r="BN21" s="78"/>
      <c r="BO21" s="73">
        <v>-375</v>
      </c>
      <c r="BP21" s="135"/>
      <c r="BQ21" s="73"/>
      <c r="BR21" s="73"/>
      <c r="BS21" s="73"/>
      <c r="BT21" s="73"/>
    </row>
    <row r="22" spans="1:73" x14ac:dyDescent="0.25">
      <c r="A22" s="122">
        <v>43269</v>
      </c>
      <c r="B22" s="74">
        <f>WEEKNUM(A22-RESUMEN!$D$7)</f>
        <v>5</v>
      </c>
      <c r="C22" s="74">
        <f>_xlfn.DAYS(A22,RESUMEN!$D$7)</f>
        <v>31</v>
      </c>
      <c r="D22" s="123">
        <v>10130147</v>
      </c>
      <c r="E22" s="73" t="str">
        <f>LOOKUP(D22,FORMULAS!$A:$A,FORMULAS!$B:$B)</f>
        <v>Nupig Sew 150 Ppm Tiamulina+400Ppm Amoxicilina</v>
      </c>
      <c r="F22" s="80"/>
      <c r="G22" s="75">
        <v>-25</v>
      </c>
      <c r="H22" s="127"/>
      <c r="I22" s="73"/>
      <c r="J22" s="73"/>
      <c r="K22" s="73"/>
      <c r="L22" s="73"/>
      <c r="M22" s="117">
        <v>43273</v>
      </c>
      <c r="N22" s="73">
        <f>WEEKNUM(M22-RESUMEN!$P$7)</f>
        <v>5</v>
      </c>
      <c r="O22" s="73">
        <f>_xlfn.DAYS(M22,RESUMEN!$P$7)</f>
        <v>31</v>
      </c>
      <c r="P22" s="123">
        <v>10130147</v>
      </c>
      <c r="Q22" s="73" t="str">
        <f>LOOKUP(P22,FORMULAS!$A:$A,FORMULAS!$B:$B)</f>
        <v>Nupig Sew 150 Ppm Tiamulina+400Ppm Amoxicilina</v>
      </c>
      <c r="R22" s="78"/>
      <c r="S22" s="78">
        <v>-25</v>
      </c>
      <c r="T22" s="135"/>
      <c r="U22" s="73"/>
      <c r="V22" s="73"/>
      <c r="W22" s="73"/>
      <c r="X22" s="73"/>
      <c r="Y22" s="115">
        <v>43280</v>
      </c>
      <c r="Z22" s="73">
        <f>WEEKNUM(Y22-RESUMEN!$AB$7)</f>
        <v>5</v>
      </c>
      <c r="AA22" s="73">
        <f>_xlfn.DAYS(Y22,RESUMEN!$AB$7)</f>
        <v>33</v>
      </c>
      <c r="AB22" s="133">
        <v>10130149</v>
      </c>
      <c r="AC22" s="73" t="str">
        <f>LOOKUP(AB22,FORMULAS!$A:$A,FORMULAS!$B:$B)</f>
        <v>Nupig Uno Kappa</v>
      </c>
      <c r="AD22" s="78"/>
      <c r="AE22" s="78">
        <v>-75</v>
      </c>
      <c r="AF22" s="135"/>
      <c r="AG22" s="73"/>
      <c r="AH22" s="73"/>
      <c r="AI22" s="73"/>
      <c r="AJ22" s="73"/>
      <c r="AK22" s="117">
        <v>43286</v>
      </c>
      <c r="AL22" s="73">
        <f>WEEKNUM(AK22-RESUMEN!$AN$7)</f>
        <v>5</v>
      </c>
      <c r="AM22" s="73">
        <f>_xlfn.DAYS(AK22,RESUMEN!$AN$7)</f>
        <v>32</v>
      </c>
      <c r="AN22" s="133">
        <v>10130149</v>
      </c>
      <c r="AO22" s="73" t="str">
        <f>LOOKUP(AN22,FORMULAS!$A:$A,FORMULAS!$B:$B)</f>
        <v>Nupig Uno Kappa</v>
      </c>
      <c r="AP22" s="78"/>
      <c r="AQ22" s="78">
        <v>-425</v>
      </c>
      <c r="AR22" s="135"/>
      <c r="AS22" s="73"/>
      <c r="AT22" s="73"/>
      <c r="AU22" s="73"/>
      <c r="AV22" s="73"/>
      <c r="AW22" s="117">
        <v>43295</v>
      </c>
      <c r="AX22" s="73">
        <f>WEEKNUM(AW22-RESUMEN!$AZ$7)</f>
        <v>5</v>
      </c>
      <c r="AY22" s="73">
        <f>_xlfn.DAYS(AW22,RESUMEN!$AZ$7)</f>
        <v>34</v>
      </c>
      <c r="AZ22" s="128">
        <v>10130147</v>
      </c>
      <c r="BA22" s="73" t="str">
        <f>LOOKUP(AZ22,FORMULAS!$A:$A,FORMULAS!$B:$B)</f>
        <v>Nupig Sew 150 Ppm Tiamulina+400Ppm Amoxicilina</v>
      </c>
      <c r="BB22" s="78"/>
      <c r="BC22" s="78">
        <v>-50</v>
      </c>
      <c r="BD22" s="135"/>
      <c r="BE22" s="73"/>
      <c r="BF22" s="73"/>
      <c r="BG22" s="73"/>
      <c r="BH22" s="73"/>
      <c r="BI22" s="117">
        <v>43303</v>
      </c>
      <c r="BJ22" s="73">
        <f>WEEKNUM(BI22-RESUMEN!$BL$7)</f>
        <v>6</v>
      </c>
      <c r="BK22" s="73">
        <f>_xlfn.DAYS(BI22,RESUMEN!$BL$7)</f>
        <v>36</v>
      </c>
      <c r="BL22" s="130">
        <v>10130149</v>
      </c>
      <c r="BM22" s="73" t="str">
        <f>LOOKUP(BL22,FORMULAS!$A:$A,FORMULAS!$B:$B)</f>
        <v>Nupig Uno Kappa</v>
      </c>
      <c r="BN22" s="78"/>
      <c r="BO22" s="73">
        <v>-25</v>
      </c>
      <c r="BP22" s="135"/>
      <c r="BQ22" s="73"/>
      <c r="BR22" s="73"/>
      <c r="BS22" s="73"/>
      <c r="BT22" s="73"/>
    </row>
    <row r="23" spans="1:73" x14ac:dyDescent="0.25">
      <c r="A23" s="122">
        <v>43270</v>
      </c>
      <c r="B23" s="74">
        <f>WEEKNUM(A23-RESUMEN!$D$7)</f>
        <v>5</v>
      </c>
      <c r="C23" s="74">
        <f>_xlfn.DAYS(A23,RESUMEN!$D$7)</f>
        <v>32</v>
      </c>
      <c r="D23" s="123">
        <v>10130149</v>
      </c>
      <c r="E23" s="73" t="str">
        <f>LOOKUP(D23,FORMULAS!$A:$A,FORMULAS!$B:$B)</f>
        <v>Nupig Uno Kappa</v>
      </c>
      <c r="F23" s="80"/>
      <c r="G23" s="75">
        <v>-250</v>
      </c>
      <c r="H23" s="127"/>
      <c r="I23" s="73"/>
      <c r="J23" s="73"/>
      <c r="K23" s="73"/>
      <c r="L23" s="73"/>
      <c r="M23" s="117">
        <v>43274</v>
      </c>
      <c r="N23" s="73">
        <f>WEEKNUM(M23-RESUMEN!$P$7)</f>
        <v>5</v>
      </c>
      <c r="O23" s="73">
        <f>_xlfn.DAYS(M23,RESUMEN!$P$7)</f>
        <v>32</v>
      </c>
      <c r="P23" s="123">
        <v>10130149</v>
      </c>
      <c r="Q23" s="73" t="str">
        <f>LOOKUP(P23,FORMULAS!$A:$A,FORMULAS!$B:$B)</f>
        <v>Nupig Uno Kappa</v>
      </c>
      <c r="R23" s="78"/>
      <c r="S23" s="78">
        <v>-200</v>
      </c>
      <c r="T23" s="135"/>
      <c r="U23" s="73"/>
      <c r="V23" s="73"/>
      <c r="W23" s="73"/>
      <c r="X23" s="73"/>
      <c r="Y23" s="115">
        <v>43281</v>
      </c>
      <c r="Z23" s="73">
        <f>WEEKNUM(Y23-RESUMEN!$AB$7)</f>
        <v>5</v>
      </c>
      <c r="AA23" s="73">
        <f>_xlfn.DAYS(Y23,RESUMEN!$AB$7)</f>
        <v>34</v>
      </c>
      <c r="AB23" s="133">
        <v>10130149</v>
      </c>
      <c r="AC23" s="73" t="str">
        <f>LOOKUP(AB23,FORMULAS!$A:$A,FORMULAS!$B:$B)</f>
        <v>Nupig Uno Kappa</v>
      </c>
      <c r="AD23" s="78"/>
      <c r="AE23" s="78">
        <v>-450</v>
      </c>
      <c r="AF23" s="135"/>
      <c r="AG23" s="73"/>
      <c r="AH23" s="73"/>
      <c r="AI23" s="73"/>
      <c r="AJ23" s="73"/>
      <c r="AK23" s="117">
        <v>43287</v>
      </c>
      <c r="AL23" s="73">
        <f>WEEKNUM(AK23-RESUMEN!$AN$7)</f>
        <v>5</v>
      </c>
      <c r="AM23" s="73">
        <f>_xlfn.DAYS(AK23,RESUMEN!$AN$7)</f>
        <v>33</v>
      </c>
      <c r="AN23" s="133">
        <v>10130149</v>
      </c>
      <c r="AO23" s="73" t="str">
        <f>LOOKUP(AN23,FORMULAS!$A:$A,FORMULAS!$B:$B)</f>
        <v>Nupig Uno Kappa</v>
      </c>
      <c r="AP23" s="78"/>
      <c r="AQ23" s="78">
        <v>-175</v>
      </c>
      <c r="AR23" s="135"/>
      <c r="AS23" s="73"/>
      <c r="AT23" s="73"/>
      <c r="AU23" s="73"/>
      <c r="AV23" s="73"/>
      <c r="AW23" s="117">
        <v>43295</v>
      </c>
      <c r="AX23" s="73">
        <f>WEEKNUM(AW23-RESUMEN!$AZ$7)</f>
        <v>5</v>
      </c>
      <c r="AY23" s="73">
        <f>_xlfn.DAYS(AW23,RESUMEN!$AZ$7)</f>
        <v>34</v>
      </c>
      <c r="AZ23" s="128">
        <v>10130149</v>
      </c>
      <c r="BA23" s="73" t="str">
        <f>LOOKUP(AZ23,FORMULAS!$A:$A,FORMULAS!$B:$B)</f>
        <v>Nupig Uno Kappa</v>
      </c>
      <c r="BB23" s="78"/>
      <c r="BC23" s="78">
        <v>-250</v>
      </c>
      <c r="BD23" s="135"/>
      <c r="BE23" s="73"/>
      <c r="BF23" s="73"/>
      <c r="BG23" s="73"/>
      <c r="BH23" s="73"/>
      <c r="BI23" s="117">
        <v>43304</v>
      </c>
      <c r="BJ23" s="73">
        <f>WEEKNUM(BI23-RESUMEN!$BL$7)</f>
        <v>6</v>
      </c>
      <c r="BK23" s="73">
        <f>_xlfn.DAYS(BI23,RESUMEN!$BL$7)</f>
        <v>37</v>
      </c>
      <c r="BL23" s="130">
        <v>10130147</v>
      </c>
      <c r="BM23" s="73" t="str">
        <f>LOOKUP(BL23,FORMULAS!$A:$A,FORMULAS!$B:$B)</f>
        <v>Nupig Sew 150 Ppm Tiamulina+400Ppm Amoxicilina</v>
      </c>
      <c r="BN23" s="78"/>
      <c r="BO23" s="73">
        <v>-25</v>
      </c>
      <c r="BP23" s="135"/>
      <c r="BQ23" s="73"/>
      <c r="BR23" s="73"/>
      <c r="BS23" s="73"/>
      <c r="BT23" s="73"/>
    </row>
    <row r="24" spans="1:73" x14ac:dyDescent="0.25">
      <c r="A24" s="122">
        <v>43270</v>
      </c>
      <c r="B24" s="74">
        <f>WEEKNUM(A24-RESUMEN!$D$7)</f>
        <v>5</v>
      </c>
      <c r="C24" s="74">
        <f>_xlfn.DAYS(A24,RESUMEN!$D$7)</f>
        <v>32</v>
      </c>
      <c r="D24" s="123">
        <v>10130147</v>
      </c>
      <c r="E24" s="73" t="str">
        <f>LOOKUP(D24,FORMULAS!$A:$A,FORMULAS!$B:$B)</f>
        <v>Nupig Sew 150 Ppm Tiamulina+400Ppm Amoxicilina</v>
      </c>
      <c r="F24" s="80"/>
      <c r="G24" s="75">
        <v>-25</v>
      </c>
      <c r="H24" s="127"/>
      <c r="I24" s="73"/>
      <c r="J24" s="73"/>
      <c r="K24" s="73"/>
      <c r="L24" s="73"/>
      <c r="M24" s="117">
        <v>43274</v>
      </c>
      <c r="N24" s="73">
        <f>WEEKNUM(M24-RESUMEN!$P$7)</f>
        <v>5</v>
      </c>
      <c r="O24" s="73">
        <f>_xlfn.DAYS(M24,RESUMEN!$P$7)</f>
        <v>32</v>
      </c>
      <c r="P24" s="123">
        <v>10130147</v>
      </c>
      <c r="Q24" s="73" t="str">
        <f>LOOKUP(P24,FORMULAS!$A:$A,FORMULAS!$B:$B)</f>
        <v>Nupig Sew 150 Ppm Tiamulina+400Ppm Amoxicilina</v>
      </c>
      <c r="R24" s="78"/>
      <c r="S24" s="78">
        <v>-25</v>
      </c>
      <c r="T24" s="135"/>
      <c r="U24" s="73"/>
      <c r="V24" s="73"/>
      <c r="W24" s="73"/>
      <c r="X24" s="73"/>
      <c r="Y24" s="115">
        <v>43282</v>
      </c>
      <c r="Z24" s="73">
        <f>WEEKNUM(Y24-RESUMEN!$AB$7)</f>
        <v>5</v>
      </c>
      <c r="AA24" s="73">
        <f>_xlfn.DAYS(Y24,RESUMEN!$AB$7)</f>
        <v>35</v>
      </c>
      <c r="AB24" s="128">
        <v>10130147</v>
      </c>
      <c r="AC24" s="73" t="str">
        <f>LOOKUP(AB24,FORMULAS!$A:$A,FORMULAS!$B:$B)</f>
        <v>Nupig Sew 150 Ppm Tiamulina+400Ppm Amoxicilina</v>
      </c>
      <c r="AD24" s="78"/>
      <c r="AE24" s="78">
        <v>-75</v>
      </c>
      <c r="AF24" s="135"/>
      <c r="AG24" s="73"/>
      <c r="AH24" s="73"/>
      <c r="AI24" s="73"/>
      <c r="AJ24" s="73"/>
      <c r="AK24" s="117">
        <v>43288</v>
      </c>
      <c r="AL24" s="73">
        <f>WEEKNUM(AK24-RESUMEN!$AN$7)</f>
        <v>5</v>
      </c>
      <c r="AM24" s="73">
        <f>_xlfn.DAYS(AK24,RESUMEN!$AN$7)</f>
        <v>34</v>
      </c>
      <c r="AN24" s="133">
        <v>10130149</v>
      </c>
      <c r="AO24" s="73" t="str">
        <f>LOOKUP(AN24,FORMULAS!$A:$A,FORMULAS!$B:$B)</f>
        <v>Nupig Uno Kappa</v>
      </c>
      <c r="AP24" s="78"/>
      <c r="AQ24" s="78">
        <v>-250</v>
      </c>
      <c r="AR24" s="135"/>
      <c r="AS24" s="73"/>
      <c r="AT24" s="73"/>
      <c r="AU24" s="73"/>
      <c r="AV24" s="73"/>
      <c r="AW24" s="117">
        <v>43296</v>
      </c>
      <c r="AX24" s="73">
        <f>WEEKNUM(AW24-RESUMEN!$AZ$7)</f>
        <v>5</v>
      </c>
      <c r="AY24" s="73">
        <f>_xlfn.DAYS(AW24,RESUMEN!$AZ$7)</f>
        <v>35</v>
      </c>
      <c r="AZ24" s="128">
        <v>10130149</v>
      </c>
      <c r="BA24" s="73" t="str">
        <f>LOOKUP(AZ24,FORMULAS!$A:$A,FORMULAS!$B:$B)</f>
        <v>Nupig Uno Kappa</v>
      </c>
      <c r="BB24" s="78"/>
      <c r="BC24" s="78">
        <v>-125</v>
      </c>
      <c r="BD24" s="135"/>
      <c r="BE24" s="73"/>
      <c r="BF24" s="73"/>
      <c r="BG24" s="73"/>
      <c r="BH24" s="73"/>
      <c r="BI24" s="117">
        <v>43304</v>
      </c>
      <c r="BJ24" s="73">
        <f>WEEKNUM(BI24-RESUMEN!$BL$7)</f>
        <v>6</v>
      </c>
      <c r="BK24" s="73">
        <f>_xlfn.DAYS(BI24,RESUMEN!$BL$7)</f>
        <v>37</v>
      </c>
      <c r="BL24" s="130">
        <v>10130149</v>
      </c>
      <c r="BM24" s="73" t="str">
        <f>LOOKUP(BL24,FORMULAS!$A:$A,FORMULAS!$B:$B)</f>
        <v>Nupig Uno Kappa</v>
      </c>
      <c r="BN24" s="78"/>
      <c r="BO24" s="73">
        <v>-425</v>
      </c>
      <c r="BP24" s="135"/>
      <c r="BQ24" s="73"/>
      <c r="BR24" s="73"/>
      <c r="BS24" s="73"/>
      <c r="BT24" s="73"/>
    </row>
    <row r="25" spans="1:73" x14ac:dyDescent="0.25">
      <c r="A25" s="122">
        <v>43271</v>
      </c>
      <c r="B25" s="74">
        <f>WEEKNUM(A25-RESUMEN!$D$7)</f>
        <v>5</v>
      </c>
      <c r="C25" s="74">
        <f>_xlfn.DAYS(A25,RESUMEN!$D$7)</f>
        <v>33</v>
      </c>
      <c r="D25" s="127">
        <v>21111214</v>
      </c>
      <c r="E25" s="73" t="str">
        <f>LOOKUP(D25,FORMULAS!$A:$A,FORMULAS!$B:$B)</f>
        <v>Cerdos Fase 2 Med</v>
      </c>
      <c r="F25" s="80">
        <v>10000</v>
      </c>
      <c r="G25" s="75"/>
      <c r="H25" s="127" t="s">
        <v>276</v>
      </c>
      <c r="I25" s="73"/>
      <c r="J25" s="73"/>
      <c r="K25" s="73"/>
      <c r="L25" s="73"/>
      <c r="M25" s="117">
        <v>43275</v>
      </c>
      <c r="N25" s="73">
        <f>WEEKNUM(M25-RESUMEN!$P$7)</f>
        <v>5</v>
      </c>
      <c r="O25" s="73">
        <f>_xlfn.DAYS(M25,RESUMEN!$P$7)</f>
        <v>33</v>
      </c>
      <c r="P25" s="123">
        <v>10130149</v>
      </c>
      <c r="Q25" s="73" t="str">
        <f>LOOKUP(P25,FORMULAS!$A:$A,FORMULAS!$B:$B)</f>
        <v>Nupig Uno Kappa</v>
      </c>
      <c r="R25" s="78"/>
      <c r="S25" s="78">
        <v>-375</v>
      </c>
      <c r="T25" s="135"/>
      <c r="U25" s="73"/>
      <c r="V25" s="73"/>
      <c r="W25" s="73"/>
      <c r="X25" s="73"/>
      <c r="Y25" s="115">
        <v>43282</v>
      </c>
      <c r="Z25" s="73">
        <f>WEEKNUM(Y25-RESUMEN!$AB$7)</f>
        <v>5</v>
      </c>
      <c r="AA25" s="73">
        <f>_xlfn.DAYS(Y25,RESUMEN!$AB$7)</f>
        <v>35</v>
      </c>
      <c r="AB25" s="133">
        <v>10130149</v>
      </c>
      <c r="AC25" s="73" t="str">
        <f>LOOKUP(AB25,FORMULAS!$A:$A,FORMULAS!$B:$B)</f>
        <v>Nupig Uno Kappa</v>
      </c>
      <c r="AD25" s="78"/>
      <c r="AE25" s="78">
        <v>-350</v>
      </c>
      <c r="AF25" s="135"/>
      <c r="AG25" s="73"/>
      <c r="AH25" s="73"/>
      <c r="AI25" s="73"/>
      <c r="AJ25" s="73"/>
      <c r="AK25" s="117">
        <v>43289</v>
      </c>
      <c r="AL25" s="73">
        <f>WEEKNUM(AK25-RESUMEN!$AN$7)</f>
        <v>5</v>
      </c>
      <c r="AM25" s="73">
        <f>_xlfn.DAYS(AK25,RESUMEN!$AN$7)</f>
        <v>35</v>
      </c>
      <c r="AN25" s="128">
        <v>10130147</v>
      </c>
      <c r="AO25" s="73" t="str">
        <f>LOOKUP(AN25,FORMULAS!$A:$A,FORMULAS!$B:$B)</f>
        <v>Nupig Sew 150 Ppm Tiamulina+400Ppm Amoxicilina</v>
      </c>
      <c r="AP25" s="78"/>
      <c r="AQ25" s="78">
        <v>-75</v>
      </c>
      <c r="AR25" s="135"/>
      <c r="AS25" s="73"/>
      <c r="AT25" s="73"/>
      <c r="AU25" s="73"/>
      <c r="AV25" s="73"/>
      <c r="AW25" s="117">
        <v>43297</v>
      </c>
      <c r="AX25" s="73">
        <f>WEEKNUM(AW25-RESUMEN!$AZ$7)</f>
        <v>6</v>
      </c>
      <c r="AY25" s="73">
        <f>_xlfn.DAYS(AW25,RESUMEN!$AZ$7)</f>
        <v>36</v>
      </c>
      <c r="AZ25" s="128">
        <v>10130147</v>
      </c>
      <c r="BA25" s="73" t="str">
        <f>LOOKUP(AZ25,FORMULAS!$A:$A,FORMULAS!$B:$B)</f>
        <v>Nupig Sew 150 Ppm Tiamulina+400Ppm Amoxicilina</v>
      </c>
      <c r="BB25" s="78"/>
      <c r="BC25" s="78">
        <v>-50</v>
      </c>
      <c r="BD25" s="135"/>
      <c r="BE25" s="73"/>
      <c r="BF25" s="73"/>
      <c r="BG25" s="73"/>
      <c r="BH25" s="73"/>
      <c r="BI25" s="117">
        <v>43305</v>
      </c>
      <c r="BJ25" s="73">
        <f>WEEKNUM(BI25-RESUMEN!$BL$7)</f>
        <v>6</v>
      </c>
      <c r="BK25" s="73">
        <f>_xlfn.DAYS(BI25,RESUMEN!$BL$7)</f>
        <v>38</v>
      </c>
      <c r="BL25" s="130">
        <v>10130147</v>
      </c>
      <c r="BM25" s="73" t="str">
        <f>LOOKUP(BL25,FORMULAS!$A:$A,FORMULAS!$B:$B)</f>
        <v>Nupig Sew 150 Ppm Tiamulina+400Ppm Amoxicilina</v>
      </c>
      <c r="BN25" s="78"/>
      <c r="BO25" s="73">
        <v>-25</v>
      </c>
      <c r="BP25" s="73"/>
      <c r="BQ25" s="73"/>
      <c r="BR25" s="130"/>
      <c r="BS25" s="73"/>
      <c r="BT25" s="78"/>
      <c r="BU25" s="73">
        <v>-400</v>
      </c>
    </row>
    <row r="26" spans="1:73" x14ac:dyDescent="0.25">
      <c r="A26" s="122">
        <v>43271</v>
      </c>
      <c r="B26" s="74">
        <f>WEEKNUM(A26-RESUMEN!$D$7)</f>
        <v>5</v>
      </c>
      <c r="C26" s="74">
        <f>_xlfn.DAYS(A26,RESUMEN!$D$7)</f>
        <v>33</v>
      </c>
      <c r="D26" s="123">
        <v>10130149</v>
      </c>
      <c r="E26" s="73" t="str">
        <f>LOOKUP(D26,FORMULAS!$A:$A,FORMULAS!$B:$B)</f>
        <v>Nupig Uno Kappa</v>
      </c>
      <c r="F26" s="80"/>
      <c r="G26" s="75">
        <v>-125</v>
      </c>
      <c r="H26" s="127"/>
      <c r="I26" s="73"/>
      <c r="J26" s="73"/>
      <c r="K26" s="73"/>
      <c r="L26" s="73"/>
      <c r="M26" s="117">
        <v>43275</v>
      </c>
      <c r="N26" s="73">
        <f>WEEKNUM(M26-RESUMEN!$P$7)</f>
        <v>5</v>
      </c>
      <c r="O26" s="73">
        <f>_xlfn.DAYS(M26,RESUMEN!$P$7)</f>
        <v>33</v>
      </c>
      <c r="P26" s="123">
        <v>10130147</v>
      </c>
      <c r="Q26" s="73" t="str">
        <f>LOOKUP(P26,FORMULAS!$A:$A,FORMULAS!$B:$B)</f>
        <v>Nupig Sew 150 Ppm Tiamulina+400Ppm Amoxicilina</v>
      </c>
      <c r="R26" s="78"/>
      <c r="S26" s="78">
        <v>-50</v>
      </c>
      <c r="T26" s="135"/>
      <c r="U26" s="73"/>
      <c r="V26" s="73"/>
      <c r="W26" s="73"/>
      <c r="X26" s="73"/>
      <c r="Y26" s="115">
        <v>43283</v>
      </c>
      <c r="Z26" s="73">
        <f>WEEKNUM(Y26-RESUMEN!$AB$7)</f>
        <v>6</v>
      </c>
      <c r="AA26" s="73">
        <f>_xlfn.DAYS(Y26,RESUMEN!$AB$7)</f>
        <v>36</v>
      </c>
      <c r="AB26" s="133">
        <v>10130149</v>
      </c>
      <c r="AC26" s="73" t="str">
        <f>LOOKUP(AB26,FORMULAS!$A:$A,FORMULAS!$B:$B)</f>
        <v>Nupig Uno Kappa</v>
      </c>
      <c r="AD26" s="78"/>
      <c r="AE26" s="78">
        <v>-425</v>
      </c>
      <c r="AF26" s="135"/>
      <c r="AG26" s="73"/>
      <c r="AH26" s="73"/>
      <c r="AI26" s="73"/>
      <c r="AJ26" s="73"/>
      <c r="AK26" s="117">
        <v>43289</v>
      </c>
      <c r="AL26" s="73">
        <f>WEEKNUM(AK26-RESUMEN!$AN$7)</f>
        <v>5</v>
      </c>
      <c r="AM26" s="73">
        <f>_xlfn.DAYS(AK26,RESUMEN!$AN$7)</f>
        <v>35</v>
      </c>
      <c r="AN26" s="133">
        <v>10130149</v>
      </c>
      <c r="AO26" s="73" t="str">
        <f>LOOKUP(AN26,FORMULAS!$A:$A,FORMULAS!$B:$B)</f>
        <v>Nupig Uno Kappa</v>
      </c>
      <c r="AP26" s="78"/>
      <c r="AQ26" s="78">
        <v>-150</v>
      </c>
      <c r="AR26" s="135"/>
      <c r="AS26" s="73"/>
      <c r="AT26" s="73"/>
      <c r="AU26" s="73"/>
      <c r="AV26" s="73"/>
      <c r="AW26" s="117">
        <v>43297</v>
      </c>
      <c r="AX26" s="73">
        <f>WEEKNUM(AW26-RESUMEN!$AZ$7)</f>
        <v>6</v>
      </c>
      <c r="AY26" s="73">
        <f>_xlfn.DAYS(AW26,RESUMEN!$AZ$7)</f>
        <v>36</v>
      </c>
      <c r="AZ26" s="128">
        <v>10130149</v>
      </c>
      <c r="BA26" s="73" t="str">
        <f>LOOKUP(AZ26,FORMULAS!$A:$A,FORMULAS!$B:$B)</f>
        <v>Nupig Uno Kappa</v>
      </c>
      <c r="BB26" s="78"/>
      <c r="BC26" s="78">
        <v>-475</v>
      </c>
      <c r="BD26" s="135"/>
      <c r="BE26" s="73"/>
      <c r="BF26" s="73"/>
      <c r="BG26" s="73"/>
      <c r="BH26" s="73"/>
      <c r="BI26" s="117">
        <v>43305</v>
      </c>
      <c r="BJ26" s="73">
        <f>WEEKNUM(BI26-RESUMEN!$BL$7)</f>
        <v>6</v>
      </c>
      <c r="BK26" s="73">
        <f>_xlfn.DAYS(BI26,RESUMEN!$BL$7)</f>
        <v>38</v>
      </c>
      <c r="BL26" s="130">
        <v>10130149</v>
      </c>
      <c r="BM26" s="73" t="str">
        <f>LOOKUP(BL26,FORMULAS!$A:$A,FORMULAS!$B:$B)</f>
        <v>Nupig Uno Kappa</v>
      </c>
      <c r="BN26" s="78"/>
      <c r="BO26" s="73">
        <v>-400</v>
      </c>
      <c r="BP26" s="73"/>
      <c r="BQ26" s="73"/>
      <c r="BR26" s="130"/>
      <c r="BS26" s="73"/>
      <c r="BT26" s="78"/>
      <c r="BU26" s="73">
        <v>-25</v>
      </c>
    </row>
    <row r="27" spans="1:73" x14ac:dyDescent="0.25">
      <c r="A27" s="122">
        <v>43271</v>
      </c>
      <c r="B27" s="74">
        <f>WEEKNUM(A27-RESUMEN!$D$7)</f>
        <v>5</v>
      </c>
      <c r="C27" s="74">
        <f>_xlfn.DAYS(A27,RESUMEN!$D$7)</f>
        <v>33</v>
      </c>
      <c r="D27" s="123">
        <v>10130147</v>
      </c>
      <c r="E27" s="73" t="str">
        <f>LOOKUP(D27,FORMULAS!$A:$A,FORMULAS!$B:$B)</f>
        <v>Nupig Sew 150 Ppm Tiamulina+400Ppm Amoxicilina</v>
      </c>
      <c r="F27" s="80"/>
      <c r="G27" s="75">
        <v>-25</v>
      </c>
      <c r="H27" s="127"/>
      <c r="I27" s="73"/>
      <c r="J27" s="73"/>
      <c r="K27" s="73"/>
      <c r="L27" s="73"/>
      <c r="M27" s="117">
        <v>43276</v>
      </c>
      <c r="N27" s="73">
        <f>WEEKNUM(M27-RESUMEN!$P$7)</f>
        <v>5</v>
      </c>
      <c r="O27" s="73">
        <f>_xlfn.DAYS(M27,RESUMEN!$P$7)</f>
        <v>34</v>
      </c>
      <c r="P27" s="123">
        <v>10130149</v>
      </c>
      <c r="Q27" s="73" t="str">
        <f>LOOKUP(P27,FORMULAS!$A:$A,FORMULAS!$B:$B)</f>
        <v>Nupig Uno Kappa</v>
      </c>
      <c r="R27" s="78"/>
      <c r="S27" s="78">
        <v>-125</v>
      </c>
      <c r="T27" s="135"/>
      <c r="U27" s="73"/>
      <c r="V27" s="73"/>
      <c r="W27" s="73"/>
      <c r="X27" s="73"/>
      <c r="Y27" s="115">
        <v>43283</v>
      </c>
      <c r="Z27" s="73">
        <f>WEEKNUM(Y27-RESUMEN!$AB$7)</f>
        <v>6</v>
      </c>
      <c r="AA27" s="73">
        <f>_xlfn.DAYS(Y27,RESUMEN!$AB$7)</f>
        <v>36</v>
      </c>
      <c r="AB27" s="135">
        <v>21111214</v>
      </c>
      <c r="AC27" s="73" t="str">
        <f>LOOKUP(AB27,FORMULAS!$A:$A,FORMULAS!$B:$B)</f>
        <v>Cerdos Fase 2 Med</v>
      </c>
      <c r="AD27" s="78">
        <v>12780</v>
      </c>
      <c r="AE27" s="78"/>
      <c r="AF27" s="135" t="s">
        <v>280</v>
      </c>
      <c r="AG27" s="73"/>
      <c r="AH27" s="73"/>
      <c r="AI27" s="73"/>
      <c r="AJ27" s="73"/>
      <c r="AK27" s="117">
        <v>43289</v>
      </c>
      <c r="AL27" s="73">
        <f>WEEKNUM(AK27-RESUMEN!$AN$7)</f>
        <v>5</v>
      </c>
      <c r="AM27" s="73">
        <f>_xlfn.DAYS(AK27,RESUMEN!$AN$7)</f>
        <v>35</v>
      </c>
      <c r="AN27" s="135">
        <v>21111214</v>
      </c>
      <c r="AO27" s="73" t="str">
        <f>LOOKUP(AN27,FORMULAS!$A:$A,FORMULAS!$B:$B)</f>
        <v>Cerdos Fase 2 Med</v>
      </c>
      <c r="AP27" s="78"/>
      <c r="AQ27" s="78">
        <v>-740</v>
      </c>
      <c r="AR27" s="135"/>
      <c r="AS27" s="73"/>
      <c r="AT27" s="73"/>
      <c r="AU27" s="73"/>
      <c r="AV27" s="73"/>
      <c r="AW27" s="117">
        <v>43297</v>
      </c>
      <c r="AX27" s="73">
        <f>WEEKNUM(AW27-RESUMEN!$AZ$7)</f>
        <v>6</v>
      </c>
      <c r="AY27" s="73">
        <f>_xlfn.DAYS(AW27,RESUMEN!$AZ$7)</f>
        <v>36</v>
      </c>
      <c r="AZ27" s="135">
        <v>21111214</v>
      </c>
      <c r="BA27" s="73" t="str">
        <f>LOOKUP(AZ27,FORMULAS!$A:$A,FORMULAS!$B:$B)</f>
        <v>Cerdos Fase 2 Med</v>
      </c>
      <c r="BB27" s="78">
        <v>9310</v>
      </c>
      <c r="BC27" s="78"/>
      <c r="BD27" s="135" t="s">
        <v>294</v>
      </c>
      <c r="BE27" s="73"/>
      <c r="BF27" s="73"/>
      <c r="BG27" s="73"/>
      <c r="BH27" s="73"/>
      <c r="BI27" s="117">
        <v>43306</v>
      </c>
      <c r="BJ27" s="73">
        <f>WEEKNUM(BI27-RESUMEN!$BL$7)</f>
        <v>6</v>
      </c>
      <c r="BK27" s="73">
        <f>_xlfn.DAYS(BI27,RESUMEN!$BL$7)</f>
        <v>39</v>
      </c>
      <c r="BL27" s="130">
        <v>10130149</v>
      </c>
      <c r="BM27" s="73" t="str">
        <f>LOOKUP(BL27,FORMULAS!$A:$A,FORMULAS!$B:$B)</f>
        <v>Nupig Uno Kappa</v>
      </c>
      <c r="BN27" s="78"/>
      <c r="BO27" s="73">
        <v>-375</v>
      </c>
      <c r="BP27" s="135"/>
      <c r="BQ27" s="73"/>
      <c r="BR27" s="73"/>
      <c r="BS27" s="73"/>
      <c r="BT27" s="73"/>
    </row>
    <row r="28" spans="1:73" x14ac:dyDescent="0.25">
      <c r="A28" s="122">
        <v>43272</v>
      </c>
      <c r="B28" s="74">
        <f>WEEKNUM(A28-RESUMEN!$D$7)</f>
        <v>5</v>
      </c>
      <c r="C28" s="74">
        <f>_xlfn.DAYS(A28,RESUMEN!$D$7)</f>
        <v>34</v>
      </c>
      <c r="D28" s="123">
        <v>10130149</v>
      </c>
      <c r="E28" s="73" t="str">
        <f>LOOKUP(D28,FORMULAS!$A:$A,FORMULAS!$B:$B)</f>
        <v>Nupig Uno Kappa</v>
      </c>
      <c r="F28" s="80"/>
      <c r="G28" s="75">
        <v>-325</v>
      </c>
      <c r="H28" s="127"/>
      <c r="I28" s="73"/>
      <c r="J28" s="73"/>
      <c r="K28" s="73"/>
      <c r="L28" s="73"/>
      <c r="M28" s="117">
        <v>43277</v>
      </c>
      <c r="N28" s="73">
        <f>WEEKNUM(M28-RESUMEN!$P$7)</f>
        <v>5</v>
      </c>
      <c r="O28" s="73">
        <f>_xlfn.DAYS(M28,RESUMEN!$P$7)</f>
        <v>35</v>
      </c>
      <c r="P28" s="123">
        <v>10130147</v>
      </c>
      <c r="Q28" s="73" t="str">
        <f>LOOKUP(P28,FORMULAS!$A:$A,FORMULAS!$B:$B)</f>
        <v>Nupig Sew 150 Ppm Tiamulina+400Ppm Amoxicilina</v>
      </c>
      <c r="R28" s="78"/>
      <c r="S28" s="78">
        <v>-25</v>
      </c>
      <c r="T28" s="135"/>
      <c r="U28" s="73"/>
      <c r="V28" s="73"/>
      <c r="W28" s="73"/>
      <c r="X28" s="73"/>
      <c r="Y28" s="115">
        <v>43284</v>
      </c>
      <c r="Z28" s="73">
        <f>WEEKNUM(Y28-RESUMEN!$AB$7)</f>
        <v>6</v>
      </c>
      <c r="AA28" s="73">
        <f>_xlfn.DAYS(Y28,RESUMEN!$AB$7)</f>
        <v>37</v>
      </c>
      <c r="AB28" s="128">
        <v>10130147</v>
      </c>
      <c r="AC28" s="73" t="str">
        <f>LOOKUP(AB28,FORMULAS!$A:$A,FORMULAS!$B:$B)</f>
        <v>Nupig Sew 150 Ppm Tiamulina+400Ppm Amoxicilina</v>
      </c>
      <c r="AD28" s="78"/>
      <c r="AE28" s="73">
        <v>-100</v>
      </c>
      <c r="AF28" s="73"/>
      <c r="AG28" s="73"/>
      <c r="AH28" s="73"/>
      <c r="AI28" s="73"/>
      <c r="AJ28" s="73"/>
      <c r="AK28" s="117">
        <v>43290</v>
      </c>
      <c r="AL28" s="73">
        <f>WEEKNUM(AK28-RESUMEN!$AN$7)</f>
        <v>6</v>
      </c>
      <c r="AM28" s="73">
        <f>_xlfn.DAYS(AK28,RESUMEN!$AN$7)</f>
        <v>36</v>
      </c>
      <c r="AN28" s="133">
        <v>10130149</v>
      </c>
      <c r="AO28" s="73" t="str">
        <f>LOOKUP(AN28,FORMULAS!$A:$A,FORMULAS!$B:$B)</f>
        <v>Nupig Uno Kappa</v>
      </c>
      <c r="AP28" s="78"/>
      <c r="AQ28" s="78">
        <v>-275</v>
      </c>
      <c r="AR28" s="135"/>
      <c r="AS28" s="73"/>
      <c r="AT28" s="73"/>
      <c r="AU28" s="73"/>
      <c r="AV28" s="73"/>
      <c r="AW28" s="117">
        <v>43298</v>
      </c>
      <c r="AX28" s="73">
        <f>WEEKNUM(AW28-RESUMEN!$AZ$7)</f>
        <v>6</v>
      </c>
      <c r="AY28" s="73">
        <f>_xlfn.DAYS(AW28,RESUMEN!$AZ$7)</f>
        <v>37</v>
      </c>
      <c r="AZ28" s="128">
        <v>10130147</v>
      </c>
      <c r="BA28" s="73" t="str">
        <f>LOOKUP(AZ28,FORMULAS!$A:$A,FORMULAS!$B:$B)</f>
        <v>Nupig Sew 150 Ppm Tiamulina+400Ppm Amoxicilina</v>
      </c>
      <c r="BB28" s="78"/>
      <c r="BC28" s="78">
        <v>-50</v>
      </c>
      <c r="BD28" s="135"/>
      <c r="BE28" s="73"/>
      <c r="BF28" s="73"/>
      <c r="BG28" s="73"/>
      <c r="BH28" s="73"/>
      <c r="BI28" s="117">
        <v>43307</v>
      </c>
      <c r="BJ28" s="73">
        <f>WEEKNUM(BI28-RESUMEN!$BL$7)</f>
        <v>6</v>
      </c>
      <c r="BK28" s="73">
        <f>_xlfn.DAYS(BI28,RESUMEN!$BL$7)</f>
        <v>40</v>
      </c>
      <c r="BL28" s="130">
        <v>10130149</v>
      </c>
      <c r="BM28" s="73" t="str">
        <f>LOOKUP(BL28,FORMULAS!$A:$A,FORMULAS!$B:$B)</f>
        <v>Nupig Uno Kappa</v>
      </c>
      <c r="BN28" s="78"/>
      <c r="BO28" s="73">
        <v>-800</v>
      </c>
      <c r="BP28" s="135"/>
      <c r="BQ28" s="73"/>
      <c r="BR28" s="73"/>
      <c r="BS28" s="73"/>
      <c r="BT28" s="73"/>
    </row>
    <row r="29" spans="1:73" x14ac:dyDescent="0.25">
      <c r="A29" s="122">
        <v>43272</v>
      </c>
      <c r="B29" s="74">
        <f>WEEKNUM(A29-RESUMEN!$D$7)</f>
        <v>5</v>
      </c>
      <c r="C29" s="74">
        <f>_xlfn.DAYS(A29,RESUMEN!$D$7)</f>
        <v>34</v>
      </c>
      <c r="D29" s="123">
        <v>10130147</v>
      </c>
      <c r="E29" s="73" t="str">
        <f>LOOKUP(D29,FORMULAS!$A:$A,FORMULAS!$B:$B)</f>
        <v>Nupig Sew 150 Ppm Tiamulina+400Ppm Amoxicilina</v>
      </c>
      <c r="F29" s="80"/>
      <c r="G29" s="75">
        <v>-50</v>
      </c>
      <c r="H29" s="127"/>
      <c r="I29" s="73"/>
      <c r="J29" s="73"/>
      <c r="K29" s="73"/>
      <c r="L29" s="73"/>
      <c r="M29" s="117">
        <v>43277</v>
      </c>
      <c r="N29" s="73">
        <f>WEEKNUM(M29-RESUMEN!$P$7)</f>
        <v>5</v>
      </c>
      <c r="O29" s="73">
        <f>_xlfn.DAYS(M29,RESUMEN!$P$7)</f>
        <v>35</v>
      </c>
      <c r="P29" s="123">
        <v>10130149</v>
      </c>
      <c r="Q29" s="73" t="str">
        <f>LOOKUP(P29,FORMULAS!$A:$A,FORMULAS!$B:$B)</f>
        <v>Nupig Uno Kappa</v>
      </c>
      <c r="R29" s="78"/>
      <c r="S29" s="78">
        <v>-425</v>
      </c>
      <c r="T29" s="135"/>
      <c r="U29" s="73"/>
      <c r="V29" s="73"/>
      <c r="W29" s="73"/>
      <c r="X29" s="73"/>
      <c r="Y29" s="115">
        <v>43284</v>
      </c>
      <c r="Z29" s="73">
        <f>WEEKNUM(Y29-RESUMEN!$AB$7)</f>
        <v>6</v>
      </c>
      <c r="AA29" s="73">
        <f>_xlfn.DAYS(Y29,RESUMEN!$AB$7)</f>
        <v>37</v>
      </c>
      <c r="AB29" s="133">
        <v>10130149</v>
      </c>
      <c r="AC29" s="73" t="str">
        <f>LOOKUP(AB29,FORMULAS!$A:$A,FORMULAS!$B:$B)</f>
        <v>Nupig Uno Kappa</v>
      </c>
      <c r="AD29" s="78"/>
      <c r="AE29" s="73">
        <v>-425</v>
      </c>
      <c r="AF29" s="73"/>
      <c r="AG29" s="73"/>
      <c r="AH29" s="73"/>
      <c r="AI29" s="73"/>
      <c r="AJ29" s="73"/>
      <c r="AK29" s="117">
        <v>43291</v>
      </c>
      <c r="AL29" s="73">
        <f>WEEKNUM(AK29-RESUMEN!$AN$7)</f>
        <v>6</v>
      </c>
      <c r="AM29" s="73">
        <f>_xlfn.DAYS(AK29,RESUMEN!$AN$7)</f>
        <v>37</v>
      </c>
      <c r="AN29" s="133">
        <v>10130149</v>
      </c>
      <c r="AO29" s="73" t="str">
        <f>LOOKUP(AN29,FORMULAS!$A:$A,FORMULAS!$B:$B)</f>
        <v>Nupig Uno Kappa</v>
      </c>
      <c r="AP29" s="78"/>
      <c r="AQ29" s="78">
        <v>-125</v>
      </c>
      <c r="AR29" s="135"/>
      <c r="AS29" s="73"/>
      <c r="AT29" s="73"/>
      <c r="AU29" s="73"/>
      <c r="AV29" s="73"/>
      <c r="AW29" s="117">
        <v>43298</v>
      </c>
      <c r="AX29" s="73">
        <f>WEEKNUM(AW29-RESUMEN!$AZ$7)</f>
        <v>6</v>
      </c>
      <c r="AY29" s="73">
        <f>_xlfn.DAYS(AW29,RESUMEN!$AZ$7)</f>
        <v>37</v>
      </c>
      <c r="AZ29" s="128">
        <v>10130149</v>
      </c>
      <c r="BA29" s="73" t="str">
        <f>LOOKUP(AZ29,FORMULAS!$A:$A,FORMULAS!$B:$B)</f>
        <v>Nupig Uno Kappa</v>
      </c>
      <c r="BB29" s="78"/>
      <c r="BC29" s="78">
        <v>-450</v>
      </c>
      <c r="BD29" s="135"/>
      <c r="BE29" s="73"/>
      <c r="BF29" s="73"/>
      <c r="BG29" s="73"/>
      <c r="BH29" s="73"/>
      <c r="BI29" s="117">
        <v>43307</v>
      </c>
      <c r="BJ29" s="73">
        <f>WEEKNUM(BI29-RESUMEN!$BL$7)</f>
        <v>6</v>
      </c>
      <c r="BK29" s="73">
        <f>_xlfn.DAYS(BI29,RESUMEN!$BL$7)</f>
        <v>40</v>
      </c>
      <c r="BL29" s="135">
        <v>21111214</v>
      </c>
      <c r="BM29" s="73" t="str">
        <f>LOOKUP(BL29,FORMULAS!$A:$A,FORMULAS!$B:$B)</f>
        <v>Cerdos Fase 2 Med</v>
      </c>
      <c r="BN29" s="78"/>
      <c r="BO29" s="73">
        <v>-2500</v>
      </c>
      <c r="BP29" s="135"/>
      <c r="BQ29" s="73"/>
      <c r="BR29" s="73"/>
      <c r="BS29" s="73"/>
      <c r="BT29" s="73"/>
    </row>
    <row r="30" spans="1:73" x14ac:dyDescent="0.25">
      <c r="A30" s="122">
        <v>43273</v>
      </c>
      <c r="B30" s="74">
        <f>WEEKNUM(A30-RESUMEN!$D$7)</f>
        <v>5</v>
      </c>
      <c r="C30" s="74">
        <f>_xlfn.DAYS(A30,RESUMEN!$D$7)</f>
        <v>35</v>
      </c>
      <c r="D30" s="123">
        <v>10130149</v>
      </c>
      <c r="E30" s="73" t="str">
        <f>LOOKUP(D30,FORMULAS!$A:$A,FORMULAS!$B:$B)</f>
        <v>Nupig Uno Kappa</v>
      </c>
      <c r="F30" s="80"/>
      <c r="G30" s="75">
        <v>-225</v>
      </c>
      <c r="H30" s="127"/>
      <c r="I30" s="73"/>
      <c r="J30" s="73"/>
      <c r="K30" s="73"/>
      <c r="L30" s="73"/>
      <c r="M30" s="117">
        <v>43278</v>
      </c>
      <c r="N30" s="73">
        <f>WEEKNUM(M30-RESUMEN!$P$7)</f>
        <v>6</v>
      </c>
      <c r="O30" s="73">
        <f>_xlfn.DAYS(M30,RESUMEN!$P$7)</f>
        <v>36</v>
      </c>
      <c r="P30" s="123">
        <v>10130147</v>
      </c>
      <c r="Q30" s="73" t="str">
        <f>LOOKUP(P30,FORMULAS!$A:$A,FORMULAS!$B:$B)</f>
        <v>Nupig Sew 150 Ppm Tiamulina+400Ppm Amoxicilina</v>
      </c>
      <c r="R30" s="78"/>
      <c r="S30" s="78">
        <v>-25</v>
      </c>
      <c r="T30" s="135"/>
      <c r="U30" s="73"/>
      <c r="V30" s="73"/>
      <c r="W30" s="73"/>
      <c r="X30" s="73"/>
      <c r="Y30" s="115">
        <v>43285</v>
      </c>
      <c r="Z30" s="73">
        <f>WEEKNUM(Y30-RESUMEN!$AB$7)</f>
        <v>6</v>
      </c>
      <c r="AA30" s="73">
        <f>_xlfn.DAYS(Y30,RESUMEN!$AB$7)</f>
        <v>38</v>
      </c>
      <c r="AB30" s="135">
        <v>21111214</v>
      </c>
      <c r="AC30" s="73" t="str">
        <f>LOOKUP(AB30,FORMULAS!$A:$A,FORMULAS!$B:$B)</f>
        <v>Cerdos Fase 2 Med</v>
      </c>
      <c r="AD30" s="78"/>
      <c r="AE30" s="73">
        <v>-1780</v>
      </c>
      <c r="AF30" s="73"/>
      <c r="AG30" s="73"/>
      <c r="AH30" s="73"/>
      <c r="AI30" s="73"/>
      <c r="AJ30" s="73"/>
      <c r="AK30" s="117">
        <v>43291</v>
      </c>
      <c r="AL30" s="73">
        <f>WEEKNUM(AK30-RESUMEN!$AN$7)</f>
        <v>6</v>
      </c>
      <c r="AM30" s="73">
        <f>_xlfn.DAYS(AK30,RESUMEN!$AN$7)</f>
        <v>37</v>
      </c>
      <c r="AN30" s="128">
        <v>10130147</v>
      </c>
      <c r="AO30" s="73" t="str">
        <f>LOOKUP(AN30,FORMULAS!$A:$A,FORMULAS!$B:$B)</f>
        <v>Nupig Sew 150 Ppm Tiamulina+400Ppm Amoxicilina</v>
      </c>
      <c r="AP30" s="78"/>
      <c r="AQ30" s="78">
        <v>-50</v>
      </c>
      <c r="AR30" s="135"/>
      <c r="AS30" s="73"/>
      <c r="AT30" s="73"/>
      <c r="AU30" s="73"/>
      <c r="AV30" s="73"/>
      <c r="AW30" s="117">
        <v>43300</v>
      </c>
      <c r="AX30" s="73">
        <f>WEEKNUM(AW30-RESUMEN!$AZ$7)</f>
        <v>6</v>
      </c>
      <c r="AY30" s="73">
        <f>_xlfn.DAYS(AW30,RESUMEN!$AZ$7)</f>
        <v>39</v>
      </c>
      <c r="AZ30" s="128">
        <v>10130149</v>
      </c>
      <c r="BA30" s="73" t="str">
        <f>LOOKUP(AZ30,FORMULAS!$A:$A,FORMULAS!$B:$B)</f>
        <v>Nupig Uno Kappa</v>
      </c>
      <c r="BB30" s="78"/>
      <c r="BC30" s="78">
        <v>-250</v>
      </c>
      <c r="BD30" s="135"/>
      <c r="BE30" s="73"/>
      <c r="BF30" s="73"/>
      <c r="BG30" s="73"/>
      <c r="BH30" s="73"/>
      <c r="BI30" s="117">
        <v>43309</v>
      </c>
      <c r="BJ30" s="73">
        <f>WEEKNUM(BI30-RESUMEN!$BL$7)</f>
        <v>6</v>
      </c>
      <c r="BK30" s="73">
        <f>_xlfn.DAYS(BI30,RESUMEN!$BL$7)</f>
        <v>42</v>
      </c>
      <c r="BL30" s="130">
        <v>10130147</v>
      </c>
      <c r="BM30" s="73" t="str">
        <f>LOOKUP(BL30,FORMULAS!$A:$A,FORMULAS!$B:$B)</f>
        <v>Nupig Sew 150 Ppm Tiamulina+400Ppm Amoxicilina</v>
      </c>
      <c r="BN30" s="78"/>
      <c r="BO30" s="73">
        <v>-25</v>
      </c>
      <c r="BP30" s="135"/>
      <c r="BQ30" s="73"/>
      <c r="BR30" s="73"/>
      <c r="BS30" s="73"/>
      <c r="BT30" s="73"/>
    </row>
    <row r="31" spans="1:73" x14ac:dyDescent="0.25">
      <c r="A31" s="122">
        <v>43274</v>
      </c>
      <c r="B31" s="74">
        <f>WEEKNUM(A31-RESUMEN!$D$7)</f>
        <v>6</v>
      </c>
      <c r="C31" s="74">
        <f>_xlfn.DAYS(A31,RESUMEN!$D$7)</f>
        <v>36</v>
      </c>
      <c r="D31" s="123">
        <v>10130149</v>
      </c>
      <c r="E31" s="73" t="str">
        <f>LOOKUP(D31,FORMULAS!$A:$A,FORMULAS!$B:$B)</f>
        <v>Nupig Uno Kappa</v>
      </c>
      <c r="F31" s="80"/>
      <c r="G31" s="75">
        <v>-375</v>
      </c>
      <c r="H31" s="127"/>
      <c r="I31" s="73"/>
      <c r="J31" s="73"/>
      <c r="K31" s="73"/>
      <c r="L31" s="73"/>
      <c r="M31" s="115">
        <v>43278</v>
      </c>
      <c r="N31" s="73">
        <f>WEEKNUM(M31-RESUMEN!$P$7)</f>
        <v>6</v>
      </c>
      <c r="O31" s="73">
        <f>_xlfn.DAYS(M31,RESUMEN!$P$7)</f>
        <v>36</v>
      </c>
      <c r="P31" s="123">
        <v>10130149</v>
      </c>
      <c r="Q31" s="73" t="str">
        <f>LOOKUP(P31,FORMULAS!$A:$A,FORMULAS!$B:$B)</f>
        <v>Nupig Uno Kappa</v>
      </c>
      <c r="R31" s="78"/>
      <c r="S31" s="73">
        <v>-325</v>
      </c>
      <c r="T31" s="73"/>
      <c r="U31" s="73"/>
      <c r="V31" s="73"/>
      <c r="W31" s="73"/>
      <c r="X31" s="73"/>
      <c r="Y31" s="115">
        <v>43285</v>
      </c>
      <c r="Z31" s="73">
        <f>WEEKNUM(Y31-RESUMEN!$AB$7)</f>
        <v>6</v>
      </c>
      <c r="AA31" s="73">
        <f>_xlfn.DAYS(Y31,RESUMEN!$AB$7)</f>
        <v>38</v>
      </c>
      <c r="AB31" s="128">
        <v>10130147</v>
      </c>
      <c r="AC31" s="73" t="str">
        <f>LOOKUP(AB31,FORMULAS!$A:$A,FORMULAS!$B:$B)</f>
        <v>Nupig Sew 150 Ppm Tiamulina+400Ppm Amoxicilina</v>
      </c>
      <c r="AD31" s="78"/>
      <c r="AE31" s="73">
        <v>-50</v>
      </c>
      <c r="AF31" s="73"/>
      <c r="AG31" s="73"/>
      <c r="AH31" s="73"/>
      <c r="AI31" s="73"/>
      <c r="AJ31" s="73"/>
      <c r="AK31" s="115">
        <v>43292</v>
      </c>
      <c r="AL31" s="73">
        <f>WEEKNUM(AK31-RESUMEN!$AN$7)</f>
        <v>6</v>
      </c>
      <c r="AM31" s="73">
        <f>_xlfn.DAYS(AK31,RESUMEN!$AN$7)</f>
        <v>38</v>
      </c>
      <c r="AN31" s="133">
        <v>10130149</v>
      </c>
      <c r="AO31" s="73" t="str">
        <f>LOOKUP(AN31,FORMULAS!$A:$A,FORMULAS!$B:$B)</f>
        <v>Nupig Uno Kappa</v>
      </c>
      <c r="AP31" s="78"/>
      <c r="AQ31" s="78">
        <v>-200</v>
      </c>
      <c r="AR31" s="73"/>
      <c r="AS31" s="73"/>
      <c r="AT31" s="73"/>
      <c r="AU31" s="73"/>
      <c r="AV31" s="73"/>
      <c r="AW31" s="115">
        <v>43300</v>
      </c>
      <c r="AX31" s="73">
        <f>WEEKNUM(AW31-RESUMEN!$AZ$7)</f>
        <v>6</v>
      </c>
      <c r="AY31" s="73">
        <f>_xlfn.DAYS(AW31,RESUMEN!$AZ$7)</f>
        <v>39</v>
      </c>
      <c r="AZ31" s="128">
        <v>10130147</v>
      </c>
      <c r="BA31" s="73" t="str">
        <f>LOOKUP(AZ31,FORMULAS!$A:$A,FORMULAS!$B:$B)</f>
        <v>Nupig Sew 150 Ppm Tiamulina+400Ppm Amoxicilina</v>
      </c>
      <c r="BB31" s="78"/>
      <c r="BC31" s="73">
        <v>-75</v>
      </c>
      <c r="BD31" s="73"/>
      <c r="BE31" s="73"/>
      <c r="BF31" s="73"/>
      <c r="BG31" s="73"/>
      <c r="BH31" s="73"/>
      <c r="BI31" s="117">
        <v>43309</v>
      </c>
      <c r="BJ31" s="73">
        <f>WEEKNUM(BI31-RESUMEN!$BL$7)</f>
        <v>6</v>
      </c>
      <c r="BK31" s="73">
        <f>_xlfn.DAYS(BI31,RESUMEN!$BL$7)</f>
        <v>42</v>
      </c>
      <c r="BL31" s="135">
        <v>21111214</v>
      </c>
      <c r="BM31" s="73" t="str">
        <f>LOOKUP(BL31,FORMULAS!$A:$A,FORMULAS!$B:$B)</f>
        <v>Cerdos Fase 2 Med</v>
      </c>
      <c r="BN31" s="78"/>
      <c r="BO31" s="73">
        <v>-1000</v>
      </c>
      <c r="BP31" s="135"/>
      <c r="BQ31" s="73"/>
      <c r="BR31" s="73"/>
      <c r="BS31" s="73"/>
      <c r="BT31" s="73"/>
    </row>
    <row r="32" spans="1:73" x14ac:dyDescent="0.25">
      <c r="A32" s="122">
        <v>43275</v>
      </c>
      <c r="B32" s="74">
        <f>WEEKNUM(A32-RESUMEN!$D$7)</f>
        <v>6</v>
      </c>
      <c r="C32" s="74">
        <f>_xlfn.DAYS(A32,RESUMEN!$D$7)</f>
        <v>37</v>
      </c>
      <c r="D32" s="123">
        <v>10130149</v>
      </c>
      <c r="E32" s="73" t="str">
        <f>LOOKUP(D32,FORMULAS!$A:$A,FORMULAS!$B:$B)</f>
        <v>Nupig Uno Kappa</v>
      </c>
      <c r="F32" s="80"/>
      <c r="G32" s="75">
        <v>-525</v>
      </c>
      <c r="H32" s="75"/>
      <c r="I32" s="73"/>
      <c r="J32" s="73"/>
      <c r="K32" s="73"/>
      <c r="L32" s="73"/>
      <c r="M32" s="115">
        <v>43279</v>
      </c>
      <c r="N32" s="73">
        <f>WEEKNUM(M32-RESUMEN!$P$7)</f>
        <v>6</v>
      </c>
      <c r="O32" s="73">
        <f>_xlfn.DAYS(M32,RESUMEN!$P$7)</f>
        <v>37</v>
      </c>
      <c r="P32" s="123">
        <v>10130147</v>
      </c>
      <c r="Q32" s="73" t="str">
        <f>LOOKUP(P32,FORMULAS!$A:$A,FORMULAS!$B:$B)</f>
        <v>Nupig Sew 150 Ppm Tiamulina+400Ppm Amoxicilina</v>
      </c>
      <c r="R32" s="78"/>
      <c r="S32" s="73">
        <v>-50</v>
      </c>
      <c r="T32" s="73"/>
      <c r="U32" s="73"/>
      <c r="V32" s="73"/>
      <c r="W32" s="73"/>
      <c r="X32" s="73"/>
      <c r="Y32" s="115">
        <v>43285</v>
      </c>
      <c r="Z32" s="73">
        <f>WEEKNUM(Y32-RESUMEN!$AB$7)</f>
        <v>6</v>
      </c>
      <c r="AA32" s="73">
        <f>_xlfn.DAYS(Y32,RESUMEN!$AB$7)</f>
        <v>38</v>
      </c>
      <c r="AB32" s="133">
        <v>10130149</v>
      </c>
      <c r="AC32" s="73" t="str">
        <f>LOOKUP(AB32,FORMULAS!$A:$A,FORMULAS!$B:$B)</f>
        <v>Nupig Uno Kappa</v>
      </c>
      <c r="AD32" s="78"/>
      <c r="AE32" s="73">
        <v>-350</v>
      </c>
      <c r="AF32" s="73"/>
      <c r="AG32" s="73"/>
      <c r="AH32" s="73"/>
      <c r="AI32" s="73"/>
      <c r="AJ32" s="73"/>
      <c r="AK32" s="115">
        <v>43293</v>
      </c>
      <c r="AL32" s="73">
        <f>WEEKNUM(AK32-RESUMEN!$AN$7)</f>
        <v>6</v>
      </c>
      <c r="AM32" s="73">
        <f>_xlfn.DAYS(AK32,RESUMEN!$AN$7)</f>
        <v>39</v>
      </c>
      <c r="AN32" s="133">
        <v>10130149</v>
      </c>
      <c r="AO32" s="73" t="str">
        <f>LOOKUP(AN32,FORMULAS!$A:$A,FORMULAS!$B:$B)</f>
        <v>Nupig Uno Kappa</v>
      </c>
      <c r="AP32" s="78"/>
      <c r="AQ32" s="78">
        <v>-175</v>
      </c>
      <c r="AR32" s="73"/>
      <c r="AS32" s="73"/>
      <c r="AT32" s="73"/>
      <c r="AU32" s="73"/>
      <c r="AV32" s="73"/>
      <c r="AW32" s="115">
        <v>43301</v>
      </c>
      <c r="AX32" s="73">
        <f>WEEKNUM(AW32-RESUMEN!$AZ$7)</f>
        <v>6</v>
      </c>
      <c r="AY32" s="73">
        <f>_xlfn.DAYS(AW32,RESUMEN!$AZ$7)</f>
        <v>40</v>
      </c>
      <c r="AZ32" s="128">
        <v>10130149</v>
      </c>
      <c r="BA32" s="73" t="str">
        <f>LOOKUP(AZ32,FORMULAS!$A:$A,FORMULAS!$B:$B)</f>
        <v>Nupig Uno Kappa</v>
      </c>
      <c r="BB32" s="78"/>
      <c r="BC32" s="73">
        <v>-600</v>
      </c>
      <c r="BD32" s="73"/>
      <c r="BE32" s="73"/>
      <c r="BF32" s="73"/>
      <c r="BG32" s="73"/>
      <c r="BH32" s="73"/>
      <c r="BI32" s="117">
        <v>43310</v>
      </c>
      <c r="BJ32" s="73">
        <f>WEEKNUM(BI32-RESUMEN!$BL$7)</f>
        <v>7</v>
      </c>
      <c r="BK32" s="73">
        <f>_xlfn.DAYS(BI32,RESUMEN!$BL$7)</f>
        <v>43</v>
      </c>
      <c r="BL32" s="135">
        <v>21111214</v>
      </c>
      <c r="BM32" s="73" t="str">
        <f>LOOKUP(BL32,FORMULAS!$A:$A,FORMULAS!$B:$B)</f>
        <v>Cerdos Fase 2 Med</v>
      </c>
      <c r="BN32" s="78"/>
      <c r="BO32" s="73">
        <v>-1500</v>
      </c>
      <c r="BP32" s="135"/>
      <c r="BQ32" s="73"/>
      <c r="BR32" s="73"/>
      <c r="BS32" s="73"/>
      <c r="BT32" s="73"/>
    </row>
    <row r="33" spans="1:72" x14ac:dyDescent="0.25">
      <c r="A33" s="122">
        <v>43275</v>
      </c>
      <c r="B33" s="74">
        <f>WEEKNUM(A33-RESUMEN!$D$7)</f>
        <v>6</v>
      </c>
      <c r="C33" s="74">
        <f>_xlfn.DAYS(A33,RESUMEN!$D$7)</f>
        <v>37</v>
      </c>
      <c r="D33" s="123">
        <v>10130147</v>
      </c>
      <c r="E33" s="73" t="str">
        <f>LOOKUP(D33,FORMULAS!$A:$A,FORMULAS!$B:$B)</f>
        <v>Nupig Sew 150 Ppm Tiamulina+400Ppm Amoxicilina</v>
      </c>
      <c r="F33" s="80"/>
      <c r="G33" s="75">
        <v>-50</v>
      </c>
      <c r="H33" s="75"/>
      <c r="I33" s="73"/>
      <c r="J33" s="73"/>
      <c r="K33" s="73"/>
      <c r="L33" s="73"/>
      <c r="M33" s="115">
        <v>43279</v>
      </c>
      <c r="N33" s="73">
        <f>WEEKNUM(M33-RESUMEN!$P$7)</f>
        <v>6</v>
      </c>
      <c r="O33" s="73">
        <f>_xlfn.DAYS(M33,RESUMEN!$P$7)</f>
        <v>37</v>
      </c>
      <c r="P33" s="123">
        <v>10130149</v>
      </c>
      <c r="Q33" s="73" t="str">
        <f>LOOKUP(P33,FORMULAS!$A:$A,FORMULAS!$B:$B)</f>
        <v>Nupig Uno Kappa</v>
      </c>
      <c r="R33" s="78"/>
      <c r="S33" s="73">
        <v>-200</v>
      </c>
      <c r="T33" s="73"/>
      <c r="U33" s="73"/>
      <c r="V33" s="73"/>
      <c r="W33" s="73"/>
      <c r="X33" s="73"/>
      <c r="Y33" s="115">
        <v>43286</v>
      </c>
      <c r="Z33" s="73">
        <f>WEEKNUM(Y33-RESUMEN!$AB$7)</f>
        <v>6</v>
      </c>
      <c r="AA33" s="73">
        <f>_xlfn.DAYS(Y33,RESUMEN!$AB$7)</f>
        <v>39</v>
      </c>
      <c r="AB33" s="135">
        <v>21111214</v>
      </c>
      <c r="AC33" s="73" t="str">
        <f>LOOKUP(AB33,FORMULAS!$A:$A,FORMULAS!$B:$B)</f>
        <v>Cerdos Fase 2 Med</v>
      </c>
      <c r="AD33" s="78"/>
      <c r="AE33" s="73">
        <v>-1000</v>
      </c>
      <c r="AF33" s="73"/>
      <c r="AG33" s="73"/>
      <c r="AH33" s="73"/>
      <c r="AI33" s="73"/>
      <c r="AJ33" s="73"/>
      <c r="AK33" s="115">
        <v>43293</v>
      </c>
      <c r="AL33" s="73">
        <f>WEEKNUM(AK33-RESUMEN!$AN$7)</f>
        <v>6</v>
      </c>
      <c r="AM33" s="73">
        <f>_xlfn.DAYS(AK33,RESUMEN!$AN$7)</f>
        <v>39</v>
      </c>
      <c r="AN33" s="135">
        <v>21111214</v>
      </c>
      <c r="AO33" s="73" t="str">
        <f>LOOKUP(AN33,FORMULAS!$A:$A,FORMULAS!$B:$B)</f>
        <v>Cerdos Fase 2 Med</v>
      </c>
      <c r="AP33" s="78"/>
      <c r="AQ33" s="78">
        <v>-500</v>
      </c>
      <c r="AR33" s="73"/>
      <c r="AS33" s="73"/>
      <c r="AT33" s="73"/>
      <c r="AU33" s="73"/>
      <c r="AV33" s="73"/>
      <c r="AW33" s="115">
        <v>43302</v>
      </c>
      <c r="AX33" s="73">
        <f>WEEKNUM(AW33-RESUMEN!$AZ$7)</f>
        <v>6</v>
      </c>
      <c r="AY33" s="73">
        <f>_xlfn.DAYS(AW33,RESUMEN!$AZ$7)</f>
        <v>41</v>
      </c>
      <c r="AZ33" s="128">
        <v>10130149</v>
      </c>
      <c r="BA33" s="73" t="str">
        <f>LOOKUP(AZ33,FORMULAS!$A:$A,FORMULAS!$B:$B)</f>
        <v>Nupig Uno Kappa</v>
      </c>
      <c r="BB33" s="78"/>
      <c r="BC33" s="73">
        <v>-200</v>
      </c>
      <c r="BD33" s="73"/>
      <c r="BE33" s="73"/>
      <c r="BF33" s="73"/>
      <c r="BG33" s="73"/>
      <c r="BH33" s="73"/>
      <c r="BI33" s="115">
        <v>43311</v>
      </c>
      <c r="BJ33" s="73">
        <f>WEEKNUM(BI33-RESUMEN!$BL$7)</f>
        <v>7</v>
      </c>
      <c r="BK33" s="73">
        <f>_xlfn.DAYS(BI33,RESUMEN!$BL$7)</f>
        <v>44</v>
      </c>
      <c r="BL33" s="135">
        <v>21111214</v>
      </c>
      <c r="BM33" s="73" t="str">
        <f>LOOKUP(BL33,FORMULAS!$A:$A,FORMULAS!$B:$B)</f>
        <v>Cerdos Fase 2 Med</v>
      </c>
      <c r="BN33" s="78"/>
      <c r="BO33" s="73">
        <v>-500</v>
      </c>
      <c r="BP33" s="73"/>
      <c r="BQ33" s="73"/>
      <c r="BR33" s="73"/>
      <c r="BS33" s="73"/>
      <c r="BT33" s="73"/>
    </row>
    <row r="34" spans="1:72" x14ac:dyDescent="0.25">
      <c r="A34" s="122">
        <v>43276</v>
      </c>
      <c r="B34" s="74">
        <f>WEEKNUM(A34-RESUMEN!$D$7)</f>
        <v>6</v>
      </c>
      <c r="C34" s="74">
        <f>_xlfn.DAYS(A34,RESUMEN!$D$7)</f>
        <v>38</v>
      </c>
      <c r="D34" s="123">
        <v>10130149</v>
      </c>
      <c r="E34" s="73" t="str">
        <f>LOOKUP(D34,FORMULAS!$A:$A,FORMULAS!$B:$B)</f>
        <v>Nupig Uno Kappa</v>
      </c>
      <c r="F34" s="80"/>
      <c r="G34" s="75">
        <v>-125</v>
      </c>
      <c r="H34" s="75"/>
      <c r="I34" s="73"/>
      <c r="J34" s="73"/>
      <c r="K34" s="73"/>
      <c r="L34" s="73"/>
      <c r="M34" s="115">
        <v>43280</v>
      </c>
      <c r="N34" s="73">
        <f>WEEKNUM(M34-RESUMEN!$P$7)</f>
        <v>6</v>
      </c>
      <c r="O34" s="73">
        <f>_xlfn.DAYS(M34,RESUMEN!$P$7)</f>
        <v>38</v>
      </c>
      <c r="P34" s="123">
        <v>10130147</v>
      </c>
      <c r="Q34" s="73" t="str">
        <f>LOOKUP(P34,FORMULAS!$A:$A,FORMULAS!$B:$B)</f>
        <v>Nupig Sew 150 Ppm Tiamulina+400Ppm Amoxicilina</v>
      </c>
      <c r="R34" s="78"/>
      <c r="S34" s="73">
        <v>-75</v>
      </c>
      <c r="T34" s="73"/>
      <c r="U34" s="73"/>
      <c r="V34" s="73"/>
      <c r="W34" s="73"/>
      <c r="X34" s="73"/>
      <c r="Y34" s="115">
        <v>43286</v>
      </c>
      <c r="Z34" s="73">
        <f>WEEKNUM(Y34-RESUMEN!$AB$7)</f>
        <v>6</v>
      </c>
      <c r="AA34" s="73">
        <f>_xlfn.DAYS(Y34,RESUMEN!$AB$7)</f>
        <v>39</v>
      </c>
      <c r="AB34" s="128">
        <v>10130147</v>
      </c>
      <c r="AC34" s="73" t="str">
        <f>LOOKUP(AB34,FORMULAS!$A:$A,FORMULAS!$B:$B)</f>
        <v>Nupig Sew 150 Ppm Tiamulina+400Ppm Amoxicilina</v>
      </c>
      <c r="AD34" s="78"/>
      <c r="AE34" s="73">
        <v>-50</v>
      </c>
      <c r="AF34" s="73"/>
      <c r="AG34" s="73"/>
      <c r="AH34" s="73"/>
      <c r="AI34" s="73"/>
      <c r="AJ34" s="73"/>
      <c r="AK34" s="115">
        <v>43294</v>
      </c>
      <c r="AL34" s="73">
        <f>WEEKNUM(AK34-RESUMEN!$AN$7)</f>
        <v>6</v>
      </c>
      <c r="AM34" s="73">
        <f>_xlfn.DAYS(AK34,RESUMEN!$AN$7)</f>
        <v>40</v>
      </c>
      <c r="AN34" s="128">
        <v>10130147</v>
      </c>
      <c r="AO34" s="73" t="str">
        <f>LOOKUP(AN34,FORMULAS!$A:$A,FORMULAS!$B:$B)</f>
        <v>Nupig Sew 150 Ppm Tiamulina+400Ppm Amoxicilina</v>
      </c>
      <c r="AP34" s="78"/>
      <c r="AQ34" s="78">
        <v>-50</v>
      </c>
      <c r="AR34" s="73"/>
      <c r="AS34" s="73"/>
      <c r="AT34" s="73"/>
      <c r="AU34" s="73"/>
      <c r="AV34" s="73"/>
      <c r="AW34" s="115">
        <v>43302</v>
      </c>
      <c r="AX34" s="73">
        <f>WEEKNUM(AW34-RESUMEN!$AZ$7)</f>
        <v>6</v>
      </c>
      <c r="AY34" s="73">
        <f>_xlfn.DAYS(AW34,RESUMEN!$AZ$7)</f>
        <v>41</v>
      </c>
      <c r="AZ34" s="135">
        <v>21111214</v>
      </c>
      <c r="BA34" s="73" t="str">
        <f>LOOKUP(AZ34,FORMULAS!$A:$A,FORMULAS!$B:$B)</f>
        <v>Cerdos Fase 2 Med</v>
      </c>
      <c r="BB34" s="78"/>
      <c r="BC34" s="73">
        <v>-500</v>
      </c>
      <c r="BD34" s="73"/>
      <c r="BE34" s="73"/>
      <c r="BF34" s="73"/>
      <c r="BG34" s="73"/>
      <c r="BH34" s="73"/>
      <c r="BI34" s="115">
        <v>43312</v>
      </c>
      <c r="BJ34" s="73">
        <f>WEEKNUM(BI34-RESUMEN!$BL$7)</f>
        <v>7</v>
      </c>
      <c r="BK34" s="73">
        <f>_xlfn.DAYS(BI34,RESUMEN!$BL$7)</f>
        <v>45</v>
      </c>
      <c r="BL34" s="135">
        <v>21111214</v>
      </c>
      <c r="BM34" s="73" t="str">
        <f>LOOKUP(BL34,FORMULAS!$A:$A,FORMULAS!$B:$B)</f>
        <v>Cerdos Fase 2 Med</v>
      </c>
      <c r="BN34" s="78"/>
      <c r="BO34" s="73">
        <v>-500</v>
      </c>
      <c r="BP34" s="73"/>
      <c r="BQ34" s="73"/>
      <c r="BR34" s="73"/>
      <c r="BS34" s="73"/>
      <c r="BT34" s="73"/>
    </row>
    <row r="35" spans="1:72" x14ac:dyDescent="0.25">
      <c r="A35" s="122">
        <v>43277</v>
      </c>
      <c r="B35" s="74">
        <f>WEEKNUM(A35-RESUMEN!$D$7)</f>
        <v>6</v>
      </c>
      <c r="C35" s="74">
        <f>_xlfn.DAYS(A35,RESUMEN!$D$7)</f>
        <v>39</v>
      </c>
      <c r="D35" s="123">
        <v>10130147</v>
      </c>
      <c r="E35" s="73" t="str">
        <f>LOOKUP(D35,FORMULAS!$A:$A,FORMULAS!$B:$B)</f>
        <v>Nupig Sew 150 Ppm Tiamulina+400Ppm Amoxicilina</v>
      </c>
      <c r="F35" s="80"/>
      <c r="G35" s="75">
        <v>-25</v>
      </c>
      <c r="H35" s="75"/>
      <c r="I35" s="73"/>
      <c r="J35" s="73"/>
      <c r="K35" s="73"/>
      <c r="L35" s="73"/>
      <c r="M35" s="115">
        <v>43280</v>
      </c>
      <c r="N35" s="73">
        <f>WEEKNUM(M35-RESUMEN!$P$7)</f>
        <v>6</v>
      </c>
      <c r="O35" s="73">
        <f>_xlfn.DAYS(M35,RESUMEN!$P$7)</f>
        <v>38</v>
      </c>
      <c r="P35" s="123">
        <v>10130149</v>
      </c>
      <c r="Q35" s="73" t="str">
        <f>LOOKUP(P35,FORMULAS!$A:$A,FORMULAS!$B:$B)</f>
        <v>Nupig Uno Kappa</v>
      </c>
      <c r="R35" s="78"/>
      <c r="S35" s="73">
        <v>-250</v>
      </c>
      <c r="T35" s="73"/>
      <c r="U35" s="73"/>
      <c r="V35" s="73"/>
      <c r="W35" s="73"/>
      <c r="X35" s="73"/>
      <c r="Y35" s="115">
        <v>43287</v>
      </c>
      <c r="Z35" s="73">
        <f>WEEKNUM(Y35-RESUMEN!$AB$7)</f>
        <v>6</v>
      </c>
      <c r="AA35" s="73">
        <f>_xlfn.DAYS(Y35,RESUMEN!$AB$7)</f>
        <v>40</v>
      </c>
      <c r="AB35" s="135">
        <v>21111214</v>
      </c>
      <c r="AC35" s="73" t="str">
        <f>LOOKUP(AB35,FORMULAS!$A:$A,FORMULAS!$B:$B)</f>
        <v>Cerdos Fase 2 Med</v>
      </c>
      <c r="AD35" s="78"/>
      <c r="AE35" s="73">
        <v>-500</v>
      </c>
      <c r="AF35" s="73"/>
      <c r="AG35" s="73"/>
      <c r="AH35" s="73"/>
      <c r="AI35" s="73"/>
      <c r="AJ35" s="73"/>
      <c r="AK35" s="115">
        <v>43294</v>
      </c>
      <c r="AL35" s="73">
        <f>WEEKNUM(AK35-RESUMEN!$AN$7)</f>
        <v>6</v>
      </c>
      <c r="AM35" s="73">
        <f>_xlfn.DAYS(AK35,RESUMEN!$AN$7)</f>
        <v>40</v>
      </c>
      <c r="AN35" s="133">
        <v>10130149</v>
      </c>
      <c r="AO35" s="73" t="str">
        <f>LOOKUP(AN35,FORMULAS!$A:$A,FORMULAS!$B:$B)</f>
        <v>Nupig Uno Kappa</v>
      </c>
      <c r="AP35" s="78"/>
      <c r="AQ35" s="78">
        <v>-200</v>
      </c>
      <c r="AR35" s="73"/>
      <c r="AS35" s="73"/>
      <c r="AT35" s="73"/>
      <c r="AU35" s="73"/>
      <c r="AV35" s="73"/>
      <c r="AW35" s="115">
        <v>43302</v>
      </c>
      <c r="AX35" s="73">
        <f>WEEKNUM(AW35-RESUMEN!$AZ$7)</f>
        <v>6</v>
      </c>
      <c r="AY35" s="73">
        <f>_xlfn.DAYS(AW35,RESUMEN!$AZ$7)</f>
        <v>41</v>
      </c>
      <c r="AZ35" s="128">
        <v>10130147</v>
      </c>
      <c r="BA35" s="73" t="str">
        <f>LOOKUP(AZ35,FORMULAS!$A:$A,FORMULAS!$B:$B)</f>
        <v>Nupig Sew 150 Ppm Tiamulina+400Ppm Amoxicilina</v>
      </c>
      <c r="BB35" s="78"/>
      <c r="BC35" s="73">
        <v>-50</v>
      </c>
      <c r="BD35" s="73"/>
      <c r="BE35" s="73"/>
      <c r="BF35" s="73"/>
      <c r="BG35" s="73"/>
      <c r="BH35" s="73"/>
      <c r="BI35" s="115">
        <v>43313</v>
      </c>
      <c r="BJ35" s="73">
        <f>WEEKNUM(BI35-RESUMEN!$BL$7)</f>
        <v>7</v>
      </c>
      <c r="BK35" s="73">
        <f>_xlfn.DAYS(BI35,RESUMEN!$BL$7)</f>
        <v>46</v>
      </c>
      <c r="BL35" s="135">
        <v>21111214</v>
      </c>
      <c r="BM35" s="73" t="str">
        <f>LOOKUP(BL35,FORMULAS!$A:$A,FORMULAS!$B:$B)</f>
        <v>Cerdos Fase 2 Med</v>
      </c>
      <c r="BN35" s="78"/>
      <c r="BO35" s="73">
        <v>-1000</v>
      </c>
      <c r="BP35" s="73"/>
      <c r="BQ35" s="73"/>
      <c r="BR35" s="73"/>
      <c r="BS35" s="73"/>
      <c r="BT35" s="73"/>
    </row>
    <row r="36" spans="1:72" x14ac:dyDescent="0.25">
      <c r="A36" s="122">
        <v>43277</v>
      </c>
      <c r="B36" s="74">
        <f>WEEKNUM(A36-RESUMEN!$D$7)</f>
        <v>6</v>
      </c>
      <c r="C36" s="74">
        <f>_xlfn.DAYS(A36,RESUMEN!$D$7)</f>
        <v>39</v>
      </c>
      <c r="D36" s="123">
        <v>10130149</v>
      </c>
      <c r="E36" s="73" t="str">
        <f>LOOKUP(D36,FORMULAS!$A:$A,FORMULAS!$B:$B)</f>
        <v>Nupig Uno Kappa</v>
      </c>
      <c r="F36" s="80"/>
      <c r="G36" s="75">
        <v>-100</v>
      </c>
      <c r="H36" s="75"/>
      <c r="I36" s="73"/>
      <c r="J36" s="73"/>
      <c r="K36" s="73"/>
      <c r="L36" s="73"/>
      <c r="M36" s="115">
        <v>43281</v>
      </c>
      <c r="N36" s="73">
        <f>WEEKNUM(M36-RESUMEN!$P$7)</f>
        <v>6</v>
      </c>
      <c r="O36" s="73">
        <f>_xlfn.DAYS(M36,RESUMEN!$P$7)</f>
        <v>39</v>
      </c>
      <c r="P36" s="134">
        <v>21111214</v>
      </c>
      <c r="Q36" s="73" t="str">
        <f>LOOKUP(P36,FORMULAS!$A:$A,FORMULAS!$B:$B)</f>
        <v>Cerdos Fase 2 Med</v>
      </c>
      <c r="R36" s="78"/>
      <c r="S36" s="73">
        <v>-1000</v>
      </c>
      <c r="T36" s="73"/>
      <c r="U36" s="73"/>
      <c r="V36" s="73"/>
      <c r="W36" s="73"/>
      <c r="X36" s="73"/>
      <c r="Y36" s="115">
        <v>43287</v>
      </c>
      <c r="Z36" s="73">
        <f>WEEKNUM(Y36-RESUMEN!$AB$7)</f>
        <v>6</v>
      </c>
      <c r="AA36" s="73">
        <f>_xlfn.DAYS(Y36,RESUMEN!$AB$7)</f>
        <v>40</v>
      </c>
      <c r="AB36" s="128">
        <v>10130147</v>
      </c>
      <c r="AC36" s="73" t="str">
        <f>LOOKUP(AB36,FORMULAS!$A:$A,FORMULAS!$B:$B)</f>
        <v>Nupig Sew 150 Ppm Tiamulina+400Ppm Amoxicilina</v>
      </c>
      <c r="AD36" s="78"/>
      <c r="AE36" s="73">
        <v>-75</v>
      </c>
      <c r="AF36" s="73"/>
      <c r="AG36" s="73"/>
      <c r="AH36" s="73"/>
      <c r="AI36" s="73"/>
      <c r="AJ36" s="73"/>
      <c r="AK36" s="115">
        <v>43295</v>
      </c>
      <c r="AL36" s="73">
        <f>WEEKNUM(AK36-RESUMEN!$AN$7)</f>
        <v>6</v>
      </c>
      <c r="AM36" s="73">
        <f>_xlfn.DAYS(AK36,RESUMEN!$AN$7)</f>
        <v>41</v>
      </c>
      <c r="AN36" s="128">
        <v>10130147</v>
      </c>
      <c r="AO36" s="73" t="str">
        <f>LOOKUP(AN36,FORMULAS!$A:$A,FORMULAS!$B:$B)</f>
        <v>Nupig Sew 150 Ppm Tiamulina+400Ppm Amoxicilina</v>
      </c>
      <c r="AP36" s="78"/>
      <c r="AQ36" s="78">
        <v>-50</v>
      </c>
      <c r="AR36" s="73"/>
      <c r="AS36" s="73"/>
      <c r="AT36" s="73"/>
      <c r="AU36" s="73"/>
      <c r="AV36" s="73"/>
      <c r="AW36" s="115">
        <v>43303</v>
      </c>
      <c r="AX36" s="73">
        <f>WEEKNUM(AW36-RESUMEN!$AZ$7)</f>
        <v>6</v>
      </c>
      <c r="AY36" s="73">
        <f>_xlfn.DAYS(AW36,RESUMEN!$AZ$7)</f>
        <v>42</v>
      </c>
      <c r="AZ36" s="135">
        <v>21111214</v>
      </c>
      <c r="BA36" s="73" t="str">
        <f>LOOKUP(AZ36,FORMULAS!$A:$A,FORMULAS!$B:$B)</f>
        <v>Cerdos Fase 2 Med</v>
      </c>
      <c r="BB36" s="78"/>
      <c r="BC36" s="73">
        <v>-1000</v>
      </c>
      <c r="BD36" s="73"/>
      <c r="BE36" s="73"/>
      <c r="BF36" s="73"/>
      <c r="BG36" s="73"/>
      <c r="BH36" s="73"/>
      <c r="BI36" s="73"/>
      <c r="BJ36" s="73" t="e">
        <f>WEEKNUM(BI36-RESUMEN!$BL$7)</f>
        <v>#NUM!</v>
      </c>
      <c r="BK36" s="73">
        <f>_xlfn.DAYS(BI36,RESUMEN!$BL$7)</f>
        <v>-43267</v>
      </c>
      <c r="BL36" s="73"/>
      <c r="BM36" s="73" t="e">
        <f>LOOKUP(BL36,FORMULAS!$A:$A,FORMULAS!$B:$B)</f>
        <v>#N/A</v>
      </c>
      <c r="BN36" s="78"/>
      <c r="BO36" s="73"/>
      <c r="BP36" s="73"/>
      <c r="BQ36" s="73"/>
      <c r="BR36" s="73"/>
      <c r="BS36" s="73"/>
      <c r="BT36" s="73"/>
    </row>
    <row r="37" spans="1:72" x14ac:dyDescent="0.25">
      <c r="A37" s="122">
        <v>43277</v>
      </c>
      <c r="B37" s="74">
        <f>WEEKNUM(A37-RESUMEN!$D$7)</f>
        <v>6</v>
      </c>
      <c r="C37" s="74">
        <f>_xlfn.DAYS(A37,RESUMEN!$D$7)</f>
        <v>39</v>
      </c>
      <c r="D37" s="127">
        <v>21111214</v>
      </c>
      <c r="E37" s="73" t="str">
        <f>LOOKUP(D37,FORMULAS!$A:$A,FORMULAS!$B:$B)</f>
        <v>Cerdos Fase 2 Med</v>
      </c>
      <c r="F37" s="80"/>
      <c r="G37" s="75">
        <v>-2500</v>
      </c>
      <c r="H37" s="75"/>
      <c r="I37" s="73"/>
      <c r="J37" s="73"/>
      <c r="K37" s="73"/>
      <c r="L37" s="73"/>
      <c r="M37" s="115">
        <v>43281</v>
      </c>
      <c r="N37" s="73">
        <f>WEEKNUM(M37-RESUMEN!$P$7)</f>
        <v>6</v>
      </c>
      <c r="O37" s="73">
        <f>_xlfn.DAYS(M37,RESUMEN!$P$7)</f>
        <v>39</v>
      </c>
      <c r="P37" s="123">
        <v>10130147</v>
      </c>
      <c r="Q37" s="73" t="str">
        <f>LOOKUP(P37,FORMULAS!$A:$A,FORMULAS!$B:$B)</f>
        <v>Nupig Sew 150 Ppm Tiamulina+400Ppm Amoxicilina</v>
      </c>
      <c r="R37" s="78"/>
      <c r="S37" s="73">
        <v>-200</v>
      </c>
      <c r="T37" s="73"/>
      <c r="U37" s="73"/>
      <c r="V37" s="73"/>
      <c r="W37" s="73"/>
      <c r="X37" s="73"/>
      <c r="Y37" s="115">
        <v>43288</v>
      </c>
      <c r="Z37" s="73">
        <f>WEEKNUM(Y37-RESUMEN!$AB$7)</f>
        <v>6</v>
      </c>
      <c r="AA37" s="73">
        <f>_xlfn.DAYS(Y37,RESUMEN!$AB$7)</f>
        <v>41</v>
      </c>
      <c r="AB37" s="133">
        <v>10130149</v>
      </c>
      <c r="AC37" s="73" t="str">
        <f>LOOKUP(AB37,FORMULAS!$A:$A,FORMULAS!$B:$B)</f>
        <v>Nupig Uno Kappa</v>
      </c>
      <c r="AD37" s="78"/>
      <c r="AE37" s="73">
        <v>-175</v>
      </c>
      <c r="AF37" s="73"/>
      <c r="AG37" s="73"/>
      <c r="AH37" s="73"/>
      <c r="AI37" s="73"/>
      <c r="AJ37" s="73"/>
      <c r="AK37" s="115">
        <v>43295</v>
      </c>
      <c r="AL37" s="73">
        <f>WEEKNUM(AK37-RESUMEN!$AN$7)</f>
        <v>6</v>
      </c>
      <c r="AM37" s="73">
        <f>_xlfn.DAYS(AK37,RESUMEN!$AN$7)</f>
        <v>41</v>
      </c>
      <c r="AN37" s="133">
        <v>10130149</v>
      </c>
      <c r="AO37" s="73" t="str">
        <f>LOOKUP(AN37,FORMULAS!$A:$A,FORMULAS!$B:$B)</f>
        <v>Nupig Uno Kappa</v>
      </c>
      <c r="AP37" s="78"/>
      <c r="AQ37" s="78">
        <v>-100</v>
      </c>
      <c r="AR37" s="73"/>
      <c r="AS37" s="73"/>
      <c r="AT37" s="73"/>
      <c r="AU37" s="73"/>
      <c r="AV37" s="73"/>
      <c r="AW37" s="115">
        <v>43303</v>
      </c>
      <c r="AX37" s="73">
        <f>WEEKNUM(AW37-RESUMEN!$AZ$7)</f>
        <v>6</v>
      </c>
      <c r="AY37" s="73">
        <f>_xlfn.DAYS(AW37,RESUMEN!$AZ$7)</f>
        <v>42</v>
      </c>
      <c r="AZ37" s="128">
        <v>10130147</v>
      </c>
      <c r="BA37" s="73" t="str">
        <f>LOOKUP(AZ37,FORMULAS!$A:$A,FORMULAS!$B:$B)</f>
        <v>Nupig Sew 150 Ppm Tiamulina+400Ppm Amoxicilina</v>
      </c>
      <c r="BB37" s="78"/>
      <c r="BC37" s="73">
        <v>-50</v>
      </c>
      <c r="BD37" s="73"/>
      <c r="BE37" s="73"/>
      <c r="BF37" s="73"/>
      <c r="BG37" s="73"/>
      <c r="BH37" s="73"/>
      <c r="BI37" s="73"/>
      <c r="BJ37" s="73" t="e">
        <f>WEEKNUM(BI37-RESUMEN!$BL$7)</f>
        <v>#NUM!</v>
      </c>
      <c r="BK37" s="73">
        <f>_xlfn.DAYS(BI37,RESUMEN!$BL$7)</f>
        <v>-43267</v>
      </c>
      <c r="BL37" s="73"/>
      <c r="BM37" s="73" t="e">
        <f>LOOKUP(BL37,FORMULAS!$A:$A,FORMULAS!$B:$B)</f>
        <v>#N/A</v>
      </c>
      <c r="BN37" s="78"/>
      <c r="BO37" s="73"/>
      <c r="BP37" s="73"/>
      <c r="BQ37" s="73"/>
      <c r="BR37" s="73"/>
      <c r="BS37" s="73"/>
      <c r="BT37" s="73"/>
    </row>
    <row r="38" spans="1:72" x14ac:dyDescent="0.25">
      <c r="A38" s="122">
        <v>43278</v>
      </c>
      <c r="B38" s="74">
        <f>WEEKNUM(A38-RESUMEN!$D$7)</f>
        <v>6</v>
      </c>
      <c r="C38" s="74">
        <f>_xlfn.DAYS(A38,RESUMEN!$D$7)</f>
        <v>40</v>
      </c>
      <c r="D38" s="123">
        <v>10130147</v>
      </c>
      <c r="E38" s="73" t="str">
        <f>LOOKUP(D38,FORMULAS!$A:$A,FORMULAS!$B:$B)</f>
        <v>Nupig Sew 150 Ppm Tiamulina+400Ppm Amoxicilina</v>
      </c>
      <c r="F38" s="80"/>
      <c r="G38" s="75">
        <v>-50</v>
      </c>
      <c r="H38" s="75"/>
      <c r="I38" s="73"/>
      <c r="J38" s="73"/>
      <c r="K38" s="73"/>
      <c r="L38" s="73"/>
      <c r="M38" s="115">
        <v>43281</v>
      </c>
      <c r="N38" s="73">
        <f>WEEKNUM(M38-RESUMEN!$P$7)</f>
        <v>6</v>
      </c>
      <c r="O38" s="73">
        <f>_xlfn.DAYS(M38,RESUMEN!$P$7)</f>
        <v>39</v>
      </c>
      <c r="P38" s="123">
        <v>10130149</v>
      </c>
      <c r="Q38" s="73" t="str">
        <f>LOOKUP(P38,FORMULAS!$A:$A,FORMULAS!$B:$B)</f>
        <v>Nupig Uno Kappa</v>
      </c>
      <c r="R38" s="78"/>
      <c r="S38" s="73">
        <v>-375</v>
      </c>
      <c r="T38" s="73"/>
      <c r="U38" s="73"/>
      <c r="V38" s="73"/>
      <c r="W38" s="73"/>
      <c r="X38" s="73"/>
      <c r="Y38" s="115">
        <v>43289</v>
      </c>
      <c r="Z38" s="73">
        <f>WEEKNUM(Y38-RESUMEN!$AB$7)</f>
        <v>6</v>
      </c>
      <c r="AA38" s="73">
        <f>_xlfn.DAYS(Y38,RESUMEN!$AB$7)</f>
        <v>42</v>
      </c>
      <c r="AB38" s="135">
        <v>21111214</v>
      </c>
      <c r="AC38" s="73" t="str">
        <f>LOOKUP(AB38,FORMULAS!$A:$A,FORMULAS!$B:$B)</f>
        <v>Cerdos Fase 2 Med</v>
      </c>
      <c r="AD38" s="78"/>
      <c r="AE38" s="73">
        <v>-500</v>
      </c>
      <c r="AF38" s="73"/>
      <c r="AG38" s="73"/>
      <c r="AH38" s="73"/>
      <c r="AI38" s="73"/>
      <c r="AJ38" s="73"/>
      <c r="AK38" s="115">
        <v>43296</v>
      </c>
      <c r="AL38" s="73">
        <f>WEEKNUM(AK38-RESUMEN!$AN$7)</f>
        <v>6</v>
      </c>
      <c r="AM38" s="73">
        <f>_xlfn.DAYS(AK38,RESUMEN!$AN$7)</f>
        <v>42</v>
      </c>
      <c r="AN38" s="135">
        <v>21111214</v>
      </c>
      <c r="AO38" s="73" t="str">
        <f>LOOKUP(AN38,FORMULAS!$A:$A,FORMULAS!$B:$B)</f>
        <v>Cerdos Fase 2 Med</v>
      </c>
      <c r="AP38" s="78"/>
      <c r="AQ38" s="78">
        <v>-1000</v>
      </c>
      <c r="AR38" s="73"/>
      <c r="AS38" s="73"/>
      <c r="AT38" s="73"/>
      <c r="AU38" s="73"/>
      <c r="AV38" s="73"/>
      <c r="AW38" s="115">
        <v>43304</v>
      </c>
      <c r="AX38" s="73">
        <f>WEEKNUM(AW38-RESUMEN!$AZ$7)</f>
        <v>7</v>
      </c>
      <c r="AY38" s="73">
        <f>_xlfn.DAYS(AW38,RESUMEN!$AZ$7)</f>
        <v>43</v>
      </c>
      <c r="AZ38" s="128">
        <v>10130147</v>
      </c>
      <c r="BA38" s="73" t="str">
        <f>LOOKUP(AZ38,FORMULAS!$A:$A,FORMULAS!$B:$B)</f>
        <v>Nupig Sew 150 Ppm Tiamulina+400Ppm Amoxicilina</v>
      </c>
      <c r="BB38" s="78"/>
      <c r="BC38" s="73">
        <v>-75</v>
      </c>
      <c r="BD38" s="73"/>
      <c r="BE38" s="73"/>
      <c r="BF38" s="73"/>
      <c r="BG38" s="73"/>
      <c r="BH38" s="73"/>
      <c r="BI38" s="73"/>
      <c r="BJ38" s="73" t="e">
        <f>WEEKNUM(BI38-RESUMEN!$BL$7)</f>
        <v>#NUM!</v>
      </c>
      <c r="BK38" s="73">
        <f>_xlfn.DAYS(BI38,RESUMEN!$BL$7)</f>
        <v>-43267</v>
      </c>
      <c r="BL38" s="73"/>
      <c r="BM38" s="73" t="e">
        <f>LOOKUP(BL38,FORMULAS!$A:$A,FORMULAS!$B:$B)</f>
        <v>#N/A</v>
      </c>
      <c r="BN38" s="78"/>
      <c r="BO38" s="73"/>
      <c r="BP38" s="73"/>
      <c r="BQ38" s="73"/>
      <c r="BR38" s="73"/>
      <c r="BS38" s="73"/>
      <c r="BT38" s="73"/>
    </row>
    <row r="39" spans="1:72" x14ac:dyDescent="0.25">
      <c r="A39" s="122">
        <v>43278</v>
      </c>
      <c r="B39" s="74">
        <f>WEEKNUM(A39-RESUMEN!$D$7)</f>
        <v>6</v>
      </c>
      <c r="C39" s="74">
        <f>_xlfn.DAYS(A39,RESUMEN!$D$7)</f>
        <v>40</v>
      </c>
      <c r="D39" s="123">
        <v>10130149</v>
      </c>
      <c r="E39" s="73" t="str">
        <f>LOOKUP(D39,FORMULAS!$A:$A,FORMULAS!$B:$B)</f>
        <v>Nupig Uno Kappa</v>
      </c>
      <c r="F39" s="80"/>
      <c r="G39" s="75">
        <v>-50</v>
      </c>
      <c r="H39" s="75"/>
      <c r="I39" s="73"/>
      <c r="J39" s="73"/>
      <c r="K39" s="73"/>
      <c r="L39" s="73"/>
      <c r="M39" s="115">
        <v>43282</v>
      </c>
      <c r="N39" s="73">
        <f>WEEKNUM(M39-RESUMEN!$P$7)</f>
        <v>6</v>
      </c>
      <c r="O39" s="73">
        <f>_xlfn.DAYS(M39,RESUMEN!$P$7)</f>
        <v>40</v>
      </c>
      <c r="P39" s="134">
        <v>21111214</v>
      </c>
      <c r="Q39" s="73" t="str">
        <f>LOOKUP(P39,FORMULAS!$A:$A,FORMULAS!$B:$B)</f>
        <v>Cerdos Fase 2 Med</v>
      </c>
      <c r="R39" s="78"/>
      <c r="S39" s="73">
        <v>-500</v>
      </c>
      <c r="T39" s="73"/>
      <c r="U39" s="73"/>
      <c r="V39" s="73"/>
      <c r="W39" s="73"/>
      <c r="X39" s="73"/>
      <c r="Y39" s="115">
        <v>43291</v>
      </c>
      <c r="Z39" s="73">
        <f>WEEKNUM(Y39-RESUMEN!$AB$7)</f>
        <v>7</v>
      </c>
      <c r="AA39" s="73">
        <f>_xlfn.DAYS(Y39,RESUMEN!$AB$7)</f>
        <v>44</v>
      </c>
      <c r="AB39" s="133">
        <v>10130149</v>
      </c>
      <c r="AC39" s="73" t="str">
        <f>LOOKUP(AB39,FORMULAS!$A:$A,FORMULAS!$B:$B)</f>
        <v>Nupig Uno Kappa</v>
      </c>
      <c r="AD39" s="78"/>
      <c r="AE39" s="73">
        <v>-100</v>
      </c>
      <c r="AF39" s="73"/>
      <c r="AG39" s="73"/>
      <c r="AH39" s="73"/>
      <c r="AI39" s="73"/>
      <c r="AJ39" s="73"/>
      <c r="AK39" s="115">
        <v>43296</v>
      </c>
      <c r="AL39" s="73">
        <f>WEEKNUM(AK39-RESUMEN!$AN$7)</f>
        <v>6</v>
      </c>
      <c r="AM39" s="73">
        <f>_xlfn.DAYS(AK39,RESUMEN!$AN$7)</f>
        <v>42</v>
      </c>
      <c r="AN39" s="128">
        <v>10130147</v>
      </c>
      <c r="AO39" s="73" t="str">
        <f>LOOKUP(AN39,FORMULAS!$A:$A,FORMULAS!$B:$B)</f>
        <v>Nupig Sew 150 Ppm Tiamulina+400Ppm Amoxicilina</v>
      </c>
      <c r="AP39" s="78"/>
      <c r="AQ39" s="78">
        <v>-75</v>
      </c>
      <c r="AR39" s="73"/>
      <c r="AS39" s="73"/>
      <c r="AT39" s="73"/>
      <c r="AU39" s="73"/>
      <c r="AV39" s="73"/>
      <c r="AW39" s="115">
        <v>43305</v>
      </c>
      <c r="AX39" s="73">
        <f>WEEKNUM(AW39-RESUMEN!$AZ$7)</f>
        <v>7</v>
      </c>
      <c r="AY39" s="73">
        <f>_xlfn.DAYS(AW39,RESUMEN!$AZ$7)</f>
        <v>44</v>
      </c>
      <c r="AZ39" s="128">
        <v>10130149</v>
      </c>
      <c r="BA39" s="73" t="str">
        <f>LOOKUP(AZ39,FORMULAS!$A:$A,FORMULAS!$B:$B)</f>
        <v>Nupig Uno Kappa</v>
      </c>
      <c r="BB39" s="78"/>
      <c r="BC39" s="73">
        <v>-75</v>
      </c>
      <c r="BD39" s="73"/>
      <c r="BE39" s="73"/>
      <c r="BF39" s="73"/>
      <c r="BG39" s="73"/>
      <c r="BH39" s="73"/>
      <c r="BI39" s="73"/>
      <c r="BJ39" s="73" t="e">
        <f>WEEKNUM(BI39-RESUMEN!$BL$7)</f>
        <v>#NUM!</v>
      </c>
      <c r="BK39" s="73">
        <f>_xlfn.DAYS(BI39,RESUMEN!$BL$7)</f>
        <v>-43267</v>
      </c>
      <c r="BL39" s="73"/>
      <c r="BM39" s="73" t="e">
        <f>LOOKUP(BL39,FORMULAS!$A:$A,FORMULAS!$B:$B)</f>
        <v>#N/A</v>
      </c>
      <c r="BN39" s="78"/>
      <c r="BO39" s="73"/>
      <c r="BP39" s="73"/>
      <c r="BQ39" s="73"/>
      <c r="BR39" s="73"/>
      <c r="BS39" s="73"/>
      <c r="BT39" s="73"/>
    </row>
    <row r="40" spans="1:72" x14ac:dyDescent="0.25">
      <c r="A40" s="122">
        <v>43279</v>
      </c>
      <c r="B40" s="74">
        <f>WEEKNUM(A40-RESUMEN!$D$7)</f>
        <v>6</v>
      </c>
      <c r="C40" s="74">
        <f>_xlfn.DAYS(A40,RESUMEN!$D$7)</f>
        <v>41</v>
      </c>
      <c r="D40" s="123">
        <v>10130147</v>
      </c>
      <c r="E40" s="73" t="str">
        <f>LOOKUP(D40,FORMULAS!$A:$A,FORMULAS!$B:$B)</f>
        <v>Nupig Sew 150 Ppm Tiamulina+400Ppm Amoxicilina</v>
      </c>
      <c r="F40" s="80"/>
      <c r="G40" s="75">
        <v>-50</v>
      </c>
      <c r="H40" s="75"/>
      <c r="I40" s="73"/>
      <c r="J40" s="73"/>
      <c r="K40" s="73"/>
      <c r="L40" s="73"/>
      <c r="M40" s="115">
        <v>43282</v>
      </c>
      <c r="N40" s="73">
        <f>WEEKNUM(M40-RESUMEN!$P$7)</f>
        <v>6</v>
      </c>
      <c r="O40" s="73">
        <f>_xlfn.DAYS(M40,RESUMEN!$P$7)</f>
        <v>40</v>
      </c>
      <c r="P40" s="123">
        <v>10130149</v>
      </c>
      <c r="Q40" s="73" t="str">
        <f>LOOKUP(P40,FORMULAS!$A:$A,FORMULAS!$B:$B)</f>
        <v>Nupig Uno Kappa</v>
      </c>
      <c r="R40" s="78"/>
      <c r="S40" s="73">
        <v>-175</v>
      </c>
      <c r="T40" s="73"/>
      <c r="U40" s="73"/>
      <c r="V40" s="73"/>
      <c r="W40" s="73"/>
      <c r="X40" s="73"/>
      <c r="Y40" s="115">
        <v>43291</v>
      </c>
      <c r="Z40" s="73">
        <f>WEEKNUM(Y40-RESUMEN!$AB$7)</f>
        <v>7</v>
      </c>
      <c r="AA40" s="73">
        <f>_xlfn.DAYS(Y40,RESUMEN!$AB$7)</f>
        <v>44</v>
      </c>
      <c r="AB40" s="135">
        <v>21111214</v>
      </c>
      <c r="AC40" s="73" t="str">
        <f>LOOKUP(AB40,FORMULAS!$A:$A,FORMULAS!$B:$B)</f>
        <v>Cerdos Fase 2 Med</v>
      </c>
      <c r="AD40" s="78"/>
      <c r="AE40" s="73">
        <v>-1000</v>
      </c>
      <c r="AF40" s="73"/>
      <c r="AG40" s="73"/>
      <c r="AH40" s="73"/>
      <c r="AI40" s="73"/>
      <c r="AJ40" s="73"/>
      <c r="AK40" s="115">
        <v>43296</v>
      </c>
      <c r="AL40" s="73">
        <f>WEEKNUM(AK40-RESUMEN!$AN$7)</f>
        <v>6</v>
      </c>
      <c r="AM40" s="73">
        <f>_xlfn.DAYS(AK40,RESUMEN!$AN$7)</f>
        <v>42</v>
      </c>
      <c r="AN40" s="133">
        <v>10130149</v>
      </c>
      <c r="AO40" s="73" t="str">
        <f>LOOKUP(AN40,FORMULAS!$A:$A,FORMULAS!$B:$B)</f>
        <v>Nupig Uno Kappa</v>
      </c>
      <c r="AP40" s="78"/>
      <c r="AQ40" s="78">
        <v>-200</v>
      </c>
      <c r="AR40" s="73"/>
      <c r="AS40" s="73"/>
      <c r="AT40" s="73"/>
      <c r="AU40" s="73"/>
      <c r="AV40" s="73"/>
      <c r="AW40" s="115">
        <v>43305</v>
      </c>
      <c r="AX40" s="73">
        <f>WEEKNUM(AW40-RESUMEN!$AZ$7)</f>
        <v>7</v>
      </c>
      <c r="AY40" s="73">
        <f>_xlfn.DAYS(AW40,RESUMEN!$AZ$7)</f>
        <v>44</v>
      </c>
      <c r="AZ40" s="128">
        <v>10130147</v>
      </c>
      <c r="BA40" s="73" t="str">
        <f>LOOKUP(AZ40,FORMULAS!$A:$A,FORMULAS!$B:$B)</f>
        <v>Nupig Sew 150 Ppm Tiamulina+400Ppm Amoxicilina</v>
      </c>
      <c r="BB40" s="78"/>
      <c r="BC40" s="73">
        <v>-50</v>
      </c>
      <c r="BD40" s="73"/>
      <c r="BE40" s="73"/>
      <c r="BF40" s="73"/>
      <c r="BG40" s="73"/>
      <c r="BH40" s="73"/>
      <c r="BI40" s="73"/>
      <c r="BJ40" s="73" t="e">
        <f>WEEKNUM(BI40-RESUMEN!$BL$7)</f>
        <v>#NUM!</v>
      </c>
      <c r="BK40" s="73">
        <f>_xlfn.DAYS(BI40,RESUMEN!$BL$7)</f>
        <v>-43267</v>
      </c>
      <c r="BL40" s="73"/>
      <c r="BM40" s="73" t="e">
        <f>LOOKUP(BL40,FORMULAS!$A:$A,FORMULAS!$B:$B)</f>
        <v>#N/A</v>
      </c>
      <c r="BN40" s="78"/>
      <c r="BO40" s="73"/>
      <c r="BP40" s="73"/>
      <c r="BQ40" s="73"/>
      <c r="BR40" s="73"/>
      <c r="BS40" s="73"/>
      <c r="BT40" s="73"/>
    </row>
    <row r="41" spans="1:72" x14ac:dyDescent="0.25">
      <c r="A41" s="122">
        <v>43279</v>
      </c>
      <c r="B41" s="74">
        <f>WEEKNUM(A41-RESUMEN!$D$7)</f>
        <v>6</v>
      </c>
      <c r="C41" s="74">
        <f>_xlfn.DAYS(A41,RESUMEN!$D$7)</f>
        <v>41</v>
      </c>
      <c r="D41" s="123">
        <v>10130149</v>
      </c>
      <c r="E41" s="73" t="str">
        <f>LOOKUP(D41,FORMULAS!$A:$A,FORMULAS!$B:$B)</f>
        <v>Nupig Uno Kappa</v>
      </c>
      <c r="F41" s="80"/>
      <c r="G41" s="75">
        <v>-50</v>
      </c>
      <c r="H41" s="75"/>
      <c r="I41" s="73"/>
      <c r="J41" s="73"/>
      <c r="K41" s="73"/>
      <c r="L41" s="73"/>
      <c r="M41" s="115">
        <v>43283</v>
      </c>
      <c r="N41" s="73">
        <f>WEEKNUM(M41-RESUMEN!$P$7)</f>
        <v>6</v>
      </c>
      <c r="O41" s="73">
        <f>_xlfn.DAYS(M41,RESUMEN!$P$7)</f>
        <v>41</v>
      </c>
      <c r="P41" s="134">
        <v>21111214</v>
      </c>
      <c r="Q41" s="73" t="str">
        <f>LOOKUP(P41,FORMULAS!$A:$A,FORMULAS!$B:$B)</f>
        <v>Cerdos Fase 2 Med</v>
      </c>
      <c r="R41" s="78"/>
      <c r="S41" s="73">
        <v>-500</v>
      </c>
      <c r="T41" s="73"/>
      <c r="U41" s="73"/>
      <c r="V41" s="73"/>
      <c r="W41" s="73"/>
      <c r="X41" s="73"/>
      <c r="Y41" s="115">
        <v>43292</v>
      </c>
      <c r="Z41" s="73">
        <f>WEEKNUM(Y41-RESUMEN!$AB$7)</f>
        <v>7</v>
      </c>
      <c r="AA41" s="73">
        <f>_xlfn.DAYS(Y41,RESUMEN!$AB$7)</f>
        <v>45</v>
      </c>
      <c r="AB41" s="135">
        <v>21111214</v>
      </c>
      <c r="AC41" s="73" t="str">
        <f>LOOKUP(AB41,FORMULAS!$A:$A,FORMULAS!$B:$B)</f>
        <v>Cerdos Fase 2 Med</v>
      </c>
      <c r="AD41" s="78"/>
      <c r="AE41" s="73">
        <v>-500</v>
      </c>
      <c r="AF41" s="73"/>
      <c r="AG41" s="73"/>
      <c r="AH41" s="73"/>
      <c r="AI41" s="73"/>
      <c r="AJ41" s="73"/>
      <c r="AK41" s="115">
        <v>43297</v>
      </c>
      <c r="AL41" s="73">
        <f>WEEKNUM(AK41-RESUMEN!$AN$7)</f>
        <v>7</v>
      </c>
      <c r="AM41" s="73">
        <f>_xlfn.DAYS(AK41,RESUMEN!$AN$7)</f>
        <v>43</v>
      </c>
      <c r="AN41" s="128">
        <v>10130147</v>
      </c>
      <c r="AO41" s="73" t="str">
        <f>LOOKUP(AN41,FORMULAS!$A:$A,FORMULAS!$B:$B)</f>
        <v>Nupig Sew 150 Ppm Tiamulina+400Ppm Amoxicilina</v>
      </c>
      <c r="AP41" s="78"/>
      <c r="AQ41" s="78">
        <v>-50</v>
      </c>
      <c r="AR41" s="73"/>
      <c r="AS41" s="73"/>
      <c r="AT41" s="73"/>
      <c r="AU41" s="73"/>
      <c r="AV41" s="73"/>
      <c r="AW41" s="115">
        <v>43306</v>
      </c>
      <c r="AX41" s="73">
        <f>WEEKNUM(AW41-RESUMEN!$AZ$7)</f>
        <v>7</v>
      </c>
      <c r="AY41" s="73">
        <f>_xlfn.DAYS(AW41,RESUMEN!$AZ$7)</f>
        <v>45</v>
      </c>
      <c r="AZ41" s="135">
        <v>21111214</v>
      </c>
      <c r="BA41" s="73" t="str">
        <f>LOOKUP(AZ41,FORMULAS!$A:$A,FORMULAS!$B:$B)</f>
        <v>Cerdos Fase 2 Med</v>
      </c>
      <c r="BB41" s="78"/>
      <c r="BC41" s="73">
        <v>-500</v>
      </c>
      <c r="BD41" s="73"/>
      <c r="BE41" s="73"/>
      <c r="BF41" s="73"/>
      <c r="BG41" s="73"/>
      <c r="BH41" s="73"/>
      <c r="BI41" s="73"/>
      <c r="BJ41" s="73" t="e">
        <f>WEEKNUM(BI41-RESUMEN!$BL$7)</f>
        <v>#NUM!</v>
      </c>
      <c r="BK41" s="73">
        <f>_xlfn.DAYS(BI41,RESUMEN!$BL$7)</f>
        <v>-43267</v>
      </c>
      <c r="BL41" s="73"/>
      <c r="BM41" s="73" t="e">
        <f>LOOKUP(BL41,FORMULAS!$A:$A,FORMULAS!$B:$B)</f>
        <v>#N/A</v>
      </c>
      <c r="BN41" s="78"/>
      <c r="BO41" s="73"/>
      <c r="BP41" s="73"/>
      <c r="BQ41" s="73"/>
      <c r="BR41" s="73"/>
      <c r="BS41" s="73"/>
      <c r="BT41" s="73"/>
    </row>
    <row r="42" spans="1:72" x14ac:dyDescent="0.25">
      <c r="A42" s="122">
        <v>43279</v>
      </c>
      <c r="B42" s="74">
        <f>WEEKNUM(A42-RESUMEN!$D$7)</f>
        <v>6</v>
      </c>
      <c r="C42" s="74">
        <f>_xlfn.DAYS(A42,RESUMEN!$D$7)</f>
        <v>41</v>
      </c>
      <c r="D42" s="127">
        <v>21111214</v>
      </c>
      <c r="E42" s="73" t="str">
        <f>LOOKUP(D42,FORMULAS!$A:$A,FORMULAS!$B:$B)</f>
        <v>Cerdos Fase 2 Med</v>
      </c>
      <c r="F42" s="80"/>
      <c r="G42" s="75">
        <v>-1000</v>
      </c>
      <c r="H42" s="75"/>
      <c r="I42" s="73"/>
      <c r="J42" s="73"/>
      <c r="K42" s="73"/>
      <c r="L42" s="73"/>
      <c r="M42" s="115">
        <v>43283</v>
      </c>
      <c r="N42" s="73">
        <f>WEEKNUM(M42-RESUMEN!$P$7)</f>
        <v>6</v>
      </c>
      <c r="O42" s="73">
        <f>_xlfn.DAYS(M42,RESUMEN!$P$7)</f>
        <v>41</v>
      </c>
      <c r="P42" s="123">
        <v>10130149</v>
      </c>
      <c r="Q42" s="73" t="str">
        <f>LOOKUP(P42,FORMULAS!$A:$A,FORMULAS!$B:$B)</f>
        <v>Nupig Uno Kappa</v>
      </c>
      <c r="R42" s="78"/>
      <c r="S42" s="73">
        <v>-75</v>
      </c>
      <c r="T42" s="73"/>
      <c r="U42" s="73"/>
      <c r="V42" s="73"/>
      <c r="W42" s="73"/>
      <c r="X42" s="73"/>
      <c r="Y42" s="115">
        <v>43294</v>
      </c>
      <c r="Z42" s="73">
        <f>WEEKNUM(Y42-RESUMEN!$AB$7)</f>
        <v>7</v>
      </c>
      <c r="AA42" s="73">
        <f>_xlfn.DAYS(Y42,RESUMEN!$AB$7)</f>
        <v>47</v>
      </c>
      <c r="AB42" s="133">
        <v>10130149</v>
      </c>
      <c r="AC42" s="73" t="str">
        <f>LOOKUP(AB42,FORMULAS!$A:$A,FORMULAS!$B:$B)</f>
        <v>Nupig Uno Kappa</v>
      </c>
      <c r="AD42" s="78"/>
      <c r="AE42" s="73">
        <v>-100</v>
      </c>
      <c r="AF42" s="73"/>
      <c r="AG42" s="73"/>
      <c r="AH42" s="73"/>
      <c r="AI42" s="73"/>
      <c r="AJ42" s="73"/>
      <c r="AK42" s="115">
        <v>43297</v>
      </c>
      <c r="AL42" s="73">
        <f>WEEKNUM(AK42-RESUMEN!$AN$7)</f>
        <v>7</v>
      </c>
      <c r="AM42" s="73">
        <f>_xlfn.DAYS(AK42,RESUMEN!$AN$7)</f>
        <v>43</v>
      </c>
      <c r="AN42" s="133">
        <v>10130149</v>
      </c>
      <c r="AO42" s="73" t="str">
        <f>LOOKUP(AN42,FORMULAS!$A:$A,FORMULAS!$B:$B)</f>
        <v>Nupig Uno Kappa</v>
      </c>
      <c r="AP42" s="78"/>
      <c r="AQ42" s="78">
        <v>-50</v>
      </c>
      <c r="AR42" s="73"/>
      <c r="AS42" s="73"/>
      <c r="AT42" s="73"/>
      <c r="AU42" s="73"/>
      <c r="AV42" s="73"/>
      <c r="AW42" s="115">
        <v>43307</v>
      </c>
      <c r="AX42" s="73">
        <f>WEEKNUM(AW42-RESUMEN!$AZ$7)</f>
        <v>7</v>
      </c>
      <c r="AY42" s="73">
        <f>_xlfn.DAYS(AW42,RESUMEN!$AZ$7)</f>
        <v>46</v>
      </c>
      <c r="AZ42" s="135">
        <v>21111214</v>
      </c>
      <c r="BA42" s="73" t="str">
        <f>LOOKUP(AZ42,FORMULAS!$A:$A,FORMULAS!$B:$B)</f>
        <v>Cerdos Fase 2 Med</v>
      </c>
      <c r="BB42" s="78"/>
      <c r="BC42" s="73">
        <v>-1810</v>
      </c>
      <c r="BD42" s="73"/>
      <c r="BE42" s="73"/>
      <c r="BF42" s="73"/>
      <c r="BG42" s="73"/>
      <c r="BH42" s="73"/>
      <c r="BI42" s="73"/>
      <c r="BJ42" s="73" t="e">
        <f>WEEKNUM(BI42-RESUMEN!$BL$7)</f>
        <v>#NUM!</v>
      </c>
      <c r="BK42" s="73">
        <f>_xlfn.DAYS(BI42,RESUMEN!$BL$7)</f>
        <v>-43267</v>
      </c>
      <c r="BL42" s="73"/>
      <c r="BM42" s="73" t="e">
        <f>LOOKUP(BL42,FORMULAS!$A:$A,FORMULAS!$B:$B)</f>
        <v>#N/A</v>
      </c>
      <c r="BN42" s="78"/>
      <c r="BO42" s="73"/>
      <c r="BP42" s="73"/>
      <c r="BQ42" s="73"/>
      <c r="BR42" s="73"/>
      <c r="BS42" s="73"/>
      <c r="BT42" s="73"/>
    </row>
    <row r="43" spans="1:72" x14ac:dyDescent="0.25">
      <c r="A43" s="122">
        <v>43280</v>
      </c>
      <c r="B43" s="74">
        <f>WEEKNUM(A43-RESUMEN!$D$7)</f>
        <v>6</v>
      </c>
      <c r="C43" s="74">
        <f>_xlfn.DAYS(A43,RESUMEN!$D$7)</f>
        <v>42</v>
      </c>
      <c r="D43" s="123">
        <v>10130147</v>
      </c>
      <c r="E43" s="73" t="str">
        <f>LOOKUP(D43,FORMULAS!$A:$A,FORMULAS!$B:$B)</f>
        <v>Nupig Sew 150 Ppm Tiamulina+400Ppm Amoxicilina</v>
      </c>
      <c r="F43" s="80"/>
      <c r="G43" s="75">
        <v>-25</v>
      </c>
      <c r="H43" s="75"/>
      <c r="I43" s="73"/>
      <c r="J43" s="73"/>
      <c r="K43" s="73"/>
      <c r="L43" s="73"/>
      <c r="M43" s="115">
        <v>43284</v>
      </c>
      <c r="N43" s="73">
        <f>WEEKNUM(M43-RESUMEN!$P$7)</f>
        <v>6</v>
      </c>
      <c r="O43" s="73">
        <f>_xlfn.DAYS(M43,RESUMEN!$P$7)</f>
        <v>42</v>
      </c>
      <c r="P43" s="134">
        <v>21111214</v>
      </c>
      <c r="Q43" s="73" t="str">
        <f>LOOKUP(P43,FORMULAS!$A:$A,FORMULAS!$B:$B)</f>
        <v>Cerdos Fase 2 Med</v>
      </c>
      <c r="R43" s="78"/>
      <c r="S43" s="73">
        <v>-500</v>
      </c>
      <c r="T43" s="73"/>
      <c r="U43" s="73"/>
      <c r="V43" s="73"/>
      <c r="W43" s="73"/>
      <c r="X43" s="73"/>
      <c r="Y43" s="115">
        <v>43294</v>
      </c>
      <c r="Z43" s="73">
        <f>WEEKNUM(Y43-RESUMEN!$AB$7)</f>
        <v>7</v>
      </c>
      <c r="AA43" s="73">
        <f>_xlfn.DAYS(Y43,RESUMEN!$AB$7)</f>
        <v>47</v>
      </c>
      <c r="AB43" s="135">
        <v>21111214</v>
      </c>
      <c r="AC43" s="73" t="str">
        <f>LOOKUP(AB43,FORMULAS!$A:$A,FORMULAS!$B:$B)</f>
        <v>Cerdos Fase 2 Med</v>
      </c>
      <c r="AD43" s="78"/>
      <c r="AE43" s="73">
        <v>-1000</v>
      </c>
      <c r="AF43" s="73"/>
      <c r="AG43" s="73"/>
      <c r="AH43" s="73"/>
      <c r="AI43" s="73"/>
      <c r="AJ43" s="73"/>
      <c r="AK43" s="115">
        <v>43297</v>
      </c>
      <c r="AL43" s="73">
        <f>WEEKNUM(AK43-RESUMEN!$AN$7)</f>
        <v>7</v>
      </c>
      <c r="AM43" s="73">
        <f>_xlfn.DAYS(AK43,RESUMEN!$AN$7)</f>
        <v>43</v>
      </c>
      <c r="AN43" s="135">
        <v>21111214</v>
      </c>
      <c r="AO43" s="73" t="str">
        <f>LOOKUP(AN43,FORMULAS!$A:$A,FORMULAS!$B:$B)</f>
        <v>Cerdos Fase 2 Med</v>
      </c>
      <c r="AP43" s="78"/>
      <c r="AQ43" s="78">
        <v>-500</v>
      </c>
      <c r="AR43" s="73"/>
      <c r="AS43" s="73"/>
      <c r="AT43" s="73"/>
      <c r="AU43" s="73"/>
      <c r="AV43" s="73"/>
      <c r="AW43" s="115">
        <v>43307</v>
      </c>
      <c r="AX43" s="73">
        <f>WEEKNUM(AW43-RESUMEN!$AZ$7)</f>
        <v>7</v>
      </c>
      <c r="AY43" s="73">
        <f>_xlfn.DAYS(AW43,RESUMEN!$AZ$7)</f>
        <v>46</v>
      </c>
      <c r="AZ43" s="128">
        <v>10130149</v>
      </c>
      <c r="BA43" s="73" t="str">
        <f>LOOKUP(AZ43,FORMULAS!$A:$A,FORMULAS!$B:$B)</f>
        <v>Nupig Uno Kappa</v>
      </c>
      <c r="BB43" s="78"/>
      <c r="BC43" s="73">
        <v>-50</v>
      </c>
      <c r="BD43" s="73"/>
      <c r="BE43" s="73"/>
      <c r="BF43" s="73"/>
      <c r="BG43" s="73"/>
      <c r="BH43" s="73"/>
      <c r="BI43" s="73"/>
      <c r="BJ43" s="73" t="e">
        <f>WEEKNUM(BI43-RESUMEN!$BL$7)</f>
        <v>#NUM!</v>
      </c>
      <c r="BK43" s="73">
        <f>_xlfn.DAYS(BI43,RESUMEN!$BL$7)</f>
        <v>-43267</v>
      </c>
      <c r="BL43" s="73"/>
      <c r="BM43" s="73" t="e">
        <f>LOOKUP(BL43,FORMULAS!$A:$A,FORMULAS!$B:$B)</f>
        <v>#N/A</v>
      </c>
      <c r="BN43" s="78"/>
      <c r="BO43" s="73"/>
      <c r="BP43" s="73"/>
      <c r="BQ43" s="73"/>
      <c r="BR43" s="73"/>
      <c r="BS43" s="73"/>
      <c r="BT43" s="73"/>
    </row>
    <row r="44" spans="1:72" x14ac:dyDescent="0.25">
      <c r="A44" s="122">
        <v>43280</v>
      </c>
      <c r="B44" s="74">
        <f>WEEKNUM(A44-RESUMEN!$D$7)</f>
        <v>6</v>
      </c>
      <c r="C44" s="74">
        <f>_xlfn.DAYS(A44,RESUMEN!$D$7)</f>
        <v>42</v>
      </c>
      <c r="D44" s="123">
        <v>10130149</v>
      </c>
      <c r="E44" s="73" t="str">
        <f>LOOKUP(D44,FORMULAS!$A:$A,FORMULAS!$B:$B)</f>
        <v>Nupig Uno Kappa</v>
      </c>
      <c r="F44" s="80"/>
      <c r="G44" s="75">
        <v>-75</v>
      </c>
      <c r="H44" s="75"/>
      <c r="I44" s="73"/>
      <c r="J44" s="73"/>
      <c r="K44" s="73"/>
      <c r="L44" s="73"/>
      <c r="M44" s="115">
        <v>43284</v>
      </c>
      <c r="N44" s="73">
        <f>WEEKNUM(M44-RESUMEN!$P$7)</f>
        <v>6</v>
      </c>
      <c r="O44" s="73">
        <f>_xlfn.DAYS(M44,RESUMEN!$P$7)</f>
        <v>42</v>
      </c>
      <c r="P44" s="123">
        <v>10130149</v>
      </c>
      <c r="Q44" s="73" t="str">
        <f>LOOKUP(P44,FORMULAS!$A:$A,FORMULAS!$B:$B)</f>
        <v>Nupig Uno Kappa</v>
      </c>
      <c r="R44" s="78"/>
      <c r="S44" s="73">
        <v>-125</v>
      </c>
      <c r="T44" s="73"/>
      <c r="U44" s="73"/>
      <c r="V44" s="73"/>
      <c r="W44" s="73"/>
      <c r="X44" s="73"/>
      <c r="Y44" s="115">
        <v>43295</v>
      </c>
      <c r="Z44" s="73">
        <f>WEEKNUM(Y44-RESUMEN!$AB$7)</f>
        <v>7</v>
      </c>
      <c r="AA44" s="73">
        <f>_xlfn.DAYS(Y44,RESUMEN!$AB$7)</f>
        <v>48</v>
      </c>
      <c r="AB44" s="133">
        <v>10130149</v>
      </c>
      <c r="AC44" s="73" t="str">
        <f>LOOKUP(AB44,FORMULAS!$A:$A,FORMULAS!$B:$B)</f>
        <v>Nupig Uno Kappa</v>
      </c>
      <c r="AD44" s="78"/>
      <c r="AE44" s="73">
        <v>-200</v>
      </c>
      <c r="AF44" s="73"/>
      <c r="AG44" s="73"/>
      <c r="AH44" s="73"/>
      <c r="AI44" s="73"/>
      <c r="AJ44" s="73"/>
      <c r="AK44" s="115">
        <v>43298</v>
      </c>
      <c r="AL44" s="73">
        <f>WEEKNUM(AK44-RESUMEN!$AN$7)</f>
        <v>7</v>
      </c>
      <c r="AM44" s="73">
        <f>_xlfn.DAYS(AK44,RESUMEN!$AN$7)</f>
        <v>44</v>
      </c>
      <c r="AN44" s="128">
        <v>10130147</v>
      </c>
      <c r="AO44" s="73" t="str">
        <f>LOOKUP(AN44,FORMULAS!$A:$A,FORMULAS!$B:$B)</f>
        <v>Nupig Sew 150 Ppm Tiamulina+400Ppm Amoxicilina</v>
      </c>
      <c r="AP44" s="78"/>
      <c r="AQ44" s="78">
        <v>-25</v>
      </c>
      <c r="AR44" s="73"/>
      <c r="AS44" s="73"/>
      <c r="AT44" s="73"/>
      <c r="AU44" s="73"/>
      <c r="AV44" s="73"/>
      <c r="AW44" s="115">
        <v>43309</v>
      </c>
      <c r="AX44" s="73">
        <f>WEEKNUM(AW44-RESUMEN!$AZ$7)</f>
        <v>7</v>
      </c>
      <c r="AY44" s="73">
        <f>_xlfn.DAYS(AW44,RESUMEN!$AZ$7)</f>
        <v>48</v>
      </c>
      <c r="AZ44" s="128">
        <v>10130149</v>
      </c>
      <c r="BA44" s="73" t="str">
        <f>LOOKUP(AZ44,FORMULAS!$A:$A,FORMULAS!$B:$B)</f>
        <v>Nupig Uno Kappa</v>
      </c>
      <c r="BB44" s="78"/>
      <c r="BC44" s="73">
        <v>-250</v>
      </c>
      <c r="BD44" s="73"/>
      <c r="BE44" s="73"/>
      <c r="BF44" s="73"/>
      <c r="BG44" s="73"/>
      <c r="BH44" s="73"/>
      <c r="BI44" s="73"/>
      <c r="BJ44" s="73" t="e">
        <f>WEEKNUM(BI44-RESUMEN!$BL$7)</f>
        <v>#NUM!</v>
      </c>
      <c r="BK44" s="73">
        <f>_xlfn.DAYS(BI44,RESUMEN!$BL$7)</f>
        <v>-43267</v>
      </c>
      <c r="BL44" s="73"/>
      <c r="BM44" s="73" t="e">
        <f>LOOKUP(BL44,FORMULAS!$A:$A,FORMULAS!$B:$B)</f>
        <v>#N/A</v>
      </c>
      <c r="BN44" s="78"/>
      <c r="BO44" s="73"/>
      <c r="BP44" s="73"/>
      <c r="BQ44" s="73"/>
      <c r="BR44" s="73"/>
      <c r="BS44" s="73"/>
      <c r="BT44" s="73"/>
    </row>
    <row r="45" spans="1:72" x14ac:dyDescent="0.25">
      <c r="A45" s="122">
        <v>43281</v>
      </c>
      <c r="B45" s="74">
        <f>WEEKNUM(A45-RESUMEN!$D$7)</f>
        <v>7</v>
      </c>
      <c r="C45" s="74">
        <f>_xlfn.DAYS(A45,RESUMEN!$D$7)</f>
        <v>43</v>
      </c>
      <c r="D45" s="127">
        <v>21111214</v>
      </c>
      <c r="E45" s="73" t="str">
        <f>LOOKUP(D45,FORMULAS!$A:$A,FORMULAS!$B:$B)</f>
        <v>Cerdos Fase 2 Med</v>
      </c>
      <c r="F45" s="80"/>
      <c r="G45" s="75">
        <v>-1000</v>
      </c>
      <c r="H45" s="75"/>
      <c r="I45" s="73"/>
      <c r="J45" s="73"/>
      <c r="K45" s="73"/>
      <c r="L45" s="73"/>
      <c r="M45" s="115">
        <v>43285</v>
      </c>
      <c r="N45" s="73">
        <f>WEEKNUM(M45-RESUMEN!$P$7)</f>
        <v>7</v>
      </c>
      <c r="O45" s="73">
        <f>_xlfn.DAYS(M45,RESUMEN!$P$7)</f>
        <v>43</v>
      </c>
      <c r="P45" s="134">
        <v>21111214</v>
      </c>
      <c r="Q45" s="73" t="str">
        <f>LOOKUP(P45,FORMULAS!$A:$A,FORMULAS!$B:$B)</f>
        <v>Cerdos Fase 2 Med</v>
      </c>
      <c r="R45" s="78"/>
      <c r="S45" s="73">
        <v>-500</v>
      </c>
      <c r="T45" s="73"/>
      <c r="U45" s="73"/>
      <c r="V45" s="73"/>
      <c r="W45" s="73"/>
      <c r="X45" s="73"/>
      <c r="Y45" s="115">
        <v>43295</v>
      </c>
      <c r="Z45" s="73">
        <f>WEEKNUM(Y45-RESUMEN!$AB$7)</f>
        <v>7</v>
      </c>
      <c r="AA45" s="73">
        <f>_xlfn.DAYS(Y45,RESUMEN!$AB$7)</f>
        <v>48</v>
      </c>
      <c r="AB45" s="135">
        <v>21111214</v>
      </c>
      <c r="AC45" s="73" t="str">
        <f>LOOKUP(AB45,FORMULAS!$A:$A,FORMULAS!$B:$B)</f>
        <v>Cerdos Fase 2 Med</v>
      </c>
      <c r="AD45" s="78"/>
      <c r="AE45" s="73">
        <v>-500</v>
      </c>
      <c r="AF45" s="73"/>
      <c r="AG45" s="73"/>
      <c r="AH45" s="73"/>
      <c r="AI45" s="73"/>
      <c r="AJ45" s="73"/>
      <c r="AK45" s="115">
        <v>43298</v>
      </c>
      <c r="AL45" s="73">
        <f>WEEKNUM(AK45-RESUMEN!$AN$7)</f>
        <v>7</v>
      </c>
      <c r="AM45" s="73">
        <f>_xlfn.DAYS(AK45,RESUMEN!$AN$7)</f>
        <v>44</v>
      </c>
      <c r="AN45" s="133">
        <v>10130149</v>
      </c>
      <c r="AO45" s="73" t="str">
        <f>LOOKUP(AN45,FORMULAS!$A:$A,FORMULAS!$B:$B)</f>
        <v>Nupig Uno Kappa</v>
      </c>
      <c r="AP45" s="78"/>
      <c r="AQ45" s="78">
        <v>-100</v>
      </c>
      <c r="AR45" s="73"/>
      <c r="AS45" s="73"/>
      <c r="AT45" s="73"/>
      <c r="AU45" s="73"/>
      <c r="AV45" s="73"/>
      <c r="AW45" s="115">
        <v>43309</v>
      </c>
      <c r="AX45" s="73">
        <f>WEEKNUM(AW45-RESUMEN!$AZ$7)</f>
        <v>7</v>
      </c>
      <c r="AY45" s="73">
        <f>_xlfn.DAYS(AW45,RESUMEN!$AZ$7)</f>
        <v>48</v>
      </c>
      <c r="AZ45" s="128">
        <v>10130147</v>
      </c>
      <c r="BA45" s="73" t="str">
        <f>LOOKUP(AZ45,FORMULAS!$A:$A,FORMULAS!$B:$B)</f>
        <v>Nupig Sew 150 Ppm Tiamulina+400Ppm Amoxicilina</v>
      </c>
      <c r="BB45" s="78"/>
      <c r="BC45" s="73">
        <v>-50</v>
      </c>
      <c r="BD45" s="73"/>
      <c r="BE45" s="73"/>
      <c r="BF45" s="73"/>
      <c r="BG45" s="73"/>
      <c r="BH45" s="73"/>
      <c r="BI45" s="73"/>
      <c r="BJ45" s="73" t="e">
        <f>WEEKNUM(BI45-RESUMEN!$BL$7)</f>
        <v>#NUM!</v>
      </c>
      <c r="BK45" s="73">
        <f>_xlfn.DAYS(BI45,RESUMEN!$BL$7)</f>
        <v>-43267</v>
      </c>
      <c r="BL45" s="73"/>
      <c r="BM45" s="73" t="e">
        <f>LOOKUP(BL45,FORMULAS!$A:$A,FORMULAS!$B:$B)</f>
        <v>#N/A</v>
      </c>
      <c r="BN45" s="78"/>
      <c r="BO45" s="73"/>
      <c r="BP45" s="73"/>
      <c r="BQ45" s="73"/>
      <c r="BR45" s="73"/>
      <c r="BS45" s="73"/>
      <c r="BT45" s="73"/>
    </row>
    <row r="46" spans="1:72" x14ac:dyDescent="0.25">
      <c r="A46" s="122">
        <v>43281</v>
      </c>
      <c r="B46" s="74">
        <f>WEEKNUM(A46-RESUMEN!$D$7)</f>
        <v>7</v>
      </c>
      <c r="C46" s="74">
        <f>_xlfn.DAYS(A46,RESUMEN!$D$7)</f>
        <v>43</v>
      </c>
      <c r="D46" s="123">
        <v>10130147</v>
      </c>
      <c r="E46" s="73" t="str">
        <f>LOOKUP(D46,FORMULAS!$A:$A,FORMULAS!$B:$B)</f>
        <v>Nupig Sew 150 Ppm Tiamulina+400Ppm Amoxicilina</v>
      </c>
      <c r="F46" s="80"/>
      <c r="G46" s="75">
        <v>-75</v>
      </c>
      <c r="H46" s="75"/>
      <c r="I46" s="73"/>
      <c r="J46" s="73"/>
      <c r="K46" s="73"/>
      <c r="L46" s="73"/>
      <c r="M46" s="115">
        <v>43285</v>
      </c>
      <c r="N46" s="73">
        <f>WEEKNUM(M46-RESUMEN!$P$7)</f>
        <v>7</v>
      </c>
      <c r="O46" s="73">
        <f>_xlfn.DAYS(M46,RESUMEN!$P$7)</f>
        <v>43</v>
      </c>
      <c r="P46" s="123">
        <v>10130149</v>
      </c>
      <c r="Q46" s="73" t="str">
        <f>LOOKUP(P46,FORMULAS!$A:$A,FORMULAS!$B:$B)</f>
        <v>Nupig Uno Kappa</v>
      </c>
      <c r="R46" s="78"/>
      <c r="S46" s="73">
        <v>-100</v>
      </c>
      <c r="T46" s="73"/>
      <c r="U46" s="73"/>
      <c r="V46" s="73"/>
      <c r="W46" s="73"/>
      <c r="X46" s="73"/>
      <c r="Y46" s="115">
        <v>43297</v>
      </c>
      <c r="Z46" s="73">
        <f>WEEKNUM(Y46-RESUMEN!$AB$7)</f>
        <v>8</v>
      </c>
      <c r="AA46" s="73">
        <f>_xlfn.DAYS(Y46,RESUMEN!$AB$7)</f>
        <v>50</v>
      </c>
      <c r="AB46" s="135">
        <v>21111214</v>
      </c>
      <c r="AC46" s="73" t="str">
        <f>LOOKUP(AB46,FORMULAS!$A:$A,FORMULAS!$B:$B)</f>
        <v>Cerdos Fase 2 Med</v>
      </c>
      <c r="AD46" s="78"/>
      <c r="AE46" s="73">
        <v>-1000</v>
      </c>
      <c r="AF46" s="73"/>
      <c r="AG46" s="73"/>
      <c r="AH46" s="73"/>
      <c r="AI46" s="73"/>
      <c r="AJ46" s="73"/>
      <c r="AK46" s="115">
        <v>43299</v>
      </c>
      <c r="AL46" s="73">
        <f>WEEKNUM(AK46-RESUMEN!$AN$7)</f>
        <v>7</v>
      </c>
      <c r="AM46" s="73">
        <f>_xlfn.DAYS(AK46,RESUMEN!$AN$7)</f>
        <v>45</v>
      </c>
      <c r="AN46" s="128">
        <v>10130147</v>
      </c>
      <c r="AO46" s="73" t="str">
        <f>LOOKUP(AN46,FORMULAS!$A:$A,FORMULAS!$B:$B)</f>
        <v>Nupig Sew 150 Ppm Tiamulina+400Ppm Amoxicilina</v>
      </c>
      <c r="AP46" s="78"/>
      <c r="AQ46" s="78">
        <v>-25</v>
      </c>
      <c r="AR46" s="73"/>
      <c r="AS46" s="73"/>
      <c r="AT46" s="73"/>
      <c r="AU46" s="73"/>
      <c r="AV46" s="73"/>
      <c r="AW46" s="115">
        <v>43311</v>
      </c>
      <c r="AX46" s="73">
        <f>WEEKNUM(AW46-RESUMEN!$AZ$7)</f>
        <v>8</v>
      </c>
      <c r="AY46" s="73">
        <f>_xlfn.DAYS(AW46,RESUMEN!$AZ$7)</f>
        <v>50</v>
      </c>
      <c r="AZ46" s="128">
        <v>10130149</v>
      </c>
      <c r="BA46" s="73" t="str">
        <f>LOOKUP(AZ46,FORMULAS!$A:$A,FORMULAS!$B:$B)</f>
        <v>Nupig Uno Kappa</v>
      </c>
      <c r="BB46" s="78"/>
      <c r="BC46" s="73">
        <v>-100</v>
      </c>
      <c r="BD46" s="73"/>
      <c r="BE46" s="73"/>
      <c r="BF46" s="73"/>
      <c r="BG46" s="73"/>
      <c r="BH46" s="73"/>
      <c r="BI46" s="73"/>
      <c r="BJ46" s="73" t="e">
        <f>WEEKNUM(BI46-RESUMEN!$BL$7)</f>
        <v>#NUM!</v>
      </c>
      <c r="BK46" s="73">
        <f>_xlfn.DAYS(BI46,RESUMEN!$BL$7)</f>
        <v>-43267</v>
      </c>
      <c r="BL46" s="73"/>
      <c r="BM46" s="73" t="e">
        <f>LOOKUP(BL46,FORMULAS!$A:$A,FORMULAS!$B:$B)</f>
        <v>#N/A</v>
      </c>
      <c r="BN46" s="78"/>
      <c r="BO46" s="73"/>
      <c r="BP46" s="73"/>
      <c r="BQ46" s="73"/>
      <c r="BR46" s="73"/>
      <c r="BS46" s="73"/>
      <c r="BT46" s="73"/>
    </row>
    <row r="47" spans="1:72" x14ac:dyDescent="0.25">
      <c r="A47" s="122">
        <v>43281</v>
      </c>
      <c r="B47" s="74">
        <f>WEEKNUM(A47-RESUMEN!$D$7)</f>
        <v>7</v>
      </c>
      <c r="C47" s="74">
        <f>_xlfn.DAYS(A47,RESUMEN!$D$7)</f>
        <v>43</v>
      </c>
      <c r="D47" s="123">
        <v>10130149</v>
      </c>
      <c r="E47" s="73" t="s">
        <v>87</v>
      </c>
      <c r="F47" s="80"/>
      <c r="G47" s="75">
        <v>-50</v>
      </c>
      <c r="H47" s="75"/>
      <c r="I47" s="73"/>
      <c r="J47" s="73"/>
      <c r="K47" s="73"/>
      <c r="L47" s="73"/>
      <c r="M47" s="115">
        <v>43286</v>
      </c>
      <c r="N47" s="73">
        <f>WEEKNUM(M47-RESUMEN!$P$7)</f>
        <v>7</v>
      </c>
      <c r="O47" s="73">
        <f>_xlfn.DAYS(M47,RESUMEN!$P$7)</f>
        <v>44</v>
      </c>
      <c r="P47" s="134">
        <v>21111214</v>
      </c>
      <c r="Q47" s="73" t="str">
        <f>LOOKUP(P47,FORMULAS!$A:$A,FORMULAS!$B:$B)</f>
        <v>Cerdos Fase 2 Med</v>
      </c>
      <c r="R47" s="78"/>
      <c r="S47" s="73">
        <v>-500</v>
      </c>
      <c r="T47" s="73"/>
      <c r="U47" s="73"/>
      <c r="V47" s="73"/>
      <c r="W47" s="73"/>
      <c r="X47" s="73"/>
      <c r="Y47" s="115">
        <v>43297</v>
      </c>
      <c r="Z47" s="73">
        <f>WEEKNUM(Y47-RESUMEN!$AB$7)</f>
        <v>8</v>
      </c>
      <c r="AA47" s="73">
        <f>_xlfn.DAYS(Y47,RESUMEN!$AB$7)</f>
        <v>50</v>
      </c>
      <c r="AB47" s="133">
        <v>10130149</v>
      </c>
      <c r="AC47" s="73" t="str">
        <f>LOOKUP(AB47,FORMULAS!$A:$A,FORMULAS!$B:$B)</f>
        <v>Nupig Uno Kappa</v>
      </c>
      <c r="AD47" s="78"/>
      <c r="AE47" s="73">
        <v>-75</v>
      </c>
      <c r="AF47" s="73"/>
      <c r="AG47" s="73"/>
      <c r="AH47" s="73"/>
      <c r="AI47" s="73"/>
      <c r="AJ47" s="73"/>
      <c r="AK47" s="115">
        <v>43299</v>
      </c>
      <c r="AL47" s="73">
        <f>WEEKNUM(AK47-RESUMEN!$AN$7)</f>
        <v>7</v>
      </c>
      <c r="AM47" s="73">
        <f>_xlfn.DAYS(AK47,RESUMEN!$AN$7)</f>
        <v>45</v>
      </c>
      <c r="AN47" s="133">
        <v>10130149</v>
      </c>
      <c r="AO47" s="73" t="str">
        <f>LOOKUP(AN47,FORMULAS!$A:$A,FORMULAS!$B:$B)</f>
        <v>Nupig Uno Kappa</v>
      </c>
      <c r="AP47" s="78"/>
      <c r="AQ47" s="78">
        <v>-50</v>
      </c>
      <c r="AR47" s="73"/>
      <c r="AS47" s="73"/>
      <c r="AT47" s="73"/>
      <c r="AU47" s="73"/>
      <c r="AV47" s="73"/>
      <c r="AW47" s="115">
        <v>43311</v>
      </c>
      <c r="AX47" s="73">
        <f>WEEKNUM(AW47-RESUMEN!$AZ$7)</f>
        <v>8</v>
      </c>
      <c r="AY47" s="73">
        <f>_xlfn.DAYS(AW47,RESUMEN!$AZ$7)</f>
        <v>50</v>
      </c>
      <c r="AZ47" s="135">
        <v>21111214</v>
      </c>
      <c r="BA47" s="73" t="str">
        <f>LOOKUP(AZ47,FORMULAS!$A:$A,FORMULAS!$B:$B)</f>
        <v>Cerdos Fase 2 Med</v>
      </c>
      <c r="BB47" s="78"/>
      <c r="BC47" s="73">
        <v>-1000</v>
      </c>
      <c r="BD47" s="73"/>
      <c r="BE47" s="73"/>
      <c r="BF47" s="73"/>
      <c r="BG47" s="73"/>
      <c r="BH47" s="73"/>
      <c r="BI47" s="73"/>
      <c r="BJ47" s="73" t="e">
        <f>WEEKNUM(BI47-RESUMEN!$BL$7)</f>
        <v>#NUM!</v>
      </c>
      <c r="BK47" s="73">
        <f>_xlfn.DAYS(BI47,RESUMEN!$BL$7)</f>
        <v>-43267</v>
      </c>
      <c r="BL47" s="73"/>
      <c r="BM47" s="73" t="e">
        <f>LOOKUP(BL47,FORMULAS!$A:$A,FORMULAS!$B:$B)</f>
        <v>#N/A</v>
      </c>
      <c r="BN47" s="78"/>
      <c r="BO47" s="73"/>
      <c r="BP47" s="73"/>
      <c r="BQ47" s="73"/>
      <c r="BR47" s="73"/>
      <c r="BS47" s="73"/>
      <c r="BT47" s="73"/>
    </row>
    <row r="48" spans="1:72" x14ac:dyDescent="0.25">
      <c r="A48" s="122">
        <v>43282</v>
      </c>
      <c r="B48" s="74">
        <f>WEEKNUM(A48-RESUMEN!$D$7)</f>
        <v>7</v>
      </c>
      <c r="C48" s="74">
        <f>_xlfn.DAYS(A48,RESUMEN!$D$7)</f>
        <v>44</v>
      </c>
      <c r="D48" s="123">
        <v>10130149</v>
      </c>
      <c r="E48" s="73" t="str">
        <f>LOOKUP(D48,FORMULAS!$A:$A,FORMULAS!$B:$B)</f>
        <v>Nupig Uno Kappa</v>
      </c>
      <c r="F48" s="80"/>
      <c r="G48" s="75">
        <v>-75</v>
      </c>
      <c r="H48" s="75"/>
      <c r="I48" s="73"/>
      <c r="J48" s="73"/>
      <c r="K48" s="73"/>
      <c r="L48" s="73"/>
      <c r="M48" s="115">
        <v>43286</v>
      </c>
      <c r="N48" s="73">
        <f>WEEKNUM(M48-RESUMEN!$P$7)</f>
        <v>7</v>
      </c>
      <c r="O48" s="73">
        <f>_xlfn.DAYS(M48,RESUMEN!$P$7)</f>
        <v>44</v>
      </c>
      <c r="P48" s="123">
        <v>10130149</v>
      </c>
      <c r="Q48" s="73" t="str">
        <f>LOOKUP(P48,FORMULAS!$A:$A,FORMULAS!$B:$B)</f>
        <v>Nupig Uno Kappa</v>
      </c>
      <c r="R48" s="78"/>
      <c r="S48" s="73">
        <v>-125</v>
      </c>
      <c r="T48" s="73"/>
      <c r="U48" s="73"/>
      <c r="V48" s="73"/>
      <c r="W48" s="73"/>
      <c r="X48" s="73"/>
      <c r="Y48" s="115">
        <v>43298</v>
      </c>
      <c r="Z48" s="73">
        <f>WEEKNUM(Y48-RESUMEN!$AB$7)</f>
        <v>8</v>
      </c>
      <c r="AA48" s="73">
        <f>_xlfn.DAYS(Y48,RESUMEN!$AB$7)</f>
        <v>51</v>
      </c>
      <c r="AB48" s="133">
        <v>10130149</v>
      </c>
      <c r="AC48" s="73" t="str">
        <f>LOOKUP(AB48,FORMULAS!$A:$A,FORMULAS!$B:$B)</f>
        <v>Nupig Uno Kappa</v>
      </c>
      <c r="AD48" s="78"/>
      <c r="AE48" s="73">
        <v>-125</v>
      </c>
      <c r="AF48" s="73"/>
      <c r="AG48" s="73"/>
      <c r="AH48" s="73"/>
      <c r="AI48" s="73"/>
      <c r="AJ48" s="73"/>
      <c r="AK48" s="115">
        <v>43299</v>
      </c>
      <c r="AL48" s="73">
        <f>WEEKNUM(AK48-RESUMEN!$AN$7)</f>
        <v>7</v>
      </c>
      <c r="AM48" s="73">
        <f>_xlfn.DAYS(AK48,RESUMEN!$AN$7)</f>
        <v>45</v>
      </c>
      <c r="AN48" s="135">
        <v>21111214</v>
      </c>
      <c r="AO48" s="73" t="str">
        <f>LOOKUP(AN48,FORMULAS!$A:$A,FORMULAS!$B:$B)</f>
        <v>Cerdos Fase 2 Med</v>
      </c>
      <c r="AP48" s="78"/>
      <c r="AQ48" s="78">
        <v>-2000</v>
      </c>
      <c r="AR48" s="73"/>
      <c r="AS48" s="73"/>
      <c r="AT48" s="73"/>
      <c r="AU48" s="73"/>
      <c r="AV48" s="73"/>
      <c r="AW48" s="115">
        <v>43312</v>
      </c>
      <c r="AX48" s="73">
        <f>WEEKNUM(AW48-RESUMEN!$AZ$7)</f>
        <v>8</v>
      </c>
      <c r="AY48" s="73">
        <f>_xlfn.DAYS(AW48,RESUMEN!$AZ$7)</f>
        <v>51</v>
      </c>
      <c r="AZ48" s="135">
        <v>21111214</v>
      </c>
      <c r="BA48" s="73" t="str">
        <f>LOOKUP(AZ48,FORMULAS!$A:$A,FORMULAS!$B:$B)</f>
        <v>Cerdos Fase 2 Med</v>
      </c>
      <c r="BB48" s="78"/>
      <c r="BC48" s="73">
        <v>-500</v>
      </c>
      <c r="BD48" s="73"/>
      <c r="BE48" s="73"/>
      <c r="BF48" s="73"/>
      <c r="BG48" s="73"/>
      <c r="BH48" s="73"/>
      <c r="BI48" s="73"/>
      <c r="BJ48" s="73" t="e">
        <f>WEEKNUM(BI48-RESUMEN!$BL$7)</f>
        <v>#NUM!</v>
      </c>
      <c r="BK48" s="73">
        <f>_xlfn.DAYS(BI48,RESUMEN!$BL$7)</f>
        <v>-43267</v>
      </c>
      <c r="BL48" s="73"/>
      <c r="BM48" s="73" t="e">
        <f>LOOKUP(BL48,FORMULAS!$A:$A,FORMULAS!$B:$B)</f>
        <v>#N/A</v>
      </c>
      <c r="BN48" s="78"/>
      <c r="BO48" s="73"/>
      <c r="BP48" s="73"/>
      <c r="BQ48" s="73"/>
      <c r="BR48" s="73"/>
      <c r="BS48" s="73"/>
      <c r="BT48" s="73"/>
    </row>
    <row r="49" spans="1:72" x14ac:dyDescent="0.25">
      <c r="A49" s="122">
        <v>43282</v>
      </c>
      <c r="B49" s="74">
        <f>WEEKNUM(A49-RESUMEN!$D$7)</f>
        <v>7</v>
      </c>
      <c r="C49" s="74">
        <f>_xlfn.DAYS(A49,RESUMEN!$D$7)</f>
        <v>44</v>
      </c>
      <c r="D49" s="127">
        <v>21111214</v>
      </c>
      <c r="E49" s="73" t="str">
        <f>LOOKUP(D49,FORMULAS!$A:$A,FORMULAS!$B:$B)</f>
        <v>Cerdos Fase 2 Med</v>
      </c>
      <c r="F49" s="80"/>
      <c r="G49" s="75">
        <v>-500</v>
      </c>
      <c r="H49" s="75"/>
      <c r="I49" s="73"/>
      <c r="J49" s="73"/>
      <c r="K49" s="73"/>
      <c r="L49" s="73"/>
      <c r="M49" s="115">
        <v>43287</v>
      </c>
      <c r="N49" s="73">
        <f>WEEKNUM(M49-RESUMEN!$P$7)</f>
        <v>7</v>
      </c>
      <c r="O49" s="73">
        <f>_xlfn.DAYS(M49,RESUMEN!$P$7)</f>
        <v>45</v>
      </c>
      <c r="P49" s="134">
        <v>21111214</v>
      </c>
      <c r="Q49" s="73" t="str">
        <f>LOOKUP(P49,FORMULAS!$A:$A,FORMULAS!$B:$B)</f>
        <v>Cerdos Fase 2 Med</v>
      </c>
      <c r="R49" s="78"/>
      <c r="S49" s="73">
        <v>-500</v>
      </c>
      <c r="T49" s="73"/>
      <c r="U49" s="73"/>
      <c r="V49" s="73"/>
      <c r="W49" s="73"/>
      <c r="X49" s="73"/>
      <c r="Y49" s="115">
        <v>43299</v>
      </c>
      <c r="Z49" s="73">
        <f>WEEKNUM(Y49-RESUMEN!$AB$7)</f>
        <v>8</v>
      </c>
      <c r="AA49" s="73">
        <f>_xlfn.DAYS(Y49,RESUMEN!$AB$7)</f>
        <v>52</v>
      </c>
      <c r="AB49" s="135">
        <v>21111214</v>
      </c>
      <c r="AC49" s="73" t="str">
        <f>LOOKUP(AB49,FORMULAS!$A:$A,FORMULAS!$B:$B)</f>
        <v>Cerdos Fase 2 Med</v>
      </c>
      <c r="AD49" s="78"/>
      <c r="AE49" s="73">
        <v>-1000</v>
      </c>
      <c r="AF49" s="73"/>
      <c r="AG49" s="73"/>
      <c r="AH49" s="73"/>
      <c r="AI49" s="73"/>
      <c r="AJ49" s="73"/>
      <c r="AK49" s="115">
        <v>43299</v>
      </c>
      <c r="AL49" s="73">
        <f>WEEKNUM(AK49-RESUMEN!$AN$7)</f>
        <v>7</v>
      </c>
      <c r="AM49" s="73">
        <f>_xlfn.DAYS(AK49,RESUMEN!$AN$7)</f>
        <v>45</v>
      </c>
      <c r="AN49" s="135">
        <v>21121205</v>
      </c>
      <c r="AO49" s="73" t="str">
        <f>LOOKUP(AN49,FORMULAS!$A:$A,FORMULAS!$B:$B)</f>
        <v>Cerdos Fase 2.5</v>
      </c>
      <c r="AP49" s="78">
        <v>13860</v>
      </c>
      <c r="AQ49" s="78"/>
      <c r="AR49" s="73" t="s">
        <v>296</v>
      </c>
      <c r="AS49" s="73"/>
      <c r="AT49" s="73"/>
      <c r="AU49" s="73"/>
      <c r="AV49" s="73"/>
      <c r="AW49" s="73"/>
      <c r="AX49" s="73" t="e">
        <f>WEEKNUM(AW49-RESUMEN!$AZ$7)</f>
        <v>#NUM!</v>
      </c>
      <c r="AY49" s="73">
        <f>_xlfn.DAYS(AW49,RESUMEN!$AZ$7)</f>
        <v>-43261</v>
      </c>
      <c r="AZ49" s="73"/>
      <c r="BA49" s="73" t="e">
        <f>LOOKUP(AZ49,FORMULAS!$A:$A,FORMULAS!$B:$B)</f>
        <v>#N/A</v>
      </c>
      <c r="BB49" s="78"/>
      <c r="BC49" s="73"/>
      <c r="BD49" s="73"/>
      <c r="BE49" s="73"/>
      <c r="BF49" s="73"/>
      <c r="BG49" s="73"/>
      <c r="BH49" s="73"/>
      <c r="BI49" s="73"/>
      <c r="BJ49" s="73" t="e">
        <f>WEEKNUM(BI49-RESUMEN!$BL$7)</f>
        <v>#NUM!</v>
      </c>
      <c r="BK49" s="73">
        <f>_xlfn.DAYS(BI49,RESUMEN!$BL$7)</f>
        <v>-43267</v>
      </c>
      <c r="BL49" s="73"/>
      <c r="BM49" s="73" t="e">
        <f>LOOKUP(BL49,FORMULAS!$A:$A,FORMULAS!$B:$B)</f>
        <v>#N/A</v>
      </c>
      <c r="BN49" s="78"/>
      <c r="BO49" s="73"/>
      <c r="BP49" s="73"/>
      <c r="BQ49" s="73"/>
      <c r="BR49" s="73"/>
      <c r="BS49" s="73"/>
      <c r="BT49" s="73"/>
    </row>
    <row r="50" spans="1:72" x14ac:dyDescent="0.25">
      <c r="A50" s="122">
        <v>43283</v>
      </c>
      <c r="B50" s="74">
        <f>WEEKNUM(A50-RESUMEN!$D$7)</f>
        <v>7</v>
      </c>
      <c r="C50" s="74">
        <f>_xlfn.DAYS(A50,RESUMEN!$D$7)</f>
        <v>45</v>
      </c>
      <c r="D50" s="123">
        <v>10130149</v>
      </c>
      <c r="E50" s="73" t="str">
        <f>LOOKUP(D50,FORMULAS!$A:$A,FORMULAS!$B:$B)</f>
        <v>Nupig Uno Kappa</v>
      </c>
      <c r="F50" s="80"/>
      <c r="G50" s="75">
        <v>-50</v>
      </c>
      <c r="H50" s="75"/>
      <c r="I50" s="73"/>
      <c r="J50" s="73"/>
      <c r="K50" s="73"/>
      <c r="L50" s="73"/>
      <c r="M50" s="115">
        <v>43287</v>
      </c>
      <c r="N50" s="73">
        <f>WEEKNUM(M50-RESUMEN!$P$7)</f>
        <v>7</v>
      </c>
      <c r="O50" s="73">
        <f>_xlfn.DAYS(M50,RESUMEN!$P$7)</f>
        <v>45</v>
      </c>
      <c r="P50" s="123">
        <v>10130149</v>
      </c>
      <c r="Q50" s="73" t="str">
        <f>LOOKUP(P50,FORMULAS!$A:$A,FORMULAS!$B:$B)</f>
        <v>Nupig Uno Kappa</v>
      </c>
      <c r="R50" s="78"/>
      <c r="S50" s="73">
        <v>-50</v>
      </c>
      <c r="T50" s="73"/>
      <c r="U50" s="73"/>
      <c r="V50" s="73"/>
      <c r="W50" s="73"/>
      <c r="X50" s="73"/>
      <c r="Y50" s="115">
        <v>43299</v>
      </c>
      <c r="Z50" s="73">
        <f>WEEKNUM(Y50-RESUMEN!$AB$7)</f>
        <v>8</v>
      </c>
      <c r="AA50" s="73">
        <f>_xlfn.DAYS(Y50,RESUMEN!$AB$7)</f>
        <v>52</v>
      </c>
      <c r="AB50" s="73">
        <v>21121205</v>
      </c>
      <c r="AC50" s="73" t="str">
        <f>LOOKUP(AB50,FORMULAS!$A:$A,FORMULAS!$B:$B)</f>
        <v>Cerdos Fase 2.5</v>
      </c>
      <c r="AD50" s="78">
        <v>16100</v>
      </c>
      <c r="AE50" s="73"/>
      <c r="AF50" s="73" t="s">
        <v>296</v>
      </c>
      <c r="AG50" s="73"/>
      <c r="AH50" s="73"/>
      <c r="AI50" s="73"/>
      <c r="AJ50" s="73"/>
      <c r="AK50" s="115">
        <v>43300</v>
      </c>
      <c r="AL50" s="73">
        <f>WEEKNUM(AK50-RESUMEN!$AN$7)</f>
        <v>7</v>
      </c>
      <c r="AM50" s="73">
        <f>_xlfn.DAYS(AK50,RESUMEN!$AN$7)</f>
        <v>46</v>
      </c>
      <c r="AN50" s="128">
        <v>10130147</v>
      </c>
      <c r="AO50" s="73" t="str">
        <f>LOOKUP(AN50,FORMULAS!$A:$A,FORMULAS!$B:$B)</f>
        <v>Nupig Sew 150 Ppm Tiamulina+400Ppm Amoxicilina</v>
      </c>
      <c r="AP50" s="78"/>
      <c r="AQ50" s="78">
        <v>-50</v>
      </c>
      <c r="AR50" s="73"/>
      <c r="AS50" s="73"/>
      <c r="AT50" s="73"/>
      <c r="AU50" s="73"/>
      <c r="AV50" s="73"/>
      <c r="AW50" s="73"/>
      <c r="AX50" s="73" t="e">
        <f>WEEKNUM(AW50-RESUMEN!$AZ$7)</f>
        <v>#NUM!</v>
      </c>
      <c r="AY50" s="73">
        <f>_xlfn.DAYS(AW50,RESUMEN!$AZ$7)</f>
        <v>-43261</v>
      </c>
      <c r="AZ50" s="73"/>
      <c r="BA50" s="73" t="e">
        <f>LOOKUP(AZ50,FORMULAS!$A:$A,FORMULAS!$B:$B)</f>
        <v>#N/A</v>
      </c>
      <c r="BB50" s="78"/>
      <c r="BC50" s="73"/>
      <c r="BD50" s="73"/>
      <c r="BE50" s="73"/>
      <c r="BF50" s="73"/>
      <c r="BG50" s="73"/>
      <c r="BH50" s="73"/>
      <c r="BI50" s="73"/>
      <c r="BJ50" s="73" t="e">
        <f>WEEKNUM(BI50-RESUMEN!$BL$7)</f>
        <v>#NUM!</v>
      </c>
      <c r="BK50" s="73">
        <f>_xlfn.DAYS(BI50,RESUMEN!$BL$7)</f>
        <v>-43267</v>
      </c>
      <c r="BL50" s="73"/>
      <c r="BM50" s="73" t="e">
        <f>LOOKUP(BL50,FORMULAS!$A:$A,FORMULAS!$B:$B)</f>
        <v>#N/A</v>
      </c>
      <c r="BN50" s="78"/>
      <c r="BO50" s="73"/>
      <c r="BP50" s="73"/>
      <c r="BQ50" s="73"/>
      <c r="BR50" s="73"/>
      <c r="BS50" s="73"/>
      <c r="BT50" s="73"/>
    </row>
    <row r="51" spans="1:72" x14ac:dyDescent="0.25">
      <c r="A51" s="122">
        <v>43283</v>
      </c>
      <c r="B51" s="74">
        <f>WEEKNUM(A51-RESUMEN!$D$7)</f>
        <v>7</v>
      </c>
      <c r="C51" s="74">
        <f>_xlfn.DAYS(A51,RESUMEN!$D$7)</f>
        <v>45</v>
      </c>
      <c r="D51" s="127">
        <v>21111214</v>
      </c>
      <c r="E51" s="73" t="str">
        <f>LOOKUP(D51,FORMULAS!$A:$A,FORMULAS!$B:$B)</f>
        <v>Cerdos Fase 2 Med</v>
      </c>
      <c r="F51" s="80"/>
      <c r="G51" s="75">
        <v>-500</v>
      </c>
      <c r="H51" s="75"/>
      <c r="I51" s="73"/>
      <c r="J51" s="73"/>
      <c r="K51" s="73"/>
      <c r="L51" s="73"/>
      <c r="M51" s="115">
        <v>43288</v>
      </c>
      <c r="N51" s="73">
        <f>WEEKNUM(M51-RESUMEN!$P$7)</f>
        <v>7</v>
      </c>
      <c r="O51" s="73">
        <f>_xlfn.DAYS(M51,RESUMEN!$P$7)</f>
        <v>46</v>
      </c>
      <c r="P51" s="134">
        <v>21111214</v>
      </c>
      <c r="Q51" s="73" t="str">
        <f>LOOKUP(P51,FORMULAS!$A:$A,FORMULAS!$B:$B)</f>
        <v>Cerdos Fase 2 Med</v>
      </c>
      <c r="R51" s="78"/>
      <c r="S51" s="73">
        <v>-500</v>
      </c>
      <c r="T51" s="73"/>
      <c r="U51" s="73"/>
      <c r="V51" s="73"/>
      <c r="W51" s="73"/>
      <c r="X51" s="73"/>
      <c r="Y51" s="115">
        <v>43300</v>
      </c>
      <c r="Z51" s="73">
        <f>WEEKNUM(Y51-RESUMEN!$AB$7)</f>
        <v>8</v>
      </c>
      <c r="AA51" s="73">
        <f>_xlfn.DAYS(Y51,RESUMEN!$AB$7)</f>
        <v>53</v>
      </c>
      <c r="AB51" s="135">
        <v>21111214</v>
      </c>
      <c r="AC51" s="73" t="str">
        <f>LOOKUP(AB51,FORMULAS!$A:$A,FORMULAS!$B:$B)</f>
        <v>Cerdos Fase 2 Med</v>
      </c>
      <c r="AD51" s="78"/>
      <c r="AE51" s="73">
        <v>-1000</v>
      </c>
      <c r="AF51" s="73"/>
      <c r="AG51" s="73"/>
      <c r="AH51" s="73"/>
      <c r="AI51" s="73"/>
      <c r="AJ51" s="73"/>
      <c r="AK51" s="115">
        <v>43300</v>
      </c>
      <c r="AL51" s="73">
        <f>WEEKNUM(AK51-RESUMEN!$AN$7)</f>
        <v>7</v>
      </c>
      <c r="AM51" s="73">
        <f>_xlfn.DAYS(AK51,RESUMEN!$AN$7)</f>
        <v>46</v>
      </c>
      <c r="AN51" s="133">
        <v>10130149</v>
      </c>
      <c r="AO51" s="73" t="str">
        <f>LOOKUP(AN51,FORMULAS!$A:$A,FORMULAS!$B:$B)</f>
        <v>Nupig Uno Kappa</v>
      </c>
      <c r="AP51" s="78"/>
      <c r="AQ51" s="78">
        <v>-25</v>
      </c>
      <c r="AR51" s="73"/>
      <c r="AS51" s="73"/>
      <c r="AT51" s="73"/>
      <c r="AU51" s="73"/>
      <c r="AV51" s="73"/>
      <c r="AW51" s="73"/>
      <c r="AX51" s="73" t="e">
        <f>WEEKNUM(AW51-RESUMEN!$AZ$7)</f>
        <v>#NUM!</v>
      </c>
      <c r="AY51" s="73">
        <f>_xlfn.DAYS(AW51,RESUMEN!$AZ$7)</f>
        <v>-43261</v>
      </c>
      <c r="AZ51" s="73"/>
      <c r="BA51" s="73" t="e">
        <f>LOOKUP(AZ51,FORMULAS!$A:$A,FORMULAS!$B:$B)</f>
        <v>#N/A</v>
      </c>
      <c r="BB51" s="78"/>
      <c r="BC51" s="73"/>
      <c r="BD51" s="73"/>
      <c r="BE51" s="73"/>
      <c r="BF51" s="73"/>
      <c r="BG51" s="73"/>
      <c r="BH51" s="73"/>
      <c r="BI51" s="73"/>
      <c r="BJ51" s="73" t="e">
        <f>WEEKNUM(BI51-RESUMEN!$BL$7)</f>
        <v>#NUM!</v>
      </c>
      <c r="BK51" s="73">
        <f>_xlfn.DAYS(BI51,RESUMEN!$BL$7)</f>
        <v>-43267</v>
      </c>
      <c r="BL51" s="73"/>
      <c r="BM51" s="73" t="e">
        <f>LOOKUP(BL51,FORMULAS!$A:$A,FORMULAS!$B:$B)</f>
        <v>#N/A</v>
      </c>
      <c r="BN51" s="78"/>
      <c r="BO51" s="73"/>
      <c r="BP51" s="73"/>
      <c r="BQ51" s="73"/>
      <c r="BR51" s="73"/>
      <c r="BS51" s="73"/>
      <c r="BT51" s="73"/>
    </row>
    <row r="52" spans="1:72" x14ac:dyDescent="0.25">
      <c r="A52" s="122">
        <v>43284</v>
      </c>
      <c r="B52" s="74">
        <f>WEEKNUM(A52-RESUMEN!$D$7)</f>
        <v>7</v>
      </c>
      <c r="C52" s="74">
        <f>_xlfn.DAYS(A52,RESUMEN!$D$7)</f>
        <v>46</v>
      </c>
      <c r="D52" s="123">
        <v>10130149</v>
      </c>
      <c r="E52" s="73" t="str">
        <f>LOOKUP(D52,FORMULAS!$A:$A,FORMULAS!$B:$B)</f>
        <v>Nupig Uno Kappa</v>
      </c>
      <c r="F52" s="80"/>
      <c r="G52" s="75">
        <v>-125</v>
      </c>
      <c r="H52" s="75"/>
      <c r="I52" s="73"/>
      <c r="J52" s="73"/>
      <c r="K52" s="73"/>
      <c r="L52" s="73"/>
      <c r="M52" s="115">
        <v>43288</v>
      </c>
      <c r="N52" s="73">
        <f>WEEKNUM(M52-RESUMEN!$P$7)</f>
        <v>7</v>
      </c>
      <c r="O52" s="73">
        <f>_xlfn.DAYS(M52,RESUMEN!$P$7)</f>
        <v>46</v>
      </c>
      <c r="P52" s="123">
        <v>10130149</v>
      </c>
      <c r="Q52" s="73" t="str">
        <f>LOOKUP(P52,FORMULAS!$A:$A,FORMULAS!$B:$B)</f>
        <v>Nupig Uno Kappa</v>
      </c>
      <c r="R52" s="78"/>
      <c r="S52" s="73">
        <v>-150</v>
      </c>
      <c r="T52" s="73"/>
      <c r="U52" s="73"/>
      <c r="V52" s="73"/>
      <c r="W52" s="73"/>
      <c r="X52" s="73"/>
      <c r="Y52" s="115">
        <v>43301</v>
      </c>
      <c r="Z52" s="73">
        <f>WEEKNUM(Y52-RESUMEN!$AB$7)</f>
        <v>8</v>
      </c>
      <c r="AA52" s="73">
        <f>_xlfn.DAYS(Y52,RESUMEN!$AB$7)</f>
        <v>54</v>
      </c>
      <c r="AB52" s="135">
        <v>21111214</v>
      </c>
      <c r="AC52" s="73" t="str">
        <f>LOOKUP(AB52,FORMULAS!$A:$A,FORMULAS!$B:$B)</f>
        <v>Cerdos Fase 2 Med</v>
      </c>
      <c r="AD52" s="78"/>
      <c r="AE52" s="73">
        <v>-500</v>
      </c>
      <c r="AF52" s="73"/>
      <c r="AG52" s="73"/>
      <c r="AH52" s="73"/>
      <c r="AI52" s="73"/>
      <c r="AJ52" s="73"/>
      <c r="AK52" s="115">
        <v>43301</v>
      </c>
      <c r="AL52" s="73">
        <f>WEEKNUM(AK52-RESUMEN!$AN$7)</f>
        <v>7</v>
      </c>
      <c r="AM52" s="73">
        <f>_xlfn.DAYS(AK52,RESUMEN!$AN$7)</f>
        <v>47</v>
      </c>
      <c r="AN52" s="133">
        <v>10130149</v>
      </c>
      <c r="AO52" s="73" t="str">
        <f>LOOKUP(AN52,FORMULAS!$A:$A,FORMULAS!$B:$B)</f>
        <v>Nupig Uno Kappa</v>
      </c>
      <c r="AP52" s="78"/>
      <c r="AQ52" s="78">
        <v>-100</v>
      </c>
      <c r="AR52" s="73"/>
      <c r="AS52" s="73"/>
      <c r="AT52" s="73"/>
      <c r="AU52" s="73"/>
      <c r="AV52" s="73"/>
      <c r="AW52" s="73"/>
      <c r="AX52" s="73" t="e">
        <f>WEEKNUM(AW52-RESUMEN!$AZ$7)</f>
        <v>#NUM!</v>
      </c>
      <c r="AY52" s="73">
        <f>_xlfn.DAYS(AW52,RESUMEN!$AZ$7)</f>
        <v>-43261</v>
      </c>
      <c r="AZ52" s="73"/>
      <c r="BA52" s="73" t="e">
        <f>LOOKUP(AZ52,FORMULAS!$A:$A,FORMULAS!$B:$B)</f>
        <v>#N/A</v>
      </c>
      <c r="BB52" s="78"/>
      <c r="BC52" s="73"/>
      <c r="BD52" s="73"/>
      <c r="BE52" s="73"/>
      <c r="BF52" s="73"/>
      <c r="BG52" s="73"/>
      <c r="BH52" s="73"/>
      <c r="BI52" s="73"/>
      <c r="BJ52" s="73" t="e">
        <f>WEEKNUM(BI52-RESUMEN!$BL$7)</f>
        <v>#NUM!</v>
      </c>
      <c r="BK52" s="73">
        <f>_xlfn.DAYS(BI52,RESUMEN!$BL$7)</f>
        <v>-43267</v>
      </c>
      <c r="BL52" s="73"/>
      <c r="BM52" s="73" t="e">
        <f>LOOKUP(BL52,FORMULAS!$A:$A,FORMULAS!$B:$B)</f>
        <v>#N/A</v>
      </c>
      <c r="BN52" s="78"/>
      <c r="BO52" s="73"/>
      <c r="BP52" s="73"/>
      <c r="BQ52" s="73"/>
      <c r="BR52" s="73"/>
      <c r="BS52" s="73"/>
      <c r="BT52" s="73"/>
    </row>
    <row r="53" spans="1:72" x14ac:dyDescent="0.25">
      <c r="A53" s="122">
        <v>43284</v>
      </c>
      <c r="B53" s="74">
        <f>WEEKNUM(A53-RESUMEN!$D$7)</f>
        <v>7</v>
      </c>
      <c r="C53" s="74">
        <f>_xlfn.DAYS(A53,RESUMEN!$D$7)</f>
        <v>46</v>
      </c>
      <c r="D53" s="127">
        <v>21111214</v>
      </c>
      <c r="E53" s="73" t="str">
        <f>LOOKUP(D53,FORMULAS!$A:$A,FORMULAS!$B:$B)</f>
        <v>Cerdos Fase 2 Med</v>
      </c>
      <c r="F53" s="80"/>
      <c r="G53" s="75">
        <v>-500</v>
      </c>
      <c r="H53" s="75"/>
      <c r="I53" s="73"/>
      <c r="J53" s="73"/>
      <c r="K53" s="73"/>
      <c r="L53" s="73"/>
      <c r="M53" s="115">
        <v>43289</v>
      </c>
      <c r="N53" s="73">
        <f>WEEKNUM(M53-RESUMEN!$P$7)</f>
        <v>7</v>
      </c>
      <c r="O53" s="73">
        <f>_xlfn.DAYS(M53,RESUMEN!$P$7)</f>
        <v>47</v>
      </c>
      <c r="P53" s="134">
        <v>21111214</v>
      </c>
      <c r="Q53" s="73" t="str">
        <f>LOOKUP(P53,FORMULAS!$A:$A,FORMULAS!$B:$B)</f>
        <v>Cerdos Fase 2 Med</v>
      </c>
      <c r="R53" s="78"/>
      <c r="S53" s="73">
        <v>-500</v>
      </c>
      <c r="T53" s="73"/>
      <c r="U53" s="73"/>
      <c r="V53" s="73"/>
      <c r="W53" s="73"/>
      <c r="X53" s="73"/>
      <c r="Y53" s="115">
        <v>43302</v>
      </c>
      <c r="Z53" s="73">
        <f>WEEKNUM(Y53-RESUMEN!$AB$7)</f>
        <v>8</v>
      </c>
      <c r="AA53" s="73">
        <f>_xlfn.DAYS(Y53,RESUMEN!$AB$7)</f>
        <v>55</v>
      </c>
      <c r="AB53" s="135">
        <v>21111214</v>
      </c>
      <c r="AC53" s="73" t="str">
        <f>LOOKUP(AB53,FORMULAS!$A:$A,FORMULAS!$B:$B)</f>
        <v>Cerdos Fase 2 Med</v>
      </c>
      <c r="AD53" s="78"/>
      <c r="AE53" s="73">
        <v>-2500</v>
      </c>
      <c r="AF53" s="73"/>
      <c r="AG53" s="73"/>
      <c r="AH53" s="73"/>
      <c r="AI53" s="73"/>
      <c r="AJ53" s="73"/>
      <c r="AK53" s="115">
        <v>43302</v>
      </c>
      <c r="AL53" s="73">
        <f>WEEKNUM(AK53-RESUMEN!$AN$7)</f>
        <v>7</v>
      </c>
      <c r="AM53" s="73">
        <f>_xlfn.DAYS(AK53,RESUMEN!$AN$7)</f>
        <v>48</v>
      </c>
      <c r="AN53" s="133">
        <v>10130149</v>
      </c>
      <c r="AO53" s="73" t="str">
        <f>LOOKUP(AN53,FORMULAS!$A:$A,FORMULAS!$B:$B)</f>
        <v>Nupig Uno Kappa</v>
      </c>
      <c r="AP53" s="78"/>
      <c r="AQ53" s="78">
        <v>-50</v>
      </c>
      <c r="AR53" s="73"/>
      <c r="AS53" s="73"/>
      <c r="AT53" s="73"/>
      <c r="AU53" s="73"/>
      <c r="AV53" s="73"/>
      <c r="AW53" s="73"/>
      <c r="AX53" s="73" t="e">
        <f>WEEKNUM(AW53-RESUMEN!$AZ$7)</f>
        <v>#NUM!</v>
      </c>
      <c r="AY53" s="73">
        <f>_xlfn.DAYS(AW53,RESUMEN!$AZ$7)</f>
        <v>-43261</v>
      </c>
      <c r="AZ53" s="73"/>
      <c r="BA53" s="73" t="e">
        <f>LOOKUP(AZ53,FORMULAS!$A:$A,FORMULAS!$B:$B)</f>
        <v>#N/A</v>
      </c>
      <c r="BB53" s="78"/>
      <c r="BC53" s="73"/>
      <c r="BD53" s="73"/>
      <c r="BE53" s="73"/>
      <c r="BF53" s="73"/>
      <c r="BG53" s="73"/>
      <c r="BH53" s="73"/>
      <c r="BI53" s="73"/>
      <c r="BJ53" s="73" t="e">
        <f>WEEKNUM(BI53-RESUMEN!$BL$7)</f>
        <v>#NUM!</v>
      </c>
      <c r="BK53" s="73">
        <f>_xlfn.DAYS(BI53,RESUMEN!$BL$7)</f>
        <v>-43267</v>
      </c>
      <c r="BL53" s="73"/>
      <c r="BM53" s="73" t="e">
        <f>LOOKUP(BL53,FORMULAS!$A:$A,FORMULAS!$B:$B)</f>
        <v>#N/A</v>
      </c>
      <c r="BN53" s="78"/>
      <c r="BO53" s="73"/>
      <c r="BP53" s="73"/>
      <c r="BQ53" s="73"/>
      <c r="BR53" s="73"/>
      <c r="BS53" s="73"/>
      <c r="BT53" s="73"/>
    </row>
    <row r="54" spans="1:72" x14ac:dyDescent="0.25">
      <c r="A54" s="122">
        <v>43285</v>
      </c>
      <c r="B54" s="74">
        <f>WEEKNUM(A54-RESUMEN!$D$7)</f>
        <v>7</v>
      </c>
      <c r="C54" s="74">
        <f>_xlfn.DAYS(A54,RESUMEN!$D$7)</f>
        <v>47</v>
      </c>
      <c r="D54" s="127">
        <v>21111214</v>
      </c>
      <c r="E54" s="73" t="str">
        <f>LOOKUP(D54,FORMULAS!$A:$A,FORMULAS!$B:$B)</f>
        <v>Cerdos Fase 2 Med</v>
      </c>
      <c r="F54" s="80"/>
      <c r="G54" s="75">
        <v>-500</v>
      </c>
      <c r="H54" s="75"/>
      <c r="I54" s="73"/>
      <c r="J54" s="73"/>
      <c r="K54" s="73"/>
      <c r="L54" s="73"/>
      <c r="M54" s="115">
        <v>43290</v>
      </c>
      <c r="N54" s="73">
        <f>WEEKNUM(M54-RESUMEN!$P$7)</f>
        <v>7</v>
      </c>
      <c r="O54" s="73">
        <f>_xlfn.DAYS(M54,RESUMEN!$P$7)</f>
        <v>48</v>
      </c>
      <c r="P54" s="123">
        <v>10130149</v>
      </c>
      <c r="Q54" s="73" t="str">
        <f>LOOKUP(P54,FORMULAS!$A:$A,FORMULAS!$B:$B)</f>
        <v>Nupig Uno Kappa</v>
      </c>
      <c r="R54" s="78"/>
      <c r="S54" s="73">
        <v>-50</v>
      </c>
      <c r="T54" s="73"/>
      <c r="U54" s="73"/>
      <c r="V54" s="73"/>
      <c r="W54" s="73"/>
      <c r="X54" s="73"/>
      <c r="Y54" s="115">
        <v>43303</v>
      </c>
      <c r="Z54" s="73">
        <f>WEEKNUM(Y54-RESUMEN!$AB$7)</f>
        <v>8</v>
      </c>
      <c r="AA54" s="73">
        <f>_xlfn.DAYS(Y54,RESUMEN!$AB$7)</f>
        <v>56</v>
      </c>
      <c r="AB54" s="73">
        <v>21121205</v>
      </c>
      <c r="AC54" s="73" t="str">
        <f>LOOKUP(AB54,FORMULAS!$A:$A,FORMULAS!$B:$B)</f>
        <v>Cerdos Fase 2.5</v>
      </c>
      <c r="AD54" s="78"/>
      <c r="AE54" s="73">
        <v>-1000</v>
      </c>
      <c r="AF54" s="73"/>
      <c r="AG54" s="73"/>
      <c r="AH54" s="73"/>
      <c r="AI54" s="73"/>
      <c r="AJ54" s="73"/>
      <c r="AK54" s="115">
        <v>43302</v>
      </c>
      <c r="AL54" s="73">
        <f>WEEKNUM(AK54-RESUMEN!$AN$7)</f>
        <v>7</v>
      </c>
      <c r="AM54" s="73">
        <f>_xlfn.DAYS(AK54,RESUMEN!$AN$7)</f>
        <v>48</v>
      </c>
      <c r="AN54" s="135">
        <v>21111214</v>
      </c>
      <c r="AO54" s="73" t="str">
        <f>LOOKUP(AN54,FORMULAS!$A:$A,FORMULAS!$B:$B)</f>
        <v>Cerdos Fase 2 Med</v>
      </c>
      <c r="AP54" s="78"/>
      <c r="AQ54" s="78">
        <v>-500</v>
      </c>
      <c r="AR54" s="73"/>
      <c r="AS54" s="73"/>
      <c r="AT54" s="73"/>
      <c r="AU54" s="73"/>
      <c r="AV54" s="73"/>
      <c r="AW54" s="73"/>
      <c r="AX54" s="73" t="e">
        <f>WEEKNUM(AW54-RESUMEN!$AZ$7)</f>
        <v>#NUM!</v>
      </c>
      <c r="AY54" s="73">
        <f>_xlfn.DAYS(AW54,RESUMEN!$AZ$7)</f>
        <v>-43261</v>
      </c>
      <c r="AZ54" s="73"/>
      <c r="BA54" s="73" t="e">
        <f>LOOKUP(AZ54,FORMULAS!$A:$A,FORMULAS!$B:$B)</f>
        <v>#N/A</v>
      </c>
      <c r="BB54" s="78"/>
      <c r="BC54" s="73"/>
      <c r="BD54" s="73"/>
      <c r="BE54" s="73"/>
      <c r="BF54" s="73"/>
      <c r="BG54" s="73"/>
      <c r="BH54" s="73"/>
      <c r="BI54" s="73"/>
      <c r="BJ54" s="73" t="e">
        <f>WEEKNUM(BI54-RESUMEN!$BL$7)</f>
        <v>#NUM!</v>
      </c>
      <c r="BK54" s="73">
        <f>_xlfn.DAYS(BI54,RESUMEN!$BL$7)</f>
        <v>-43267</v>
      </c>
      <c r="BL54" s="73"/>
      <c r="BM54" s="73" t="e">
        <f>LOOKUP(BL54,FORMULAS!$A:$A,FORMULAS!$B:$B)</f>
        <v>#N/A</v>
      </c>
      <c r="BN54" s="78"/>
      <c r="BO54" s="73"/>
      <c r="BP54" s="73"/>
      <c r="BQ54" s="73"/>
      <c r="BR54" s="73"/>
      <c r="BS54" s="73"/>
      <c r="BT54" s="73"/>
    </row>
    <row r="55" spans="1:72" x14ac:dyDescent="0.25">
      <c r="A55" s="122">
        <v>43286</v>
      </c>
      <c r="B55" s="74">
        <f>WEEKNUM(A55-RESUMEN!$D$7)</f>
        <v>7</v>
      </c>
      <c r="C55" s="74">
        <f>_xlfn.DAYS(A55,RESUMEN!$D$7)</f>
        <v>48</v>
      </c>
      <c r="D55" s="127">
        <v>21111214</v>
      </c>
      <c r="E55" s="73" t="str">
        <f>LOOKUP(D55,FORMULAS!$A:$A,FORMULAS!$B:$B)</f>
        <v>Cerdos Fase 2 Med</v>
      </c>
      <c r="F55" s="80"/>
      <c r="G55" s="75">
        <v>-1000</v>
      </c>
      <c r="H55" s="75"/>
      <c r="I55" s="73"/>
      <c r="J55" s="73"/>
      <c r="K55" s="73"/>
      <c r="L55" s="73"/>
      <c r="M55" s="115">
        <v>43290</v>
      </c>
      <c r="N55" s="73">
        <f>WEEKNUM(M55-RESUMEN!$P$7)</f>
        <v>7</v>
      </c>
      <c r="O55" s="73">
        <f>_xlfn.DAYS(M55,RESUMEN!$P$7)</f>
        <v>48</v>
      </c>
      <c r="P55" s="134">
        <v>21111214</v>
      </c>
      <c r="Q55" s="73" t="str">
        <f>LOOKUP(P55,FORMULAS!$A:$A,FORMULAS!$B:$B)</f>
        <v>Cerdos Fase 2 Med</v>
      </c>
      <c r="R55" s="78"/>
      <c r="S55" s="73">
        <v>-500</v>
      </c>
      <c r="T55" s="73"/>
      <c r="U55" s="73"/>
      <c r="V55" s="73"/>
      <c r="W55" s="73"/>
      <c r="X55" s="73"/>
      <c r="Y55" s="115">
        <v>43304</v>
      </c>
      <c r="Z55" s="73">
        <f>WEEKNUM(Y55-RESUMEN!$AB$7)</f>
        <v>9</v>
      </c>
      <c r="AA55" s="73">
        <f>_xlfn.DAYS(Y55,RESUMEN!$AB$7)</f>
        <v>57</v>
      </c>
      <c r="AB55" s="73">
        <v>21121205</v>
      </c>
      <c r="AC55" s="73" t="str">
        <f>LOOKUP(AB55,FORMULAS!$A:$A,FORMULAS!$B:$B)</f>
        <v>Cerdos Fase 2.5</v>
      </c>
      <c r="AD55" s="78"/>
      <c r="AE55" s="73">
        <v>-1000</v>
      </c>
      <c r="AF55" s="73"/>
      <c r="AG55" s="73"/>
      <c r="AH55" s="73"/>
      <c r="AI55" s="73"/>
      <c r="AJ55" s="73"/>
      <c r="AK55" s="115">
        <v>43303</v>
      </c>
      <c r="AL55" s="73">
        <f>WEEKNUM(AK55-RESUMEN!$AN$7)</f>
        <v>7</v>
      </c>
      <c r="AM55" s="73">
        <f>_xlfn.DAYS(AK55,RESUMEN!$AN$7)</f>
        <v>49</v>
      </c>
      <c r="AN55" s="135">
        <v>21111214</v>
      </c>
      <c r="AO55" s="73" t="str">
        <f>LOOKUP(AN55,FORMULAS!$A:$A,FORMULAS!$B:$B)</f>
        <v>Cerdos Fase 2 Med</v>
      </c>
      <c r="AP55" s="78"/>
      <c r="AQ55" s="78">
        <v>-1500</v>
      </c>
      <c r="AR55" s="73"/>
      <c r="AS55" s="73"/>
      <c r="AT55" s="73"/>
      <c r="AU55" s="73"/>
      <c r="AV55" s="73"/>
      <c r="AW55" s="73"/>
      <c r="AX55" s="73" t="e">
        <f>WEEKNUM(AW55-RESUMEN!$AZ$7)</f>
        <v>#NUM!</v>
      </c>
      <c r="AY55" s="73">
        <f>_xlfn.DAYS(AW55,RESUMEN!$AZ$7)</f>
        <v>-43261</v>
      </c>
      <c r="AZ55" s="73"/>
      <c r="BA55" s="73" t="e">
        <f>LOOKUP(AZ55,FORMULAS!$A:$A,FORMULAS!$B:$B)</f>
        <v>#N/A</v>
      </c>
      <c r="BB55" s="78"/>
      <c r="BC55" s="73"/>
      <c r="BD55" s="73"/>
      <c r="BE55" s="73"/>
      <c r="BF55" s="73"/>
      <c r="BG55" s="73"/>
      <c r="BH55" s="73"/>
      <c r="BI55" s="73"/>
      <c r="BJ55" s="73" t="e">
        <f>WEEKNUM(BI55-RESUMEN!$BL$7)</f>
        <v>#NUM!</v>
      </c>
      <c r="BK55" s="73">
        <f>_xlfn.DAYS(BI55,RESUMEN!$BL$7)</f>
        <v>-43267</v>
      </c>
      <c r="BL55" s="73"/>
      <c r="BM55" s="73" t="e">
        <f>LOOKUP(BL55,FORMULAS!$A:$A,FORMULAS!$B:$B)</f>
        <v>#N/A</v>
      </c>
      <c r="BN55" s="78"/>
      <c r="BO55" s="73"/>
      <c r="BP55" s="73"/>
      <c r="BQ55" s="73"/>
      <c r="BR55" s="73"/>
      <c r="BS55" s="73"/>
      <c r="BT55" s="73"/>
    </row>
    <row r="56" spans="1:72" x14ac:dyDescent="0.25">
      <c r="A56" s="122">
        <v>43287</v>
      </c>
      <c r="B56" s="74">
        <f>WEEKNUM(A56-RESUMEN!$D$7)</f>
        <v>7</v>
      </c>
      <c r="C56" s="74">
        <f>_xlfn.DAYS(A56,RESUMEN!$D$7)</f>
        <v>49</v>
      </c>
      <c r="D56" s="127">
        <v>21111214</v>
      </c>
      <c r="E56" s="73" t="str">
        <f>LOOKUP(D56,FORMULAS!$A:$A,FORMULAS!$B:$B)</f>
        <v>Cerdos Fase 2 Med</v>
      </c>
      <c r="F56" s="80"/>
      <c r="G56" s="75">
        <v>-500</v>
      </c>
      <c r="H56" s="75"/>
      <c r="I56" s="73"/>
      <c r="J56" s="73"/>
      <c r="K56" s="73"/>
      <c r="L56" s="73"/>
      <c r="M56" s="115">
        <v>43290</v>
      </c>
      <c r="N56" s="73">
        <f>WEEKNUM(M56-RESUMEN!$P$7)</f>
        <v>7</v>
      </c>
      <c r="O56" s="73">
        <f>_xlfn.DAYS(M56,RESUMEN!$P$7)</f>
        <v>48</v>
      </c>
      <c r="P56" s="127">
        <v>21121205</v>
      </c>
      <c r="Q56" s="73" t="str">
        <f>LOOKUP(P56,FORMULAS!$A:$A,FORMULAS!$B:$B)</f>
        <v>Cerdos Fase 2.5</v>
      </c>
      <c r="R56" s="78">
        <v>14110</v>
      </c>
      <c r="S56" s="166"/>
      <c r="T56" s="73" t="s">
        <v>283</v>
      </c>
      <c r="U56" s="73"/>
      <c r="V56" s="73"/>
      <c r="W56" s="73"/>
      <c r="X56" s="73"/>
      <c r="Y56" s="115">
        <v>43306</v>
      </c>
      <c r="Z56" s="73">
        <f>WEEKNUM(Y56-RESUMEN!$AB$7)</f>
        <v>9</v>
      </c>
      <c r="AA56" s="73">
        <f>_xlfn.DAYS(Y56,RESUMEN!$AB$7)</f>
        <v>59</v>
      </c>
      <c r="AB56" s="73">
        <v>21121205</v>
      </c>
      <c r="AC56" s="73" t="str">
        <f>LOOKUP(AB56,FORMULAS!$A:$A,FORMULAS!$B:$B)</f>
        <v>Cerdos Fase 2.5</v>
      </c>
      <c r="AD56" s="78"/>
      <c r="AE56" s="166">
        <v>-1600</v>
      </c>
      <c r="AF56" s="73"/>
      <c r="AG56" s="73"/>
      <c r="AH56" s="73"/>
      <c r="AI56" s="73"/>
      <c r="AJ56" s="73"/>
      <c r="AK56" s="115">
        <v>43303</v>
      </c>
      <c r="AL56" s="73">
        <f>WEEKNUM(AK56-RESUMEN!$AN$7)</f>
        <v>7</v>
      </c>
      <c r="AM56" s="73">
        <f>_xlfn.DAYS(AK56,RESUMEN!$AN$7)</f>
        <v>49</v>
      </c>
      <c r="AN56" s="133">
        <v>10130149</v>
      </c>
      <c r="AO56" s="73" t="str">
        <f>LOOKUP(AN56,FORMULAS!$A:$A,FORMULAS!$B:$B)</f>
        <v>Nupig Uno Kappa</v>
      </c>
      <c r="AP56" s="78"/>
      <c r="AQ56" s="78">
        <v>-100</v>
      </c>
      <c r="AR56" s="73"/>
      <c r="AS56" s="73"/>
      <c r="AT56" s="73"/>
      <c r="AU56" s="73"/>
      <c r="AV56" s="73"/>
      <c r="AW56" s="73"/>
      <c r="AX56" s="73" t="e">
        <f>WEEKNUM(AW56-RESUMEN!$AZ$7)</f>
        <v>#NUM!</v>
      </c>
      <c r="AY56" s="73">
        <f>_xlfn.DAYS(AW56,RESUMEN!$AZ$7)</f>
        <v>-43261</v>
      </c>
      <c r="AZ56" s="73"/>
      <c r="BA56" s="73" t="e">
        <f>LOOKUP(AZ56,FORMULAS!$A:$A,FORMULAS!$B:$B)</f>
        <v>#N/A</v>
      </c>
      <c r="BB56" s="78"/>
      <c r="BC56" s="73"/>
      <c r="BD56" s="73"/>
      <c r="BE56" s="73"/>
      <c r="BF56" s="73"/>
      <c r="BG56" s="73"/>
      <c r="BH56" s="73"/>
      <c r="BI56" s="73"/>
      <c r="BJ56" s="73" t="e">
        <f>WEEKNUM(BI56-RESUMEN!$BL$7)</f>
        <v>#NUM!</v>
      </c>
      <c r="BK56" s="73">
        <f>_xlfn.DAYS(BI56,RESUMEN!$BL$7)</f>
        <v>-43267</v>
      </c>
      <c r="BL56" s="73"/>
      <c r="BM56" s="73" t="e">
        <f>LOOKUP(BL56,FORMULAS!$A:$A,FORMULAS!$B:$B)</f>
        <v>#N/A</v>
      </c>
      <c r="BN56" s="78"/>
      <c r="BO56" s="73"/>
      <c r="BP56" s="73"/>
      <c r="BQ56" s="73"/>
      <c r="BR56" s="73"/>
      <c r="BS56" s="73"/>
      <c r="BT56" s="73"/>
    </row>
    <row r="57" spans="1:72" x14ac:dyDescent="0.25">
      <c r="A57" s="122">
        <v>43288</v>
      </c>
      <c r="B57" s="74">
        <f>WEEKNUM(A57-RESUMEN!$D$7)</f>
        <v>8</v>
      </c>
      <c r="C57" s="74">
        <f>_xlfn.DAYS(A57,RESUMEN!$D$7)</f>
        <v>50</v>
      </c>
      <c r="D57" s="127">
        <v>21111214</v>
      </c>
      <c r="E57" s="73" t="str">
        <f>LOOKUP(D57,FORMULAS!$A:$A,FORMULAS!$B:$B)</f>
        <v>Cerdos Fase 2 Med</v>
      </c>
      <c r="F57" s="80"/>
      <c r="G57" s="75">
        <v>-500</v>
      </c>
      <c r="H57" s="75"/>
      <c r="I57" s="73"/>
      <c r="J57" s="73"/>
      <c r="K57" s="73"/>
      <c r="L57" s="73"/>
      <c r="M57" s="115">
        <v>43291</v>
      </c>
      <c r="N57" s="73">
        <f>WEEKNUM(M57-RESUMEN!$P$7)</f>
        <v>7</v>
      </c>
      <c r="O57" s="73">
        <f>_xlfn.DAYS(M57,RESUMEN!$P$7)</f>
        <v>49</v>
      </c>
      <c r="P57" s="134">
        <v>21111214</v>
      </c>
      <c r="Q57" s="73" t="str">
        <f>LOOKUP(P57,FORMULAS!$A:$A,FORMULAS!$B:$B)</f>
        <v>Cerdos Fase 2 Med</v>
      </c>
      <c r="R57" s="78"/>
      <c r="S57" s="73">
        <v>-500</v>
      </c>
      <c r="T57" s="73"/>
      <c r="U57" s="73"/>
      <c r="V57" s="73"/>
      <c r="W57" s="73"/>
      <c r="X57" s="73"/>
      <c r="Y57" s="115">
        <v>43307</v>
      </c>
      <c r="Z57" s="73">
        <f>WEEKNUM(Y57-RESUMEN!$AB$7)</f>
        <v>9</v>
      </c>
      <c r="AA57" s="73">
        <f>_xlfn.DAYS(Y57,RESUMEN!$AB$7)</f>
        <v>60</v>
      </c>
      <c r="AB57" s="73">
        <v>21121205</v>
      </c>
      <c r="AC57" s="73" t="str">
        <f>LOOKUP(AB57,FORMULAS!$A:$A,FORMULAS!$B:$B)</f>
        <v>Cerdos Fase 2.5</v>
      </c>
      <c r="AD57" s="78"/>
      <c r="AE57" s="73">
        <v>-500</v>
      </c>
      <c r="AF57" s="73"/>
      <c r="AG57" s="73"/>
      <c r="AH57" s="73"/>
      <c r="AI57" s="73"/>
      <c r="AJ57" s="73"/>
      <c r="AK57" s="115">
        <v>43304</v>
      </c>
      <c r="AL57" s="73">
        <f>WEEKNUM(AK57-RESUMEN!$AN$7)</f>
        <v>8</v>
      </c>
      <c r="AM57" s="73">
        <f>_xlfn.DAYS(AK57,RESUMEN!$AN$7)</f>
        <v>50</v>
      </c>
      <c r="AN57" s="135">
        <v>21121205</v>
      </c>
      <c r="AO57" s="73" t="str">
        <f>LOOKUP(AN57,FORMULAS!$A:$A,FORMULAS!$B:$B)</f>
        <v>Cerdos Fase 2.5</v>
      </c>
      <c r="AP57" s="78"/>
      <c r="AQ57" s="78">
        <v>-360</v>
      </c>
      <c r="AR57" s="73"/>
      <c r="AS57" s="73"/>
      <c r="AT57" s="73"/>
      <c r="AU57" s="73"/>
      <c r="AV57" s="73"/>
      <c r="AW57" s="73"/>
      <c r="AX57" s="73" t="e">
        <f>WEEKNUM(AW57-RESUMEN!$AZ$7)</f>
        <v>#NUM!</v>
      </c>
      <c r="AY57" s="73">
        <f>_xlfn.DAYS(AW57,RESUMEN!$AZ$7)</f>
        <v>-43261</v>
      </c>
      <c r="AZ57" s="73"/>
      <c r="BA57" s="73" t="e">
        <f>LOOKUP(AZ57,FORMULAS!$A:$A,FORMULAS!$B:$B)</f>
        <v>#N/A</v>
      </c>
      <c r="BB57" s="78"/>
      <c r="BC57" s="73"/>
      <c r="BD57" s="73"/>
      <c r="BE57" s="73"/>
      <c r="BF57" s="73"/>
      <c r="BG57" s="73"/>
      <c r="BH57" s="73"/>
      <c r="BI57" s="73"/>
      <c r="BJ57" s="73" t="e">
        <f>WEEKNUM(BI57-RESUMEN!$BL$7)</f>
        <v>#NUM!</v>
      </c>
      <c r="BK57" s="73">
        <f>_xlfn.DAYS(BI57,RESUMEN!$BL$7)</f>
        <v>-43267</v>
      </c>
      <c r="BL57" s="73"/>
      <c r="BM57" s="73" t="e">
        <f>LOOKUP(BL57,FORMULAS!$A:$A,FORMULAS!$B:$B)</f>
        <v>#N/A</v>
      </c>
      <c r="BN57" s="78"/>
      <c r="BO57" s="73"/>
      <c r="BP57" s="73"/>
      <c r="BQ57" s="73"/>
      <c r="BR57" s="73"/>
      <c r="BS57" s="73"/>
      <c r="BT57" s="73"/>
    </row>
    <row r="58" spans="1:72" x14ac:dyDescent="0.25">
      <c r="A58" s="122">
        <v>43288</v>
      </c>
      <c r="B58" s="74">
        <f>WEEKNUM(A58-RESUMEN!$D$7)</f>
        <v>8</v>
      </c>
      <c r="C58" s="74">
        <f>_xlfn.DAYS(A58,RESUMEN!$D$7)</f>
        <v>50</v>
      </c>
      <c r="D58" s="123">
        <v>10130149</v>
      </c>
      <c r="E58" s="73" t="str">
        <f>LOOKUP(D58,FORMULAS!$A:$A,FORMULAS!$B:$B)</f>
        <v>Nupig Uno Kappa</v>
      </c>
      <c r="F58" s="80"/>
      <c r="G58" s="75">
        <v>-100</v>
      </c>
      <c r="H58" s="75"/>
      <c r="I58" s="73"/>
      <c r="J58" s="73"/>
      <c r="K58" s="73"/>
      <c r="L58" s="73"/>
      <c r="M58" s="115">
        <v>43292</v>
      </c>
      <c r="N58" s="73">
        <f>WEEKNUM(M58-RESUMEN!$P$7)</f>
        <v>8</v>
      </c>
      <c r="O58" s="73">
        <f>_xlfn.DAYS(M58,RESUMEN!$P$7)</f>
        <v>50</v>
      </c>
      <c r="P58" s="123">
        <v>10130149</v>
      </c>
      <c r="Q58" s="73" t="str">
        <f>LOOKUP(P58,FORMULAS!$A:$A,FORMULAS!$B:$B)</f>
        <v>Nupig Uno Kappa</v>
      </c>
      <c r="R58" s="78"/>
      <c r="S58" s="73">
        <v>-25</v>
      </c>
      <c r="T58" s="73"/>
      <c r="U58" s="73"/>
      <c r="V58" s="73"/>
      <c r="W58" s="73"/>
      <c r="X58" s="73"/>
      <c r="Y58" s="115">
        <v>43309</v>
      </c>
      <c r="Z58" s="73">
        <f>WEEKNUM(Y58-RESUMEN!$AB$7)</f>
        <v>9</v>
      </c>
      <c r="AA58" s="73">
        <f>_xlfn.DAYS(Y58,RESUMEN!$AB$7)</f>
        <v>62</v>
      </c>
      <c r="AB58" s="73">
        <v>21121205</v>
      </c>
      <c r="AC58" s="73" t="str">
        <f>LOOKUP(AB58,FORMULAS!$A:$A,FORMULAS!$B:$B)</f>
        <v>Cerdos Fase 2.5</v>
      </c>
      <c r="AD58" s="78"/>
      <c r="AE58" s="73">
        <v>-500</v>
      </c>
      <c r="AF58" s="73"/>
      <c r="AG58" s="73"/>
      <c r="AH58" s="73"/>
      <c r="AI58" s="73"/>
      <c r="AJ58" s="73"/>
      <c r="AK58" s="115">
        <v>43304</v>
      </c>
      <c r="AL58" s="73">
        <f>WEEKNUM(AK58-RESUMEN!$AN$7)</f>
        <v>8</v>
      </c>
      <c r="AM58" s="73">
        <f>_xlfn.DAYS(AK58,RESUMEN!$AN$7)</f>
        <v>50</v>
      </c>
      <c r="AN58" s="133">
        <v>10130149</v>
      </c>
      <c r="AO58" s="73" t="str">
        <f>LOOKUP(AN58,FORMULAS!$A:$A,FORMULAS!$B:$B)</f>
        <v>Nupig Uno Kappa</v>
      </c>
      <c r="AP58" s="78"/>
      <c r="AQ58" s="78">
        <v>-50</v>
      </c>
      <c r="AR58" s="73"/>
      <c r="AS58" s="73"/>
      <c r="AT58" s="73"/>
      <c r="AU58" s="73"/>
      <c r="AV58" s="73"/>
      <c r="AW58" s="73"/>
      <c r="AX58" s="73" t="e">
        <f>WEEKNUM(AW58-RESUMEN!$AZ$7)</f>
        <v>#NUM!</v>
      </c>
      <c r="AY58" s="73">
        <f>_xlfn.DAYS(AW58,RESUMEN!$AZ$7)</f>
        <v>-43261</v>
      </c>
      <c r="AZ58" s="73"/>
      <c r="BA58" s="73" t="e">
        <f>LOOKUP(AZ58,FORMULAS!$A:$A,FORMULAS!$B:$B)</f>
        <v>#N/A</v>
      </c>
      <c r="BB58" s="78"/>
      <c r="BC58" s="73"/>
      <c r="BD58" s="73"/>
      <c r="BE58" s="73"/>
      <c r="BF58" s="73"/>
      <c r="BG58" s="73"/>
      <c r="BH58" s="73"/>
      <c r="BI58" s="73"/>
      <c r="BJ58" s="73" t="e">
        <f>WEEKNUM(BI58-RESUMEN!$BL$7)</f>
        <v>#NUM!</v>
      </c>
      <c r="BK58" s="73">
        <f>_xlfn.DAYS(BI58,RESUMEN!$BL$7)</f>
        <v>-43267</v>
      </c>
      <c r="BL58" s="73"/>
      <c r="BM58" s="73" t="e">
        <f>LOOKUP(BL58,FORMULAS!$A:$A,FORMULAS!$B:$B)</f>
        <v>#N/A</v>
      </c>
      <c r="BN58" s="78"/>
      <c r="BO58" s="73"/>
      <c r="BP58" s="73"/>
      <c r="BQ58" s="73"/>
      <c r="BR58" s="73"/>
      <c r="BS58" s="73"/>
      <c r="BT58" s="73"/>
    </row>
    <row r="59" spans="1:72" x14ac:dyDescent="0.25">
      <c r="A59" s="122">
        <v>43289</v>
      </c>
      <c r="B59" s="74">
        <f>WEEKNUM(A59-RESUMEN!$D$7)</f>
        <v>8</v>
      </c>
      <c r="C59" s="74">
        <f>_xlfn.DAYS(A59,RESUMEN!$D$7)</f>
        <v>51</v>
      </c>
      <c r="D59" s="127">
        <v>21111214</v>
      </c>
      <c r="E59" s="73" t="str">
        <f>LOOKUP(D59,FORMULAS!$A:$A,FORMULAS!$B:$B)</f>
        <v>Cerdos Fase 2 Med</v>
      </c>
      <c r="F59" s="80"/>
      <c r="G59" s="75">
        <v>-1000</v>
      </c>
      <c r="H59" s="75"/>
      <c r="I59" s="73"/>
      <c r="J59" s="73"/>
      <c r="K59" s="73"/>
      <c r="L59" s="73"/>
      <c r="M59" s="115">
        <v>43293</v>
      </c>
      <c r="N59" s="73">
        <f>WEEKNUM(M59-RESUMEN!$P$7)</f>
        <v>8</v>
      </c>
      <c r="O59" s="73">
        <f>_xlfn.DAYS(M59,RESUMEN!$P$7)</f>
        <v>51</v>
      </c>
      <c r="P59" s="134">
        <v>21111214</v>
      </c>
      <c r="Q59" s="73" t="str">
        <f>LOOKUP(P59,FORMULAS!$A:$A,FORMULAS!$B:$B)</f>
        <v>Cerdos Fase 2 Med</v>
      </c>
      <c r="R59" s="78"/>
      <c r="S59" s="73">
        <v>-1000</v>
      </c>
      <c r="T59" s="73"/>
      <c r="U59" s="73"/>
      <c r="V59" s="73"/>
      <c r="W59" s="73"/>
      <c r="X59" s="73"/>
      <c r="Y59" s="115">
        <v>43310</v>
      </c>
      <c r="Z59" s="73">
        <f>WEEKNUM(Y59-RESUMEN!$AB$7)</f>
        <v>9</v>
      </c>
      <c r="AA59" s="73">
        <f>_xlfn.DAYS(Y59,RESUMEN!$AB$7)</f>
        <v>63</v>
      </c>
      <c r="AB59" s="73">
        <v>21121205</v>
      </c>
      <c r="AC59" s="73" t="str">
        <f>LOOKUP(AB59,FORMULAS!$A:$A,FORMULAS!$B:$B)</f>
        <v>Cerdos Fase 2.5</v>
      </c>
      <c r="AD59" s="78"/>
      <c r="AE59" s="73">
        <v>-1000</v>
      </c>
      <c r="AF59" s="73"/>
      <c r="AG59" s="73"/>
      <c r="AH59" s="73"/>
      <c r="AI59" s="73"/>
      <c r="AJ59" s="73"/>
      <c r="AK59" s="115">
        <v>43305</v>
      </c>
      <c r="AL59" s="73">
        <f>WEEKNUM(AK59-RESUMEN!$AN$7)</f>
        <v>8</v>
      </c>
      <c r="AM59" s="73">
        <f>_xlfn.DAYS(AK59,RESUMEN!$AN$7)</f>
        <v>51</v>
      </c>
      <c r="AN59" s="135">
        <v>21121205</v>
      </c>
      <c r="AO59" s="73" t="str">
        <f>LOOKUP(AN59,FORMULAS!$A:$A,FORMULAS!$B:$B)</f>
        <v>Cerdos Fase 2.5</v>
      </c>
      <c r="AP59" s="78"/>
      <c r="AQ59" s="78">
        <v>-500</v>
      </c>
      <c r="AR59" s="73"/>
      <c r="AS59" s="73"/>
      <c r="AT59" s="73"/>
      <c r="AU59" s="73"/>
      <c r="AV59" s="73"/>
      <c r="AW59" s="73"/>
      <c r="AX59" s="73" t="e">
        <f>WEEKNUM(AW59-RESUMEN!$AZ$7)</f>
        <v>#NUM!</v>
      </c>
      <c r="AY59" s="73">
        <f>_xlfn.DAYS(AW59,RESUMEN!$AZ$7)</f>
        <v>-43261</v>
      </c>
      <c r="AZ59" s="73"/>
      <c r="BA59" s="73" t="e">
        <f>LOOKUP(AZ59,FORMULAS!$A:$A,FORMULAS!$B:$B)</f>
        <v>#N/A</v>
      </c>
      <c r="BB59" s="78"/>
      <c r="BC59" s="73"/>
      <c r="BD59" s="73"/>
      <c r="BE59" s="73"/>
      <c r="BF59" s="73"/>
      <c r="BG59" s="73"/>
      <c r="BH59" s="73"/>
      <c r="BI59" s="73"/>
      <c r="BJ59" s="73" t="e">
        <f>WEEKNUM(BI59-RESUMEN!$BL$7)</f>
        <v>#NUM!</v>
      </c>
      <c r="BK59" s="73">
        <f>_xlfn.DAYS(BI59,RESUMEN!$BL$7)</f>
        <v>-43267</v>
      </c>
      <c r="BL59" s="73"/>
      <c r="BM59" s="73" t="e">
        <f>LOOKUP(BL59,FORMULAS!$A:$A,FORMULAS!$B:$B)</f>
        <v>#N/A</v>
      </c>
      <c r="BN59" s="78"/>
      <c r="BO59" s="73"/>
      <c r="BP59" s="73"/>
      <c r="BQ59" s="73"/>
      <c r="BR59" s="73"/>
      <c r="BS59" s="73"/>
      <c r="BT59" s="73"/>
    </row>
    <row r="60" spans="1:72" x14ac:dyDescent="0.25">
      <c r="A60" s="122">
        <v>43290</v>
      </c>
      <c r="B60" s="74">
        <f>WEEKNUM(A60-RESUMEN!$D$7)</f>
        <v>8</v>
      </c>
      <c r="C60" s="74">
        <f>_xlfn.DAYS(A60,RESUMEN!$D$7)</f>
        <v>52</v>
      </c>
      <c r="D60" s="123">
        <v>10130149</v>
      </c>
      <c r="E60" s="73" t="str">
        <f>LOOKUP(D60,FORMULAS!$A:$A,FORMULAS!$B:$B)</f>
        <v>Nupig Uno Kappa</v>
      </c>
      <c r="F60" s="80"/>
      <c r="G60" s="75">
        <v>-25</v>
      </c>
      <c r="H60" s="75"/>
      <c r="I60" s="73"/>
      <c r="J60" s="73"/>
      <c r="K60" s="73"/>
      <c r="L60" s="73"/>
      <c r="M60" s="115">
        <v>43294</v>
      </c>
      <c r="N60" s="73">
        <f>WEEKNUM(M60-RESUMEN!$P$7)</f>
        <v>8</v>
      </c>
      <c r="O60" s="73">
        <f>_xlfn.DAYS(M60,RESUMEN!$P$7)</f>
        <v>52</v>
      </c>
      <c r="P60" s="134">
        <v>21111214</v>
      </c>
      <c r="Q60" s="73" t="str">
        <f>LOOKUP(P60,FORMULAS!$A:$A,FORMULAS!$B:$B)</f>
        <v>Cerdos Fase 2 Med</v>
      </c>
      <c r="R60" s="78"/>
      <c r="S60" s="73">
        <v>-1000</v>
      </c>
      <c r="T60" s="73"/>
      <c r="U60" s="73"/>
      <c r="V60" s="73"/>
      <c r="W60" s="73"/>
      <c r="X60" s="73"/>
      <c r="Y60" s="115">
        <v>43311</v>
      </c>
      <c r="Z60" s="73">
        <f>WEEKNUM(Y60-RESUMEN!$AB$7)</f>
        <v>10</v>
      </c>
      <c r="AA60" s="73">
        <f>_xlfn.DAYS(Y60,RESUMEN!$AB$7)</f>
        <v>64</v>
      </c>
      <c r="AB60" s="73">
        <v>21121205</v>
      </c>
      <c r="AC60" s="73" t="str">
        <f>LOOKUP(AB60,FORMULAS!$A:$A,FORMULAS!$B:$B)</f>
        <v>Cerdos Fase 2.5</v>
      </c>
      <c r="AD60" s="78"/>
      <c r="AE60" s="73">
        <v>-1000</v>
      </c>
      <c r="AF60" s="73"/>
      <c r="AG60" s="73"/>
      <c r="AH60" s="73"/>
      <c r="AI60" s="73"/>
      <c r="AJ60" s="73"/>
      <c r="AK60" s="115">
        <v>43306</v>
      </c>
      <c r="AL60" s="73">
        <f>WEEKNUM(AK60-RESUMEN!$AN$7)</f>
        <v>8</v>
      </c>
      <c r="AM60" s="73">
        <f>_xlfn.DAYS(AK60,RESUMEN!$AN$7)</f>
        <v>52</v>
      </c>
      <c r="AN60" s="135">
        <v>21121205</v>
      </c>
      <c r="AO60" s="73" t="str">
        <f>LOOKUP(AN60,FORMULAS!$A:$A,FORMULAS!$B:$B)</f>
        <v>Cerdos Fase 2.5</v>
      </c>
      <c r="AP60" s="78"/>
      <c r="AQ60" s="78">
        <v>-500</v>
      </c>
      <c r="AR60" s="73"/>
      <c r="AS60" s="73"/>
      <c r="AT60" s="73"/>
      <c r="AU60" s="73"/>
      <c r="AV60" s="73"/>
      <c r="AW60" s="73"/>
      <c r="AX60" s="73" t="e">
        <f>WEEKNUM(AW60-RESUMEN!$AZ$7)</f>
        <v>#NUM!</v>
      </c>
      <c r="AY60" s="73">
        <f>_xlfn.DAYS(AW60,RESUMEN!$AZ$7)</f>
        <v>-43261</v>
      </c>
      <c r="AZ60" s="73"/>
      <c r="BA60" s="73" t="e">
        <f>LOOKUP(AZ60,FORMULAS!$A:$A,FORMULAS!$B:$B)</f>
        <v>#N/A</v>
      </c>
      <c r="BB60" s="78"/>
      <c r="BC60" s="73"/>
      <c r="BD60" s="73"/>
      <c r="BE60" s="73"/>
      <c r="BF60" s="73"/>
      <c r="BG60" s="73"/>
      <c r="BH60" s="73"/>
      <c r="BI60" s="73"/>
      <c r="BJ60" s="73" t="e">
        <f>WEEKNUM(BI60-RESUMEN!$BL$7)</f>
        <v>#NUM!</v>
      </c>
      <c r="BK60" s="73">
        <f>_xlfn.DAYS(BI60,RESUMEN!$BL$7)</f>
        <v>-43267</v>
      </c>
      <c r="BL60" s="73"/>
      <c r="BM60" s="73" t="e">
        <f>LOOKUP(BL60,FORMULAS!$A:$A,FORMULAS!$B:$B)</f>
        <v>#N/A</v>
      </c>
      <c r="BN60" s="78"/>
      <c r="BO60" s="73"/>
      <c r="BP60" s="73"/>
      <c r="BQ60" s="73"/>
      <c r="BR60" s="73"/>
      <c r="BS60" s="73"/>
      <c r="BT60" s="73"/>
    </row>
    <row r="61" spans="1:72" x14ac:dyDescent="0.25">
      <c r="A61" s="122">
        <v>43290</v>
      </c>
      <c r="B61" s="74">
        <f>WEEKNUM(A61-RESUMEN!$D$7)</f>
        <v>8</v>
      </c>
      <c r="C61" s="74">
        <f>_xlfn.DAYS(A61,RESUMEN!$D$7)</f>
        <v>52</v>
      </c>
      <c r="D61" s="127">
        <v>21111214</v>
      </c>
      <c r="E61" s="73" t="str">
        <f>LOOKUP(D61,FORMULAS!$A:$A,FORMULAS!$B:$B)</f>
        <v>Cerdos Fase 2 Med</v>
      </c>
      <c r="F61" s="80"/>
      <c r="G61" s="75">
        <v>-500</v>
      </c>
      <c r="H61" s="75"/>
      <c r="I61" s="73"/>
      <c r="J61" s="73"/>
      <c r="K61" s="73"/>
      <c r="L61" s="73"/>
      <c r="M61" s="115">
        <v>43297</v>
      </c>
      <c r="N61" s="73">
        <f>WEEKNUM(M61-RESUMEN!$P$7)</f>
        <v>8</v>
      </c>
      <c r="O61" s="73">
        <f>_xlfn.DAYS(M61,RESUMEN!$P$7)</f>
        <v>55</v>
      </c>
      <c r="P61" s="134">
        <v>21111214</v>
      </c>
      <c r="Q61" s="73" t="str">
        <f>LOOKUP(P61,FORMULAS!$A:$A,FORMULAS!$B:$B)</f>
        <v>Cerdos Fase 2 Med</v>
      </c>
      <c r="R61" s="78"/>
      <c r="S61" s="73">
        <v>-1650</v>
      </c>
      <c r="T61" s="73"/>
      <c r="U61" s="73"/>
      <c r="V61" s="73"/>
      <c r="W61" s="73"/>
      <c r="X61" s="73"/>
      <c r="Y61" s="115">
        <v>43312</v>
      </c>
      <c r="Z61" s="73">
        <f>WEEKNUM(Y61-RESUMEN!$AB$7)</f>
        <v>10</v>
      </c>
      <c r="AA61" s="73">
        <f>_xlfn.DAYS(Y61,RESUMEN!$AB$7)</f>
        <v>65</v>
      </c>
      <c r="AB61" s="73">
        <v>21121205</v>
      </c>
      <c r="AC61" s="73" t="str">
        <f>LOOKUP(AB61,FORMULAS!$A:$A,FORMULAS!$B:$B)</f>
        <v>Cerdos Fase 2.5</v>
      </c>
      <c r="AD61" s="78"/>
      <c r="AE61" s="73">
        <v>-1000</v>
      </c>
      <c r="AF61" s="73"/>
      <c r="AG61" s="73"/>
      <c r="AH61" s="73"/>
      <c r="AI61" s="73"/>
      <c r="AJ61" s="73"/>
      <c r="AK61" s="115">
        <v>43307</v>
      </c>
      <c r="AL61" s="73">
        <f>WEEKNUM(AK61-RESUMEN!$AN$7)</f>
        <v>8</v>
      </c>
      <c r="AM61" s="73">
        <f>_xlfn.DAYS(AK61,RESUMEN!$AN$7)</f>
        <v>53</v>
      </c>
      <c r="AN61" s="135">
        <v>21121205</v>
      </c>
      <c r="AO61" s="73" t="str">
        <f>LOOKUP(AN61,FORMULAS!$A:$A,FORMULAS!$B:$B)</f>
        <v>Cerdos Fase 2.5</v>
      </c>
      <c r="AP61" s="78"/>
      <c r="AQ61" s="78">
        <v>-1000</v>
      </c>
      <c r="AR61" s="73"/>
      <c r="AS61" s="73"/>
      <c r="AT61" s="73"/>
      <c r="AU61" s="73"/>
      <c r="AV61" s="73"/>
      <c r="AW61" s="73"/>
      <c r="AX61" s="73" t="e">
        <f>WEEKNUM(AW61-RESUMEN!$AZ$7)</f>
        <v>#NUM!</v>
      </c>
      <c r="AY61" s="73">
        <f>_xlfn.DAYS(AW61,RESUMEN!$AZ$7)</f>
        <v>-43261</v>
      </c>
      <c r="AZ61" s="73"/>
      <c r="BA61" s="73" t="e">
        <f>LOOKUP(AZ61,FORMULAS!$A:$A,FORMULAS!$B:$B)</f>
        <v>#N/A</v>
      </c>
      <c r="BB61" s="78"/>
      <c r="BC61" s="73"/>
      <c r="BD61" s="73"/>
      <c r="BE61" s="73"/>
      <c r="BF61" s="73"/>
      <c r="BG61" s="73"/>
      <c r="BH61" s="73"/>
      <c r="BI61" s="73"/>
      <c r="BJ61" s="73" t="e">
        <f>WEEKNUM(BI61-RESUMEN!$BL$7)</f>
        <v>#NUM!</v>
      </c>
      <c r="BK61" s="73">
        <f>_xlfn.DAYS(BI61,RESUMEN!$BL$7)</f>
        <v>-43267</v>
      </c>
      <c r="BL61" s="73"/>
      <c r="BM61" s="73" t="e">
        <f>LOOKUP(BL61,FORMULAS!$A:$A,FORMULAS!$B:$B)</f>
        <v>#N/A</v>
      </c>
      <c r="BN61" s="78"/>
      <c r="BO61" s="73"/>
      <c r="BP61" s="73"/>
      <c r="BQ61" s="73"/>
      <c r="BR61" s="73"/>
      <c r="BS61" s="73"/>
      <c r="BT61" s="73"/>
    </row>
    <row r="62" spans="1:72" x14ac:dyDescent="0.25">
      <c r="A62" s="122">
        <v>43290</v>
      </c>
      <c r="B62" s="74">
        <f>WEEKNUM(A62-RESUMEN!$D$7)</f>
        <v>8</v>
      </c>
      <c r="C62" s="74">
        <f>_xlfn.DAYS(A62,RESUMEN!$D$7)</f>
        <v>52</v>
      </c>
      <c r="D62" s="127">
        <v>21121205</v>
      </c>
      <c r="E62" s="73" t="str">
        <f>LOOKUP(D62,FORMULAS!$A:$A,FORMULAS!$B:$B)</f>
        <v>Cerdos Fase 2.5</v>
      </c>
      <c r="F62" s="80">
        <v>15520</v>
      </c>
      <c r="G62" s="75"/>
      <c r="H62" s="75" t="s">
        <v>283</v>
      </c>
      <c r="I62" s="73"/>
      <c r="J62" s="73"/>
      <c r="K62" s="73"/>
      <c r="L62" s="73"/>
      <c r="M62" s="115">
        <v>43299</v>
      </c>
      <c r="N62" s="73">
        <f>WEEKNUM(M62-RESUMEN!$P$7)</f>
        <v>9</v>
      </c>
      <c r="O62" s="73">
        <f>_xlfn.DAYS(M62,RESUMEN!$P$7)</f>
        <v>57</v>
      </c>
      <c r="P62" s="127">
        <v>21121205</v>
      </c>
      <c r="Q62" s="73" t="str">
        <f>LOOKUP(P62,FORMULAS!$A:$A,FORMULAS!$B:$B)</f>
        <v>Cerdos Fase 2.5</v>
      </c>
      <c r="R62" s="78"/>
      <c r="S62" s="73">
        <v>-1110</v>
      </c>
      <c r="T62" s="73"/>
      <c r="U62" s="73"/>
      <c r="V62" s="73"/>
      <c r="W62" s="73"/>
      <c r="X62" s="73"/>
      <c r="Y62" s="115">
        <v>43313</v>
      </c>
      <c r="Z62" s="73">
        <f>WEEKNUM(Y62-RESUMEN!$AB$7)</f>
        <v>10</v>
      </c>
      <c r="AA62" s="73">
        <f>_xlfn.DAYS(Y62,RESUMEN!$AB$7)</f>
        <v>66</v>
      </c>
      <c r="AB62" s="73">
        <v>21121205</v>
      </c>
      <c r="AC62" s="73" t="str">
        <f>LOOKUP(AB62,FORMULAS!$A:$A,FORMULAS!$B:$B)</f>
        <v>Cerdos Fase 2.5</v>
      </c>
      <c r="AD62" s="78"/>
      <c r="AE62" s="73">
        <v>-500</v>
      </c>
      <c r="AF62" s="73"/>
      <c r="AG62" s="73"/>
      <c r="AH62" s="73"/>
      <c r="AI62" s="73"/>
      <c r="AJ62" s="73"/>
      <c r="AK62" s="115">
        <v>43308</v>
      </c>
      <c r="AL62" s="73">
        <f>WEEKNUM(AK62-RESUMEN!$AN$7)</f>
        <v>8</v>
      </c>
      <c r="AM62" s="73">
        <f>_xlfn.DAYS(AK62,RESUMEN!$AN$7)</f>
        <v>54</v>
      </c>
      <c r="AN62" s="135">
        <v>21121205</v>
      </c>
      <c r="AO62" s="73" t="str">
        <f>LOOKUP(AN62,FORMULAS!$A:$A,FORMULAS!$B:$B)</f>
        <v>Cerdos Fase 2.5</v>
      </c>
      <c r="AP62" s="78"/>
      <c r="AQ62" s="78">
        <v>-500</v>
      </c>
      <c r="AR62" s="73"/>
      <c r="AS62" s="73"/>
      <c r="AT62" s="73"/>
      <c r="AU62" s="73"/>
      <c r="AV62" s="73"/>
      <c r="AW62" s="73"/>
      <c r="AX62" s="73" t="e">
        <f>WEEKNUM(AW62-RESUMEN!$AZ$7)</f>
        <v>#NUM!</v>
      </c>
      <c r="AY62" s="73">
        <f>_xlfn.DAYS(AW62,RESUMEN!$AZ$7)</f>
        <v>-43261</v>
      </c>
      <c r="AZ62" s="73"/>
      <c r="BA62" s="73" t="e">
        <f>LOOKUP(AZ62,FORMULAS!$A:$A,FORMULAS!$B:$B)</f>
        <v>#N/A</v>
      </c>
      <c r="BB62" s="78"/>
      <c r="BC62" s="73"/>
      <c r="BD62" s="73"/>
      <c r="BE62" s="73"/>
      <c r="BF62" s="73"/>
      <c r="BG62" s="73"/>
      <c r="BH62" s="73"/>
      <c r="BI62" s="73"/>
      <c r="BJ62" s="73" t="e">
        <f>WEEKNUM(BI62-RESUMEN!$BL$7)</f>
        <v>#NUM!</v>
      </c>
      <c r="BK62" s="73">
        <f>_xlfn.DAYS(BI62,RESUMEN!$BL$7)</f>
        <v>-43267</v>
      </c>
      <c r="BL62" s="73"/>
      <c r="BM62" s="73" t="e">
        <f>LOOKUP(BL62,FORMULAS!$A:$A,FORMULAS!$B:$B)</f>
        <v>#N/A</v>
      </c>
      <c r="BN62" s="78"/>
      <c r="BO62" s="73"/>
      <c r="BP62" s="73"/>
      <c r="BQ62" s="73"/>
      <c r="BR62" s="73"/>
      <c r="BS62" s="73"/>
      <c r="BT62" s="73"/>
    </row>
    <row r="63" spans="1:72" x14ac:dyDescent="0.25">
      <c r="A63" s="122">
        <v>43291</v>
      </c>
      <c r="B63" s="74">
        <f>WEEKNUM(A63-RESUMEN!$D$7)</f>
        <v>8</v>
      </c>
      <c r="C63" s="74">
        <f>_xlfn.DAYS(A63,RESUMEN!$D$7)</f>
        <v>53</v>
      </c>
      <c r="D63" s="127">
        <v>21121205</v>
      </c>
      <c r="E63" s="73" t="str">
        <f>LOOKUP(D63,FORMULAS!$A:$A,FORMULAS!$B:$B)</f>
        <v>Cerdos Fase 2.5</v>
      </c>
      <c r="F63" s="80"/>
      <c r="G63" s="75">
        <v>-500</v>
      </c>
      <c r="H63" s="75"/>
      <c r="I63" s="73"/>
      <c r="J63" s="73"/>
      <c r="K63" s="73"/>
      <c r="L63" s="73"/>
      <c r="M63" s="115">
        <v>43301</v>
      </c>
      <c r="N63" s="73">
        <f>WEEKNUM(M63-RESUMEN!$P$7)</f>
        <v>9</v>
      </c>
      <c r="O63" s="73">
        <f>_xlfn.DAYS(M63,RESUMEN!$P$7)</f>
        <v>59</v>
      </c>
      <c r="P63" s="127">
        <v>21121205</v>
      </c>
      <c r="Q63" s="73" t="str">
        <f>LOOKUP(P63,FORMULAS!$A:$A,FORMULAS!$B:$B)</f>
        <v>Cerdos Fase 2.5</v>
      </c>
      <c r="R63" s="78"/>
      <c r="S63" s="73">
        <v>-1500</v>
      </c>
      <c r="T63" s="73"/>
      <c r="U63" s="73"/>
      <c r="V63" s="73"/>
      <c r="W63" s="73"/>
      <c r="X63" s="73"/>
      <c r="Y63" s="73"/>
      <c r="Z63" s="73" t="e">
        <f>WEEKNUM(Y63-RESUMEN!$AB$7)</f>
        <v>#NUM!</v>
      </c>
      <c r="AA63" s="73">
        <f>_xlfn.DAYS(Y63,RESUMEN!$AB$7)</f>
        <v>-43247</v>
      </c>
      <c r="AB63" s="73"/>
      <c r="AC63" s="73" t="e">
        <f>LOOKUP(AB63,FORMULAS!$A:$A,FORMULAS!$B:$B)</f>
        <v>#N/A</v>
      </c>
      <c r="AD63" s="78"/>
      <c r="AE63" s="73"/>
      <c r="AF63" s="73"/>
      <c r="AG63" s="73"/>
      <c r="AH63" s="73"/>
      <c r="AI63" s="73"/>
      <c r="AJ63" s="73"/>
      <c r="AK63" s="115">
        <v>43309</v>
      </c>
      <c r="AL63" s="73">
        <f>WEEKNUM(AK63-RESUMEN!$AN$7)</f>
        <v>8</v>
      </c>
      <c r="AM63" s="73">
        <f>_xlfn.DAYS(AK63,RESUMEN!$AN$7)</f>
        <v>55</v>
      </c>
      <c r="AN63" s="135">
        <v>21121205</v>
      </c>
      <c r="AO63" s="73" t="str">
        <f>LOOKUP(AN63,FORMULAS!$A:$A,FORMULAS!$B:$B)</f>
        <v>Cerdos Fase 2.5</v>
      </c>
      <c r="AP63" s="78"/>
      <c r="AQ63" s="78">
        <v>-500</v>
      </c>
      <c r="AR63" s="73"/>
      <c r="AS63" s="73"/>
      <c r="AT63" s="73"/>
      <c r="AU63" s="73"/>
      <c r="AV63" s="73"/>
      <c r="AW63" s="73"/>
      <c r="AX63" s="73" t="e">
        <f>WEEKNUM(AW63-RESUMEN!$AZ$7)</f>
        <v>#NUM!</v>
      </c>
      <c r="AY63" s="73">
        <f>_xlfn.DAYS(AW63,RESUMEN!$AZ$7)</f>
        <v>-43261</v>
      </c>
      <c r="AZ63" s="73"/>
      <c r="BA63" s="73" t="e">
        <f>LOOKUP(AZ63,FORMULAS!$A:$A,FORMULAS!$B:$B)</f>
        <v>#N/A</v>
      </c>
      <c r="BB63" s="78"/>
      <c r="BC63" s="73"/>
      <c r="BD63" s="73"/>
      <c r="BE63" s="73"/>
      <c r="BF63" s="73"/>
      <c r="BG63" s="73"/>
      <c r="BH63" s="73"/>
      <c r="BI63" s="73"/>
      <c r="BJ63" s="73" t="e">
        <f>WEEKNUM(BI63-RESUMEN!$BL$7)</f>
        <v>#NUM!</v>
      </c>
      <c r="BK63" s="73">
        <f>_xlfn.DAYS(BI63,RESUMEN!$BL$7)</f>
        <v>-43267</v>
      </c>
      <c r="BL63" s="73"/>
      <c r="BM63" s="73" t="e">
        <f>LOOKUP(BL63,FORMULAS!$A:$A,FORMULAS!$B:$B)</f>
        <v>#N/A</v>
      </c>
      <c r="BN63" s="78"/>
      <c r="BO63" s="73"/>
      <c r="BP63" s="73"/>
      <c r="BQ63" s="73"/>
      <c r="BR63" s="73"/>
      <c r="BS63" s="73"/>
      <c r="BT63" s="73"/>
    </row>
    <row r="64" spans="1:72" x14ac:dyDescent="0.25">
      <c r="A64" s="122">
        <v>43293</v>
      </c>
      <c r="B64" s="74">
        <f>WEEKNUM(A64-RESUMEN!$D$7)</f>
        <v>8</v>
      </c>
      <c r="C64" s="74">
        <f>_xlfn.DAYS(A64,RESUMEN!$D$7)</f>
        <v>55</v>
      </c>
      <c r="D64" s="127">
        <v>21121205</v>
      </c>
      <c r="E64" s="73" t="str">
        <f>LOOKUP(D64,FORMULAS!$A:$A,FORMULAS!$B:$B)</f>
        <v>Cerdos Fase 2.5</v>
      </c>
      <c r="F64" s="80"/>
      <c r="G64" s="75">
        <v>-1520</v>
      </c>
      <c r="H64" s="75"/>
      <c r="I64" s="73"/>
      <c r="J64" s="73"/>
      <c r="K64" s="73"/>
      <c r="L64" s="73"/>
      <c r="M64" s="115">
        <v>43302</v>
      </c>
      <c r="N64" s="73">
        <f>WEEKNUM(M64-RESUMEN!$P$7)</f>
        <v>9</v>
      </c>
      <c r="O64" s="73">
        <f>_xlfn.DAYS(M64,RESUMEN!$P$7)</f>
        <v>60</v>
      </c>
      <c r="P64" s="127">
        <v>21121205</v>
      </c>
      <c r="Q64" s="73" t="str">
        <f>LOOKUP(P64,FORMULAS!$A:$A,FORMULAS!$B:$B)</f>
        <v>Cerdos Fase 2.5</v>
      </c>
      <c r="R64" s="78"/>
      <c r="S64" s="73">
        <v>-500</v>
      </c>
      <c r="T64" s="73"/>
      <c r="U64" s="73"/>
      <c r="V64" s="73"/>
      <c r="W64" s="73"/>
      <c r="X64" s="73"/>
      <c r="Y64" s="73"/>
      <c r="Z64" s="73" t="e">
        <f>WEEKNUM(Y64-RESUMEN!$AB$7)</f>
        <v>#NUM!</v>
      </c>
      <c r="AA64" s="73">
        <f>_xlfn.DAYS(Y64,RESUMEN!$AB$7)</f>
        <v>-43247</v>
      </c>
      <c r="AB64" s="73"/>
      <c r="AC64" s="73" t="e">
        <f>LOOKUP(AB64,FORMULAS!$A:$A,FORMULAS!$B:$B)</f>
        <v>#N/A</v>
      </c>
      <c r="AD64" s="78"/>
      <c r="AE64" s="73"/>
      <c r="AF64" s="73"/>
      <c r="AG64" s="73"/>
      <c r="AH64" s="73"/>
      <c r="AI64" s="73"/>
      <c r="AJ64" s="73"/>
      <c r="AK64" s="115">
        <v>43310</v>
      </c>
      <c r="AL64" s="73">
        <f>WEEKNUM(AK64-RESUMEN!$AN$7)</f>
        <v>8</v>
      </c>
      <c r="AM64" s="73">
        <f>_xlfn.DAYS(AK64,RESUMEN!$AN$7)</f>
        <v>56</v>
      </c>
      <c r="AN64" s="135">
        <v>21121205</v>
      </c>
      <c r="AO64" s="73" t="str">
        <f>LOOKUP(AN64,FORMULAS!$A:$A,FORMULAS!$B:$B)</f>
        <v>Cerdos Fase 2.5</v>
      </c>
      <c r="AP64" s="78"/>
      <c r="AQ64" s="78">
        <v>-1000</v>
      </c>
      <c r="AR64" s="73"/>
      <c r="AS64" s="73"/>
      <c r="AT64" s="73"/>
      <c r="AU64" s="73"/>
      <c r="AV64" s="73"/>
      <c r="AW64" s="73"/>
      <c r="AX64" s="73" t="e">
        <f>WEEKNUM(AW64-RESUMEN!$AZ$7)</f>
        <v>#NUM!</v>
      </c>
      <c r="AY64" s="73">
        <f>_xlfn.DAYS(AW64,RESUMEN!$AZ$7)</f>
        <v>-43261</v>
      </c>
      <c r="AZ64" s="73"/>
      <c r="BA64" s="73" t="e">
        <f>LOOKUP(AZ64,FORMULAS!$A:$A,FORMULAS!$B:$B)</f>
        <v>#N/A</v>
      </c>
      <c r="BB64" s="78"/>
      <c r="BC64" s="73"/>
      <c r="BD64" s="73"/>
      <c r="BE64" s="73"/>
      <c r="BF64" s="73"/>
      <c r="BG64" s="73"/>
      <c r="BH64" s="73"/>
      <c r="BI64" s="73"/>
      <c r="BJ64" s="73" t="e">
        <f>WEEKNUM(BI64-RESUMEN!$BL$7)</f>
        <v>#NUM!</v>
      </c>
      <c r="BK64" s="73">
        <f>_xlfn.DAYS(BI64,RESUMEN!$BL$7)</f>
        <v>-43267</v>
      </c>
      <c r="BL64" s="73"/>
      <c r="BM64" s="73" t="e">
        <f>LOOKUP(BL64,FORMULAS!$A:$A,FORMULAS!$B:$B)</f>
        <v>#N/A</v>
      </c>
      <c r="BN64" s="78"/>
      <c r="BO64" s="73"/>
      <c r="BP64" s="73"/>
      <c r="BQ64" s="73"/>
      <c r="BR64" s="73"/>
      <c r="BS64" s="73"/>
      <c r="BT64" s="73"/>
    </row>
    <row r="65" spans="1:72" x14ac:dyDescent="0.25">
      <c r="A65" s="122">
        <v>43294</v>
      </c>
      <c r="B65" s="74">
        <f>WEEKNUM(A65-RESUMEN!$D$7)</f>
        <v>8</v>
      </c>
      <c r="C65" s="74">
        <f>_xlfn.DAYS(A65,RESUMEN!$D$7)</f>
        <v>56</v>
      </c>
      <c r="D65" s="127">
        <v>21121205</v>
      </c>
      <c r="E65" s="73" t="str">
        <f>LOOKUP(D65,FORMULAS!$A:$A,FORMULAS!$B:$B)</f>
        <v>Cerdos Fase 2.5</v>
      </c>
      <c r="F65" s="80"/>
      <c r="G65" s="75">
        <v>-1000</v>
      </c>
      <c r="H65" s="75"/>
      <c r="I65" s="73"/>
      <c r="J65" s="73"/>
      <c r="K65" s="73"/>
      <c r="L65" s="73"/>
      <c r="M65" s="115">
        <v>43303</v>
      </c>
      <c r="N65" s="73">
        <f>WEEKNUM(M65-RESUMEN!$P$7)</f>
        <v>9</v>
      </c>
      <c r="O65" s="73">
        <f>_xlfn.DAYS(M65,RESUMEN!$P$7)</f>
        <v>61</v>
      </c>
      <c r="P65" s="127">
        <v>21121205</v>
      </c>
      <c r="Q65" s="73" t="str">
        <f>LOOKUP(P65,FORMULAS!$A:$A,FORMULAS!$B:$B)</f>
        <v>Cerdos Fase 2.5</v>
      </c>
      <c r="R65" s="78"/>
      <c r="S65" s="73">
        <v>-500</v>
      </c>
      <c r="T65" s="73"/>
      <c r="U65" s="73"/>
      <c r="V65" s="73"/>
      <c r="W65" s="73"/>
      <c r="X65" s="73"/>
      <c r="Y65" s="73"/>
      <c r="Z65" s="73" t="e">
        <f>WEEKNUM(Y65-RESUMEN!$AB$7)</f>
        <v>#NUM!</v>
      </c>
      <c r="AA65" s="73">
        <f>_xlfn.DAYS(Y65,RESUMEN!$AB$7)</f>
        <v>-43247</v>
      </c>
      <c r="AB65" s="73"/>
      <c r="AC65" s="73" t="e">
        <f>LOOKUP(AB65,FORMULAS!$A:$A,FORMULAS!$B:$B)</f>
        <v>#N/A</v>
      </c>
      <c r="AD65" s="78"/>
      <c r="AE65" s="73"/>
      <c r="AF65" s="73"/>
      <c r="AG65" s="73"/>
      <c r="AH65" s="73"/>
      <c r="AI65" s="73"/>
      <c r="AJ65" s="73"/>
      <c r="AK65" s="115">
        <v>43311</v>
      </c>
      <c r="AL65" s="73">
        <f>WEEKNUM(AK65-RESUMEN!$AN$7)</f>
        <v>9</v>
      </c>
      <c r="AM65" s="73">
        <f>_xlfn.DAYS(AK65,RESUMEN!$AN$7)</f>
        <v>57</v>
      </c>
      <c r="AN65" s="135">
        <v>21121205</v>
      </c>
      <c r="AO65" s="73" t="str">
        <f>LOOKUP(AN65,FORMULAS!$A:$A,FORMULAS!$B:$B)</f>
        <v>Cerdos Fase 2.5</v>
      </c>
      <c r="AP65" s="78"/>
      <c r="AQ65" s="78">
        <v>-500</v>
      </c>
      <c r="AR65" s="73"/>
      <c r="AS65" s="73"/>
      <c r="AT65" s="73"/>
      <c r="AU65" s="73"/>
      <c r="AV65" s="73"/>
      <c r="AW65" s="73"/>
      <c r="AX65" s="73" t="e">
        <f>WEEKNUM(AW65-RESUMEN!$AZ$7)</f>
        <v>#NUM!</v>
      </c>
      <c r="AY65" s="73">
        <f>_xlfn.DAYS(AW65,RESUMEN!$AZ$7)</f>
        <v>-43261</v>
      </c>
      <c r="AZ65" s="73"/>
      <c r="BA65" s="73" t="e">
        <f>LOOKUP(AZ65,FORMULAS!$A:$A,FORMULAS!$B:$B)</f>
        <v>#N/A</v>
      </c>
      <c r="BB65" s="78"/>
      <c r="BC65" s="73"/>
      <c r="BD65" s="73"/>
      <c r="BE65" s="73"/>
      <c r="BF65" s="73"/>
      <c r="BG65" s="73"/>
      <c r="BH65" s="73"/>
      <c r="BI65" s="73"/>
      <c r="BJ65" s="73" t="e">
        <f>WEEKNUM(BI65-RESUMEN!$BL$7)</f>
        <v>#NUM!</v>
      </c>
      <c r="BK65" s="73">
        <f>_xlfn.DAYS(BI65,RESUMEN!$BL$7)</f>
        <v>-43267</v>
      </c>
      <c r="BL65" s="73"/>
      <c r="BM65" s="73" t="e">
        <f>LOOKUP(BL65,FORMULAS!$A:$A,FORMULAS!$B:$B)</f>
        <v>#N/A</v>
      </c>
      <c r="BN65" s="78"/>
      <c r="BO65" s="73"/>
      <c r="BP65" s="73"/>
      <c r="BQ65" s="73"/>
      <c r="BR65" s="73"/>
      <c r="BS65" s="73"/>
      <c r="BT65" s="73"/>
    </row>
    <row r="66" spans="1:72" x14ac:dyDescent="0.25">
      <c r="A66" s="122">
        <v>43297</v>
      </c>
      <c r="B66" s="74">
        <f>WEEKNUM(A66-RESUMEN!$D$7)</f>
        <v>9</v>
      </c>
      <c r="C66" s="74">
        <f>_xlfn.DAYS(A66,RESUMEN!$D$7)</f>
        <v>59</v>
      </c>
      <c r="D66" s="127">
        <v>21121205</v>
      </c>
      <c r="E66" s="73" t="str">
        <f>LOOKUP(D66,FORMULAS!$A:$A,FORMULAS!$B:$B)</f>
        <v>Cerdos Fase 2.5</v>
      </c>
      <c r="F66" s="80"/>
      <c r="G66" s="75">
        <v>-500</v>
      </c>
      <c r="H66" s="75"/>
      <c r="I66" s="73"/>
      <c r="J66" s="73"/>
      <c r="K66" s="73"/>
      <c r="L66" s="73"/>
      <c r="M66" s="115">
        <v>43305</v>
      </c>
      <c r="N66" s="73">
        <f>WEEKNUM(M66-RESUMEN!$P$7)</f>
        <v>9</v>
      </c>
      <c r="O66" s="73">
        <f>_xlfn.DAYS(M66,RESUMEN!$P$7)</f>
        <v>63</v>
      </c>
      <c r="P66" s="127">
        <v>21121205</v>
      </c>
      <c r="Q66" s="73" t="str">
        <f>LOOKUP(P66,FORMULAS!$A:$A,FORMULAS!$B:$B)</f>
        <v>Cerdos Fase 2.5</v>
      </c>
      <c r="R66" s="78"/>
      <c r="S66" s="73">
        <v>-1000</v>
      </c>
      <c r="T66" s="73"/>
      <c r="U66" s="73"/>
      <c r="V66" s="73"/>
      <c r="W66" s="73"/>
      <c r="X66" s="73"/>
      <c r="Y66" s="73"/>
      <c r="Z66" s="73" t="e">
        <f>WEEKNUM(Y66-RESUMEN!$AB$7)</f>
        <v>#NUM!</v>
      </c>
      <c r="AA66" s="73">
        <f>_xlfn.DAYS(Y66,RESUMEN!$AB$7)</f>
        <v>-43247</v>
      </c>
      <c r="AB66" s="73"/>
      <c r="AC66" s="73" t="e">
        <f>LOOKUP(AB66,FORMULAS!$A:$A,FORMULAS!$B:$B)</f>
        <v>#N/A</v>
      </c>
      <c r="AD66" s="78"/>
      <c r="AE66" s="73"/>
      <c r="AF66" s="73"/>
      <c r="AG66" s="73"/>
      <c r="AH66" s="73"/>
      <c r="AI66" s="73"/>
      <c r="AJ66" s="73"/>
      <c r="AK66" s="115">
        <v>43312</v>
      </c>
      <c r="AL66" s="73">
        <f>WEEKNUM(AK66-RESUMEN!$AN$7)</f>
        <v>9</v>
      </c>
      <c r="AM66" s="73">
        <f>_xlfn.DAYS(AK66,RESUMEN!$AN$7)</f>
        <v>58</v>
      </c>
      <c r="AN66" s="135">
        <v>21121205</v>
      </c>
      <c r="AO66" s="73" t="str">
        <f>LOOKUP(AN66,FORMULAS!$A:$A,FORMULAS!$B:$B)</f>
        <v>Cerdos Fase 2.5</v>
      </c>
      <c r="AP66" s="78"/>
      <c r="AQ66" s="78">
        <v>-500</v>
      </c>
      <c r="AR66" s="73"/>
      <c r="AS66" s="73"/>
      <c r="AT66" s="73"/>
      <c r="AU66" s="73"/>
      <c r="AV66" s="73"/>
      <c r="AW66" s="73"/>
      <c r="AX66" s="73" t="e">
        <f>WEEKNUM(AW66-RESUMEN!$AZ$7)</f>
        <v>#NUM!</v>
      </c>
      <c r="AY66" s="73">
        <f>_xlfn.DAYS(AW66,RESUMEN!$AZ$7)</f>
        <v>-43261</v>
      </c>
      <c r="AZ66" s="73"/>
      <c r="BA66" s="73" t="e">
        <f>LOOKUP(AZ66,FORMULAS!$A:$A,FORMULAS!$B:$B)</f>
        <v>#N/A</v>
      </c>
      <c r="BB66" s="78"/>
      <c r="BC66" s="73"/>
      <c r="BD66" s="73"/>
      <c r="BE66" s="73"/>
      <c r="BF66" s="73"/>
      <c r="BG66" s="73"/>
      <c r="BH66" s="73"/>
      <c r="BI66" s="73"/>
      <c r="BJ66" s="73" t="e">
        <f>WEEKNUM(BI66-RESUMEN!$BL$7)</f>
        <v>#NUM!</v>
      </c>
      <c r="BK66" s="73">
        <f>_xlfn.DAYS(BI66,RESUMEN!$BL$7)</f>
        <v>-43267</v>
      </c>
      <c r="BL66" s="73"/>
      <c r="BM66" s="73" t="e">
        <f>LOOKUP(BL66,FORMULAS!$A:$A,FORMULAS!$B:$B)</f>
        <v>#N/A</v>
      </c>
      <c r="BN66" s="78"/>
      <c r="BO66" s="73"/>
      <c r="BP66" s="73"/>
      <c r="BQ66" s="73"/>
      <c r="BR66" s="73"/>
      <c r="BS66" s="73"/>
      <c r="BT66" s="73"/>
    </row>
    <row r="67" spans="1:72" x14ac:dyDescent="0.25">
      <c r="A67" s="122">
        <v>43298</v>
      </c>
      <c r="B67" s="74">
        <f>WEEKNUM(A67-RESUMEN!$D$7)</f>
        <v>9</v>
      </c>
      <c r="C67" s="74">
        <f>_xlfn.DAYS(A67,RESUMEN!$D$7)</f>
        <v>60</v>
      </c>
      <c r="D67" s="127">
        <v>21121205</v>
      </c>
      <c r="E67" s="73" t="str">
        <f>LOOKUP(D67,FORMULAS!$A:$A,FORMULAS!$B:$B)</f>
        <v>Cerdos Fase 2.5</v>
      </c>
      <c r="F67" s="80"/>
      <c r="G67" s="75">
        <v>-500</v>
      </c>
      <c r="H67" s="75"/>
      <c r="I67" s="73"/>
      <c r="J67" s="73"/>
      <c r="K67" s="73"/>
      <c r="L67" s="73"/>
      <c r="M67" s="115">
        <v>43306</v>
      </c>
      <c r="N67" s="73">
        <f>WEEKNUM(M67-RESUMEN!$P$7)</f>
        <v>10</v>
      </c>
      <c r="O67" s="73">
        <f>_xlfn.DAYS(M67,RESUMEN!$P$7)</f>
        <v>64</v>
      </c>
      <c r="P67" s="127">
        <v>21121205</v>
      </c>
      <c r="Q67" s="73" t="str">
        <f>LOOKUP(P67,FORMULAS!$A:$A,FORMULAS!$B:$B)</f>
        <v>Cerdos Fase 2.5</v>
      </c>
      <c r="R67" s="78"/>
      <c r="S67" s="73">
        <v>-500</v>
      </c>
      <c r="T67" s="73"/>
      <c r="U67" s="73"/>
      <c r="V67" s="73"/>
      <c r="W67" s="73"/>
      <c r="X67" s="73"/>
      <c r="Y67" s="73"/>
      <c r="Z67" s="73" t="e">
        <f>WEEKNUM(Y67-RESUMEN!$AB$7)</f>
        <v>#NUM!</v>
      </c>
      <c r="AA67" s="73">
        <f>_xlfn.DAYS(Y67,RESUMEN!$AB$7)</f>
        <v>-43247</v>
      </c>
      <c r="AB67" s="73"/>
      <c r="AC67" s="73" t="e">
        <f>LOOKUP(AB67,FORMULAS!$A:$A,FORMULAS!$B:$B)</f>
        <v>#N/A</v>
      </c>
      <c r="AD67" s="78"/>
      <c r="AE67" s="73"/>
      <c r="AF67" s="73"/>
      <c r="AG67" s="73"/>
      <c r="AH67" s="73"/>
      <c r="AI67" s="73"/>
      <c r="AJ67" s="73"/>
      <c r="AK67" s="115">
        <v>43313</v>
      </c>
      <c r="AL67" s="73">
        <f>WEEKNUM(AK67-RESUMEN!$AN$7)</f>
        <v>9</v>
      </c>
      <c r="AM67" s="73">
        <f>_xlfn.DAYS(AK67,RESUMEN!$AN$7)</f>
        <v>59</v>
      </c>
      <c r="AN67" s="135">
        <v>21121205</v>
      </c>
      <c r="AO67" s="73" t="str">
        <f>LOOKUP(AN67,FORMULAS!$A:$A,FORMULAS!$B:$B)</f>
        <v>Cerdos Fase 2.5</v>
      </c>
      <c r="AP67" s="78"/>
      <c r="AQ67" s="78">
        <v>-1000</v>
      </c>
      <c r="AR67" s="73"/>
      <c r="AS67" s="73"/>
      <c r="AT67" s="73"/>
      <c r="AU67" s="73"/>
      <c r="AV67" s="73"/>
      <c r="AW67" s="73"/>
      <c r="AX67" s="73" t="e">
        <f>WEEKNUM(AW67-RESUMEN!$AZ$7)</f>
        <v>#NUM!</v>
      </c>
      <c r="AY67" s="73">
        <f>_xlfn.DAYS(AW67,RESUMEN!$AZ$7)</f>
        <v>-43261</v>
      </c>
      <c r="AZ67" s="73"/>
      <c r="BA67" s="73" t="e">
        <f>LOOKUP(AZ67,FORMULAS!$A:$A,FORMULAS!$B:$B)</f>
        <v>#N/A</v>
      </c>
      <c r="BB67" s="78"/>
      <c r="BC67" s="73"/>
      <c r="BD67" s="73"/>
      <c r="BE67" s="73"/>
      <c r="BF67" s="73"/>
      <c r="BG67" s="73"/>
      <c r="BH67" s="73"/>
      <c r="BI67" s="73"/>
      <c r="BJ67" s="73" t="e">
        <f>WEEKNUM(BI67-RESUMEN!$BL$7)</f>
        <v>#NUM!</v>
      </c>
      <c r="BK67" s="73">
        <f>_xlfn.DAYS(BI67,RESUMEN!$BL$7)</f>
        <v>-43267</v>
      </c>
      <c r="BL67" s="73"/>
      <c r="BM67" s="73" t="e">
        <f>LOOKUP(BL67,FORMULAS!$A:$A,FORMULAS!$B:$B)</f>
        <v>#N/A</v>
      </c>
      <c r="BN67" s="78"/>
      <c r="BO67" s="73"/>
      <c r="BP67" s="73"/>
      <c r="BQ67" s="73"/>
      <c r="BR67" s="73"/>
      <c r="BS67" s="73"/>
      <c r="BT67" s="73"/>
    </row>
    <row r="68" spans="1:72" x14ac:dyDescent="0.25">
      <c r="A68" s="122">
        <v>43299</v>
      </c>
      <c r="B68" s="74">
        <f>WEEKNUM(A68-RESUMEN!$D$7)</f>
        <v>9</v>
      </c>
      <c r="C68" s="74">
        <f>_xlfn.DAYS(A68,RESUMEN!$D$7)</f>
        <v>61</v>
      </c>
      <c r="D68" s="127">
        <v>21121205</v>
      </c>
      <c r="E68" s="73" t="str">
        <f>LOOKUP(D68,FORMULAS!$A:$A,FORMULAS!$B:$B)</f>
        <v>Cerdos Fase 2.5</v>
      </c>
      <c r="F68" s="80"/>
      <c r="G68" s="75">
        <v>-500</v>
      </c>
      <c r="H68" s="75"/>
      <c r="I68" s="73"/>
      <c r="J68" s="73"/>
      <c r="K68" s="73"/>
      <c r="L68" s="73"/>
      <c r="M68" s="115">
        <v>43307</v>
      </c>
      <c r="N68" s="73">
        <f>WEEKNUM(M68-RESUMEN!$P$7)</f>
        <v>10</v>
      </c>
      <c r="O68" s="73">
        <f>_xlfn.DAYS(M68,RESUMEN!$P$7)</f>
        <v>65</v>
      </c>
      <c r="P68" s="127">
        <v>21121205</v>
      </c>
      <c r="Q68" s="73" t="str">
        <f>LOOKUP(P68,FORMULAS!$A:$A,FORMULAS!$B:$B)</f>
        <v>Cerdos Fase 2.5</v>
      </c>
      <c r="R68" s="78"/>
      <c r="S68" s="73">
        <v>-1000</v>
      </c>
      <c r="T68" s="73"/>
      <c r="U68" s="73"/>
      <c r="V68" s="73"/>
      <c r="W68" s="73"/>
      <c r="X68" s="73"/>
      <c r="Y68" s="73"/>
      <c r="Z68" s="73" t="e">
        <f>WEEKNUM(Y68-RESUMEN!$AB$7)</f>
        <v>#NUM!</v>
      </c>
      <c r="AA68" s="73">
        <f>_xlfn.DAYS(Y68,RESUMEN!$AB$7)</f>
        <v>-43247</v>
      </c>
      <c r="AB68" s="73"/>
      <c r="AC68" s="73" t="e">
        <f>LOOKUP(AB68,FORMULAS!$A:$A,FORMULAS!$B:$B)</f>
        <v>#N/A</v>
      </c>
      <c r="AD68" s="78"/>
      <c r="AE68" s="73"/>
      <c r="AF68" s="73"/>
      <c r="AG68" s="73"/>
      <c r="AH68" s="73"/>
      <c r="AI68" s="73"/>
      <c r="AJ68" s="73"/>
      <c r="AK68" s="73"/>
      <c r="AL68" s="73" t="e">
        <f>WEEKNUM(AK68-RESUMEN!$AN$7)</f>
        <v>#NUM!</v>
      </c>
      <c r="AM68" s="73">
        <f>_xlfn.DAYS(AK68,RESUMEN!$AN$7)</f>
        <v>-43254</v>
      </c>
      <c r="AN68" s="73"/>
      <c r="AO68" s="73" t="e">
        <f>LOOKUP(AN68,FORMULAS!$A:$A,FORMULAS!$B:$B)</f>
        <v>#N/A</v>
      </c>
      <c r="AP68" s="78"/>
      <c r="AQ68" s="78"/>
      <c r="AR68" s="73"/>
      <c r="AS68" s="73"/>
      <c r="AT68" s="73"/>
      <c r="AU68" s="73"/>
      <c r="AV68" s="73"/>
      <c r="AW68" s="73"/>
      <c r="AX68" s="73" t="e">
        <f>WEEKNUM(AW68-RESUMEN!$AZ$7)</f>
        <v>#NUM!</v>
      </c>
      <c r="AY68" s="73">
        <f>_xlfn.DAYS(AW68,RESUMEN!$AZ$7)</f>
        <v>-43261</v>
      </c>
      <c r="AZ68" s="73"/>
      <c r="BA68" s="73" t="e">
        <f>LOOKUP(AZ68,FORMULAS!$A:$A,FORMULAS!$B:$B)</f>
        <v>#N/A</v>
      </c>
      <c r="BB68" s="78"/>
      <c r="BC68" s="73"/>
      <c r="BD68" s="73"/>
      <c r="BE68" s="73"/>
      <c r="BF68" s="73"/>
      <c r="BG68" s="73"/>
      <c r="BH68" s="73"/>
      <c r="BI68" s="73"/>
      <c r="BJ68" s="73" t="e">
        <f>WEEKNUM(BI68-RESUMEN!$BL$7)</f>
        <v>#NUM!</v>
      </c>
      <c r="BK68" s="73">
        <f>_xlfn.DAYS(BI68,RESUMEN!$BL$7)</f>
        <v>-43267</v>
      </c>
      <c r="BL68" s="73"/>
      <c r="BM68" s="73" t="e">
        <f>LOOKUP(BL68,FORMULAS!$A:$A,FORMULAS!$B:$B)</f>
        <v>#N/A</v>
      </c>
      <c r="BN68" s="78"/>
      <c r="BO68" s="73"/>
      <c r="BP68" s="73"/>
      <c r="BQ68" s="73"/>
      <c r="BR68" s="73"/>
      <c r="BS68" s="73"/>
      <c r="BT68" s="73"/>
    </row>
    <row r="69" spans="1:72" x14ac:dyDescent="0.25">
      <c r="A69" s="122">
        <v>43300</v>
      </c>
      <c r="B69" s="74">
        <f>WEEKNUM(A69-RESUMEN!$D$7)</f>
        <v>9</v>
      </c>
      <c r="C69" s="74">
        <f>_xlfn.DAYS(A69,RESUMEN!$D$7)</f>
        <v>62</v>
      </c>
      <c r="D69" s="127">
        <v>21121205</v>
      </c>
      <c r="E69" s="73" t="str">
        <f>LOOKUP(D69,FORMULAS!$A:$A,FORMULAS!$B:$B)</f>
        <v>Cerdos Fase 2.5</v>
      </c>
      <c r="F69" s="80"/>
      <c r="G69" s="75">
        <v>-2000</v>
      </c>
      <c r="H69" s="75"/>
      <c r="I69" s="73"/>
      <c r="J69" s="73"/>
      <c r="K69" s="73"/>
      <c r="L69" s="73"/>
      <c r="M69" s="115">
        <v>43308</v>
      </c>
      <c r="N69" s="73">
        <f>WEEKNUM(M69-RESUMEN!$P$7)</f>
        <v>10</v>
      </c>
      <c r="O69" s="73">
        <f>_xlfn.DAYS(M69,RESUMEN!$P$7)</f>
        <v>66</v>
      </c>
      <c r="P69" s="127">
        <v>21121205</v>
      </c>
      <c r="Q69" s="73" t="str">
        <f>LOOKUP(P69,FORMULAS!$A:$A,FORMULAS!$B:$B)</f>
        <v>Cerdos Fase 2.5</v>
      </c>
      <c r="R69" s="78"/>
      <c r="S69" s="73">
        <v>-500</v>
      </c>
      <c r="T69" s="73"/>
      <c r="U69" s="73"/>
      <c r="V69" s="73"/>
      <c r="W69" s="73"/>
      <c r="X69" s="73"/>
      <c r="Y69" s="73"/>
      <c r="Z69" s="73" t="e">
        <f>WEEKNUM(Y69-RESUMEN!$AB$7)</f>
        <v>#NUM!</v>
      </c>
      <c r="AA69" s="73">
        <f>_xlfn.DAYS(Y69,RESUMEN!$AB$7)</f>
        <v>-43247</v>
      </c>
      <c r="AB69" s="73"/>
      <c r="AC69" s="73" t="e">
        <f>LOOKUP(AB69,FORMULAS!$A:$A,FORMULAS!$B:$B)</f>
        <v>#N/A</v>
      </c>
      <c r="AD69" s="78"/>
      <c r="AE69" s="73"/>
      <c r="AF69" s="73"/>
      <c r="AG69" s="73"/>
      <c r="AH69" s="73"/>
      <c r="AI69" s="73"/>
      <c r="AJ69" s="73"/>
      <c r="AK69" s="73"/>
      <c r="AL69" s="73" t="e">
        <f>WEEKNUM(AK69-RESUMEN!$AN$7)</f>
        <v>#NUM!</v>
      </c>
      <c r="AM69" s="73">
        <f>_xlfn.DAYS(AK69,RESUMEN!$AN$7)</f>
        <v>-43254</v>
      </c>
      <c r="AN69" s="73"/>
      <c r="AO69" s="73" t="e">
        <f>LOOKUP(AN69,FORMULAS!$A:$A,FORMULAS!$B:$B)</f>
        <v>#N/A</v>
      </c>
      <c r="AP69" s="78"/>
      <c r="AQ69" s="78"/>
      <c r="AR69" s="73"/>
      <c r="AS69" s="73"/>
      <c r="AT69" s="73"/>
      <c r="AU69" s="73"/>
      <c r="AV69" s="73"/>
      <c r="AW69" s="73"/>
      <c r="AX69" s="73" t="e">
        <f>WEEKNUM(AW69-RESUMEN!$AZ$7)</f>
        <v>#NUM!</v>
      </c>
      <c r="AY69" s="73">
        <f>_xlfn.DAYS(AW69,RESUMEN!$AZ$7)</f>
        <v>-43261</v>
      </c>
      <c r="AZ69" s="73"/>
      <c r="BA69" s="73" t="e">
        <f>LOOKUP(AZ69,FORMULAS!$A:$A,FORMULAS!$B:$B)</f>
        <v>#N/A</v>
      </c>
      <c r="BB69" s="78"/>
      <c r="BC69" s="73"/>
      <c r="BD69" s="73"/>
      <c r="BE69" s="73"/>
      <c r="BF69" s="73"/>
      <c r="BG69" s="73"/>
      <c r="BH69" s="73"/>
      <c r="BI69" s="73"/>
      <c r="BJ69" s="73" t="e">
        <f>WEEKNUM(BI69-RESUMEN!$BL$7)</f>
        <v>#NUM!</v>
      </c>
      <c r="BK69" s="73">
        <f>_xlfn.DAYS(BI69,RESUMEN!$BL$7)</f>
        <v>-43267</v>
      </c>
      <c r="BL69" s="73"/>
      <c r="BM69" s="73" t="e">
        <f>LOOKUP(BL69,FORMULAS!$A:$A,FORMULAS!$B:$B)</f>
        <v>#N/A</v>
      </c>
      <c r="BN69" s="78"/>
      <c r="BO69" s="73"/>
      <c r="BP69" s="73"/>
      <c r="BQ69" s="73"/>
      <c r="BR69" s="73"/>
      <c r="BS69" s="73"/>
      <c r="BT69" s="73"/>
    </row>
    <row r="70" spans="1:72" x14ac:dyDescent="0.25">
      <c r="A70" s="122">
        <v>43301</v>
      </c>
      <c r="B70" s="74">
        <f>WEEKNUM(A70-RESUMEN!$D$7)</f>
        <v>9</v>
      </c>
      <c r="C70" s="74">
        <f>_xlfn.DAYS(A70,RESUMEN!$D$7)</f>
        <v>63</v>
      </c>
      <c r="D70" s="127">
        <v>21121205</v>
      </c>
      <c r="E70" s="73" t="str">
        <f>LOOKUP(D70,FORMULAS!$A:$A,FORMULAS!$B:$B)</f>
        <v>Cerdos Fase 2.5</v>
      </c>
      <c r="F70" s="80"/>
      <c r="G70" s="75">
        <v>-500</v>
      </c>
      <c r="H70" s="75"/>
      <c r="I70" s="73"/>
      <c r="J70" s="73"/>
      <c r="K70" s="73"/>
      <c r="L70" s="73"/>
      <c r="M70" s="115">
        <v>43309</v>
      </c>
      <c r="N70" s="73">
        <f>WEEKNUM(M70-RESUMEN!$P$7)</f>
        <v>10</v>
      </c>
      <c r="O70" s="73">
        <f>_xlfn.DAYS(M70,RESUMEN!$P$7)</f>
        <v>67</v>
      </c>
      <c r="P70" s="127">
        <v>21121205</v>
      </c>
      <c r="Q70" s="73" t="str">
        <f>LOOKUP(P70,FORMULAS!$A:$A,FORMULAS!$B:$B)</f>
        <v>Cerdos Fase 2.5</v>
      </c>
      <c r="R70" s="78"/>
      <c r="S70" s="73">
        <v>-500</v>
      </c>
      <c r="T70" s="73"/>
      <c r="U70" s="73"/>
      <c r="V70" s="73"/>
      <c r="W70" s="73"/>
      <c r="X70" s="73"/>
      <c r="Y70" s="73"/>
      <c r="Z70" s="73" t="e">
        <f>WEEKNUM(Y70-RESUMEN!$AB$7)</f>
        <v>#NUM!</v>
      </c>
      <c r="AA70" s="73">
        <f>_xlfn.DAYS(Y70,RESUMEN!$AB$7)</f>
        <v>-43247</v>
      </c>
      <c r="AB70" s="73"/>
      <c r="AC70" s="73" t="e">
        <f>LOOKUP(AB70,FORMULAS!$A:$A,FORMULAS!$B:$B)</f>
        <v>#N/A</v>
      </c>
      <c r="AD70" s="78"/>
      <c r="AE70" s="73"/>
      <c r="AF70" s="73"/>
      <c r="AG70" s="73"/>
      <c r="AH70" s="73"/>
      <c r="AI70" s="73"/>
      <c r="AJ70" s="73"/>
      <c r="AK70" s="73"/>
      <c r="AL70" s="73" t="e">
        <f>WEEKNUM(AK70-RESUMEN!$AN$7)</f>
        <v>#NUM!</v>
      </c>
      <c r="AM70" s="73">
        <f>_xlfn.DAYS(AK70,RESUMEN!$AN$7)</f>
        <v>-43254</v>
      </c>
      <c r="AN70" s="73"/>
      <c r="AO70" s="73" t="e">
        <f>LOOKUP(AN70,FORMULAS!$A:$A,FORMULAS!$B:$B)</f>
        <v>#N/A</v>
      </c>
      <c r="AP70" s="78"/>
      <c r="AQ70" s="78"/>
      <c r="AR70" s="73"/>
      <c r="AS70" s="73"/>
      <c r="AT70" s="73"/>
      <c r="AU70" s="73"/>
      <c r="AV70" s="73"/>
      <c r="AW70" s="73"/>
      <c r="AX70" s="73" t="e">
        <f>WEEKNUM(AW70-RESUMEN!$AZ$7)</f>
        <v>#NUM!</v>
      </c>
      <c r="AY70" s="73">
        <f>_xlfn.DAYS(AW70,RESUMEN!$AZ$7)</f>
        <v>-43261</v>
      </c>
      <c r="AZ70" s="73"/>
      <c r="BA70" s="73" t="e">
        <f>LOOKUP(AZ70,FORMULAS!$A:$A,FORMULAS!$B:$B)</f>
        <v>#N/A</v>
      </c>
      <c r="BB70" s="78"/>
      <c r="BC70" s="73"/>
      <c r="BD70" s="73"/>
      <c r="BE70" s="73"/>
      <c r="BF70" s="73"/>
      <c r="BG70" s="73"/>
      <c r="BH70" s="73"/>
      <c r="BI70" s="73"/>
      <c r="BJ70" s="73" t="e">
        <f>WEEKNUM(BI70-RESUMEN!$BL$7)</f>
        <v>#NUM!</v>
      </c>
      <c r="BK70" s="73">
        <f>_xlfn.DAYS(BI70,RESUMEN!$BL$7)</f>
        <v>-43267</v>
      </c>
      <c r="BL70" s="73"/>
      <c r="BM70" s="73" t="e">
        <f>LOOKUP(BL70,FORMULAS!$A:$A,FORMULAS!$B:$B)</f>
        <v>#N/A</v>
      </c>
      <c r="BN70" s="78"/>
      <c r="BO70" s="73"/>
      <c r="BP70" s="73"/>
      <c r="BQ70" s="73"/>
      <c r="BR70" s="73"/>
      <c r="BS70" s="73"/>
      <c r="BT70" s="73"/>
    </row>
    <row r="71" spans="1:72" x14ac:dyDescent="0.25">
      <c r="A71" s="122">
        <v>43303</v>
      </c>
      <c r="B71" s="74">
        <f>WEEKNUM(A71-RESUMEN!$D$7)</f>
        <v>10</v>
      </c>
      <c r="C71" s="74">
        <f>_xlfn.DAYS(A71,RESUMEN!$D$7)</f>
        <v>65</v>
      </c>
      <c r="D71" s="127">
        <v>21121205</v>
      </c>
      <c r="E71" s="73" t="str">
        <f>LOOKUP(D71,FORMULAS!$A:$A,FORMULAS!$B:$B)</f>
        <v>Cerdos Fase 2.5</v>
      </c>
      <c r="F71" s="80"/>
      <c r="G71" s="75">
        <v>-500</v>
      </c>
      <c r="H71" s="75"/>
      <c r="I71" s="73"/>
      <c r="J71" s="73"/>
      <c r="K71" s="73"/>
      <c r="L71" s="73"/>
      <c r="M71" s="115">
        <v>43309</v>
      </c>
      <c r="N71" s="73">
        <f>WEEKNUM(M71-RESUMEN!$P$7)</f>
        <v>10</v>
      </c>
      <c r="O71" s="73">
        <f>_xlfn.DAYS(M71,RESUMEN!$P$7)</f>
        <v>67</v>
      </c>
      <c r="P71" s="127">
        <v>21121205</v>
      </c>
      <c r="Q71" s="73" t="str">
        <f>LOOKUP(P71,FORMULAS!$A:$A,FORMULAS!$B:$B)</f>
        <v>Cerdos Fase 2.5</v>
      </c>
      <c r="R71" s="78">
        <v>8460</v>
      </c>
      <c r="S71" s="73"/>
      <c r="T71" s="73" t="s">
        <v>302</v>
      </c>
      <c r="U71" s="73"/>
      <c r="V71" s="73"/>
      <c r="W71" s="73"/>
      <c r="X71" s="73"/>
      <c r="Y71" s="73"/>
      <c r="Z71" s="73" t="e">
        <f>WEEKNUM(Y71-RESUMEN!$AB$7)</f>
        <v>#NUM!</v>
      </c>
      <c r="AA71" s="73">
        <f>_xlfn.DAYS(Y71,RESUMEN!$AB$7)</f>
        <v>-43247</v>
      </c>
      <c r="AB71" s="73"/>
      <c r="AC71" s="73" t="e">
        <f>LOOKUP(AB71,FORMULAS!$A:$A,FORMULAS!$B:$B)</f>
        <v>#N/A</v>
      </c>
      <c r="AD71" s="78"/>
      <c r="AE71" s="73"/>
      <c r="AF71" s="73"/>
      <c r="AG71" s="73"/>
      <c r="AH71" s="73"/>
      <c r="AI71" s="73"/>
      <c r="AJ71" s="73"/>
      <c r="AK71" s="73"/>
      <c r="AL71" s="73" t="e">
        <f>WEEKNUM(AK71-RESUMEN!$AN$7)</f>
        <v>#NUM!</v>
      </c>
      <c r="AM71" s="73">
        <f>_xlfn.DAYS(AK71,RESUMEN!$AN$7)</f>
        <v>-43254</v>
      </c>
      <c r="AN71" s="73"/>
      <c r="AO71" s="73" t="e">
        <f>LOOKUP(AN71,FORMULAS!$A:$A,FORMULAS!$B:$B)</f>
        <v>#N/A</v>
      </c>
      <c r="AP71" s="78"/>
      <c r="AQ71" s="78"/>
      <c r="AR71" s="73"/>
      <c r="AS71" s="73"/>
      <c r="AT71" s="73"/>
      <c r="AU71" s="73"/>
      <c r="AV71" s="73"/>
      <c r="AW71" s="73"/>
      <c r="AX71" s="73" t="e">
        <f>WEEKNUM(AW71-RESUMEN!$AZ$7)</f>
        <v>#NUM!</v>
      </c>
      <c r="AY71" s="73">
        <f>_xlfn.DAYS(AW71,RESUMEN!$AZ$7)</f>
        <v>-43261</v>
      </c>
      <c r="AZ71" s="73"/>
      <c r="BA71" s="73" t="e">
        <f>LOOKUP(AZ71,FORMULAS!$A:$A,FORMULAS!$B:$B)</f>
        <v>#N/A</v>
      </c>
      <c r="BB71" s="78"/>
      <c r="BC71" s="73"/>
      <c r="BD71" s="73"/>
      <c r="BE71" s="73"/>
      <c r="BF71" s="73"/>
      <c r="BG71" s="73"/>
      <c r="BH71" s="73"/>
      <c r="BI71" s="73"/>
      <c r="BJ71" s="73" t="e">
        <f>WEEKNUM(BI71-RESUMEN!$BL$7)</f>
        <v>#NUM!</v>
      </c>
      <c r="BK71" s="73">
        <f>_xlfn.DAYS(BI71,RESUMEN!$BL$7)</f>
        <v>-43267</v>
      </c>
      <c r="BL71" s="73"/>
      <c r="BM71" s="73" t="e">
        <f>LOOKUP(BL71,FORMULAS!$A:$A,FORMULAS!$B:$B)</f>
        <v>#N/A</v>
      </c>
      <c r="BN71" s="78"/>
      <c r="BO71" s="73"/>
      <c r="BP71" s="73"/>
      <c r="BQ71" s="73"/>
      <c r="BR71" s="73"/>
      <c r="BS71" s="73"/>
      <c r="BT71" s="73"/>
    </row>
    <row r="72" spans="1:72" x14ac:dyDescent="0.25">
      <c r="A72" s="122">
        <v>43305</v>
      </c>
      <c r="B72" s="74">
        <f>WEEKNUM(A72-RESUMEN!$D$7)</f>
        <v>10</v>
      </c>
      <c r="C72" s="74">
        <f>_xlfn.DAYS(A72,RESUMEN!$D$7)</f>
        <v>67</v>
      </c>
      <c r="D72" s="127">
        <v>21121205</v>
      </c>
      <c r="E72" s="73" t="str">
        <f>LOOKUP(D72,FORMULAS!$A:$A,FORMULAS!$B:$B)</f>
        <v>Cerdos Fase 2.5</v>
      </c>
      <c r="F72" s="80"/>
      <c r="G72" s="75">
        <v>-2000</v>
      </c>
      <c r="H72" s="75"/>
      <c r="I72" s="73"/>
      <c r="J72" s="73"/>
      <c r="K72" s="73"/>
      <c r="L72" s="73"/>
      <c r="M72" s="115">
        <v>43310</v>
      </c>
      <c r="N72" s="73">
        <f>WEEKNUM(M72-RESUMEN!$P$7)</f>
        <v>10</v>
      </c>
      <c r="O72" s="73">
        <f>_xlfn.DAYS(M72,RESUMEN!$P$7)</f>
        <v>68</v>
      </c>
      <c r="P72" s="127">
        <v>21121205</v>
      </c>
      <c r="Q72" s="73" t="str">
        <f>LOOKUP(P72,FORMULAS!$A:$A,FORMULAS!$B:$B)</f>
        <v>Cerdos Fase 2.5</v>
      </c>
      <c r="R72" s="78"/>
      <c r="S72" s="73">
        <v>-1960</v>
      </c>
      <c r="T72" s="73"/>
      <c r="U72" s="73"/>
      <c r="V72" s="73"/>
      <c r="W72" s="73"/>
      <c r="X72" s="73"/>
      <c r="Y72" s="73"/>
      <c r="Z72" s="73" t="e">
        <f>WEEKNUM(Y72-RESUMEN!$AB$7)</f>
        <v>#NUM!</v>
      </c>
      <c r="AA72" s="73">
        <f>_xlfn.DAYS(Y72,RESUMEN!$AB$7)</f>
        <v>-43247</v>
      </c>
      <c r="AB72" s="73"/>
      <c r="AC72" s="73" t="e">
        <f>LOOKUP(AB72,FORMULAS!$A:$A,FORMULAS!$B:$B)</f>
        <v>#N/A</v>
      </c>
      <c r="AD72" s="78"/>
      <c r="AE72" s="73"/>
      <c r="AF72" s="73"/>
      <c r="AG72" s="73"/>
      <c r="AH72" s="73"/>
      <c r="AI72" s="73"/>
      <c r="AJ72" s="73"/>
      <c r="AK72" s="73"/>
      <c r="AL72" s="73" t="e">
        <f>WEEKNUM(AK72-RESUMEN!$AN$7)</f>
        <v>#NUM!</v>
      </c>
      <c r="AM72" s="73">
        <f>_xlfn.DAYS(AK72,RESUMEN!$AN$7)</f>
        <v>-43254</v>
      </c>
      <c r="AN72" s="73"/>
      <c r="AO72" s="73" t="e">
        <f>LOOKUP(AN72,FORMULAS!$A:$A,FORMULAS!$B:$B)</f>
        <v>#N/A</v>
      </c>
      <c r="AP72" s="78"/>
      <c r="AQ72" s="78"/>
      <c r="AR72" s="73"/>
      <c r="AS72" s="73"/>
      <c r="AT72" s="73"/>
      <c r="AU72" s="135"/>
      <c r="AV72" s="73"/>
      <c r="AW72" s="73"/>
      <c r="AX72" s="73" t="e">
        <f>WEEKNUM(AW72-RESUMEN!$AZ$7)</f>
        <v>#NUM!</v>
      </c>
      <c r="AY72" s="73">
        <f>_xlfn.DAYS(AW72,RESUMEN!$AZ$7)</f>
        <v>-43261</v>
      </c>
      <c r="AZ72" s="73"/>
      <c r="BA72" s="73" t="e">
        <f>LOOKUP(AZ72,FORMULAS!$A:$A,FORMULAS!$B:$B)</f>
        <v>#N/A</v>
      </c>
      <c r="BB72" s="78"/>
      <c r="BC72" s="73"/>
      <c r="BD72" s="73"/>
      <c r="BE72" s="73"/>
      <c r="BF72" s="73"/>
      <c r="BG72" s="73"/>
      <c r="BH72" s="73"/>
      <c r="BI72" s="73"/>
      <c r="BJ72" s="73" t="e">
        <f>WEEKNUM(BI72-RESUMEN!$BL$7)</f>
        <v>#NUM!</v>
      </c>
      <c r="BK72" s="73">
        <f>_xlfn.DAYS(BI72,RESUMEN!$BL$7)</f>
        <v>-43267</v>
      </c>
      <c r="BL72" s="73"/>
      <c r="BM72" s="73" t="e">
        <f>LOOKUP(BL72,FORMULAS!$A:$A,FORMULAS!$B:$B)</f>
        <v>#N/A</v>
      </c>
      <c r="BN72" s="78"/>
      <c r="BO72" s="73"/>
      <c r="BP72" s="73"/>
      <c r="BQ72" s="73"/>
      <c r="BR72" s="73"/>
      <c r="BS72" s="73"/>
      <c r="BT72" s="73"/>
    </row>
    <row r="73" spans="1:72" x14ac:dyDescent="0.25">
      <c r="A73" s="122">
        <v>43306</v>
      </c>
      <c r="B73" s="74">
        <f>WEEKNUM(A73-RESUMEN!$D$7)</f>
        <v>10</v>
      </c>
      <c r="C73" s="74">
        <f>_xlfn.DAYS(A73,RESUMEN!$D$7)</f>
        <v>68</v>
      </c>
      <c r="D73" s="127">
        <v>21121205</v>
      </c>
      <c r="E73" s="73" t="str">
        <f>LOOKUP(D73,FORMULAS!$A:$A,FORMULAS!$B:$B)</f>
        <v>Cerdos Fase 2.5</v>
      </c>
      <c r="F73" s="80"/>
      <c r="G73" s="75">
        <v>-500</v>
      </c>
      <c r="H73" s="75"/>
      <c r="I73" s="73"/>
      <c r="J73" s="73"/>
      <c r="K73" s="73"/>
      <c r="L73" s="73"/>
      <c r="M73" s="115">
        <v>43312</v>
      </c>
      <c r="N73" s="73">
        <f>WEEKNUM(M73-RESUMEN!$P$7)</f>
        <v>10</v>
      </c>
      <c r="O73" s="73">
        <f>_xlfn.DAYS(M73,RESUMEN!$P$7)</f>
        <v>70</v>
      </c>
      <c r="P73" s="127">
        <v>21121205</v>
      </c>
      <c r="Q73" s="73" t="str">
        <f>LOOKUP(P73,FORMULAS!$A:$A,FORMULAS!$B:$B)</f>
        <v>Cerdos Fase 2.5</v>
      </c>
      <c r="R73" s="78"/>
      <c r="S73" s="73">
        <v>-500</v>
      </c>
      <c r="T73" s="73"/>
      <c r="U73" s="73"/>
      <c r="V73" s="73"/>
      <c r="W73" s="73"/>
      <c r="X73" s="73"/>
      <c r="Y73" s="73"/>
      <c r="Z73" s="73" t="e">
        <f>WEEKNUM(Y73-RESUMEN!$AB$7)</f>
        <v>#NUM!</v>
      </c>
      <c r="AA73" s="73">
        <f>_xlfn.DAYS(Y73,RESUMEN!$AB$7)</f>
        <v>-43247</v>
      </c>
      <c r="AB73" s="73"/>
      <c r="AC73" s="73" t="e">
        <f>LOOKUP(AB73,FORMULAS!$A:$A,FORMULAS!$B:$B)</f>
        <v>#N/A</v>
      </c>
      <c r="AD73" s="78"/>
      <c r="AE73" s="73"/>
      <c r="AF73" s="73"/>
      <c r="AG73" s="73"/>
      <c r="AH73" s="73"/>
      <c r="AI73" s="73"/>
      <c r="AJ73" s="73"/>
      <c r="AK73" s="73"/>
      <c r="AL73" s="73" t="e">
        <f>WEEKNUM(AK73-RESUMEN!$AN$7)</f>
        <v>#NUM!</v>
      </c>
      <c r="AM73" s="73">
        <f>_xlfn.DAYS(AK73,RESUMEN!$AN$7)</f>
        <v>-43254</v>
      </c>
      <c r="AN73" s="73"/>
      <c r="AO73" s="73" t="e">
        <f>LOOKUP(AN73,FORMULAS!$A:$A,FORMULAS!$B:$B)</f>
        <v>#N/A</v>
      </c>
      <c r="AP73" s="78"/>
      <c r="AQ73" s="78"/>
      <c r="AR73" s="73"/>
      <c r="AS73" s="73"/>
      <c r="AT73" s="73"/>
      <c r="AU73" s="73"/>
      <c r="AV73" s="73"/>
      <c r="AW73" s="73"/>
      <c r="AX73" s="73" t="e">
        <f>WEEKNUM(AW73-RESUMEN!$AZ$7)</f>
        <v>#NUM!</v>
      </c>
      <c r="AY73" s="73">
        <f>_xlfn.DAYS(AW73,RESUMEN!$AZ$7)</f>
        <v>-43261</v>
      </c>
      <c r="AZ73" s="73"/>
      <c r="BA73" s="73" t="e">
        <f>LOOKUP(AZ73,FORMULAS!$A:$A,FORMULAS!$B:$B)</f>
        <v>#N/A</v>
      </c>
      <c r="BB73" s="78"/>
      <c r="BC73" s="73"/>
      <c r="BD73" s="73"/>
      <c r="BE73" s="73"/>
      <c r="BF73" s="73"/>
      <c r="BG73" s="73"/>
      <c r="BH73" s="73"/>
      <c r="BI73" s="73"/>
      <c r="BJ73" s="73" t="e">
        <f>WEEKNUM(BI73-RESUMEN!$BL$7)</f>
        <v>#NUM!</v>
      </c>
      <c r="BK73" s="73">
        <f>_xlfn.DAYS(BI73,RESUMEN!$BL$7)</f>
        <v>-43267</v>
      </c>
      <c r="BL73" s="73"/>
      <c r="BM73" s="73" t="e">
        <f>LOOKUP(BL73,FORMULAS!$A:$A,FORMULAS!$B:$B)</f>
        <v>#N/A</v>
      </c>
      <c r="BN73" s="78"/>
      <c r="BO73" s="73"/>
      <c r="BP73" s="73"/>
      <c r="BQ73" s="73"/>
      <c r="BR73" s="73"/>
      <c r="BS73" s="73"/>
      <c r="BT73" s="73"/>
    </row>
    <row r="74" spans="1:72" x14ac:dyDescent="0.25">
      <c r="A74" s="122">
        <v>43307</v>
      </c>
      <c r="B74" s="74">
        <f>WEEKNUM(A74-RESUMEN!$D$7)</f>
        <v>10</v>
      </c>
      <c r="C74" s="74">
        <f>_xlfn.DAYS(A74,RESUMEN!$D$7)</f>
        <v>69</v>
      </c>
      <c r="D74" s="127">
        <v>21121205</v>
      </c>
      <c r="E74" s="73" t="str">
        <f>LOOKUP(D74,FORMULAS!$A:$A,FORMULAS!$B:$B)</f>
        <v>Cerdos Fase 2.5</v>
      </c>
      <c r="F74" s="80"/>
      <c r="G74" s="75">
        <v>-1000</v>
      </c>
      <c r="H74" s="75"/>
      <c r="I74" s="73"/>
      <c r="J74" s="73"/>
      <c r="K74" s="73"/>
      <c r="L74" s="73"/>
      <c r="M74" s="115">
        <v>43313</v>
      </c>
      <c r="N74" s="73">
        <f>WEEKNUM(M74-RESUMEN!$P$7)</f>
        <v>11</v>
      </c>
      <c r="O74" s="73">
        <f>_xlfn.DAYS(M74,RESUMEN!$P$7)</f>
        <v>71</v>
      </c>
      <c r="P74" s="127">
        <v>21121205</v>
      </c>
      <c r="Q74" s="73" t="str">
        <f>LOOKUP(P74,FORMULAS!$A:$A,FORMULAS!$B:$B)</f>
        <v>Cerdos Fase 2.5</v>
      </c>
      <c r="R74" s="78"/>
      <c r="S74" s="73">
        <v>-500</v>
      </c>
      <c r="T74" s="73"/>
      <c r="U74" s="73"/>
      <c r="V74" s="73"/>
      <c r="W74" s="73"/>
      <c r="X74" s="73"/>
      <c r="Y74" s="73"/>
      <c r="Z74" s="73" t="e">
        <f>WEEKNUM(Y74-RESUMEN!$AB$7)</f>
        <v>#NUM!</v>
      </c>
      <c r="AA74" s="73">
        <f>_xlfn.DAYS(Y74,RESUMEN!$AB$7)</f>
        <v>-43247</v>
      </c>
      <c r="AB74" s="73"/>
      <c r="AC74" s="73" t="e">
        <f>LOOKUP(AB74,FORMULAS!$A:$A,FORMULAS!$B:$B)</f>
        <v>#N/A</v>
      </c>
      <c r="AD74" s="78"/>
      <c r="AE74" s="73"/>
      <c r="AF74" s="73"/>
      <c r="AG74" s="73"/>
      <c r="AH74" s="73"/>
      <c r="AI74" s="73"/>
      <c r="AJ74" s="73"/>
      <c r="AK74" s="73"/>
      <c r="AL74" s="73" t="e">
        <f>WEEKNUM(AK74-RESUMEN!$AN$7)</f>
        <v>#NUM!</v>
      </c>
      <c r="AM74" s="73">
        <f>_xlfn.DAYS(AK74,RESUMEN!$AN$7)</f>
        <v>-43254</v>
      </c>
      <c r="AN74" s="73"/>
      <c r="AO74" s="73" t="e">
        <f>LOOKUP(AN74,FORMULAS!$A:$A,FORMULAS!$B:$B)</f>
        <v>#N/A</v>
      </c>
      <c r="AP74" s="78"/>
      <c r="AQ74" s="78"/>
      <c r="AR74" s="73"/>
      <c r="AS74" s="73"/>
      <c r="AT74" s="73"/>
      <c r="AU74" s="73"/>
      <c r="AV74" s="73"/>
      <c r="AW74" s="73"/>
      <c r="AX74" s="73" t="e">
        <f>WEEKNUM(AW74-RESUMEN!$AZ$7)</f>
        <v>#NUM!</v>
      </c>
      <c r="AY74" s="73">
        <f>_xlfn.DAYS(AW74,RESUMEN!$AZ$7)</f>
        <v>-43261</v>
      </c>
      <c r="AZ74" s="73"/>
      <c r="BA74" s="73" t="e">
        <f>LOOKUP(AZ74,FORMULAS!$A:$A,FORMULAS!$B:$B)</f>
        <v>#N/A</v>
      </c>
      <c r="BB74" s="78"/>
      <c r="BC74" s="73"/>
      <c r="BD74" s="73"/>
      <c r="BE74" s="73"/>
      <c r="BF74" s="73"/>
      <c r="BG74" s="73"/>
      <c r="BH74" s="73"/>
      <c r="BI74" s="73"/>
      <c r="BJ74" s="73" t="e">
        <f>WEEKNUM(BI74-RESUMEN!$BL$7)</f>
        <v>#NUM!</v>
      </c>
      <c r="BK74" s="73">
        <f>_xlfn.DAYS(BI74,RESUMEN!$BL$7)</f>
        <v>-43267</v>
      </c>
      <c r="BL74" s="73"/>
      <c r="BM74" s="73" t="e">
        <f>LOOKUP(BL74,FORMULAS!$A:$A,FORMULAS!$B:$B)</f>
        <v>#N/A</v>
      </c>
      <c r="BN74" s="78"/>
      <c r="BO74" s="73"/>
      <c r="BP74" s="73"/>
      <c r="BQ74" s="73"/>
      <c r="BR74" s="73"/>
      <c r="BS74" s="73"/>
      <c r="BT74" s="73"/>
    </row>
    <row r="75" spans="1:72" x14ac:dyDescent="0.25">
      <c r="A75" s="122">
        <v>43308</v>
      </c>
      <c r="B75" s="74">
        <f>WEEKNUM(A75-RESUMEN!$D$7)</f>
        <v>10</v>
      </c>
      <c r="C75" s="74">
        <f>_xlfn.DAYS(A75,RESUMEN!$D$7)</f>
        <v>70</v>
      </c>
      <c r="D75" s="127">
        <v>21121205</v>
      </c>
      <c r="E75" s="73" t="str">
        <f>LOOKUP(D75,FORMULAS!$A:$A,FORMULAS!$B:$B)</f>
        <v>Cerdos Fase 2.5</v>
      </c>
      <c r="F75" s="80"/>
      <c r="G75" s="75">
        <v>-500</v>
      </c>
      <c r="H75" s="75"/>
      <c r="I75" s="73"/>
      <c r="J75" s="73"/>
      <c r="K75" s="73"/>
      <c r="L75" s="73"/>
      <c r="M75" s="73"/>
      <c r="N75" s="73" t="e">
        <f>WEEKNUM(M75-RESUMEN!$P$7)</f>
        <v>#NUM!</v>
      </c>
      <c r="O75" s="73">
        <f>_xlfn.DAYS(M75,RESUMEN!$P$7)</f>
        <v>-43242</v>
      </c>
      <c r="P75" s="73"/>
      <c r="Q75" s="73" t="e">
        <f>LOOKUP(P75,FORMULAS!$A:$A,FORMULAS!$B:$B)</f>
        <v>#N/A</v>
      </c>
      <c r="R75" s="78"/>
      <c r="S75" s="73"/>
      <c r="T75" s="73"/>
      <c r="U75" s="73"/>
      <c r="V75" s="73"/>
      <c r="W75" s="73"/>
      <c r="X75" s="73"/>
      <c r="Y75" s="73"/>
      <c r="Z75" s="73" t="e">
        <f>WEEKNUM(Y75-RESUMEN!$AB$7)</f>
        <v>#NUM!</v>
      </c>
      <c r="AA75" s="73">
        <f>_xlfn.DAYS(Y75,RESUMEN!$AB$7)</f>
        <v>-43247</v>
      </c>
      <c r="AB75" s="73"/>
      <c r="AC75" s="73" t="e">
        <f>LOOKUP(AB75,FORMULAS!$A:$A,FORMULAS!$B:$B)</f>
        <v>#N/A</v>
      </c>
      <c r="AD75" s="78"/>
      <c r="AE75" s="73"/>
      <c r="AF75" s="73"/>
      <c r="AG75" s="73"/>
      <c r="AH75" s="73"/>
      <c r="AI75" s="73"/>
      <c r="AJ75" s="73"/>
      <c r="AK75" s="73"/>
      <c r="AL75" s="73" t="e">
        <f>WEEKNUM(AK75-RESUMEN!$AN$7)</f>
        <v>#NUM!</v>
      </c>
      <c r="AM75" s="73">
        <f>_xlfn.DAYS(AK75,RESUMEN!$AN$7)</f>
        <v>-43254</v>
      </c>
      <c r="AN75" s="73"/>
      <c r="AO75" s="73" t="e">
        <f>LOOKUP(AN75,FORMULAS!$A:$A,FORMULAS!$B:$B)</f>
        <v>#N/A</v>
      </c>
      <c r="AP75" s="78"/>
      <c r="AQ75" s="78"/>
      <c r="AR75" s="73"/>
      <c r="AS75" s="73"/>
      <c r="AT75" s="73"/>
      <c r="AU75" s="73"/>
      <c r="AV75" s="73"/>
      <c r="AW75" s="73"/>
      <c r="AX75" s="73" t="e">
        <f>WEEKNUM(AW75-RESUMEN!$AZ$7)</f>
        <v>#NUM!</v>
      </c>
      <c r="AY75" s="73">
        <f>_xlfn.DAYS(AW75,RESUMEN!$AZ$7)</f>
        <v>-43261</v>
      </c>
      <c r="AZ75" s="73"/>
      <c r="BA75" s="73" t="e">
        <f>LOOKUP(AZ75,FORMULAS!$A:$A,FORMULAS!$B:$B)</f>
        <v>#N/A</v>
      </c>
      <c r="BB75" s="78"/>
      <c r="BC75" s="73"/>
      <c r="BD75" s="73"/>
      <c r="BE75" s="73"/>
      <c r="BF75" s="73"/>
      <c r="BG75" s="73"/>
      <c r="BH75" s="73"/>
      <c r="BI75" s="73"/>
      <c r="BJ75" s="73" t="e">
        <f>WEEKNUM(BI75-RESUMEN!$BL$7)</f>
        <v>#NUM!</v>
      </c>
      <c r="BK75" s="73">
        <f>_xlfn.DAYS(BI75,RESUMEN!$BL$7)</f>
        <v>-43267</v>
      </c>
      <c r="BL75" s="73"/>
      <c r="BM75" s="73" t="e">
        <f>LOOKUP(BL75,FORMULAS!$A:$A,FORMULAS!$B:$B)</f>
        <v>#N/A</v>
      </c>
      <c r="BN75" s="78"/>
      <c r="BO75" s="73"/>
      <c r="BP75" s="73"/>
      <c r="BQ75" s="73"/>
      <c r="BR75" s="73"/>
      <c r="BS75" s="73"/>
      <c r="BT75" s="73"/>
    </row>
    <row r="76" spans="1:72" x14ac:dyDescent="0.25">
      <c r="A76" s="122">
        <v>43309</v>
      </c>
      <c r="B76" s="74">
        <f>WEEKNUM(A76-RESUMEN!$D$7)</f>
        <v>11</v>
      </c>
      <c r="C76" s="74">
        <f>_xlfn.DAYS(A76,RESUMEN!$D$7)</f>
        <v>71</v>
      </c>
      <c r="D76" s="127">
        <v>21121205</v>
      </c>
      <c r="E76" s="73" t="str">
        <f>LOOKUP(D76,FORMULAS!$A:$A,FORMULAS!$B:$B)</f>
        <v>Cerdos Fase 2.5</v>
      </c>
      <c r="F76" s="80"/>
      <c r="G76" s="75">
        <v>-500</v>
      </c>
      <c r="H76" s="75"/>
      <c r="I76" s="73"/>
      <c r="J76" s="73"/>
      <c r="K76" s="73"/>
      <c r="L76" s="73"/>
      <c r="M76" s="73"/>
      <c r="N76" s="73" t="e">
        <f>WEEKNUM(M76-RESUMEN!$P$7)</f>
        <v>#NUM!</v>
      </c>
      <c r="O76" s="73">
        <f>_xlfn.DAYS(M76,RESUMEN!$P$7)</f>
        <v>-43242</v>
      </c>
      <c r="P76" s="73"/>
      <c r="Q76" s="73" t="e">
        <f>LOOKUP(P76,FORMULAS!$A:$A,FORMULAS!$B:$B)</f>
        <v>#N/A</v>
      </c>
      <c r="R76" s="78"/>
      <c r="S76" s="73"/>
      <c r="T76" s="73"/>
      <c r="U76" s="73"/>
      <c r="V76" s="73"/>
      <c r="W76" s="73"/>
      <c r="X76" s="73"/>
      <c r="Y76" s="73"/>
      <c r="Z76" s="73" t="e">
        <f>WEEKNUM(Y76-RESUMEN!$AB$7)</f>
        <v>#NUM!</v>
      </c>
      <c r="AA76" s="73">
        <f>_xlfn.DAYS(Y76,RESUMEN!$AB$7)</f>
        <v>-43247</v>
      </c>
      <c r="AB76" s="73"/>
      <c r="AC76" s="73" t="e">
        <f>LOOKUP(AB76,FORMULAS!$A:$A,FORMULAS!$B:$B)</f>
        <v>#N/A</v>
      </c>
      <c r="AD76" s="78"/>
      <c r="AE76" s="73"/>
      <c r="AF76" s="73"/>
      <c r="AG76" s="73"/>
      <c r="AH76" s="73"/>
      <c r="AI76" s="73"/>
      <c r="AJ76" s="73"/>
      <c r="AK76" s="73"/>
      <c r="AL76" s="73" t="e">
        <f>WEEKNUM(AK76-RESUMEN!$AN$7)</f>
        <v>#NUM!</v>
      </c>
      <c r="AM76" s="73">
        <f>_xlfn.DAYS(AK76,RESUMEN!$AN$7)</f>
        <v>-43254</v>
      </c>
      <c r="AN76" s="73"/>
      <c r="AO76" s="73" t="e">
        <f>LOOKUP(AN76,FORMULAS!$A:$A,FORMULAS!$B:$B)</f>
        <v>#N/A</v>
      </c>
      <c r="AP76" s="78"/>
      <c r="AQ76" s="78"/>
      <c r="AR76" s="73"/>
      <c r="AS76" s="73"/>
      <c r="AT76" s="73"/>
      <c r="AU76" s="73"/>
      <c r="AV76" s="73"/>
      <c r="AW76" s="73"/>
      <c r="AX76" s="73" t="e">
        <f>WEEKNUM(AW76-RESUMEN!$AZ$7)</f>
        <v>#NUM!</v>
      </c>
      <c r="AY76" s="73">
        <f>_xlfn.DAYS(AW76,RESUMEN!$AZ$7)</f>
        <v>-43261</v>
      </c>
      <c r="AZ76" s="73"/>
      <c r="BA76" s="73" t="e">
        <f>LOOKUP(AZ76,FORMULAS!$A:$A,FORMULAS!$B:$B)</f>
        <v>#N/A</v>
      </c>
      <c r="BB76" s="78"/>
      <c r="BC76" s="73"/>
      <c r="BD76" s="73"/>
      <c r="BE76" s="73"/>
      <c r="BF76" s="73"/>
      <c r="BG76" s="73"/>
      <c r="BH76" s="73"/>
      <c r="BI76" s="73"/>
      <c r="BJ76" s="73" t="e">
        <f>WEEKNUM(BI76-RESUMEN!$BL$7)</f>
        <v>#NUM!</v>
      </c>
      <c r="BK76" s="73">
        <f>_xlfn.DAYS(BI76,RESUMEN!$BL$7)</f>
        <v>-43267</v>
      </c>
      <c r="BL76" s="73"/>
      <c r="BM76" s="73" t="e">
        <f>LOOKUP(BL76,FORMULAS!$A:$A,FORMULAS!$B:$B)</f>
        <v>#N/A</v>
      </c>
      <c r="BN76" s="78"/>
      <c r="BO76" s="73"/>
      <c r="BP76" s="73"/>
      <c r="BQ76" s="73"/>
      <c r="BR76" s="73"/>
      <c r="BS76" s="73"/>
      <c r="BT76" s="73"/>
    </row>
    <row r="77" spans="1:72" x14ac:dyDescent="0.25">
      <c r="A77" s="122">
        <v>43309</v>
      </c>
      <c r="B77" s="74">
        <f>WEEKNUM(A77-RESUMEN!$D$7)</f>
        <v>11</v>
      </c>
      <c r="C77" s="74">
        <f>_xlfn.DAYS(A77,RESUMEN!$D$7)</f>
        <v>71</v>
      </c>
      <c r="D77" s="75">
        <v>21121205</v>
      </c>
      <c r="E77" s="73" t="str">
        <f>LOOKUP(D77,FORMULAS!$A:$A,FORMULAS!$B:$B)</f>
        <v>Cerdos Fase 2.5</v>
      </c>
      <c r="F77" s="80">
        <v>10000</v>
      </c>
      <c r="G77" s="75"/>
      <c r="H77" s="75" t="s">
        <v>302</v>
      </c>
      <c r="I77" s="73"/>
      <c r="J77" s="73"/>
      <c r="K77" s="73"/>
      <c r="L77" s="73"/>
      <c r="M77" s="73"/>
      <c r="N77" s="73" t="e">
        <f>WEEKNUM(M77-RESUMEN!$P$7)</f>
        <v>#NUM!</v>
      </c>
      <c r="O77" s="73">
        <f>_xlfn.DAYS(M77,RESUMEN!$P$7)</f>
        <v>-43242</v>
      </c>
      <c r="P77" s="73"/>
      <c r="Q77" s="73" t="e">
        <f>LOOKUP(P77,FORMULAS!$A:$A,FORMULAS!$B:$B)</f>
        <v>#N/A</v>
      </c>
      <c r="R77" s="78"/>
      <c r="S77" s="73"/>
      <c r="T77" s="73"/>
      <c r="U77" s="73"/>
      <c r="V77" s="73"/>
      <c r="W77" s="73"/>
      <c r="X77" s="73"/>
      <c r="Y77" s="73"/>
      <c r="Z77" s="73" t="e">
        <f>WEEKNUM(Y77-RESUMEN!$AB$7)</f>
        <v>#NUM!</v>
      </c>
      <c r="AA77" s="73">
        <f>_xlfn.DAYS(Y77,RESUMEN!$AB$7)</f>
        <v>-43247</v>
      </c>
      <c r="AB77" s="73"/>
      <c r="AC77" s="73" t="e">
        <f>LOOKUP(AB77,FORMULAS!$A:$A,FORMULAS!$B:$B)</f>
        <v>#N/A</v>
      </c>
      <c r="AD77" s="78"/>
      <c r="AE77" s="73"/>
      <c r="AF77" s="73"/>
      <c r="AG77" s="73"/>
      <c r="AH77" s="73"/>
      <c r="AI77" s="73"/>
      <c r="AJ77" s="73"/>
      <c r="AK77" s="73"/>
      <c r="AL77" s="73" t="e">
        <f>WEEKNUM(AK77-RESUMEN!$AN$7)</f>
        <v>#NUM!</v>
      </c>
      <c r="AM77" s="73">
        <f>_xlfn.DAYS(AK77,RESUMEN!$AN$7)</f>
        <v>-43254</v>
      </c>
      <c r="AN77" s="73"/>
      <c r="AO77" s="73" t="e">
        <f>LOOKUP(AN77,FORMULAS!$A:$A,FORMULAS!$B:$B)</f>
        <v>#N/A</v>
      </c>
      <c r="AP77" s="78"/>
      <c r="AQ77" s="78"/>
      <c r="AR77" s="73"/>
      <c r="AS77" s="73"/>
      <c r="AT77" s="73"/>
      <c r="AU77" s="73"/>
      <c r="AV77" s="73"/>
      <c r="AW77" s="73"/>
      <c r="AX77" s="73" t="e">
        <f>WEEKNUM(AW77-RESUMEN!$AZ$7)</f>
        <v>#NUM!</v>
      </c>
      <c r="AY77" s="73">
        <f>_xlfn.DAYS(AW77,RESUMEN!$AZ$7)</f>
        <v>-43261</v>
      </c>
      <c r="AZ77" s="73"/>
      <c r="BA77" s="73" t="e">
        <f>LOOKUP(AZ77,FORMULAS!$A:$A,FORMULAS!$B:$B)</f>
        <v>#N/A</v>
      </c>
      <c r="BB77" s="78"/>
      <c r="BC77" s="73"/>
      <c r="BD77" s="73"/>
      <c r="BE77" s="73"/>
      <c r="BF77" s="73"/>
      <c r="BG77" s="73"/>
      <c r="BH77" s="73"/>
      <c r="BI77" s="73"/>
      <c r="BJ77" s="73" t="e">
        <f>WEEKNUM(BI77-RESUMEN!$BL$7)</f>
        <v>#NUM!</v>
      </c>
      <c r="BK77" s="73">
        <f>_xlfn.DAYS(BI77,RESUMEN!$BL$7)</f>
        <v>-43267</v>
      </c>
      <c r="BL77" s="73"/>
      <c r="BM77" s="73" t="e">
        <f>LOOKUP(BL77,FORMULAS!$A:$A,FORMULAS!$B:$B)</f>
        <v>#N/A</v>
      </c>
      <c r="BN77" s="78"/>
      <c r="BO77" s="73"/>
      <c r="BP77" s="73"/>
      <c r="BQ77" s="73"/>
      <c r="BR77" s="73"/>
      <c r="BS77" s="73"/>
      <c r="BT77" s="73"/>
    </row>
    <row r="78" spans="1:72" x14ac:dyDescent="0.25">
      <c r="A78" s="122">
        <v>43310</v>
      </c>
      <c r="B78" s="74">
        <f>WEEKNUM(A78-RESUMEN!$D$7)</f>
        <v>11</v>
      </c>
      <c r="C78" s="74">
        <f>_xlfn.DAYS(A78,RESUMEN!$D$7)</f>
        <v>72</v>
      </c>
      <c r="D78" s="75">
        <v>21121205</v>
      </c>
      <c r="E78" s="73" t="str">
        <f>LOOKUP(D78,FORMULAS!$A:$A,FORMULAS!$B:$B)</f>
        <v>Cerdos Fase 2.5</v>
      </c>
      <c r="F78" s="80"/>
      <c r="G78" s="75">
        <v>-2500</v>
      </c>
      <c r="H78" s="75"/>
      <c r="I78" s="73"/>
      <c r="J78" s="73"/>
      <c r="K78" s="73"/>
      <c r="L78" s="73"/>
      <c r="M78" s="73"/>
      <c r="N78" s="73" t="e">
        <f>WEEKNUM(M78-RESUMEN!$P$7)</f>
        <v>#NUM!</v>
      </c>
      <c r="O78" s="73">
        <f>_xlfn.DAYS(M78,RESUMEN!$P$7)</f>
        <v>-43242</v>
      </c>
      <c r="P78" s="73"/>
      <c r="Q78" s="73" t="e">
        <f>LOOKUP(P78,FORMULAS!$A:$A,FORMULAS!$B:$B)</f>
        <v>#N/A</v>
      </c>
      <c r="R78" s="78"/>
      <c r="S78" s="73"/>
      <c r="T78" s="73"/>
      <c r="U78" s="73"/>
      <c r="V78" s="73"/>
      <c r="W78" s="73"/>
      <c r="X78" s="73"/>
      <c r="Y78" s="73"/>
      <c r="Z78" s="73" t="e">
        <f>WEEKNUM(Y78-RESUMEN!$AB$7)</f>
        <v>#NUM!</v>
      </c>
      <c r="AA78" s="73">
        <f>_xlfn.DAYS(Y78,RESUMEN!$AB$7)</f>
        <v>-43247</v>
      </c>
      <c r="AB78" s="73"/>
      <c r="AC78" s="73" t="e">
        <f>LOOKUP(AB78,FORMULAS!$A:$A,FORMULAS!$B:$B)</f>
        <v>#N/A</v>
      </c>
      <c r="AD78" s="78"/>
      <c r="AE78" s="73"/>
      <c r="AF78" s="73"/>
      <c r="AG78" s="73"/>
      <c r="AH78" s="73"/>
      <c r="AI78" s="73"/>
      <c r="AJ78" s="73"/>
      <c r="AK78" s="73"/>
      <c r="AL78" s="73" t="e">
        <f>WEEKNUM(AK78-RESUMEN!$AN$7)</f>
        <v>#NUM!</v>
      </c>
      <c r="AM78" s="73">
        <f>_xlfn.DAYS(AK78,RESUMEN!$AN$7)</f>
        <v>-43254</v>
      </c>
      <c r="AN78" s="73"/>
      <c r="AO78" s="73" t="e">
        <f>LOOKUP(AN78,FORMULAS!$A:$A,FORMULAS!$B:$B)</f>
        <v>#N/A</v>
      </c>
      <c r="AP78" s="78"/>
      <c r="AQ78" s="78"/>
      <c r="AR78" s="73"/>
      <c r="AS78" s="73"/>
      <c r="AT78" s="73"/>
      <c r="AU78" s="73"/>
      <c r="AV78" s="73"/>
      <c r="AW78" s="73"/>
      <c r="AX78" s="73" t="e">
        <f>WEEKNUM(AW78-RESUMEN!$AZ$7)</f>
        <v>#NUM!</v>
      </c>
      <c r="AY78" s="73">
        <f>_xlfn.DAYS(AW78,RESUMEN!$AZ$7)</f>
        <v>-43261</v>
      </c>
      <c r="AZ78" s="73"/>
      <c r="BA78" s="73" t="e">
        <f>LOOKUP(AZ78,FORMULAS!$A:$A,FORMULAS!$B:$B)</f>
        <v>#N/A</v>
      </c>
      <c r="BB78" s="78"/>
      <c r="BC78" s="73"/>
      <c r="BD78" s="73"/>
      <c r="BE78" s="73"/>
      <c r="BF78" s="73"/>
      <c r="BG78" s="73"/>
      <c r="BH78" s="73"/>
      <c r="BI78" s="73"/>
      <c r="BJ78" s="73" t="e">
        <f>WEEKNUM(BI78-RESUMEN!$BL$7)</f>
        <v>#NUM!</v>
      </c>
      <c r="BK78" s="73">
        <f>_xlfn.DAYS(BI78,RESUMEN!$BL$7)</f>
        <v>-43267</v>
      </c>
      <c r="BL78" s="73"/>
      <c r="BM78" s="73" t="e">
        <f>LOOKUP(BL78,FORMULAS!$A:$A,FORMULAS!$B:$B)</f>
        <v>#N/A</v>
      </c>
      <c r="BN78" s="78"/>
      <c r="BO78" s="73"/>
      <c r="BP78" s="73"/>
      <c r="BQ78" s="73"/>
      <c r="BR78" s="73"/>
      <c r="BS78" s="73"/>
      <c r="BT78" s="73"/>
    </row>
    <row r="79" spans="1:72" x14ac:dyDescent="0.25">
      <c r="A79" s="122">
        <v>43311</v>
      </c>
      <c r="B79" s="74">
        <f>WEEKNUM(A79-RESUMEN!$D$7)</f>
        <v>11</v>
      </c>
      <c r="C79" s="74">
        <f>_xlfn.DAYS(A79,RESUMEN!$D$7)</f>
        <v>73</v>
      </c>
      <c r="D79" s="75">
        <v>21121205</v>
      </c>
      <c r="E79" s="73" t="str">
        <f>LOOKUP(D79,FORMULAS!$A:$A,FORMULAS!$B:$B)</f>
        <v>Cerdos Fase 2.5</v>
      </c>
      <c r="F79" s="80"/>
      <c r="G79" s="75">
        <v>-1500</v>
      </c>
      <c r="H79" s="75"/>
      <c r="I79" s="73"/>
      <c r="J79" s="73"/>
      <c r="K79" s="73"/>
      <c r="L79" s="73"/>
      <c r="M79" s="73"/>
      <c r="N79" s="73" t="e">
        <f>WEEKNUM(M79-RESUMEN!$P$7)</f>
        <v>#NUM!</v>
      </c>
      <c r="O79" s="73">
        <f>_xlfn.DAYS(M79,RESUMEN!$P$7)</f>
        <v>-43242</v>
      </c>
      <c r="P79" s="73"/>
      <c r="Q79" s="73" t="e">
        <f>LOOKUP(P79,FORMULAS!$A:$A,FORMULAS!$B:$B)</f>
        <v>#N/A</v>
      </c>
      <c r="R79" s="78"/>
      <c r="S79" s="73"/>
      <c r="T79" s="73"/>
      <c r="U79" s="73"/>
      <c r="V79" s="73"/>
      <c r="W79" s="73"/>
      <c r="X79" s="73"/>
      <c r="Y79" s="73"/>
      <c r="Z79" s="73" t="e">
        <f>WEEKNUM(Y79-RESUMEN!$AB$7)</f>
        <v>#NUM!</v>
      </c>
      <c r="AA79" s="73">
        <f>_xlfn.DAYS(Y79,RESUMEN!$AB$7)</f>
        <v>-43247</v>
      </c>
      <c r="AB79" s="73"/>
      <c r="AC79" s="73" t="e">
        <f>LOOKUP(AB79,FORMULAS!$A:$A,FORMULAS!$B:$B)</f>
        <v>#N/A</v>
      </c>
      <c r="AD79" s="78"/>
      <c r="AE79" s="73"/>
      <c r="AF79" s="73"/>
      <c r="AG79" s="73"/>
      <c r="AH79" s="73"/>
      <c r="AI79" s="73"/>
      <c r="AJ79" s="73"/>
      <c r="AK79" s="73"/>
      <c r="AL79" s="73" t="e">
        <f>WEEKNUM(AK79-RESUMEN!$AN$7)</f>
        <v>#NUM!</v>
      </c>
      <c r="AM79" s="73">
        <f>_xlfn.DAYS(AK79,RESUMEN!$AN$7)</f>
        <v>-43254</v>
      </c>
      <c r="AN79" s="73"/>
      <c r="AO79" s="73" t="e">
        <f>LOOKUP(AN79,FORMULAS!$A:$A,FORMULAS!$B:$B)</f>
        <v>#N/A</v>
      </c>
      <c r="AP79" s="78"/>
      <c r="AQ79" s="78"/>
      <c r="AR79" s="73"/>
      <c r="AS79" s="73"/>
      <c r="AT79" s="73"/>
      <c r="AU79" s="73"/>
      <c r="AV79" s="73"/>
      <c r="AW79" s="73"/>
      <c r="AX79" s="73" t="e">
        <f>WEEKNUM(AW79-RESUMEN!$AZ$7)</f>
        <v>#NUM!</v>
      </c>
      <c r="AY79" s="73">
        <f>_xlfn.DAYS(AW79,RESUMEN!$AZ$7)</f>
        <v>-43261</v>
      </c>
      <c r="AZ79" s="73"/>
      <c r="BA79" s="73" t="e">
        <f>LOOKUP(AZ79,FORMULAS!$A:$A,FORMULAS!$B:$B)</f>
        <v>#N/A</v>
      </c>
      <c r="BB79" s="78"/>
      <c r="BC79" s="73"/>
      <c r="BD79" s="73"/>
      <c r="BE79" s="73"/>
      <c r="BF79" s="73"/>
      <c r="BG79" s="73"/>
      <c r="BH79" s="73"/>
      <c r="BI79" s="73"/>
      <c r="BJ79" s="73" t="e">
        <f>WEEKNUM(BI79-RESUMEN!$BL$7)</f>
        <v>#NUM!</v>
      </c>
      <c r="BK79" s="73">
        <f>_xlfn.DAYS(BI79,RESUMEN!$BL$7)</f>
        <v>-43267</v>
      </c>
      <c r="BL79" s="73"/>
      <c r="BM79" s="73" t="e">
        <f>LOOKUP(BL79,FORMULAS!$A:$A,FORMULAS!$B:$B)</f>
        <v>#N/A</v>
      </c>
      <c r="BN79" s="78"/>
      <c r="BO79" s="73"/>
      <c r="BP79" s="73"/>
      <c r="BQ79" s="73"/>
      <c r="BR79" s="73"/>
      <c r="BS79" s="73"/>
      <c r="BT79" s="73"/>
    </row>
    <row r="80" spans="1:72" x14ac:dyDescent="0.25">
      <c r="A80" s="122">
        <v>43312</v>
      </c>
      <c r="B80" s="74">
        <f>WEEKNUM(A80-RESUMEN!$D$7)</f>
        <v>11</v>
      </c>
      <c r="C80" s="74">
        <f>_xlfn.DAYS(A80,RESUMEN!$D$7)</f>
        <v>74</v>
      </c>
      <c r="D80" s="75">
        <v>21121205</v>
      </c>
      <c r="E80" s="73" t="str">
        <f>LOOKUP(D80,FORMULAS!$A:$A,FORMULAS!$B:$B)</f>
        <v>Cerdos Fase 2.5</v>
      </c>
      <c r="F80" s="80"/>
      <c r="G80" s="75">
        <v>-1000</v>
      </c>
      <c r="H80" s="75"/>
      <c r="I80" s="73"/>
      <c r="J80" s="73"/>
      <c r="K80" s="73"/>
      <c r="L80" s="73"/>
      <c r="M80" s="73"/>
      <c r="N80" s="73" t="e">
        <f>WEEKNUM(M80-RESUMEN!$P$7)</f>
        <v>#NUM!</v>
      </c>
      <c r="O80" s="73">
        <f>_xlfn.DAYS(M80,RESUMEN!$P$7)</f>
        <v>-43242</v>
      </c>
      <c r="P80" s="73"/>
      <c r="Q80" s="73" t="e">
        <f>LOOKUP(P80,FORMULAS!$A:$A,FORMULAS!$B:$B)</f>
        <v>#N/A</v>
      </c>
      <c r="R80" s="78"/>
      <c r="S80" s="73"/>
      <c r="T80" s="73"/>
      <c r="U80" s="73"/>
      <c r="V80" s="73"/>
      <c r="W80" s="73"/>
      <c r="X80" s="73"/>
      <c r="Y80" s="73"/>
      <c r="Z80" s="73" t="e">
        <f>WEEKNUM(Y80-RESUMEN!$AB$7)</f>
        <v>#NUM!</v>
      </c>
      <c r="AA80" s="73">
        <f>_xlfn.DAYS(Y80,RESUMEN!$AB$7)</f>
        <v>-43247</v>
      </c>
      <c r="AB80" s="73"/>
      <c r="AC80" s="73" t="e">
        <f>LOOKUP(AB80,FORMULAS!$A:$A,FORMULAS!$B:$B)</f>
        <v>#N/A</v>
      </c>
      <c r="AD80" s="78"/>
      <c r="AE80" s="73"/>
      <c r="AF80" s="73"/>
      <c r="AG80" s="73"/>
      <c r="AH80" s="73"/>
      <c r="AI80" s="73"/>
      <c r="AJ80" s="73"/>
      <c r="AK80" s="73"/>
      <c r="AL80" s="73" t="e">
        <f>WEEKNUM(AK80-RESUMEN!$AN$7)</f>
        <v>#NUM!</v>
      </c>
      <c r="AM80" s="73">
        <f>_xlfn.DAYS(AK80,RESUMEN!$AN$7)</f>
        <v>-43254</v>
      </c>
      <c r="AN80" s="73"/>
      <c r="AO80" s="73" t="e">
        <f>LOOKUP(AN80,FORMULAS!$A:$A,FORMULAS!$B:$B)</f>
        <v>#N/A</v>
      </c>
      <c r="AP80" s="78"/>
      <c r="AQ80" s="78"/>
      <c r="AR80" s="73"/>
      <c r="AS80" s="73"/>
      <c r="AT80" s="73"/>
      <c r="AU80" s="73"/>
      <c r="AV80" s="73"/>
      <c r="AW80" s="73"/>
      <c r="AX80" s="73" t="e">
        <f>WEEKNUM(AW80-RESUMEN!$AZ$7)</f>
        <v>#NUM!</v>
      </c>
      <c r="AY80" s="73">
        <f>_xlfn.DAYS(AW80,RESUMEN!$AZ$7)</f>
        <v>-43261</v>
      </c>
      <c r="AZ80" s="73"/>
      <c r="BA80" s="73" t="e">
        <f>LOOKUP(AZ80,FORMULAS!$A:$A,FORMULAS!$B:$B)</f>
        <v>#N/A</v>
      </c>
      <c r="BB80" s="78"/>
      <c r="BC80" s="73"/>
      <c r="BD80" s="73"/>
      <c r="BE80" s="73"/>
      <c r="BF80" s="73"/>
      <c r="BG80" s="73"/>
      <c r="BH80" s="73"/>
      <c r="BI80" s="73"/>
      <c r="BJ80" s="73" t="e">
        <f>WEEKNUM(BI80-RESUMEN!$BL$7)</f>
        <v>#NUM!</v>
      </c>
      <c r="BK80" s="73">
        <f>_xlfn.DAYS(BI80,RESUMEN!$BL$7)</f>
        <v>-43267</v>
      </c>
      <c r="BL80" s="73"/>
      <c r="BM80" s="73" t="e">
        <f>LOOKUP(BL80,FORMULAS!$A:$A,FORMULAS!$B:$B)</f>
        <v>#N/A</v>
      </c>
      <c r="BN80" s="78"/>
      <c r="BO80" s="73"/>
      <c r="BP80" s="73"/>
      <c r="BQ80" s="73"/>
      <c r="BR80" s="73"/>
      <c r="BS80" s="73"/>
      <c r="BT80" s="73"/>
    </row>
    <row r="81" spans="1:72" x14ac:dyDescent="0.25">
      <c r="A81" s="122">
        <v>43313</v>
      </c>
      <c r="B81" s="74">
        <f>WEEKNUM(A81-RESUMEN!$D$7)</f>
        <v>11</v>
      </c>
      <c r="C81" s="74">
        <f>_xlfn.DAYS(A81,RESUMEN!$D$7)</f>
        <v>75</v>
      </c>
      <c r="D81" s="75">
        <v>21121205</v>
      </c>
      <c r="E81" s="73" t="str">
        <f>LOOKUP(D81,FORMULAS!$A:$A,FORMULAS!$B:$B)</f>
        <v>Cerdos Fase 2.5</v>
      </c>
      <c r="F81" s="80"/>
      <c r="G81" s="75">
        <v>-1000</v>
      </c>
      <c r="H81" s="75"/>
      <c r="I81" s="73"/>
      <c r="J81" s="73"/>
      <c r="K81" s="73"/>
      <c r="L81" s="73"/>
      <c r="M81" s="73"/>
      <c r="N81" s="73" t="e">
        <f>WEEKNUM(M81-RESUMEN!$P$7)</f>
        <v>#NUM!</v>
      </c>
      <c r="O81" s="73">
        <f>_xlfn.DAYS(M81,RESUMEN!$P$7)</f>
        <v>-43242</v>
      </c>
      <c r="P81" s="73"/>
      <c r="Q81" s="73" t="e">
        <f>LOOKUP(P81,FORMULAS!$A:$A,FORMULAS!$B:$B)</f>
        <v>#N/A</v>
      </c>
      <c r="R81" s="78"/>
      <c r="S81" s="73"/>
      <c r="T81" s="73"/>
      <c r="U81" s="73"/>
      <c r="V81" s="73"/>
      <c r="W81" s="73"/>
      <c r="X81" s="73"/>
      <c r="Y81" s="73"/>
      <c r="Z81" s="73" t="e">
        <f>WEEKNUM(Y81-RESUMEN!$AB$7)</f>
        <v>#NUM!</v>
      </c>
      <c r="AA81" s="73">
        <f>_xlfn.DAYS(Y81,RESUMEN!$AB$7)</f>
        <v>-43247</v>
      </c>
      <c r="AB81" s="73"/>
      <c r="AC81" s="73" t="e">
        <f>LOOKUP(AB81,FORMULAS!$A:$A,FORMULAS!$B:$B)</f>
        <v>#N/A</v>
      </c>
      <c r="AD81" s="78"/>
      <c r="AE81" s="73"/>
      <c r="AF81" s="73"/>
      <c r="AG81" s="73"/>
      <c r="AH81" s="73"/>
      <c r="AI81" s="73"/>
      <c r="AJ81" s="73"/>
      <c r="AK81" s="73"/>
      <c r="AL81" s="73" t="e">
        <f>WEEKNUM(AK81-RESUMEN!$AN$7)</f>
        <v>#NUM!</v>
      </c>
      <c r="AM81" s="73">
        <f>_xlfn.DAYS(AK81,RESUMEN!$AN$7)</f>
        <v>-43254</v>
      </c>
      <c r="AN81" s="73"/>
      <c r="AO81" s="73" t="e">
        <f>LOOKUP(AN81,FORMULAS!$A:$A,FORMULAS!$B:$B)</f>
        <v>#N/A</v>
      </c>
      <c r="AP81" s="78"/>
      <c r="AQ81" s="78"/>
      <c r="AR81" s="73"/>
      <c r="AS81" s="73"/>
      <c r="AT81" s="73"/>
      <c r="AU81" s="73"/>
      <c r="AV81" s="73"/>
      <c r="AW81" s="73"/>
      <c r="AX81" s="73" t="e">
        <f>WEEKNUM(AW81-RESUMEN!$AZ$7)</f>
        <v>#NUM!</v>
      </c>
      <c r="AY81" s="73">
        <f>_xlfn.DAYS(AW81,RESUMEN!$AZ$7)</f>
        <v>-43261</v>
      </c>
      <c r="AZ81" s="73"/>
      <c r="BA81" s="73" t="e">
        <f>LOOKUP(AZ81,FORMULAS!$A:$A,FORMULAS!$B:$B)</f>
        <v>#N/A</v>
      </c>
      <c r="BB81" s="78"/>
      <c r="BC81" s="73"/>
      <c r="BD81" s="73"/>
      <c r="BE81" s="73"/>
      <c r="BF81" s="73"/>
      <c r="BG81" s="73"/>
      <c r="BH81" s="73"/>
      <c r="BI81" s="73"/>
      <c r="BJ81" s="73" t="e">
        <f>WEEKNUM(BI81-RESUMEN!$BL$7)</f>
        <v>#NUM!</v>
      </c>
      <c r="BK81" s="73">
        <f>_xlfn.DAYS(BI81,RESUMEN!$BL$7)</f>
        <v>-43267</v>
      </c>
      <c r="BL81" s="73"/>
      <c r="BM81" s="73" t="e">
        <f>LOOKUP(BL81,FORMULAS!$A:$A,FORMULAS!$B:$B)</f>
        <v>#N/A</v>
      </c>
      <c r="BN81" s="78"/>
      <c r="BO81" s="73"/>
      <c r="BP81" s="73"/>
      <c r="BQ81" s="73"/>
      <c r="BR81" s="73"/>
      <c r="BS81" s="73"/>
      <c r="BT81" s="73"/>
    </row>
    <row r="82" spans="1:72" x14ac:dyDescent="0.25">
      <c r="A82" s="75"/>
      <c r="B82" s="74" t="e">
        <f>WEEKNUM(A82-RESUMEN!$D$7)</f>
        <v>#NUM!</v>
      </c>
      <c r="C82" s="74">
        <f>_xlfn.DAYS(A82,RESUMEN!$D$7)</f>
        <v>-43238</v>
      </c>
      <c r="D82" s="75"/>
      <c r="E82" s="73" t="e">
        <f>LOOKUP(D82,FORMULAS!$A:$A,FORMULAS!$B:$B)</f>
        <v>#N/A</v>
      </c>
      <c r="F82" s="80"/>
      <c r="G82" s="75"/>
      <c r="H82" s="75"/>
      <c r="I82" s="73"/>
      <c r="J82" s="73"/>
      <c r="K82" s="73"/>
      <c r="L82" s="73"/>
      <c r="M82" s="73"/>
      <c r="N82" s="73" t="e">
        <f>WEEKNUM(M82-RESUMEN!$P$7)</f>
        <v>#NUM!</v>
      </c>
      <c r="O82" s="73">
        <f>_xlfn.DAYS(M82,RESUMEN!$P$7)</f>
        <v>-43242</v>
      </c>
      <c r="P82" s="73"/>
      <c r="Q82" s="73" t="e">
        <f>LOOKUP(P82,FORMULAS!$A:$A,FORMULAS!$B:$B)</f>
        <v>#N/A</v>
      </c>
      <c r="R82" s="78"/>
      <c r="S82" s="73"/>
      <c r="T82" s="73"/>
      <c r="U82" s="73"/>
      <c r="V82" s="73"/>
      <c r="W82" s="73"/>
      <c r="X82" s="73"/>
      <c r="Y82" s="73"/>
      <c r="Z82" s="73" t="e">
        <f>WEEKNUM(Y82-RESUMEN!$AB$7)</f>
        <v>#NUM!</v>
      </c>
      <c r="AA82" s="73">
        <f>_xlfn.DAYS(Y82,RESUMEN!$AB$7)</f>
        <v>-43247</v>
      </c>
      <c r="AB82" s="73"/>
      <c r="AC82" s="73" t="e">
        <f>LOOKUP(AB82,FORMULAS!$A:$A,FORMULAS!$B:$B)</f>
        <v>#N/A</v>
      </c>
      <c r="AD82" s="78"/>
      <c r="AE82" s="73"/>
      <c r="AF82" s="73"/>
      <c r="AG82" s="73"/>
      <c r="AH82" s="73"/>
      <c r="AI82" s="73"/>
      <c r="AJ82" s="73"/>
      <c r="AK82" s="73"/>
      <c r="AL82" s="73" t="e">
        <f>WEEKNUM(AK82-RESUMEN!$AN$7)</f>
        <v>#NUM!</v>
      </c>
      <c r="AM82" s="73">
        <f>_xlfn.DAYS(AK82,RESUMEN!$AN$7)</f>
        <v>-43254</v>
      </c>
      <c r="AN82" s="73"/>
      <c r="AO82" s="73" t="e">
        <f>LOOKUP(AN82,FORMULAS!$A:$A,FORMULAS!$B:$B)</f>
        <v>#N/A</v>
      </c>
      <c r="AP82" s="78"/>
      <c r="AQ82" s="78"/>
      <c r="AR82" s="73"/>
      <c r="AS82" s="73"/>
      <c r="AT82" s="73"/>
      <c r="AU82" s="73"/>
      <c r="AV82" s="73"/>
      <c r="AW82" s="73"/>
      <c r="AX82" s="73" t="e">
        <f>WEEKNUM(AW82-RESUMEN!$AZ$7)</f>
        <v>#NUM!</v>
      </c>
      <c r="AY82" s="73">
        <f>_xlfn.DAYS(AW82,RESUMEN!$AZ$7)</f>
        <v>-43261</v>
      </c>
      <c r="AZ82" s="73"/>
      <c r="BA82" s="73" t="e">
        <f>LOOKUP(AZ82,FORMULAS!$A:$A,FORMULAS!$B:$B)</f>
        <v>#N/A</v>
      </c>
      <c r="BB82" s="78"/>
      <c r="BC82" s="73"/>
      <c r="BD82" s="73"/>
      <c r="BE82" s="73"/>
      <c r="BF82" s="73"/>
      <c r="BG82" s="73"/>
      <c r="BH82" s="73"/>
      <c r="BI82" s="73"/>
      <c r="BJ82" s="73" t="e">
        <f>WEEKNUM(BI82-RESUMEN!$BL$7)</f>
        <v>#NUM!</v>
      </c>
      <c r="BK82" s="73">
        <f>_xlfn.DAYS(BI82,RESUMEN!$BL$7)</f>
        <v>-43267</v>
      </c>
      <c r="BL82" s="73"/>
      <c r="BM82" s="73" t="e">
        <f>LOOKUP(BL82,FORMULAS!$A:$A,FORMULAS!$B:$B)</f>
        <v>#N/A</v>
      </c>
      <c r="BN82" s="78"/>
      <c r="BO82" s="73"/>
      <c r="BP82" s="73"/>
      <c r="BQ82" s="73"/>
      <c r="BR82" s="73"/>
      <c r="BS82" s="73"/>
      <c r="BT82" s="73"/>
    </row>
    <row r="83" spans="1:72" x14ac:dyDescent="0.25">
      <c r="A83" s="75"/>
      <c r="B83" s="74" t="e">
        <f>WEEKNUM(A83-RESUMEN!$D$7)</f>
        <v>#NUM!</v>
      </c>
      <c r="C83" s="74">
        <f>_xlfn.DAYS(A83,RESUMEN!$D$7)</f>
        <v>-43238</v>
      </c>
      <c r="D83" s="75"/>
      <c r="E83" s="73" t="e">
        <f>LOOKUP(D83,FORMULAS!$A:$A,FORMULAS!$B:$B)</f>
        <v>#N/A</v>
      </c>
      <c r="F83" s="80"/>
      <c r="G83" s="75"/>
      <c r="H83" s="75"/>
      <c r="I83" s="73"/>
      <c r="J83" s="73"/>
      <c r="K83" s="73"/>
      <c r="L83" s="73"/>
      <c r="M83" s="73"/>
      <c r="N83" s="73" t="e">
        <f>WEEKNUM(M83-RESUMEN!$P$7)</f>
        <v>#NUM!</v>
      </c>
      <c r="O83" s="73">
        <f>_xlfn.DAYS(M83,RESUMEN!$P$7)</f>
        <v>-43242</v>
      </c>
      <c r="P83" s="73"/>
      <c r="Q83" s="73" t="e">
        <f>LOOKUP(P83,FORMULAS!$A:$A,FORMULAS!$B:$B)</f>
        <v>#N/A</v>
      </c>
      <c r="R83" s="78"/>
      <c r="S83" s="73"/>
      <c r="T83" s="73"/>
      <c r="U83" s="73"/>
      <c r="V83" s="73"/>
      <c r="W83" s="73"/>
      <c r="X83" s="73"/>
      <c r="Y83" s="73"/>
      <c r="Z83" s="73" t="e">
        <f>WEEKNUM(Y83-RESUMEN!$AB$7)</f>
        <v>#NUM!</v>
      </c>
      <c r="AA83" s="73">
        <f>_xlfn.DAYS(Y83,RESUMEN!$AB$7)</f>
        <v>-43247</v>
      </c>
      <c r="AB83" s="73"/>
      <c r="AC83" s="73" t="e">
        <f>LOOKUP(AB83,FORMULAS!$A:$A,FORMULAS!$B:$B)</f>
        <v>#N/A</v>
      </c>
      <c r="AD83" s="78"/>
      <c r="AE83" s="73"/>
      <c r="AF83" s="73"/>
      <c r="AG83" s="73"/>
      <c r="AH83" s="73"/>
      <c r="AI83" s="73"/>
      <c r="AJ83" s="73"/>
      <c r="AK83" s="73"/>
      <c r="AL83" s="73" t="e">
        <f>WEEKNUM(AK83-RESUMEN!$AN$7)</f>
        <v>#NUM!</v>
      </c>
      <c r="AM83" s="73">
        <f>_xlfn.DAYS(AK83,RESUMEN!$AN$7)</f>
        <v>-43254</v>
      </c>
      <c r="AN83" s="73"/>
      <c r="AO83" s="73" t="e">
        <f>LOOKUP(AN83,FORMULAS!$A:$A,FORMULAS!$B:$B)</f>
        <v>#N/A</v>
      </c>
      <c r="AP83" s="78"/>
      <c r="AQ83" s="78"/>
      <c r="AR83" s="73"/>
      <c r="AS83" s="73"/>
      <c r="AT83" s="73"/>
      <c r="AU83" s="73"/>
      <c r="AV83" s="73"/>
      <c r="AW83" s="73"/>
      <c r="AX83" s="73" t="e">
        <f>WEEKNUM(AW83-RESUMEN!$AZ$7)</f>
        <v>#NUM!</v>
      </c>
      <c r="AY83" s="73">
        <f>_xlfn.DAYS(AW83,RESUMEN!$AZ$7)</f>
        <v>-43261</v>
      </c>
      <c r="AZ83" s="73"/>
      <c r="BA83" s="73" t="e">
        <f>LOOKUP(AZ83,FORMULAS!$A:$A,FORMULAS!$B:$B)</f>
        <v>#N/A</v>
      </c>
      <c r="BB83" s="78"/>
      <c r="BC83" s="73"/>
      <c r="BD83" s="73"/>
      <c r="BE83" s="73"/>
      <c r="BF83" s="73"/>
      <c r="BG83" s="73"/>
      <c r="BH83" s="73"/>
      <c r="BI83" s="73"/>
      <c r="BJ83" s="73" t="e">
        <f>WEEKNUM(BI83-RESUMEN!$BL$7)</f>
        <v>#NUM!</v>
      </c>
      <c r="BK83" s="73">
        <f>_xlfn.DAYS(BI83,RESUMEN!$BL$7)</f>
        <v>-43267</v>
      </c>
      <c r="BL83" s="73"/>
      <c r="BM83" s="73" t="e">
        <f>LOOKUP(BL83,FORMULAS!$A:$A,FORMULAS!$B:$B)</f>
        <v>#N/A</v>
      </c>
      <c r="BN83" s="78"/>
      <c r="BO83" s="73"/>
      <c r="BP83" s="73"/>
      <c r="BQ83" s="73"/>
      <c r="BR83" s="73"/>
      <c r="BS83" s="73"/>
      <c r="BT83" s="73"/>
    </row>
    <row r="84" spans="1:72" x14ac:dyDescent="0.25">
      <c r="A84" s="75"/>
      <c r="B84" s="74" t="e">
        <f>WEEKNUM(A84-RESUMEN!$D$7)</f>
        <v>#NUM!</v>
      </c>
      <c r="C84" s="74">
        <f>_xlfn.DAYS(A84,RESUMEN!$D$7)</f>
        <v>-43238</v>
      </c>
      <c r="D84" s="75"/>
      <c r="E84" s="73" t="e">
        <f>LOOKUP(D84,FORMULAS!$A:$A,FORMULAS!$B:$B)</f>
        <v>#N/A</v>
      </c>
      <c r="F84" s="80"/>
      <c r="G84" s="75"/>
      <c r="H84" s="75"/>
      <c r="I84" s="73"/>
      <c r="J84" s="73"/>
      <c r="K84" s="73"/>
      <c r="L84" s="73"/>
      <c r="M84" s="73"/>
      <c r="N84" s="73" t="e">
        <f>WEEKNUM(M84-RESUMEN!$P$7)</f>
        <v>#NUM!</v>
      </c>
      <c r="O84" s="73">
        <f>_xlfn.DAYS(M84,RESUMEN!$P$7)</f>
        <v>-43242</v>
      </c>
      <c r="P84" s="73"/>
      <c r="Q84" s="73" t="e">
        <f>LOOKUP(P84,FORMULAS!$A:$A,FORMULAS!$B:$B)</f>
        <v>#N/A</v>
      </c>
      <c r="R84" s="78"/>
      <c r="S84" s="73"/>
      <c r="T84" s="73"/>
      <c r="U84" s="73"/>
      <c r="V84" s="73"/>
      <c r="W84" s="73"/>
      <c r="X84" s="73"/>
      <c r="Y84" s="73"/>
      <c r="Z84" s="73" t="e">
        <f>WEEKNUM(Y84-RESUMEN!$AB$7)</f>
        <v>#NUM!</v>
      </c>
      <c r="AA84" s="73">
        <f>_xlfn.DAYS(Y84,RESUMEN!$AB$7)</f>
        <v>-43247</v>
      </c>
      <c r="AB84" s="73"/>
      <c r="AC84" s="73" t="e">
        <f>LOOKUP(AB84,FORMULAS!$A:$A,FORMULAS!$B:$B)</f>
        <v>#N/A</v>
      </c>
      <c r="AD84" s="78"/>
      <c r="AE84" s="73"/>
      <c r="AF84" s="73"/>
      <c r="AG84" s="73"/>
      <c r="AH84" s="73"/>
      <c r="AI84" s="73"/>
      <c r="AJ84" s="73"/>
      <c r="AK84" s="73"/>
      <c r="AL84" s="73" t="e">
        <f>WEEKNUM(AK84-RESUMEN!$AN$7)</f>
        <v>#NUM!</v>
      </c>
      <c r="AM84" s="73">
        <f>_xlfn.DAYS(AK84,RESUMEN!$AN$7)</f>
        <v>-43254</v>
      </c>
      <c r="AN84" s="73"/>
      <c r="AO84" s="73" t="e">
        <f>LOOKUP(AN84,FORMULAS!$A:$A,FORMULAS!$B:$B)</f>
        <v>#N/A</v>
      </c>
      <c r="AP84" s="78"/>
      <c r="AQ84" s="78"/>
      <c r="AR84" s="73"/>
      <c r="AS84" s="73"/>
      <c r="AT84" s="73"/>
      <c r="AU84" s="73"/>
      <c r="AV84" s="73"/>
      <c r="AW84" s="73"/>
      <c r="AX84" s="73" t="e">
        <f>WEEKNUM(AW84-RESUMEN!$AZ$7)</f>
        <v>#NUM!</v>
      </c>
      <c r="AY84" s="73">
        <f>_xlfn.DAYS(AW84,RESUMEN!$AZ$7)</f>
        <v>-43261</v>
      </c>
      <c r="AZ84" s="73"/>
      <c r="BA84" s="73" t="e">
        <f>LOOKUP(AZ84,FORMULAS!$A:$A,FORMULAS!$B:$B)</f>
        <v>#N/A</v>
      </c>
      <c r="BB84" s="78"/>
      <c r="BC84" s="73"/>
      <c r="BD84" s="73"/>
      <c r="BE84" s="73"/>
      <c r="BF84" s="73"/>
      <c r="BG84" s="73"/>
      <c r="BH84" s="73"/>
      <c r="BI84" s="73"/>
      <c r="BJ84" s="73" t="e">
        <f>WEEKNUM(BI84-RESUMEN!$BL$7)</f>
        <v>#NUM!</v>
      </c>
      <c r="BK84" s="73">
        <f>_xlfn.DAYS(BI84,RESUMEN!$BL$7)</f>
        <v>-43267</v>
      </c>
      <c r="BL84" s="73"/>
      <c r="BM84" s="73" t="e">
        <f>LOOKUP(BL84,FORMULAS!$A:$A,FORMULAS!$B:$B)</f>
        <v>#N/A</v>
      </c>
      <c r="BN84" s="78"/>
      <c r="BO84" s="73"/>
      <c r="BP84" s="73"/>
      <c r="BQ84" s="73"/>
      <c r="BR84" s="73"/>
      <c r="BS84" s="73"/>
      <c r="BT84" s="73"/>
    </row>
    <row r="85" spans="1:72" x14ac:dyDescent="0.25">
      <c r="A85" s="75"/>
      <c r="B85" s="74" t="e">
        <f>WEEKNUM(A85-RESUMEN!$D$7)</f>
        <v>#NUM!</v>
      </c>
      <c r="C85" s="74">
        <f>_xlfn.DAYS(A85,RESUMEN!$D$7)</f>
        <v>-43238</v>
      </c>
      <c r="D85" s="75"/>
      <c r="E85" s="73" t="e">
        <f>LOOKUP(D85,FORMULAS!$A:$A,FORMULAS!$B:$B)</f>
        <v>#N/A</v>
      </c>
      <c r="F85" s="80"/>
      <c r="G85" s="75"/>
      <c r="H85" s="75"/>
      <c r="I85" s="73"/>
      <c r="J85" s="73"/>
      <c r="K85" s="73"/>
      <c r="L85" s="73"/>
      <c r="M85" s="73"/>
      <c r="N85" s="73" t="e">
        <f>WEEKNUM(M85-RESUMEN!$P$7)</f>
        <v>#NUM!</v>
      </c>
      <c r="O85" s="73">
        <f>_xlfn.DAYS(M85,RESUMEN!$P$7)</f>
        <v>-43242</v>
      </c>
      <c r="P85" s="73"/>
      <c r="Q85" s="73" t="e">
        <f>LOOKUP(P85,FORMULAS!$A:$A,FORMULAS!$B:$B)</f>
        <v>#N/A</v>
      </c>
      <c r="R85" s="78"/>
      <c r="S85" s="73"/>
      <c r="T85" s="73"/>
      <c r="U85" s="73"/>
      <c r="V85" s="73"/>
      <c r="W85" s="73"/>
      <c r="X85" s="73"/>
      <c r="Y85" s="73"/>
      <c r="Z85" s="73" t="e">
        <f>WEEKNUM(Y85-RESUMEN!$AB$7)</f>
        <v>#NUM!</v>
      </c>
      <c r="AA85" s="73">
        <f>_xlfn.DAYS(Y85,RESUMEN!$AB$7)</f>
        <v>-43247</v>
      </c>
      <c r="AB85" s="73"/>
      <c r="AC85" s="73" t="e">
        <f>LOOKUP(AB85,FORMULAS!$A:$A,FORMULAS!$B:$B)</f>
        <v>#N/A</v>
      </c>
      <c r="AD85" s="78"/>
      <c r="AE85" s="73"/>
      <c r="AF85" s="73"/>
      <c r="AG85" s="73"/>
      <c r="AH85" s="73"/>
      <c r="AI85" s="73"/>
      <c r="AJ85" s="73"/>
      <c r="AK85" s="73"/>
      <c r="AL85" s="73" t="e">
        <f>WEEKNUM(AK85-RESUMEN!$AN$7)</f>
        <v>#NUM!</v>
      </c>
      <c r="AM85" s="73">
        <f>_xlfn.DAYS(AK85,RESUMEN!$AN$7)</f>
        <v>-43254</v>
      </c>
      <c r="AN85" s="73"/>
      <c r="AO85" s="73" t="e">
        <f>LOOKUP(AN85,FORMULAS!$A:$A,FORMULAS!$B:$B)</f>
        <v>#N/A</v>
      </c>
      <c r="AP85" s="78"/>
      <c r="AQ85" s="78"/>
      <c r="AR85" s="73"/>
      <c r="AS85" s="73"/>
      <c r="AT85" s="73"/>
      <c r="AU85" s="73"/>
      <c r="AV85" s="73"/>
      <c r="AW85" s="73"/>
      <c r="AX85" s="73" t="e">
        <f>WEEKNUM(AW85-RESUMEN!$AZ$7)</f>
        <v>#NUM!</v>
      </c>
      <c r="AY85" s="73">
        <f>_xlfn.DAYS(AW85,RESUMEN!$AZ$7)</f>
        <v>-43261</v>
      </c>
      <c r="AZ85" s="73"/>
      <c r="BA85" s="73" t="e">
        <f>LOOKUP(AZ85,FORMULAS!$A:$A,FORMULAS!$B:$B)</f>
        <v>#N/A</v>
      </c>
      <c r="BB85" s="78"/>
      <c r="BC85" s="73"/>
      <c r="BD85" s="73"/>
      <c r="BE85" s="73"/>
      <c r="BF85" s="73"/>
      <c r="BG85" s="73"/>
      <c r="BH85" s="73"/>
      <c r="BI85" s="73"/>
      <c r="BJ85" s="73" t="e">
        <f>WEEKNUM(BI85-RESUMEN!$BL$7)</f>
        <v>#NUM!</v>
      </c>
      <c r="BK85" s="73">
        <f>_xlfn.DAYS(BI85,RESUMEN!$BL$7)</f>
        <v>-43267</v>
      </c>
      <c r="BL85" s="73"/>
      <c r="BM85" s="73" t="e">
        <f>LOOKUP(BL85,FORMULAS!$A:$A,FORMULAS!$B:$B)</f>
        <v>#N/A</v>
      </c>
      <c r="BN85" s="78"/>
      <c r="BO85" s="73"/>
      <c r="BP85" s="73"/>
      <c r="BQ85" s="73"/>
      <c r="BR85" s="73"/>
      <c r="BS85" s="73"/>
      <c r="BT85" s="73"/>
    </row>
    <row r="86" spans="1:72" x14ac:dyDescent="0.25">
      <c r="A86" s="75"/>
      <c r="B86" s="74" t="e">
        <f>WEEKNUM(A86-RESUMEN!$D$7)</f>
        <v>#NUM!</v>
      </c>
      <c r="C86" s="74">
        <f>_xlfn.DAYS(A86,RESUMEN!$D$7)</f>
        <v>-43238</v>
      </c>
      <c r="D86" s="75"/>
      <c r="E86" s="73" t="e">
        <f>LOOKUP(D86,FORMULAS!$A:$A,FORMULAS!$B:$B)</f>
        <v>#N/A</v>
      </c>
      <c r="F86" s="80"/>
      <c r="G86" s="75"/>
      <c r="H86" s="75"/>
      <c r="I86" s="73"/>
      <c r="J86" s="73"/>
      <c r="K86" s="73"/>
      <c r="L86" s="73"/>
      <c r="M86" s="73"/>
      <c r="N86" s="73" t="e">
        <f>WEEKNUM(M86-RESUMEN!$P$7)</f>
        <v>#NUM!</v>
      </c>
      <c r="O86" s="73">
        <f>_xlfn.DAYS(M86,RESUMEN!$P$7)</f>
        <v>-43242</v>
      </c>
      <c r="P86" s="73"/>
      <c r="Q86" s="73" t="e">
        <f>LOOKUP(P86,FORMULAS!$A:$A,FORMULAS!$B:$B)</f>
        <v>#N/A</v>
      </c>
      <c r="R86" s="78"/>
      <c r="S86" s="73"/>
      <c r="T86" s="73"/>
      <c r="U86" s="73"/>
      <c r="V86" s="73"/>
      <c r="W86" s="73"/>
      <c r="X86" s="73"/>
      <c r="Y86" s="73"/>
      <c r="Z86" s="73" t="e">
        <f>WEEKNUM(Y86-RESUMEN!$AB$7)</f>
        <v>#NUM!</v>
      </c>
      <c r="AA86" s="73">
        <f>_xlfn.DAYS(Y86,RESUMEN!$AB$7)</f>
        <v>-43247</v>
      </c>
      <c r="AB86" s="73"/>
      <c r="AC86" s="73" t="e">
        <f>LOOKUP(AB86,FORMULAS!$A:$A,FORMULAS!$B:$B)</f>
        <v>#N/A</v>
      </c>
      <c r="AD86" s="78"/>
      <c r="AE86" s="73"/>
      <c r="AF86" s="73"/>
      <c r="AG86" s="73"/>
      <c r="AH86" s="73"/>
      <c r="AI86" s="73"/>
      <c r="AJ86" s="73"/>
      <c r="AK86" s="73"/>
      <c r="AL86" s="73" t="e">
        <f>WEEKNUM(AK86-RESUMEN!$AN$7)</f>
        <v>#NUM!</v>
      </c>
      <c r="AM86" s="73">
        <f>_xlfn.DAYS(AK86,RESUMEN!$AN$7)</f>
        <v>-43254</v>
      </c>
      <c r="AN86" s="73"/>
      <c r="AO86" s="73" t="e">
        <f>LOOKUP(AN86,FORMULAS!$A:$A,FORMULAS!$B:$B)</f>
        <v>#N/A</v>
      </c>
      <c r="AP86" s="78"/>
      <c r="AQ86" s="78"/>
      <c r="AR86" s="73"/>
      <c r="AS86" s="73"/>
      <c r="AT86" s="73"/>
      <c r="AU86" s="73"/>
      <c r="AV86" s="73"/>
      <c r="AW86" s="73"/>
      <c r="AX86" s="73" t="e">
        <f>WEEKNUM(AW86-RESUMEN!$AZ$7)</f>
        <v>#NUM!</v>
      </c>
      <c r="AY86" s="73">
        <f>_xlfn.DAYS(AW86,RESUMEN!$AZ$7)</f>
        <v>-43261</v>
      </c>
      <c r="AZ86" s="73"/>
      <c r="BA86" s="73" t="e">
        <f>LOOKUP(AZ86,FORMULAS!$A:$A,FORMULAS!$B:$B)</f>
        <v>#N/A</v>
      </c>
      <c r="BB86" s="78"/>
      <c r="BC86" s="73"/>
      <c r="BD86" s="73"/>
      <c r="BE86" s="73"/>
      <c r="BF86" s="73"/>
      <c r="BG86" s="73"/>
      <c r="BH86" s="73"/>
      <c r="BI86" s="73"/>
      <c r="BJ86" s="73" t="e">
        <f>WEEKNUM(BI86-RESUMEN!$BL$7)</f>
        <v>#NUM!</v>
      </c>
      <c r="BK86" s="73">
        <f>_xlfn.DAYS(BI86,RESUMEN!$BL$7)</f>
        <v>-43267</v>
      </c>
      <c r="BL86" s="73"/>
      <c r="BM86" s="73" t="e">
        <f>LOOKUP(BL86,FORMULAS!$A:$A,FORMULAS!$B:$B)</f>
        <v>#N/A</v>
      </c>
      <c r="BN86" s="78"/>
      <c r="BO86" s="73"/>
      <c r="BP86" s="73"/>
      <c r="BQ86" s="73"/>
      <c r="BR86" s="73"/>
      <c r="BS86" s="73"/>
      <c r="BT86" s="73"/>
    </row>
    <row r="87" spans="1:72" x14ac:dyDescent="0.25">
      <c r="A87" s="75"/>
      <c r="B87" s="74" t="e">
        <f>WEEKNUM(A87-RESUMEN!$D$7)</f>
        <v>#NUM!</v>
      </c>
      <c r="C87" s="74">
        <f>_xlfn.DAYS(A87,RESUMEN!$D$7)</f>
        <v>-43238</v>
      </c>
      <c r="D87" s="75"/>
      <c r="E87" s="73" t="e">
        <f>LOOKUP(D87,FORMULAS!$A:$A,FORMULAS!$B:$B)</f>
        <v>#N/A</v>
      </c>
      <c r="F87" s="80"/>
      <c r="G87" s="75"/>
      <c r="H87" s="75"/>
      <c r="I87" s="73"/>
      <c r="J87" s="73"/>
      <c r="K87" s="73"/>
      <c r="L87" s="73"/>
      <c r="M87" s="73"/>
      <c r="N87" s="73" t="e">
        <f>WEEKNUM(M87-RESUMEN!$P$7)</f>
        <v>#NUM!</v>
      </c>
      <c r="O87" s="73">
        <f>_xlfn.DAYS(M87,RESUMEN!$P$7)</f>
        <v>-43242</v>
      </c>
      <c r="P87" s="73"/>
      <c r="Q87" s="73" t="e">
        <f>LOOKUP(P87,FORMULAS!$A:$A,FORMULAS!$B:$B)</f>
        <v>#N/A</v>
      </c>
      <c r="R87" s="78"/>
      <c r="S87" s="73"/>
      <c r="T87" s="73"/>
      <c r="U87" s="73"/>
      <c r="V87" s="73"/>
      <c r="W87" s="73"/>
      <c r="X87" s="73"/>
      <c r="Y87" s="73"/>
      <c r="Z87" s="73" t="e">
        <f>WEEKNUM(Y87-RESUMEN!$AB$7)</f>
        <v>#NUM!</v>
      </c>
      <c r="AA87" s="73">
        <f>_xlfn.DAYS(Y87,RESUMEN!$AB$7)</f>
        <v>-43247</v>
      </c>
      <c r="AB87" s="73"/>
      <c r="AC87" s="73" t="e">
        <f>LOOKUP(AB87,FORMULAS!$A:$A,FORMULAS!$B:$B)</f>
        <v>#N/A</v>
      </c>
      <c r="AD87" s="78"/>
      <c r="AE87" s="73"/>
      <c r="AF87" s="73"/>
      <c r="AG87" s="73"/>
      <c r="AH87" s="73"/>
      <c r="AI87" s="73"/>
      <c r="AJ87" s="73"/>
      <c r="AK87" s="73"/>
      <c r="AL87" s="73" t="e">
        <f>WEEKNUM(AK87-RESUMEN!$AN$7)</f>
        <v>#NUM!</v>
      </c>
      <c r="AM87" s="73">
        <f>_xlfn.DAYS(AK87,RESUMEN!$AN$7)</f>
        <v>-43254</v>
      </c>
      <c r="AN87" s="73"/>
      <c r="AO87" s="73" t="e">
        <f>LOOKUP(AN87,FORMULAS!$A:$A,FORMULAS!$B:$B)</f>
        <v>#N/A</v>
      </c>
      <c r="AP87" s="78"/>
      <c r="AQ87" s="78"/>
      <c r="AR87" s="73"/>
      <c r="AS87" s="73"/>
      <c r="AT87" s="73"/>
      <c r="AU87" s="73"/>
      <c r="AV87" s="73"/>
      <c r="AW87" s="73"/>
      <c r="AX87" s="73" t="e">
        <f>WEEKNUM(AW87-RESUMEN!$AZ$7)</f>
        <v>#NUM!</v>
      </c>
      <c r="AY87" s="73">
        <f>_xlfn.DAYS(AW87,RESUMEN!$AZ$7)</f>
        <v>-43261</v>
      </c>
      <c r="AZ87" s="73"/>
      <c r="BA87" s="73" t="e">
        <f>LOOKUP(AZ87,FORMULAS!$A:$A,FORMULAS!$B:$B)</f>
        <v>#N/A</v>
      </c>
      <c r="BB87" s="78"/>
      <c r="BC87" s="73"/>
      <c r="BD87" s="73"/>
      <c r="BE87" s="73"/>
      <c r="BF87" s="73"/>
      <c r="BG87" s="73"/>
      <c r="BH87" s="73"/>
      <c r="BI87" s="73"/>
      <c r="BJ87" s="73" t="e">
        <f>WEEKNUM(BI87-RESUMEN!$BL$7)</f>
        <v>#NUM!</v>
      </c>
      <c r="BK87" s="73">
        <f>_xlfn.DAYS(BI87,RESUMEN!$BL$7)</f>
        <v>-43267</v>
      </c>
      <c r="BL87" s="73"/>
      <c r="BM87" s="73" t="e">
        <f>LOOKUP(BL87,FORMULAS!$A:$A,FORMULAS!$B:$B)</f>
        <v>#N/A</v>
      </c>
      <c r="BN87" s="78"/>
      <c r="BO87" s="73"/>
      <c r="BP87" s="73"/>
      <c r="BQ87" s="73"/>
      <c r="BR87" s="73"/>
      <c r="BS87" s="73"/>
      <c r="BT87" s="73"/>
    </row>
    <row r="88" spans="1:72" x14ac:dyDescent="0.25">
      <c r="A88" s="75"/>
      <c r="B88" s="74" t="e">
        <f>WEEKNUM(A88-RESUMEN!$D$7)</f>
        <v>#NUM!</v>
      </c>
      <c r="C88" s="74">
        <f>_xlfn.DAYS(A88,RESUMEN!$D$7)</f>
        <v>-43238</v>
      </c>
      <c r="D88" s="75"/>
      <c r="E88" s="73" t="e">
        <f>LOOKUP(D88,FORMULAS!$A:$A,FORMULAS!$B:$B)</f>
        <v>#N/A</v>
      </c>
      <c r="F88" s="80"/>
      <c r="G88" s="75"/>
      <c r="H88" s="75"/>
      <c r="I88" s="73"/>
      <c r="J88" s="73"/>
      <c r="K88" s="73"/>
      <c r="L88" s="73"/>
      <c r="M88" s="73"/>
      <c r="N88" s="73" t="e">
        <f>WEEKNUM(M88-RESUMEN!$P$7)</f>
        <v>#NUM!</v>
      </c>
      <c r="O88" s="73">
        <f>_xlfn.DAYS(M88,RESUMEN!$P$7)</f>
        <v>-43242</v>
      </c>
      <c r="P88" s="73"/>
      <c r="Q88" s="73" t="e">
        <f>LOOKUP(P88,FORMULAS!$A:$A,FORMULAS!$B:$B)</f>
        <v>#N/A</v>
      </c>
      <c r="R88" s="78"/>
      <c r="S88" s="73"/>
      <c r="T88" s="73"/>
      <c r="U88" s="73"/>
      <c r="V88" s="73"/>
      <c r="W88" s="73"/>
      <c r="X88" s="73"/>
      <c r="Y88" s="73"/>
      <c r="Z88" s="73" t="e">
        <f>WEEKNUM(Y88-RESUMEN!$AB$7)</f>
        <v>#NUM!</v>
      </c>
      <c r="AA88" s="73">
        <f>_xlfn.DAYS(Y88,RESUMEN!$AB$7)</f>
        <v>-43247</v>
      </c>
      <c r="AB88" s="73"/>
      <c r="AC88" s="73" t="e">
        <f>LOOKUP(AB88,FORMULAS!$A:$A,FORMULAS!$B:$B)</f>
        <v>#N/A</v>
      </c>
      <c r="AD88" s="78"/>
      <c r="AE88" s="73"/>
      <c r="AF88" s="73"/>
      <c r="AG88" s="73"/>
      <c r="AH88" s="73"/>
      <c r="AI88" s="73"/>
      <c r="AJ88" s="73"/>
      <c r="AK88" s="73"/>
      <c r="AL88" s="73" t="e">
        <f>WEEKNUM(AK88-RESUMEN!$AN$7)</f>
        <v>#NUM!</v>
      </c>
      <c r="AM88" s="73">
        <f>_xlfn.DAYS(AK88,RESUMEN!$AN$7)</f>
        <v>-43254</v>
      </c>
      <c r="AN88" s="73"/>
      <c r="AO88" s="73" t="e">
        <f>LOOKUP(AN88,FORMULAS!$A:$A,FORMULAS!$B:$B)</f>
        <v>#N/A</v>
      </c>
      <c r="AP88" s="78"/>
      <c r="AQ88" s="78"/>
      <c r="AR88" s="73"/>
      <c r="AS88" s="73"/>
      <c r="AT88" s="73"/>
      <c r="AU88" s="73"/>
      <c r="AV88" s="73"/>
      <c r="AW88" s="73"/>
      <c r="AX88" s="73" t="e">
        <f>WEEKNUM(AW88-RESUMEN!$AZ$7)</f>
        <v>#NUM!</v>
      </c>
      <c r="AY88" s="73">
        <f>_xlfn.DAYS(AW88,RESUMEN!$AZ$7)</f>
        <v>-43261</v>
      </c>
      <c r="AZ88" s="73"/>
      <c r="BA88" s="73" t="e">
        <f>LOOKUP(AZ88,FORMULAS!$A:$A,FORMULAS!$B:$B)</f>
        <v>#N/A</v>
      </c>
      <c r="BB88" s="78"/>
      <c r="BC88" s="73"/>
      <c r="BD88" s="73"/>
      <c r="BE88" s="73"/>
      <c r="BF88" s="73"/>
      <c r="BG88" s="73"/>
      <c r="BH88" s="73"/>
      <c r="BI88" s="73"/>
      <c r="BJ88" s="73" t="e">
        <f>WEEKNUM(BI88-RESUMEN!$BL$7)</f>
        <v>#NUM!</v>
      </c>
      <c r="BK88" s="73">
        <f>_xlfn.DAYS(BI88,RESUMEN!$BL$7)</f>
        <v>-43267</v>
      </c>
      <c r="BL88" s="73"/>
      <c r="BM88" s="73" t="e">
        <f>LOOKUP(BL88,FORMULAS!$A:$A,FORMULAS!$B:$B)</f>
        <v>#N/A</v>
      </c>
      <c r="BN88" s="78"/>
      <c r="BO88" s="73"/>
      <c r="BP88" s="73"/>
      <c r="BQ88" s="73"/>
      <c r="BR88" s="73"/>
      <c r="BS88" s="73"/>
      <c r="BT88" s="73"/>
    </row>
    <row r="89" spans="1:72" x14ac:dyDescent="0.25">
      <c r="A89" s="75"/>
      <c r="B89" s="74" t="e">
        <f>WEEKNUM(A89-RESUMEN!$D$7)</f>
        <v>#NUM!</v>
      </c>
      <c r="C89" s="74">
        <f>_xlfn.DAYS(A89,RESUMEN!$D$7)</f>
        <v>-43238</v>
      </c>
      <c r="D89" s="75"/>
      <c r="E89" s="73" t="e">
        <f>LOOKUP(D89,FORMULAS!$A:$A,FORMULAS!$B:$B)</f>
        <v>#N/A</v>
      </c>
      <c r="F89" s="80"/>
      <c r="G89" s="75"/>
      <c r="H89" s="75"/>
      <c r="I89" s="73"/>
      <c r="J89" s="73"/>
      <c r="K89" s="73"/>
      <c r="L89" s="73"/>
      <c r="M89" s="73"/>
      <c r="N89" s="73" t="e">
        <f>WEEKNUM(M89-RESUMEN!$P$7)</f>
        <v>#NUM!</v>
      </c>
      <c r="O89" s="73">
        <f>_xlfn.DAYS(M89,RESUMEN!$P$7)</f>
        <v>-43242</v>
      </c>
      <c r="P89" s="73"/>
      <c r="Q89" s="73" t="e">
        <f>LOOKUP(P89,FORMULAS!$A:$A,FORMULAS!$B:$B)</f>
        <v>#N/A</v>
      </c>
      <c r="R89" s="78"/>
      <c r="S89" s="73"/>
      <c r="T89" s="73"/>
      <c r="U89" s="73"/>
      <c r="V89" s="73"/>
      <c r="W89" s="73"/>
      <c r="X89" s="73"/>
      <c r="Y89" s="73"/>
      <c r="Z89" s="73" t="e">
        <f>WEEKNUM(Y89-RESUMEN!$AB$7)</f>
        <v>#NUM!</v>
      </c>
      <c r="AA89" s="73">
        <f>_xlfn.DAYS(Y89,RESUMEN!$AB$7)</f>
        <v>-43247</v>
      </c>
      <c r="AB89" s="73"/>
      <c r="AC89" s="73" t="e">
        <f>LOOKUP(AB89,FORMULAS!$A:$A,FORMULAS!$B:$B)</f>
        <v>#N/A</v>
      </c>
      <c r="AD89" s="78"/>
      <c r="AE89" s="73"/>
      <c r="AF89" s="73"/>
      <c r="AG89" s="73"/>
      <c r="AH89" s="73"/>
      <c r="AI89" s="73"/>
      <c r="AJ89" s="73"/>
      <c r="AK89" s="73"/>
      <c r="AL89" s="73" t="e">
        <f>WEEKNUM(AK89-RESUMEN!$AN$7)</f>
        <v>#NUM!</v>
      </c>
      <c r="AM89" s="73">
        <f>_xlfn.DAYS(AK89,RESUMEN!$AN$7)</f>
        <v>-43254</v>
      </c>
      <c r="AN89" s="73"/>
      <c r="AO89" s="73" t="e">
        <f>LOOKUP(AN89,FORMULAS!$A:$A,FORMULAS!$B:$B)</f>
        <v>#N/A</v>
      </c>
      <c r="AP89" s="78"/>
      <c r="AQ89" s="78"/>
      <c r="AR89" s="73"/>
      <c r="AS89" s="73"/>
      <c r="AT89" s="73"/>
      <c r="AU89" s="73"/>
      <c r="AV89" s="73"/>
      <c r="AW89" s="73"/>
      <c r="AX89" s="73" t="e">
        <f>WEEKNUM(AW89-RESUMEN!$AZ$7)</f>
        <v>#NUM!</v>
      </c>
      <c r="AY89" s="73">
        <f>_xlfn.DAYS(AW89,RESUMEN!$AZ$7)</f>
        <v>-43261</v>
      </c>
      <c r="AZ89" s="73"/>
      <c r="BA89" s="73" t="e">
        <f>LOOKUP(AZ89,FORMULAS!$A:$A,FORMULAS!$B:$B)</f>
        <v>#N/A</v>
      </c>
      <c r="BB89" s="78"/>
      <c r="BC89" s="73"/>
      <c r="BD89" s="73"/>
      <c r="BE89" s="73"/>
      <c r="BF89" s="73"/>
      <c r="BG89" s="73"/>
      <c r="BH89" s="73"/>
      <c r="BI89" s="73"/>
      <c r="BJ89" s="73" t="e">
        <f>WEEKNUM(BI89-RESUMEN!$BL$7)</f>
        <v>#NUM!</v>
      </c>
      <c r="BK89" s="73">
        <f>_xlfn.DAYS(BI89,RESUMEN!$BL$7)</f>
        <v>-43267</v>
      </c>
      <c r="BL89" s="73"/>
      <c r="BM89" s="73" t="e">
        <f>LOOKUP(BL89,FORMULAS!$A:$A,FORMULAS!$B:$B)</f>
        <v>#N/A</v>
      </c>
      <c r="BN89" s="78"/>
      <c r="BO89" s="73"/>
      <c r="BP89" s="73"/>
      <c r="BQ89" s="73"/>
      <c r="BR89" s="73"/>
      <c r="BS89" s="73"/>
      <c r="BT89" s="73"/>
    </row>
    <row r="90" spans="1:72" x14ac:dyDescent="0.25">
      <c r="A90" s="75"/>
      <c r="B90" s="74" t="e">
        <f>WEEKNUM(A90-RESUMEN!$D$7)</f>
        <v>#NUM!</v>
      </c>
      <c r="C90" s="74">
        <f>_xlfn.DAYS(A90,RESUMEN!$D$7)</f>
        <v>-43238</v>
      </c>
      <c r="D90" s="75"/>
      <c r="E90" s="73" t="e">
        <f>LOOKUP(D90,FORMULAS!$A:$A,FORMULAS!$B:$B)</f>
        <v>#N/A</v>
      </c>
      <c r="F90" s="80"/>
      <c r="G90" s="75"/>
      <c r="H90" s="75"/>
      <c r="I90" s="73"/>
      <c r="J90" s="73"/>
      <c r="K90" s="73"/>
      <c r="L90" s="73"/>
      <c r="M90" s="73"/>
      <c r="N90" s="73" t="e">
        <f>WEEKNUM(M90-RESUMEN!$P$7)</f>
        <v>#NUM!</v>
      </c>
      <c r="O90" s="73">
        <f>_xlfn.DAYS(M90,RESUMEN!$P$7)</f>
        <v>-43242</v>
      </c>
      <c r="P90" s="73"/>
      <c r="Q90" s="73" t="e">
        <f>LOOKUP(P90,FORMULAS!$A:$A,FORMULAS!$B:$B)</f>
        <v>#N/A</v>
      </c>
      <c r="R90" s="78"/>
      <c r="S90" s="73"/>
      <c r="T90" s="73"/>
      <c r="U90" s="73"/>
      <c r="V90" s="73"/>
      <c r="W90" s="73"/>
      <c r="X90" s="73"/>
      <c r="Y90" s="73"/>
      <c r="Z90" s="73" t="e">
        <f>WEEKNUM(Y90-RESUMEN!$AB$7)</f>
        <v>#NUM!</v>
      </c>
      <c r="AA90" s="73">
        <f>_xlfn.DAYS(Y90,RESUMEN!$AB$7)</f>
        <v>-43247</v>
      </c>
      <c r="AB90" s="73"/>
      <c r="AC90" s="73" t="e">
        <f>LOOKUP(AB90,FORMULAS!$A:$A,FORMULAS!$B:$B)</f>
        <v>#N/A</v>
      </c>
      <c r="AD90" s="78"/>
      <c r="AE90" s="73"/>
      <c r="AF90" s="73"/>
      <c r="AG90" s="73"/>
      <c r="AH90" s="73"/>
      <c r="AI90" s="73"/>
      <c r="AJ90" s="73"/>
      <c r="AK90" s="73"/>
      <c r="AL90" s="73" t="e">
        <f>WEEKNUM(AK90-RESUMEN!$AN$7)</f>
        <v>#NUM!</v>
      </c>
      <c r="AM90" s="73">
        <f>_xlfn.DAYS(AK90,RESUMEN!$AN$7)</f>
        <v>-43254</v>
      </c>
      <c r="AN90" s="73"/>
      <c r="AO90" s="73" t="e">
        <f>LOOKUP(AN90,FORMULAS!$A:$A,FORMULAS!$B:$B)</f>
        <v>#N/A</v>
      </c>
      <c r="AP90" s="78"/>
      <c r="AQ90" s="78"/>
      <c r="AR90" s="73"/>
      <c r="AS90" s="73"/>
      <c r="AT90" s="73"/>
      <c r="AU90" s="73"/>
      <c r="AV90" s="73"/>
      <c r="AW90" s="73"/>
      <c r="AX90" s="73" t="e">
        <f>WEEKNUM(AW90-RESUMEN!$AZ$7)</f>
        <v>#NUM!</v>
      </c>
      <c r="AY90" s="73">
        <f>_xlfn.DAYS(AW90,RESUMEN!$AZ$7)</f>
        <v>-43261</v>
      </c>
      <c r="AZ90" s="73"/>
      <c r="BA90" s="73" t="e">
        <f>LOOKUP(AZ90,FORMULAS!$A:$A,FORMULAS!$B:$B)</f>
        <v>#N/A</v>
      </c>
      <c r="BB90" s="78"/>
      <c r="BC90" s="73"/>
      <c r="BD90" s="73"/>
      <c r="BE90" s="73"/>
      <c r="BF90" s="73"/>
      <c r="BG90" s="73"/>
      <c r="BH90" s="73"/>
      <c r="BI90" s="73"/>
      <c r="BJ90" s="73" t="e">
        <f>WEEKNUM(BI90-RESUMEN!$BL$7)</f>
        <v>#NUM!</v>
      </c>
      <c r="BK90" s="73">
        <f>_xlfn.DAYS(BI90,RESUMEN!$BL$7)</f>
        <v>-43267</v>
      </c>
      <c r="BL90" s="73"/>
      <c r="BM90" s="73" t="e">
        <f>LOOKUP(BL90,FORMULAS!$A:$A,FORMULAS!$B:$B)</f>
        <v>#N/A</v>
      </c>
      <c r="BN90" s="78"/>
      <c r="BO90" s="73"/>
      <c r="BP90" s="73"/>
      <c r="BQ90" s="73"/>
      <c r="BR90" s="73"/>
      <c r="BS90" s="73"/>
      <c r="BT90" s="73"/>
    </row>
    <row r="91" spans="1:72" x14ac:dyDescent="0.25">
      <c r="A91" s="75"/>
      <c r="B91" s="74" t="e">
        <f>WEEKNUM(A91-RESUMEN!$D$7)</f>
        <v>#NUM!</v>
      </c>
      <c r="C91" s="74">
        <f>_xlfn.DAYS(A91,RESUMEN!$D$7)</f>
        <v>-43238</v>
      </c>
      <c r="D91" s="75"/>
      <c r="E91" s="73" t="e">
        <f>LOOKUP(D91,FORMULAS!$A:$A,FORMULAS!$B:$B)</f>
        <v>#N/A</v>
      </c>
      <c r="F91" s="80"/>
      <c r="G91" s="75"/>
      <c r="H91" s="75"/>
      <c r="I91" s="73"/>
      <c r="J91" s="73"/>
      <c r="K91" s="73"/>
      <c r="L91" s="73"/>
      <c r="M91" s="73"/>
      <c r="N91" s="73" t="e">
        <f>WEEKNUM(M91-RESUMEN!$P$7)</f>
        <v>#NUM!</v>
      </c>
      <c r="O91" s="73">
        <f>_xlfn.DAYS(M91,RESUMEN!$P$7)</f>
        <v>-43242</v>
      </c>
      <c r="P91" s="73"/>
      <c r="Q91" s="73" t="e">
        <f>LOOKUP(P91,FORMULAS!$A:$A,FORMULAS!$B:$B)</f>
        <v>#N/A</v>
      </c>
      <c r="R91" s="78"/>
      <c r="S91" s="73"/>
      <c r="T91" s="73"/>
      <c r="U91" s="73"/>
      <c r="V91" s="73"/>
      <c r="W91" s="73"/>
      <c r="X91" s="73"/>
      <c r="Y91" s="73"/>
      <c r="Z91" s="73" t="e">
        <f>WEEKNUM(Y91-RESUMEN!$AB$7)</f>
        <v>#NUM!</v>
      </c>
      <c r="AA91" s="73">
        <f>_xlfn.DAYS(Y91,RESUMEN!$AB$7)</f>
        <v>-43247</v>
      </c>
      <c r="AB91" s="73"/>
      <c r="AC91" s="73" t="e">
        <f>LOOKUP(AB91,FORMULAS!$A:$A,FORMULAS!$B:$B)</f>
        <v>#N/A</v>
      </c>
      <c r="AD91" s="78"/>
      <c r="AE91" s="73"/>
      <c r="AF91" s="73"/>
      <c r="AG91" s="73"/>
      <c r="AH91" s="73"/>
      <c r="AI91" s="73"/>
      <c r="AJ91" s="73"/>
      <c r="AK91" s="73"/>
      <c r="AL91" s="73" t="e">
        <f>WEEKNUM(AK91-RESUMEN!$AN$7)</f>
        <v>#NUM!</v>
      </c>
      <c r="AM91" s="73">
        <f>_xlfn.DAYS(AK91,RESUMEN!$AN$7)</f>
        <v>-43254</v>
      </c>
      <c r="AN91" s="73"/>
      <c r="AO91" s="73" t="e">
        <f>LOOKUP(AN91,FORMULAS!$A:$A,FORMULAS!$B:$B)</f>
        <v>#N/A</v>
      </c>
      <c r="AP91" s="78"/>
      <c r="AQ91" s="78"/>
      <c r="AR91" s="73"/>
      <c r="AS91" s="73"/>
      <c r="AT91" s="73"/>
      <c r="AU91" s="73"/>
      <c r="AV91" s="73"/>
      <c r="AW91" s="73"/>
      <c r="AX91" s="73" t="e">
        <f>WEEKNUM(AW91-RESUMEN!$AZ$7)</f>
        <v>#NUM!</v>
      </c>
      <c r="AY91" s="73">
        <f>_xlfn.DAYS(AW91,RESUMEN!$AZ$7)</f>
        <v>-43261</v>
      </c>
      <c r="AZ91" s="73"/>
      <c r="BA91" s="73" t="e">
        <f>LOOKUP(AZ91,FORMULAS!$A:$A,FORMULAS!$B:$B)</f>
        <v>#N/A</v>
      </c>
      <c r="BB91" s="78"/>
      <c r="BC91" s="73"/>
      <c r="BD91" s="73"/>
      <c r="BE91" s="73"/>
      <c r="BF91" s="73"/>
      <c r="BG91" s="73"/>
      <c r="BH91" s="73"/>
      <c r="BI91" s="73"/>
      <c r="BJ91" s="73" t="e">
        <f>WEEKNUM(BI91-RESUMEN!$BL$7)</f>
        <v>#NUM!</v>
      </c>
      <c r="BK91" s="73">
        <f>_xlfn.DAYS(BI91,RESUMEN!$BL$7)</f>
        <v>-43267</v>
      </c>
      <c r="BL91" s="73"/>
      <c r="BM91" s="73" t="e">
        <f>LOOKUP(BL91,FORMULAS!$A:$A,FORMULAS!$B:$B)</f>
        <v>#N/A</v>
      </c>
      <c r="BN91" s="78"/>
      <c r="BO91" s="73"/>
      <c r="BP91" s="73"/>
      <c r="BQ91" s="73"/>
      <c r="BR91" s="73"/>
      <c r="BS91" s="73"/>
      <c r="BT91" s="73"/>
    </row>
    <row r="92" spans="1:72" x14ac:dyDescent="0.25">
      <c r="A92" s="75"/>
      <c r="B92" s="74" t="e">
        <f>WEEKNUM(A92-RESUMEN!$D$7)</f>
        <v>#NUM!</v>
      </c>
      <c r="C92" s="74">
        <f>_xlfn.DAYS(A92,RESUMEN!$D$7)</f>
        <v>-43238</v>
      </c>
      <c r="D92" s="75"/>
      <c r="E92" s="73" t="e">
        <f>LOOKUP(D92,FORMULAS!$A:$A,FORMULAS!$B:$B)</f>
        <v>#N/A</v>
      </c>
      <c r="F92" s="80"/>
      <c r="G92" s="75"/>
      <c r="H92" s="75"/>
      <c r="I92" s="73"/>
      <c r="J92" s="73"/>
      <c r="K92" s="73"/>
      <c r="L92" s="73"/>
      <c r="M92" s="73"/>
      <c r="N92" s="73" t="e">
        <f>WEEKNUM(M92-RESUMEN!$P$7)</f>
        <v>#NUM!</v>
      </c>
      <c r="O92" s="73">
        <f>_xlfn.DAYS(M92,RESUMEN!$P$7)</f>
        <v>-43242</v>
      </c>
      <c r="P92" s="73"/>
      <c r="Q92" s="73" t="e">
        <f>LOOKUP(P92,FORMULAS!$A:$A,FORMULAS!$B:$B)</f>
        <v>#N/A</v>
      </c>
      <c r="R92" s="78"/>
      <c r="S92" s="73"/>
      <c r="T92" s="73"/>
      <c r="U92" s="73"/>
      <c r="V92" s="73"/>
      <c r="W92" s="73"/>
      <c r="X92" s="73"/>
      <c r="Y92" s="73"/>
      <c r="Z92" s="73" t="e">
        <f>WEEKNUM(Y92-RESUMEN!$AB$7)</f>
        <v>#NUM!</v>
      </c>
      <c r="AA92" s="73">
        <f>_xlfn.DAYS(Y92,RESUMEN!$AB$7)</f>
        <v>-43247</v>
      </c>
      <c r="AB92" s="73"/>
      <c r="AC92" s="73" t="e">
        <f>LOOKUP(AB92,FORMULAS!$A:$A,FORMULAS!$B:$B)</f>
        <v>#N/A</v>
      </c>
      <c r="AD92" s="78"/>
      <c r="AE92" s="73"/>
      <c r="AF92" s="73"/>
      <c r="AG92" s="73"/>
      <c r="AH92" s="73"/>
      <c r="AI92" s="73"/>
      <c r="AJ92" s="73"/>
      <c r="AK92" s="73"/>
      <c r="AL92" s="73" t="e">
        <f>WEEKNUM(AK92-RESUMEN!$AN$7)</f>
        <v>#NUM!</v>
      </c>
      <c r="AM92" s="73">
        <f>_xlfn.DAYS(AK92,RESUMEN!$AN$7)</f>
        <v>-43254</v>
      </c>
      <c r="AN92" s="73"/>
      <c r="AO92" s="73" t="e">
        <f>LOOKUP(AN92,FORMULAS!$A:$A,FORMULAS!$B:$B)</f>
        <v>#N/A</v>
      </c>
      <c r="AP92" s="78"/>
      <c r="AQ92" s="78"/>
      <c r="AR92" s="73"/>
      <c r="AS92" s="73"/>
      <c r="AT92" s="73"/>
      <c r="AU92" s="73"/>
      <c r="AV92" s="73"/>
      <c r="AW92" s="73"/>
      <c r="AX92" s="73" t="e">
        <f>WEEKNUM(AW92-RESUMEN!$AZ$7)</f>
        <v>#NUM!</v>
      </c>
      <c r="AY92" s="73">
        <f>_xlfn.DAYS(AW92,RESUMEN!$AZ$7)</f>
        <v>-43261</v>
      </c>
      <c r="AZ92" s="73"/>
      <c r="BA92" s="73" t="e">
        <f>LOOKUP(AZ92,FORMULAS!$A:$A,FORMULAS!$B:$B)</f>
        <v>#N/A</v>
      </c>
      <c r="BB92" s="78"/>
      <c r="BC92" s="73"/>
      <c r="BD92" s="73"/>
      <c r="BE92" s="73"/>
      <c r="BF92" s="73"/>
      <c r="BG92" s="73"/>
      <c r="BH92" s="73"/>
      <c r="BI92" s="73"/>
      <c r="BJ92" s="73" t="e">
        <f>WEEKNUM(BI92-RESUMEN!$BL$7)</f>
        <v>#NUM!</v>
      </c>
      <c r="BK92" s="73">
        <f>_xlfn.DAYS(BI92,RESUMEN!$BL$7)</f>
        <v>-43267</v>
      </c>
      <c r="BL92" s="73"/>
      <c r="BM92" s="73" t="e">
        <f>LOOKUP(BL92,FORMULAS!$A:$A,FORMULAS!$B:$B)</f>
        <v>#N/A</v>
      </c>
      <c r="BN92" s="78"/>
      <c r="BO92" s="73"/>
      <c r="BP92" s="73"/>
      <c r="BQ92" s="73"/>
      <c r="BR92" s="73"/>
      <c r="BS92" s="73"/>
      <c r="BT92" s="73"/>
    </row>
    <row r="93" spans="1:72" x14ac:dyDescent="0.25">
      <c r="A93" s="75"/>
      <c r="B93" s="74" t="e">
        <f>WEEKNUM(A93-RESUMEN!$D$7)</f>
        <v>#NUM!</v>
      </c>
      <c r="C93" s="74">
        <f>_xlfn.DAYS(A93,RESUMEN!$D$7)</f>
        <v>-43238</v>
      </c>
      <c r="D93" s="75"/>
      <c r="E93" s="73" t="e">
        <f>LOOKUP(D93,FORMULAS!$A:$A,FORMULAS!$B:$B)</f>
        <v>#N/A</v>
      </c>
      <c r="F93" s="80"/>
      <c r="G93" s="75"/>
      <c r="H93" s="75"/>
      <c r="I93" s="73"/>
      <c r="J93" s="73"/>
      <c r="K93" s="73"/>
      <c r="L93" s="73"/>
      <c r="M93" s="73"/>
      <c r="N93" s="73" t="e">
        <f>WEEKNUM(M93-RESUMEN!$P$7)</f>
        <v>#NUM!</v>
      </c>
      <c r="O93" s="73">
        <f>_xlfn.DAYS(M93,RESUMEN!$P$7)</f>
        <v>-43242</v>
      </c>
      <c r="P93" s="73"/>
      <c r="Q93" s="73" t="e">
        <f>LOOKUP(P93,FORMULAS!$A:$A,FORMULAS!$B:$B)</f>
        <v>#N/A</v>
      </c>
      <c r="R93" s="78"/>
      <c r="S93" s="73"/>
      <c r="T93" s="73"/>
      <c r="U93" s="73"/>
      <c r="V93" s="73"/>
      <c r="W93" s="73"/>
      <c r="X93" s="73"/>
      <c r="Y93" s="73"/>
      <c r="Z93" s="73" t="e">
        <f>WEEKNUM(Y93-RESUMEN!$AB$7)</f>
        <v>#NUM!</v>
      </c>
      <c r="AA93" s="73">
        <f>_xlfn.DAYS(Y93,RESUMEN!$AB$7)</f>
        <v>-43247</v>
      </c>
      <c r="AB93" s="73"/>
      <c r="AC93" s="73" t="e">
        <f>LOOKUP(AB93,FORMULAS!$A:$A,FORMULAS!$B:$B)</f>
        <v>#N/A</v>
      </c>
      <c r="AD93" s="78"/>
      <c r="AE93" s="73"/>
      <c r="AF93" s="73"/>
      <c r="AG93" s="73"/>
      <c r="AH93" s="73"/>
      <c r="AI93" s="73"/>
      <c r="AJ93" s="73"/>
      <c r="AK93" s="73"/>
      <c r="AL93" s="73" t="e">
        <f>WEEKNUM(AK93-RESUMEN!$AN$7)</f>
        <v>#NUM!</v>
      </c>
      <c r="AM93" s="73">
        <f>_xlfn.DAYS(AK93,RESUMEN!$AN$7)</f>
        <v>-43254</v>
      </c>
      <c r="AN93" s="73"/>
      <c r="AO93" s="73" t="e">
        <f>LOOKUP(AN93,FORMULAS!$A:$A,FORMULAS!$B:$B)</f>
        <v>#N/A</v>
      </c>
      <c r="AP93" s="78"/>
      <c r="AQ93" s="78"/>
      <c r="AR93" s="73"/>
      <c r="AS93" s="73"/>
      <c r="AT93" s="73"/>
      <c r="AU93" s="73"/>
      <c r="AV93" s="73"/>
      <c r="AW93" s="73"/>
      <c r="AX93" s="73" t="e">
        <f>WEEKNUM(AW93-RESUMEN!$AZ$7)</f>
        <v>#NUM!</v>
      </c>
      <c r="AY93" s="73">
        <f>_xlfn.DAYS(AW93,RESUMEN!$AZ$7)</f>
        <v>-43261</v>
      </c>
      <c r="AZ93" s="73"/>
      <c r="BA93" s="73" t="e">
        <f>LOOKUP(AZ93,FORMULAS!$A:$A,FORMULAS!$B:$B)</f>
        <v>#N/A</v>
      </c>
      <c r="BB93" s="78"/>
      <c r="BC93" s="73"/>
      <c r="BD93" s="73"/>
      <c r="BE93" s="73"/>
      <c r="BF93" s="73"/>
      <c r="BG93" s="73"/>
      <c r="BH93" s="73"/>
      <c r="BI93" s="73"/>
      <c r="BJ93" s="73" t="e">
        <f>WEEKNUM(BI93-RESUMEN!$BL$7)</f>
        <v>#NUM!</v>
      </c>
      <c r="BK93" s="73">
        <f>_xlfn.DAYS(BI93,RESUMEN!$BL$7)</f>
        <v>-43267</v>
      </c>
      <c r="BL93" s="73"/>
      <c r="BM93" s="73" t="e">
        <f>LOOKUP(BL93,FORMULAS!$A:$A,FORMULAS!$B:$B)</f>
        <v>#N/A</v>
      </c>
      <c r="BN93" s="78"/>
      <c r="BO93" s="73"/>
      <c r="BP93" s="73"/>
      <c r="BQ93" s="73"/>
      <c r="BR93" s="73"/>
      <c r="BS93" s="73"/>
      <c r="BT93" s="73"/>
    </row>
    <row r="94" spans="1:72" x14ac:dyDescent="0.25">
      <c r="A94" s="75"/>
      <c r="B94" s="74" t="e">
        <f>WEEKNUM(A94-RESUMEN!$D$7)</f>
        <v>#NUM!</v>
      </c>
      <c r="C94" s="74">
        <f>_xlfn.DAYS(A94,RESUMEN!$D$7)</f>
        <v>-43238</v>
      </c>
      <c r="D94" s="75"/>
      <c r="E94" s="73" t="e">
        <f>LOOKUP(D94,FORMULAS!$A:$A,FORMULAS!$B:$B)</f>
        <v>#N/A</v>
      </c>
      <c r="F94" s="80"/>
      <c r="G94" s="75"/>
      <c r="H94" s="75"/>
      <c r="I94" s="73"/>
      <c r="J94" s="73"/>
      <c r="K94" s="73"/>
      <c r="L94" s="73"/>
      <c r="M94" s="73"/>
      <c r="N94" s="73" t="e">
        <f>WEEKNUM(M94-RESUMEN!$P$7)</f>
        <v>#NUM!</v>
      </c>
      <c r="O94" s="73">
        <f>_xlfn.DAYS(M94,RESUMEN!$P$7)</f>
        <v>-43242</v>
      </c>
      <c r="P94" s="73"/>
      <c r="Q94" s="73" t="e">
        <f>LOOKUP(P94,FORMULAS!$A:$A,FORMULAS!$B:$B)</f>
        <v>#N/A</v>
      </c>
      <c r="R94" s="78"/>
      <c r="S94" s="73"/>
      <c r="T94" s="73"/>
      <c r="U94" s="73"/>
      <c r="V94" s="73"/>
      <c r="W94" s="73"/>
      <c r="X94" s="73"/>
      <c r="Y94" s="73"/>
      <c r="Z94" s="73" t="e">
        <f>WEEKNUM(Y94-RESUMEN!$AB$7)</f>
        <v>#NUM!</v>
      </c>
      <c r="AA94" s="73">
        <f>_xlfn.DAYS(Y94,RESUMEN!$AB$7)</f>
        <v>-43247</v>
      </c>
      <c r="AB94" s="73"/>
      <c r="AC94" s="73" t="e">
        <f>LOOKUP(AB94,FORMULAS!$A:$A,FORMULAS!$B:$B)</f>
        <v>#N/A</v>
      </c>
      <c r="AD94" s="78"/>
      <c r="AE94" s="73"/>
      <c r="AF94" s="73"/>
      <c r="AG94" s="73"/>
      <c r="AH94" s="73"/>
      <c r="AI94" s="73"/>
      <c r="AJ94" s="73"/>
      <c r="AK94" s="73"/>
      <c r="AL94" s="73" t="e">
        <f>WEEKNUM(AK94-RESUMEN!$AN$7)</f>
        <v>#NUM!</v>
      </c>
      <c r="AM94" s="73">
        <f>_xlfn.DAYS(AK94,RESUMEN!$AN$7)</f>
        <v>-43254</v>
      </c>
      <c r="AN94" s="73"/>
      <c r="AO94" s="73" t="e">
        <f>LOOKUP(AN94,FORMULAS!$A:$A,FORMULAS!$B:$B)</f>
        <v>#N/A</v>
      </c>
      <c r="AP94" s="78"/>
      <c r="AQ94" s="78"/>
      <c r="AR94" s="73"/>
      <c r="AS94" s="73"/>
      <c r="AT94" s="73"/>
      <c r="AU94" s="73"/>
      <c r="AV94" s="73"/>
      <c r="AW94" s="73"/>
      <c r="AX94" s="73" t="e">
        <f>WEEKNUM(AW94-RESUMEN!$AZ$7)</f>
        <v>#NUM!</v>
      </c>
      <c r="AY94" s="73">
        <f>_xlfn.DAYS(AW94,RESUMEN!$AZ$7)</f>
        <v>-43261</v>
      </c>
      <c r="AZ94" s="73"/>
      <c r="BA94" s="73" t="e">
        <f>LOOKUP(AZ94,FORMULAS!$A:$A,FORMULAS!$B:$B)</f>
        <v>#N/A</v>
      </c>
      <c r="BB94" s="78"/>
      <c r="BC94" s="73"/>
      <c r="BD94" s="73"/>
      <c r="BE94" s="73"/>
      <c r="BF94" s="73"/>
      <c r="BG94" s="73"/>
      <c r="BH94" s="73"/>
      <c r="BI94" s="73"/>
      <c r="BJ94" s="73" t="e">
        <f>WEEKNUM(BI94-RESUMEN!$BL$7)</f>
        <v>#NUM!</v>
      </c>
      <c r="BK94" s="73">
        <f>_xlfn.DAYS(BI94,RESUMEN!$BL$7)</f>
        <v>-43267</v>
      </c>
      <c r="BL94" s="73"/>
      <c r="BM94" s="73" t="e">
        <f>LOOKUP(BL94,FORMULAS!$A:$A,FORMULAS!$B:$B)</f>
        <v>#N/A</v>
      </c>
      <c r="BN94" s="78"/>
      <c r="BO94" s="73"/>
      <c r="BP94" s="73"/>
      <c r="BQ94" s="73"/>
      <c r="BR94" s="73"/>
      <c r="BS94" s="73"/>
      <c r="BT94" s="73"/>
    </row>
    <row r="95" spans="1:72" x14ac:dyDescent="0.25">
      <c r="A95" s="75"/>
      <c r="B95" s="74" t="e">
        <f>WEEKNUM(A95-RESUMEN!$D$7)</f>
        <v>#NUM!</v>
      </c>
      <c r="C95" s="74">
        <f>_xlfn.DAYS(A95,RESUMEN!$D$7)</f>
        <v>-43238</v>
      </c>
      <c r="D95" s="75"/>
      <c r="E95" s="73" t="e">
        <f>LOOKUP(D95,FORMULAS!$A:$A,FORMULAS!$B:$B)</f>
        <v>#N/A</v>
      </c>
      <c r="F95" s="80"/>
      <c r="G95" s="75"/>
      <c r="H95" s="75"/>
      <c r="I95" s="73"/>
      <c r="J95" s="73"/>
      <c r="K95" s="73"/>
      <c r="L95" s="73"/>
      <c r="M95" s="73"/>
      <c r="N95" s="73" t="e">
        <f>WEEKNUM(M95-RESUMEN!$P$7)</f>
        <v>#NUM!</v>
      </c>
      <c r="O95" s="73">
        <f>_xlfn.DAYS(M95,RESUMEN!$P$7)</f>
        <v>-43242</v>
      </c>
      <c r="P95" s="73"/>
      <c r="Q95" s="73" t="e">
        <f>LOOKUP(P95,FORMULAS!$A:$A,FORMULAS!$B:$B)</f>
        <v>#N/A</v>
      </c>
      <c r="R95" s="78"/>
      <c r="S95" s="73"/>
      <c r="T95" s="73"/>
      <c r="U95" s="73"/>
      <c r="V95" s="73"/>
      <c r="W95" s="73"/>
      <c r="X95" s="73"/>
      <c r="Y95" s="73"/>
      <c r="Z95" s="73" t="e">
        <f>WEEKNUM(Y95-RESUMEN!$AB$7)</f>
        <v>#NUM!</v>
      </c>
      <c r="AA95" s="73">
        <f>_xlfn.DAYS(Y95,RESUMEN!$AB$7)</f>
        <v>-43247</v>
      </c>
      <c r="AB95" s="73"/>
      <c r="AC95" s="73" t="e">
        <f>LOOKUP(AB95,FORMULAS!$A:$A,FORMULAS!$B:$B)</f>
        <v>#N/A</v>
      </c>
      <c r="AD95" s="78"/>
      <c r="AE95" s="73"/>
      <c r="AF95" s="73"/>
      <c r="AG95" s="73"/>
      <c r="AH95" s="73"/>
      <c r="AI95" s="73"/>
      <c r="AJ95" s="73"/>
      <c r="AK95" s="73"/>
      <c r="AL95" s="73" t="e">
        <f>WEEKNUM(AK95-RESUMEN!$AN$7)</f>
        <v>#NUM!</v>
      </c>
      <c r="AM95" s="73">
        <f>_xlfn.DAYS(AK95,RESUMEN!$AN$7)</f>
        <v>-43254</v>
      </c>
      <c r="AN95" s="73"/>
      <c r="AO95" s="73" t="e">
        <f>LOOKUP(AN95,FORMULAS!$A:$A,FORMULAS!$B:$B)</f>
        <v>#N/A</v>
      </c>
      <c r="AP95" s="78"/>
      <c r="AQ95" s="78"/>
      <c r="AR95" s="73"/>
      <c r="AS95" s="73"/>
      <c r="AT95" s="73"/>
      <c r="AU95" s="73"/>
      <c r="AV95" s="73"/>
      <c r="AW95" s="73"/>
      <c r="AX95" s="73" t="e">
        <f>WEEKNUM(AW95-RESUMEN!$AZ$7)</f>
        <v>#NUM!</v>
      </c>
      <c r="AY95" s="73">
        <f>_xlfn.DAYS(AW95,RESUMEN!$AZ$7)</f>
        <v>-43261</v>
      </c>
      <c r="AZ95" s="73"/>
      <c r="BA95" s="73" t="e">
        <f>LOOKUP(AZ95,FORMULAS!$A:$A,FORMULAS!$B:$B)</f>
        <v>#N/A</v>
      </c>
      <c r="BB95" s="78"/>
      <c r="BC95" s="73"/>
      <c r="BD95" s="73"/>
      <c r="BE95" s="73"/>
      <c r="BF95" s="73"/>
      <c r="BG95" s="73"/>
      <c r="BH95" s="73"/>
      <c r="BI95" s="73"/>
      <c r="BJ95" s="73" t="e">
        <f>WEEKNUM(BI95-RESUMEN!$BL$7)</f>
        <v>#NUM!</v>
      </c>
      <c r="BK95" s="73">
        <f>_xlfn.DAYS(BI95,RESUMEN!$BL$7)</f>
        <v>-43267</v>
      </c>
      <c r="BL95" s="73"/>
      <c r="BM95" s="73" t="e">
        <f>LOOKUP(BL95,FORMULAS!$A:$A,FORMULAS!$B:$B)</f>
        <v>#N/A</v>
      </c>
      <c r="BN95" s="78"/>
      <c r="BO95" s="73"/>
      <c r="BP95" s="73"/>
      <c r="BQ95" s="73"/>
      <c r="BR95" s="73"/>
      <c r="BS95" s="73"/>
      <c r="BT95" s="73"/>
    </row>
    <row r="96" spans="1:72" x14ac:dyDescent="0.25">
      <c r="A96" s="75"/>
      <c r="B96" s="74" t="e">
        <f>WEEKNUM(A96-RESUMEN!$D$7)</f>
        <v>#NUM!</v>
      </c>
      <c r="C96" s="74">
        <f>_xlfn.DAYS(A96,RESUMEN!$D$7)</f>
        <v>-43238</v>
      </c>
      <c r="D96" s="75"/>
      <c r="E96" s="73" t="e">
        <f>LOOKUP(D96,FORMULAS!$A:$A,FORMULAS!$B:$B)</f>
        <v>#N/A</v>
      </c>
      <c r="F96" s="80"/>
      <c r="G96" s="75"/>
      <c r="H96" s="75"/>
      <c r="I96" s="73"/>
      <c r="J96" s="73"/>
      <c r="K96" s="73"/>
      <c r="L96" s="73"/>
      <c r="M96" s="73"/>
      <c r="N96" s="73" t="e">
        <f>WEEKNUM(M96-RESUMEN!$P$7)</f>
        <v>#NUM!</v>
      </c>
      <c r="O96" s="73">
        <f>_xlfn.DAYS(M96,RESUMEN!$P$7)</f>
        <v>-43242</v>
      </c>
      <c r="P96" s="73"/>
      <c r="Q96" s="73" t="e">
        <f>LOOKUP(P96,FORMULAS!$A:$A,FORMULAS!$B:$B)</f>
        <v>#N/A</v>
      </c>
      <c r="R96" s="78"/>
      <c r="S96" s="73"/>
      <c r="T96" s="73"/>
      <c r="U96" s="73"/>
      <c r="V96" s="73"/>
      <c r="W96" s="73"/>
      <c r="X96" s="73"/>
      <c r="Y96" s="73"/>
      <c r="Z96" s="73" t="e">
        <f>WEEKNUM(Y96-RESUMEN!$AB$7)</f>
        <v>#NUM!</v>
      </c>
      <c r="AA96" s="73">
        <f>_xlfn.DAYS(Y96,RESUMEN!$AB$7)</f>
        <v>-43247</v>
      </c>
      <c r="AB96" s="73"/>
      <c r="AC96" s="73" t="e">
        <f>LOOKUP(AB96,FORMULAS!$A:$A,FORMULAS!$B:$B)</f>
        <v>#N/A</v>
      </c>
      <c r="AD96" s="78"/>
      <c r="AE96" s="73"/>
      <c r="AF96" s="73"/>
      <c r="AG96" s="73"/>
      <c r="AH96" s="73"/>
      <c r="AI96" s="73"/>
      <c r="AJ96" s="73"/>
      <c r="AK96" s="73"/>
      <c r="AL96" s="73" t="e">
        <f>WEEKNUM(AK96-RESUMEN!$AN$7)</f>
        <v>#NUM!</v>
      </c>
      <c r="AM96" s="73">
        <f>_xlfn.DAYS(AK96,RESUMEN!$AN$7)</f>
        <v>-43254</v>
      </c>
      <c r="AN96" s="73"/>
      <c r="AO96" s="73" t="e">
        <f>LOOKUP(AN96,FORMULAS!$A:$A,FORMULAS!$B:$B)</f>
        <v>#N/A</v>
      </c>
      <c r="AP96" s="78"/>
      <c r="AQ96" s="78"/>
      <c r="AR96" s="73"/>
      <c r="AS96" s="73"/>
      <c r="AT96" s="73"/>
      <c r="AU96" s="73"/>
      <c r="AV96" s="73"/>
      <c r="AW96" s="73"/>
      <c r="AX96" s="73" t="e">
        <f>WEEKNUM(AW96-RESUMEN!$AZ$7)</f>
        <v>#NUM!</v>
      </c>
      <c r="AY96" s="73">
        <f>_xlfn.DAYS(AW96,RESUMEN!$AZ$7)</f>
        <v>-43261</v>
      </c>
      <c r="AZ96" s="73"/>
      <c r="BA96" s="73" t="e">
        <f>LOOKUP(AZ96,FORMULAS!$A:$A,FORMULAS!$B:$B)</f>
        <v>#N/A</v>
      </c>
      <c r="BB96" s="78"/>
      <c r="BC96" s="73"/>
      <c r="BD96" s="73"/>
      <c r="BE96" s="73"/>
      <c r="BF96" s="73"/>
      <c r="BG96" s="73"/>
      <c r="BH96" s="73"/>
      <c r="BI96" s="73"/>
      <c r="BJ96" s="73" t="e">
        <f>WEEKNUM(BI96-RESUMEN!$BL$7)</f>
        <v>#NUM!</v>
      </c>
      <c r="BK96" s="73">
        <f>_xlfn.DAYS(BI96,RESUMEN!$BL$7)</f>
        <v>-43267</v>
      </c>
      <c r="BL96" s="73"/>
      <c r="BM96" s="73" t="e">
        <f>LOOKUP(BL96,FORMULAS!$A:$A,FORMULAS!$B:$B)</f>
        <v>#N/A</v>
      </c>
      <c r="BN96" s="78"/>
      <c r="BO96" s="73"/>
      <c r="BP96" s="73"/>
      <c r="BQ96" s="73"/>
      <c r="BR96" s="73"/>
      <c r="BS96" s="73"/>
      <c r="BT96" s="73"/>
    </row>
    <row r="97" spans="1:72" x14ac:dyDescent="0.25">
      <c r="A97" s="75"/>
      <c r="B97" s="74" t="e">
        <f>WEEKNUM(A97-RESUMEN!$D$7)</f>
        <v>#NUM!</v>
      </c>
      <c r="C97" s="74">
        <f>_xlfn.DAYS(A97,RESUMEN!$D$7)</f>
        <v>-43238</v>
      </c>
      <c r="D97" s="75"/>
      <c r="E97" s="73" t="e">
        <f>LOOKUP(D97,FORMULAS!$A:$A,FORMULAS!$B:$B)</f>
        <v>#N/A</v>
      </c>
      <c r="F97" s="80"/>
      <c r="G97" s="75"/>
      <c r="H97" s="75"/>
      <c r="I97" s="73"/>
      <c r="J97" s="73"/>
      <c r="K97" s="73"/>
      <c r="L97" s="73"/>
      <c r="M97" s="73"/>
      <c r="N97" s="73" t="e">
        <f>WEEKNUM(M97-RESUMEN!$P$7)</f>
        <v>#NUM!</v>
      </c>
      <c r="O97" s="73">
        <f>_xlfn.DAYS(M97,RESUMEN!$P$7)</f>
        <v>-43242</v>
      </c>
      <c r="P97" s="73"/>
      <c r="Q97" s="73" t="e">
        <f>LOOKUP(P97,FORMULAS!$A:$A,FORMULAS!$B:$B)</f>
        <v>#N/A</v>
      </c>
      <c r="R97" s="78"/>
      <c r="S97" s="73"/>
      <c r="T97" s="73"/>
      <c r="U97" s="73"/>
      <c r="V97" s="73"/>
      <c r="W97" s="73"/>
      <c r="X97" s="73"/>
      <c r="Y97" s="73"/>
      <c r="Z97" s="73" t="e">
        <f>WEEKNUM(Y97-RESUMEN!$AB$7)</f>
        <v>#NUM!</v>
      </c>
      <c r="AA97" s="73">
        <f>_xlfn.DAYS(Y97,RESUMEN!$AB$7)</f>
        <v>-43247</v>
      </c>
      <c r="AB97" s="73"/>
      <c r="AC97" s="73" t="e">
        <f>LOOKUP(AB97,FORMULAS!$A:$A,FORMULAS!$B:$B)</f>
        <v>#N/A</v>
      </c>
      <c r="AD97" s="78"/>
      <c r="AE97" s="73"/>
      <c r="AF97" s="73"/>
      <c r="AG97" s="73"/>
      <c r="AH97" s="73"/>
      <c r="AI97" s="73"/>
      <c r="AJ97" s="73"/>
      <c r="AK97" s="73"/>
      <c r="AL97" s="73" t="e">
        <f>WEEKNUM(AK97-RESUMEN!$AN$7)</f>
        <v>#NUM!</v>
      </c>
      <c r="AM97" s="73">
        <f>_xlfn.DAYS(AK97,RESUMEN!$AN$7)</f>
        <v>-43254</v>
      </c>
      <c r="AN97" s="73"/>
      <c r="AO97" s="73" t="e">
        <f>LOOKUP(AN97,FORMULAS!$A:$A,FORMULAS!$B:$B)</f>
        <v>#N/A</v>
      </c>
      <c r="AP97" s="78"/>
      <c r="AQ97" s="78"/>
      <c r="AR97" s="73"/>
      <c r="AS97" s="73"/>
      <c r="AT97" s="73"/>
      <c r="AU97" s="73"/>
      <c r="AV97" s="73"/>
      <c r="AW97" s="73"/>
      <c r="AX97" s="73" t="e">
        <f>WEEKNUM(AW97-RESUMEN!$AZ$7)</f>
        <v>#NUM!</v>
      </c>
      <c r="AY97" s="73">
        <f>_xlfn.DAYS(AW97,RESUMEN!$AZ$7)</f>
        <v>-43261</v>
      </c>
      <c r="AZ97" s="73"/>
      <c r="BA97" s="73" t="e">
        <f>LOOKUP(AZ97,FORMULAS!$A:$A,FORMULAS!$B:$B)</f>
        <v>#N/A</v>
      </c>
      <c r="BB97" s="78"/>
      <c r="BC97" s="73"/>
      <c r="BD97" s="73"/>
      <c r="BE97" s="73"/>
      <c r="BF97" s="73"/>
      <c r="BG97" s="73"/>
      <c r="BH97" s="73"/>
      <c r="BI97" s="73"/>
      <c r="BJ97" s="73" t="e">
        <f>WEEKNUM(BI97-RESUMEN!$BL$7)</f>
        <v>#NUM!</v>
      </c>
      <c r="BK97" s="73">
        <f>_xlfn.DAYS(BI97,RESUMEN!$BL$7)</f>
        <v>-43267</v>
      </c>
      <c r="BL97" s="73"/>
      <c r="BM97" s="73" t="e">
        <f>LOOKUP(BL97,FORMULAS!$A:$A,FORMULAS!$B:$B)</f>
        <v>#N/A</v>
      </c>
      <c r="BN97" s="78"/>
      <c r="BO97" s="73"/>
      <c r="BP97" s="73"/>
      <c r="BQ97" s="73"/>
      <c r="BR97" s="73"/>
      <c r="BS97" s="73"/>
      <c r="BT97" s="73"/>
    </row>
    <row r="98" spans="1:72" x14ac:dyDescent="0.25">
      <c r="A98" s="75"/>
      <c r="B98" s="74" t="e">
        <f>WEEKNUM(A98-RESUMEN!$D$7)</f>
        <v>#NUM!</v>
      </c>
      <c r="C98" s="74">
        <f>_xlfn.DAYS(A98,RESUMEN!$D$7)</f>
        <v>-43238</v>
      </c>
      <c r="D98" s="75"/>
      <c r="E98" s="73" t="e">
        <f>LOOKUP(D98,FORMULAS!$A:$A,FORMULAS!$B:$B)</f>
        <v>#N/A</v>
      </c>
      <c r="F98" s="80"/>
      <c r="G98" s="75"/>
      <c r="H98" s="75"/>
      <c r="I98" s="73"/>
      <c r="J98" s="73"/>
      <c r="K98" s="73"/>
      <c r="L98" s="73"/>
      <c r="M98" s="73"/>
      <c r="N98" s="73" t="e">
        <f>WEEKNUM(M98-RESUMEN!$P$7)</f>
        <v>#NUM!</v>
      </c>
      <c r="O98" s="73">
        <f>_xlfn.DAYS(M98,RESUMEN!$P$7)</f>
        <v>-43242</v>
      </c>
      <c r="P98" s="73"/>
      <c r="Q98" s="73" t="e">
        <f>LOOKUP(P98,FORMULAS!$A:$A,FORMULAS!$B:$B)</f>
        <v>#N/A</v>
      </c>
      <c r="R98" s="78"/>
      <c r="S98" s="73"/>
      <c r="T98" s="73"/>
      <c r="U98" s="73"/>
      <c r="V98" s="73"/>
      <c r="W98" s="73"/>
      <c r="X98" s="73"/>
      <c r="Y98" s="73"/>
      <c r="Z98" s="73" t="e">
        <f>WEEKNUM(Y98-RESUMEN!$AB$7)</f>
        <v>#NUM!</v>
      </c>
      <c r="AA98" s="73">
        <f>_xlfn.DAYS(Y98,RESUMEN!$AB$7)</f>
        <v>-43247</v>
      </c>
      <c r="AB98" s="73"/>
      <c r="AC98" s="73" t="e">
        <f>LOOKUP(AB98,FORMULAS!$A:$A,FORMULAS!$B:$B)</f>
        <v>#N/A</v>
      </c>
      <c r="AD98" s="78"/>
      <c r="AE98" s="73"/>
      <c r="AF98" s="73"/>
      <c r="AG98" s="73"/>
      <c r="AH98" s="73"/>
      <c r="AI98" s="73"/>
      <c r="AJ98" s="73"/>
      <c r="AK98" s="73"/>
      <c r="AL98" s="73" t="e">
        <f>WEEKNUM(AK98-RESUMEN!$AN$7)</f>
        <v>#NUM!</v>
      </c>
      <c r="AM98" s="73">
        <f>_xlfn.DAYS(AK98,RESUMEN!$AN$7)</f>
        <v>-43254</v>
      </c>
      <c r="AN98" s="73"/>
      <c r="AO98" s="73" t="e">
        <f>LOOKUP(AN98,FORMULAS!$A:$A,FORMULAS!$B:$B)</f>
        <v>#N/A</v>
      </c>
      <c r="AP98" s="78"/>
      <c r="AQ98" s="78"/>
      <c r="AR98" s="73"/>
      <c r="AS98" s="73"/>
      <c r="AT98" s="73"/>
      <c r="AU98" s="73"/>
      <c r="AV98" s="73"/>
      <c r="AW98" s="73"/>
      <c r="AX98" s="73" t="e">
        <f>WEEKNUM(AW98-RESUMEN!$AZ$7)</f>
        <v>#NUM!</v>
      </c>
      <c r="AY98" s="73">
        <f>_xlfn.DAYS(AW98,RESUMEN!$AZ$7)</f>
        <v>-43261</v>
      </c>
      <c r="AZ98" s="73"/>
      <c r="BA98" s="73" t="e">
        <f>LOOKUP(AZ98,FORMULAS!$A:$A,FORMULAS!$B:$B)</f>
        <v>#N/A</v>
      </c>
      <c r="BB98" s="78"/>
      <c r="BC98" s="73"/>
      <c r="BD98" s="73"/>
      <c r="BE98" s="73"/>
      <c r="BF98" s="73"/>
      <c r="BG98" s="73"/>
      <c r="BH98" s="73"/>
      <c r="BI98" s="73"/>
      <c r="BJ98" s="73" t="e">
        <f>WEEKNUM(BI98-RESUMEN!$BL$7)</f>
        <v>#NUM!</v>
      </c>
      <c r="BK98" s="73">
        <f>_xlfn.DAYS(BI98,RESUMEN!$BL$7)</f>
        <v>-43267</v>
      </c>
      <c r="BL98" s="73"/>
      <c r="BM98" s="73" t="e">
        <f>LOOKUP(BL98,FORMULAS!$A:$A,FORMULAS!$B:$B)</f>
        <v>#N/A</v>
      </c>
      <c r="BN98" s="78"/>
      <c r="BO98" s="73"/>
      <c r="BP98" s="73"/>
      <c r="BQ98" s="73"/>
      <c r="BR98" s="73"/>
      <c r="BS98" s="73"/>
      <c r="BT98" s="73"/>
    </row>
    <row r="99" spans="1:72" x14ac:dyDescent="0.25">
      <c r="A99" s="75"/>
      <c r="B99" s="74" t="e">
        <f>WEEKNUM(A99-RESUMEN!$D$7)</f>
        <v>#NUM!</v>
      </c>
      <c r="C99" s="74">
        <f>_xlfn.DAYS(A99,RESUMEN!$D$7)</f>
        <v>-43238</v>
      </c>
      <c r="D99" s="75"/>
      <c r="E99" s="73" t="e">
        <f>LOOKUP(D99,FORMULAS!$A:$A,FORMULAS!$B:$B)</f>
        <v>#N/A</v>
      </c>
      <c r="F99" s="80"/>
      <c r="G99" s="75"/>
      <c r="H99" s="75"/>
      <c r="I99" s="73"/>
      <c r="J99" s="73"/>
      <c r="K99" s="73"/>
      <c r="L99" s="73"/>
      <c r="M99" s="73"/>
      <c r="N99" s="73" t="e">
        <f>WEEKNUM(M99-RESUMEN!$P$7)</f>
        <v>#NUM!</v>
      </c>
      <c r="O99" s="73">
        <f>_xlfn.DAYS(M99,RESUMEN!$P$7)</f>
        <v>-43242</v>
      </c>
      <c r="P99" s="73"/>
      <c r="Q99" s="73" t="e">
        <f>LOOKUP(P99,FORMULAS!$A:$A,FORMULAS!$B:$B)</f>
        <v>#N/A</v>
      </c>
      <c r="R99" s="78"/>
      <c r="S99" s="73"/>
      <c r="T99" s="73"/>
      <c r="U99" s="73"/>
      <c r="V99" s="73"/>
      <c r="W99" s="73"/>
      <c r="X99" s="73"/>
      <c r="Y99" s="73"/>
      <c r="Z99" s="73" t="e">
        <f>WEEKNUM(Y99-RESUMEN!$AB$7)</f>
        <v>#NUM!</v>
      </c>
      <c r="AA99" s="73">
        <f>_xlfn.DAYS(Y99,RESUMEN!$AB$7)</f>
        <v>-43247</v>
      </c>
      <c r="AB99" s="73"/>
      <c r="AC99" s="73" t="e">
        <f>LOOKUP(AB99,FORMULAS!$A:$A,FORMULAS!$B:$B)</f>
        <v>#N/A</v>
      </c>
      <c r="AD99" s="78"/>
      <c r="AE99" s="73"/>
      <c r="AF99" s="73"/>
      <c r="AG99" s="73"/>
      <c r="AH99" s="73"/>
      <c r="AI99" s="73"/>
      <c r="AJ99" s="73"/>
      <c r="AK99" s="73"/>
      <c r="AL99" s="73" t="e">
        <f>WEEKNUM(AK99-RESUMEN!$AN$7)</f>
        <v>#NUM!</v>
      </c>
      <c r="AM99" s="73">
        <f>_xlfn.DAYS(AK99,RESUMEN!$AN$7)</f>
        <v>-43254</v>
      </c>
      <c r="AN99" s="73"/>
      <c r="AO99" s="73" t="e">
        <f>LOOKUP(AN99,FORMULAS!$A:$A,FORMULAS!$B:$B)</f>
        <v>#N/A</v>
      </c>
      <c r="AP99" s="78"/>
      <c r="AQ99" s="78"/>
      <c r="AR99" s="73"/>
      <c r="AS99" s="73"/>
      <c r="AT99" s="73"/>
      <c r="AU99" s="73"/>
      <c r="AV99" s="73"/>
      <c r="AW99" s="73"/>
      <c r="AX99" s="73" t="e">
        <f>WEEKNUM(AW99-RESUMEN!$AZ$7)</f>
        <v>#NUM!</v>
      </c>
      <c r="AY99" s="73">
        <f>_xlfn.DAYS(AW99,RESUMEN!$AZ$7)</f>
        <v>-43261</v>
      </c>
      <c r="AZ99" s="73"/>
      <c r="BA99" s="73" t="e">
        <f>LOOKUP(AZ99,FORMULAS!$A:$A,FORMULAS!$B:$B)</f>
        <v>#N/A</v>
      </c>
      <c r="BB99" s="78"/>
      <c r="BC99" s="73"/>
      <c r="BD99" s="73"/>
      <c r="BE99" s="73"/>
      <c r="BF99" s="73"/>
      <c r="BG99" s="73"/>
      <c r="BH99" s="73"/>
      <c r="BI99" s="73"/>
      <c r="BJ99" s="73" t="e">
        <f>WEEKNUM(BI99-RESUMEN!$BL$7)</f>
        <v>#NUM!</v>
      </c>
      <c r="BK99" s="73">
        <f>_xlfn.DAYS(BI99,RESUMEN!$BL$7)</f>
        <v>-43267</v>
      </c>
      <c r="BL99" s="73"/>
      <c r="BM99" s="73" t="e">
        <f>LOOKUP(BL99,FORMULAS!$A:$A,FORMULAS!$B:$B)</f>
        <v>#N/A</v>
      </c>
      <c r="BN99" s="78"/>
      <c r="BO99" s="73"/>
      <c r="BP99" s="73"/>
      <c r="BQ99" s="73"/>
      <c r="BR99" s="73"/>
      <c r="BS99" s="73"/>
      <c r="BT99" s="73"/>
    </row>
    <row r="100" spans="1:72" x14ac:dyDescent="0.25">
      <c r="A100" s="75"/>
      <c r="B100" s="74" t="e">
        <f>WEEKNUM(A100-RESUMEN!$D$7)</f>
        <v>#NUM!</v>
      </c>
      <c r="C100" s="74">
        <f>_xlfn.DAYS(A100,RESUMEN!$D$7)</f>
        <v>-43238</v>
      </c>
      <c r="D100" s="75"/>
      <c r="E100" s="73" t="e">
        <f>LOOKUP(D100,FORMULAS!$A:$A,FORMULAS!$B:$B)</f>
        <v>#N/A</v>
      </c>
      <c r="F100" s="80"/>
      <c r="G100" s="75"/>
      <c r="H100" s="75"/>
      <c r="I100" s="73"/>
      <c r="J100" s="73"/>
      <c r="K100" s="73"/>
      <c r="L100" s="73"/>
      <c r="M100" s="73"/>
      <c r="N100" s="73" t="e">
        <f>WEEKNUM(M100-RESUMEN!$P$7)</f>
        <v>#NUM!</v>
      </c>
      <c r="O100" s="73">
        <f>_xlfn.DAYS(M100,RESUMEN!$P$7)</f>
        <v>-43242</v>
      </c>
      <c r="P100" s="73"/>
      <c r="Q100" s="73" t="e">
        <f>LOOKUP(P100,FORMULAS!$A:$A,FORMULAS!$B:$B)</f>
        <v>#N/A</v>
      </c>
      <c r="R100" s="78"/>
      <c r="S100" s="73"/>
      <c r="T100" s="73"/>
      <c r="U100" s="73"/>
      <c r="V100" s="73"/>
      <c r="W100" s="73"/>
      <c r="X100" s="73"/>
      <c r="Y100" s="73"/>
      <c r="Z100" s="73" t="e">
        <f>WEEKNUM(Y100-RESUMEN!$AB$7)</f>
        <v>#NUM!</v>
      </c>
      <c r="AA100" s="73">
        <f>_xlfn.DAYS(Y100,RESUMEN!$AB$7)</f>
        <v>-43247</v>
      </c>
      <c r="AB100" s="73"/>
      <c r="AC100" s="73" t="e">
        <f>LOOKUP(AB100,FORMULAS!$A:$A,FORMULAS!$B:$B)</f>
        <v>#N/A</v>
      </c>
      <c r="AD100" s="78"/>
      <c r="AE100" s="73"/>
      <c r="AF100" s="73"/>
      <c r="AG100" s="73"/>
      <c r="AH100" s="73"/>
      <c r="AI100" s="73"/>
      <c r="AJ100" s="73"/>
      <c r="AK100" s="73"/>
      <c r="AL100" s="73" t="e">
        <f>WEEKNUM(AK100-RESUMEN!$AN$7)</f>
        <v>#NUM!</v>
      </c>
      <c r="AM100" s="73">
        <f>_xlfn.DAYS(AK100,RESUMEN!$AN$7)</f>
        <v>-43254</v>
      </c>
      <c r="AN100" s="73"/>
      <c r="AO100" s="73" t="e">
        <f>LOOKUP(AN100,FORMULAS!$A:$A,FORMULAS!$B:$B)</f>
        <v>#N/A</v>
      </c>
      <c r="AP100" s="78"/>
      <c r="AQ100" s="78"/>
      <c r="AR100" s="73"/>
      <c r="AS100" s="73"/>
      <c r="AT100" s="73"/>
      <c r="AU100" s="73"/>
      <c r="AV100" s="73"/>
      <c r="AW100" s="73"/>
      <c r="AX100" s="73" t="e">
        <f>WEEKNUM(AW100-RESUMEN!$AZ$7)</f>
        <v>#NUM!</v>
      </c>
      <c r="AY100" s="73">
        <f>_xlfn.DAYS(AW100,RESUMEN!$AZ$7)</f>
        <v>-43261</v>
      </c>
      <c r="AZ100" s="73"/>
      <c r="BA100" s="73" t="e">
        <f>LOOKUP(AZ100,FORMULAS!$A:$A,FORMULAS!$B:$B)</f>
        <v>#N/A</v>
      </c>
      <c r="BB100" s="78"/>
      <c r="BC100" s="73"/>
      <c r="BD100" s="73"/>
      <c r="BE100" s="73"/>
      <c r="BF100" s="73"/>
      <c r="BG100" s="73"/>
      <c r="BH100" s="73"/>
      <c r="BI100" s="73"/>
      <c r="BJ100" s="73" t="e">
        <f>WEEKNUM(BI100-RESUMEN!$BL$7)</f>
        <v>#NUM!</v>
      </c>
      <c r="BK100" s="73">
        <f>_xlfn.DAYS(BI100,RESUMEN!$BL$7)</f>
        <v>-43267</v>
      </c>
      <c r="BL100" s="73"/>
      <c r="BM100" s="73" t="e">
        <f>LOOKUP(BL100,FORMULAS!$A:$A,FORMULAS!$B:$B)</f>
        <v>#N/A</v>
      </c>
      <c r="BN100" s="78"/>
      <c r="BO100" s="73"/>
      <c r="BP100" s="73"/>
      <c r="BQ100" s="73"/>
      <c r="BR100" s="73"/>
      <c r="BS100" s="73"/>
      <c r="BT100" s="73"/>
    </row>
    <row r="101" spans="1:72" x14ac:dyDescent="0.25">
      <c r="A101" s="75"/>
      <c r="B101" s="74" t="e">
        <f>WEEKNUM(A101-RESUMEN!$D$7)</f>
        <v>#NUM!</v>
      </c>
      <c r="C101" s="74">
        <f>_xlfn.DAYS(A101,RESUMEN!$D$7)</f>
        <v>-43238</v>
      </c>
      <c r="D101" s="75"/>
      <c r="E101" s="73" t="e">
        <f>LOOKUP(D101,FORMULAS!$A:$A,FORMULAS!$B:$B)</f>
        <v>#N/A</v>
      </c>
      <c r="F101" s="80"/>
      <c r="G101" s="75"/>
      <c r="H101" s="75"/>
      <c r="I101" s="73"/>
      <c r="J101" s="73"/>
      <c r="K101" s="73"/>
      <c r="L101" s="73"/>
      <c r="M101" s="73"/>
      <c r="N101" s="73" t="e">
        <f>WEEKNUM(M101-RESUMEN!$P$7)</f>
        <v>#NUM!</v>
      </c>
      <c r="O101" s="73">
        <f>_xlfn.DAYS(M101,RESUMEN!$P$7)</f>
        <v>-43242</v>
      </c>
      <c r="P101" s="73"/>
      <c r="Q101" s="73" t="e">
        <f>LOOKUP(P101,FORMULAS!$A:$A,FORMULAS!$B:$B)</f>
        <v>#N/A</v>
      </c>
      <c r="R101" s="78"/>
      <c r="S101" s="73"/>
      <c r="T101" s="73"/>
      <c r="U101" s="73"/>
      <c r="V101" s="73"/>
      <c r="W101" s="73"/>
      <c r="X101" s="73"/>
      <c r="Y101" s="73"/>
      <c r="Z101" s="73" t="e">
        <f>WEEKNUM(Y101-RESUMEN!$AB$7)</f>
        <v>#NUM!</v>
      </c>
      <c r="AA101" s="73">
        <f>_xlfn.DAYS(Y101,RESUMEN!$AB$7)</f>
        <v>-43247</v>
      </c>
      <c r="AB101" s="73"/>
      <c r="AC101" s="73" t="e">
        <f>LOOKUP(AB101,FORMULAS!$A:$A,FORMULAS!$B:$B)</f>
        <v>#N/A</v>
      </c>
      <c r="AD101" s="78"/>
      <c r="AE101" s="73"/>
      <c r="AF101" s="73"/>
      <c r="AG101" s="73"/>
      <c r="AH101" s="73"/>
      <c r="AI101" s="73"/>
      <c r="AJ101" s="73"/>
      <c r="AK101" s="73"/>
      <c r="AL101" s="73" t="e">
        <f>WEEKNUM(AK101-RESUMEN!$AN$7)</f>
        <v>#NUM!</v>
      </c>
      <c r="AM101" s="73">
        <f>_xlfn.DAYS(AK101,RESUMEN!$AN$7)</f>
        <v>-43254</v>
      </c>
      <c r="AN101" s="73"/>
      <c r="AO101" s="73" t="e">
        <f>LOOKUP(AN101,FORMULAS!$A:$A,FORMULAS!$B:$B)</f>
        <v>#N/A</v>
      </c>
      <c r="AP101" s="78"/>
      <c r="AQ101" s="78"/>
      <c r="AR101" s="73"/>
      <c r="AS101" s="73"/>
      <c r="AT101" s="73"/>
      <c r="AU101" s="73"/>
      <c r="AV101" s="73"/>
      <c r="AW101" s="73"/>
      <c r="AX101" s="73" t="e">
        <f>WEEKNUM(AW101-RESUMEN!$AZ$7)</f>
        <v>#NUM!</v>
      </c>
      <c r="AY101" s="73">
        <f>_xlfn.DAYS(AW101,RESUMEN!$AZ$7)</f>
        <v>-43261</v>
      </c>
      <c r="AZ101" s="73"/>
      <c r="BA101" s="73" t="e">
        <f>LOOKUP(AZ101,FORMULAS!$A:$A,FORMULAS!$B:$B)</f>
        <v>#N/A</v>
      </c>
      <c r="BB101" s="78"/>
      <c r="BC101" s="73"/>
      <c r="BD101" s="73"/>
      <c r="BE101" s="73"/>
      <c r="BF101" s="73"/>
      <c r="BG101" s="73"/>
      <c r="BH101" s="73"/>
      <c r="BI101" s="73"/>
      <c r="BJ101" s="73" t="e">
        <f>WEEKNUM(BI101-RESUMEN!$BL$7)</f>
        <v>#NUM!</v>
      </c>
      <c r="BK101" s="73">
        <f>_xlfn.DAYS(BI101,RESUMEN!$BL$7)</f>
        <v>-43267</v>
      </c>
      <c r="BL101" s="73"/>
      <c r="BM101" s="73" t="e">
        <f>LOOKUP(BL101,FORMULAS!$A:$A,FORMULAS!$B:$B)</f>
        <v>#N/A</v>
      </c>
      <c r="BN101" s="78"/>
      <c r="BO101" s="73"/>
      <c r="BP101" s="73"/>
      <c r="BQ101" s="73"/>
      <c r="BR101" s="73"/>
      <c r="BS101" s="73"/>
      <c r="BT101" s="73"/>
    </row>
    <row r="102" spans="1:72" x14ac:dyDescent="0.25">
      <c r="A102" s="75"/>
      <c r="B102" s="74" t="e">
        <f>WEEKNUM(A102-RESUMEN!$D$7)</f>
        <v>#NUM!</v>
      </c>
      <c r="C102" s="74">
        <f>_xlfn.DAYS(A102,RESUMEN!$D$7)</f>
        <v>-43238</v>
      </c>
      <c r="D102" s="75"/>
      <c r="E102" s="73" t="e">
        <f>LOOKUP(D102,FORMULAS!$A:$A,FORMULAS!$B:$B)</f>
        <v>#N/A</v>
      </c>
      <c r="F102" s="80"/>
      <c r="G102" s="75"/>
      <c r="H102" s="75"/>
      <c r="I102" s="73"/>
      <c r="J102" s="73"/>
      <c r="K102" s="73"/>
      <c r="L102" s="73"/>
      <c r="M102" s="73"/>
      <c r="N102" s="73" t="e">
        <f>WEEKNUM(M102-RESUMEN!$P$7)</f>
        <v>#NUM!</v>
      </c>
      <c r="O102" s="73">
        <f>_xlfn.DAYS(M102,RESUMEN!$P$7)</f>
        <v>-43242</v>
      </c>
      <c r="P102" s="73"/>
      <c r="Q102" s="73" t="e">
        <f>LOOKUP(P102,FORMULAS!$A:$A,FORMULAS!$B:$B)</f>
        <v>#N/A</v>
      </c>
      <c r="R102" s="78"/>
      <c r="S102" s="73"/>
      <c r="T102" s="73"/>
      <c r="U102" s="73"/>
      <c r="V102" s="73"/>
      <c r="W102" s="73"/>
      <c r="X102" s="73"/>
      <c r="Y102" s="73"/>
      <c r="Z102" s="73" t="e">
        <f>WEEKNUM(Y102-RESUMEN!$AB$7)</f>
        <v>#NUM!</v>
      </c>
      <c r="AA102" s="73">
        <f>_xlfn.DAYS(Y102,RESUMEN!$AB$7)</f>
        <v>-43247</v>
      </c>
      <c r="AB102" s="73"/>
      <c r="AC102" s="73" t="e">
        <f>LOOKUP(AB102,FORMULAS!$A:$A,FORMULAS!$B:$B)</f>
        <v>#N/A</v>
      </c>
      <c r="AD102" s="78"/>
      <c r="AE102" s="73"/>
      <c r="AF102" s="73"/>
      <c r="AG102" s="73"/>
      <c r="AH102" s="73"/>
      <c r="AI102" s="73"/>
      <c r="AJ102" s="73"/>
      <c r="AK102" s="73"/>
      <c r="AL102" s="73" t="e">
        <f>WEEKNUM(AK102-RESUMEN!$AN$7)</f>
        <v>#NUM!</v>
      </c>
      <c r="AM102" s="73">
        <f>_xlfn.DAYS(AK102,RESUMEN!$AN$7)</f>
        <v>-43254</v>
      </c>
      <c r="AN102" s="73"/>
      <c r="AO102" s="73" t="e">
        <f>LOOKUP(AN102,FORMULAS!$A:$A,FORMULAS!$B:$B)</f>
        <v>#N/A</v>
      </c>
      <c r="AP102" s="78"/>
      <c r="AQ102" s="78"/>
      <c r="AR102" s="73"/>
      <c r="AS102" s="73"/>
      <c r="AT102" s="73"/>
      <c r="AU102" s="73"/>
      <c r="AV102" s="73"/>
      <c r="AW102" s="73"/>
      <c r="AX102" s="73" t="e">
        <f>WEEKNUM(AW102-RESUMEN!$AZ$7)</f>
        <v>#NUM!</v>
      </c>
      <c r="AY102" s="73">
        <f>_xlfn.DAYS(AW102,RESUMEN!$AZ$7)</f>
        <v>-43261</v>
      </c>
      <c r="AZ102" s="73"/>
      <c r="BA102" s="73" t="e">
        <f>LOOKUP(AZ102,FORMULAS!$A:$A,FORMULAS!$B:$B)</f>
        <v>#N/A</v>
      </c>
      <c r="BB102" s="78"/>
      <c r="BC102" s="73"/>
      <c r="BD102" s="73"/>
      <c r="BE102" s="73"/>
      <c r="BF102" s="73"/>
      <c r="BG102" s="73"/>
      <c r="BH102" s="73"/>
      <c r="BI102" s="73"/>
      <c r="BJ102" s="73" t="e">
        <f>WEEKNUM(BI102-RESUMEN!$BL$7)</f>
        <v>#NUM!</v>
      </c>
      <c r="BK102" s="73">
        <f>_xlfn.DAYS(BI102,RESUMEN!$BL$7)</f>
        <v>-43267</v>
      </c>
      <c r="BL102" s="73"/>
      <c r="BM102" s="73" t="e">
        <f>LOOKUP(BL102,FORMULAS!$A:$A,FORMULAS!$B:$B)</f>
        <v>#N/A</v>
      </c>
      <c r="BN102" s="78"/>
      <c r="BO102" s="73"/>
      <c r="BP102" s="73"/>
      <c r="BQ102" s="73"/>
      <c r="BR102" s="73"/>
      <c r="BS102" s="73"/>
      <c r="BT102" s="73"/>
    </row>
    <row r="103" spans="1:72" x14ac:dyDescent="0.25">
      <c r="A103" s="75"/>
      <c r="B103" s="74" t="e">
        <f>WEEKNUM(A103-RESUMEN!$D$7)</f>
        <v>#NUM!</v>
      </c>
      <c r="C103" s="74">
        <f>_xlfn.DAYS(A103,RESUMEN!$D$7)</f>
        <v>-43238</v>
      </c>
      <c r="D103" s="75"/>
      <c r="E103" s="73" t="e">
        <f>LOOKUP(D103,FORMULAS!$A:$A,FORMULAS!$B:$B)</f>
        <v>#N/A</v>
      </c>
      <c r="F103" s="80"/>
      <c r="G103" s="75"/>
      <c r="H103" s="75"/>
      <c r="I103" s="73"/>
      <c r="J103" s="73"/>
      <c r="K103" s="73"/>
      <c r="L103" s="73"/>
      <c r="M103" s="73"/>
      <c r="N103" s="73" t="e">
        <f>WEEKNUM(M103-RESUMEN!$P$7)</f>
        <v>#NUM!</v>
      </c>
      <c r="O103" s="73">
        <f>_xlfn.DAYS(M103,RESUMEN!$P$7)</f>
        <v>-43242</v>
      </c>
      <c r="P103" s="73"/>
      <c r="Q103" s="73" t="e">
        <f>LOOKUP(P103,FORMULAS!$A:$A,FORMULAS!$B:$B)</f>
        <v>#N/A</v>
      </c>
      <c r="R103" s="78"/>
      <c r="S103" s="73"/>
      <c r="T103" s="73"/>
      <c r="U103" s="73"/>
      <c r="V103" s="73"/>
      <c r="W103" s="73"/>
      <c r="X103" s="73"/>
      <c r="Y103" s="73"/>
      <c r="Z103" s="73" t="e">
        <f>WEEKNUM(Y103-RESUMEN!$AB$7)</f>
        <v>#NUM!</v>
      </c>
      <c r="AA103" s="73">
        <f>_xlfn.DAYS(Y103,RESUMEN!$AB$7)</f>
        <v>-43247</v>
      </c>
      <c r="AB103" s="73"/>
      <c r="AC103" s="73" t="e">
        <f>LOOKUP(AB103,FORMULAS!$A:$A,FORMULAS!$B:$B)</f>
        <v>#N/A</v>
      </c>
      <c r="AD103" s="78"/>
      <c r="AE103" s="73"/>
      <c r="AF103" s="73"/>
      <c r="AG103" s="73"/>
      <c r="AH103" s="73"/>
      <c r="AI103" s="73"/>
      <c r="AJ103" s="73"/>
      <c r="AK103" s="73"/>
      <c r="AL103" s="73" t="e">
        <f>WEEKNUM(AK103-RESUMEN!$AN$7)</f>
        <v>#NUM!</v>
      </c>
      <c r="AM103" s="73">
        <f>_xlfn.DAYS(AK103,RESUMEN!$AN$7)</f>
        <v>-43254</v>
      </c>
      <c r="AN103" s="73"/>
      <c r="AO103" s="73" t="e">
        <f>LOOKUP(AN103,FORMULAS!$A:$A,FORMULAS!$B:$B)</f>
        <v>#N/A</v>
      </c>
      <c r="AP103" s="78"/>
      <c r="AQ103" s="78"/>
      <c r="AR103" s="73"/>
      <c r="AS103" s="73"/>
      <c r="AT103" s="73"/>
      <c r="AU103" s="73"/>
      <c r="AV103" s="73"/>
      <c r="AW103" s="73"/>
      <c r="AX103" s="73" t="e">
        <f>WEEKNUM(AW103-RESUMEN!$AZ$7)</f>
        <v>#NUM!</v>
      </c>
      <c r="AY103" s="73">
        <f>_xlfn.DAYS(AW103,RESUMEN!$AZ$7)</f>
        <v>-43261</v>
      </c>
      <c r="AZ103" s="73"/>
      <c r="BA103" s="73" t="e">
        <f>LOOKUP(AZ103,FORMULAS!$A:$A,FORMULAS!$B:$B)</f>
        <v>#N/A</v>
      </c>
      <c r="BB103" s="78"/>
      <c r="BC103" s="73"/>
      <c r="BD103" s="73"/>
      <c r="BE103" s="73"/>
      <c r="BF103" s="73"/>
      <c r="BG103" s="73"/>
      <c r="BH103" s="73"/>
      <c r="BI103" s="73"/>
      <c r="BJ103" s="73" t="e">
        <f>WEEKNUM(BI103-RESUMEN!$BL$7)</f>
        <v>#NUM!</v>
      </c>
      <c r="BK103" s="73">
        <f>_xlfn.DAYS(BI103,RESUMEN!$BL$7)</f>
        <v>-43267</v>
      </c>
      <c r="BL103" s="73"/>
      <c r="BM103" s="73" t="e">
        <f>LOOKUP(BL103,FORMULAS!$A:$A,FORMULAS!$B:$B)</f>
        <v>#N/A</v>
      </c>
      <c r="BN103" s="78"/>
      <c r="BO103" s="73"/>
      <c r="BP103" s="73"/>
      <c r="BQ103" s="73"/>
      <c r="BR103" s="73"/>
      <c r="BS103" s="73"/>
      <c r="BT103" s="73"/>
    </row>
    <row r="104" spans="1:72" x14ac:dyDescent="0.25">
      <c r="A104" s="75"/>
      <c r="B104" s="74" t="e">
        <f>WEEKNUM(A104-RESUMEN!$D$7)</f>
        <v>#NUM!</v>
      </c>
      <c r="C104" s="74">
        <f>_xlfn.DAYS(A104,RESUMEN!$D$7)</f>
        <v>-43238</v>
      </c>
      <c r="D104" s="75"/>
      <c r="E104" s="73" t="e">
        <f>LOOKUP(D104,FORMULAS!$A:$A,FORMULAS!$B:$B)</f>
        <v>#N/A</v>
      </c>
      <c r="F104" s="80"/>
      <c r="G104" s="75"/>
      <c r="H104" s="75"/>
      <c r="I104" s="73"/>
      <c r="J104" s="73"/>
      <c r="K104" s="73"/>
      <c r="L104" s="73"/>
      <c r="M104" s="73"/>
      <c r="N104" s="73" t="e">
        <f>WEEKNUM(M104-RESUMEN!$P$7)</f>
        <v>#NUM!</v>
      </c>
      <c r="O104" s="73">
        <f>_xlfn.DAYS(M104,RESUMEN!$P$7)</f>
        <v>-43242</v>
      </c>
      <c r="P104" s="73"/>
      <c r="Q104" s="73" t="e">
        <f>LOOKUP(P104,FORMULAS!$A:$A,FORMULAS!$B:$B)</f>
        <v>#N/A</v>
      </c>
      <c r="R104" s="78"/>
      <c r="S104" s="73"/>
      <c r="T104" s="73"/>
      <c r="U104" s="73"/>
      <c r="V104" s="73"/>
      <c r="W104" s="73"/>
      <c r="X104" s="73"/>
      <c r="Y104" s="73"/>
      <c r="Z104" s="73" t="e">
        <f>WEEKNUM(Y104-RESUMEN!$AB$7)</f>
        <v>#NUM!</v>
      </c>
      <c r="AA104" s="73">
        <f>_xlfn.DAYS(Y104,RESUMEN!$AB$7)</f>
        <v>-43247</v>
      </c>
      <c r="AB104" s="73"/>
      <c r="AC104" s="73" t="e">
        <f>LOOKUP(AB104,FORMULAS!$A:$A,FORMULAS!$B:$B)</f>
        <v>#N/A</v>
      </c>
      <c r="AD104" s="78"/>
      <c r="AE104" s="73"/>
      <c r="AF104" s="73"/>
      <c r="AG104" s="73"/>
      <c r="AH104" s="73"/>
      <c r="AI104" s="73"/>
      <c r="AJ104" s="73"/>
      <c r="AK104" s="73"/>
      <c r="AL104" s="73" t="e">
        <f>WEEKNUM(AK104-RESUMEN!$AN$7)</f>
        <v>#NUM!</v>
      </c>
      <c r="AM104" s="73">
        <f>_xlfn.DAYS(AK104,RESUMEN!$AN$7)</f>
        <v>-43254</v>
      </c>
      <c r="AN104" s="73"/>
      <c r="AO104" s="73" t="e">
        <f>LOOKUP(AN104,FORMULAS!$A:$A,FORMULAS!$B:$B)</f>
        <v>#N/A</v>
      </c>
      <c r="AP104" s="78"/>
      <c r="AQ104" s="78"/>
      <c r="AR104" s="73"/>
      <c r="AS104" s="73"/>
      <c r="AT104" s="73"/>
      <c r="AU104" s="73"/>
      <c r="AV104" s="73"/>
      <c r="AW104" s="73"/>
      <c r="AX104" s="73" t="e">
        <f>WEEKNUM(AW104-RESUMEN!$AZ$7)</f>
        <v>#NUM!</v>
      </c>
      <c r="AY104" s="73">
        <f>_xlfn.DAYS(AW104,RESUMEN!$AZ$7)</f>
        <v>-43261</v>
      </c>
      <c r="AZ104" s="73"/>
      <c r="BA104" s="73" t="e">
        <f>LOOKUP(AZ104,FORMULAS!$A:$A,FORMULAS!$B:$B)</f>
        <v>#N/A</v>
      </c>
      <c r="BB104" s="78"/>
      <c r="BC104" s="73"/>
      <c r="BD104" s="73"/>
      <c r="BE104" s="73"/>
      <c r="BF104" s="73"/>
      <c r="BG104" s="73"/>
      <c r="BH104" s="73"/>
      <c r="BI104" s="73"/>
      <c r="BJ104" s="73" t="e">
        <f>WEEKNUM(BI104-RESUMEN!$BL$7)</f>
        <v>#NUM!</v>
      </c>
      <c r="BK104" s="73">
        <f>_xlfn.DAYS(BI104,RESUMEN!$BL$7)</f>
        <v>-43267</v>
      </c>
      <c r="BL104" s="73"/>
      <c r="BM104" s="73" t="e">
        <f>LOOKUP(BL104,FORMULAS!$A:$A,FORMULAS!$B:$B)</f>
        <v>#N/A</v>
      </c>
      <c r="BN104" s="78"/>
      <c r="BO104" s="73"/>
      <c r="BP104" s="73"/>
      <c r="BQ104" s="73"/>
      <c r="BR104" s="73"/>
      <c r="BS104" s="73"/>
      <c r="BT104" s="73"/>
    </row>
    <row r="105" spans="1:72" x14ac:dyDescent="0.25">
      <c r="A105" s="75"/>
      <c r="B105" s="74" t="e">
        <f>WEEKNUM(A105-RESUMEN!$D$7)</f>
        <v>#NUM!</v>
      </c>
      <c r="C105" s="74">
        <f>_xlfn.DAYS(A105,RESUMEN!$D$7)</f>
        <v>-43238</v>
      </c>
      <c r="D105" s="75"/>
      <c r="E105" s="73" t="e">
        <f>LOOKUP(D105,FORMULAS!$A:$A,FORMULAS!$B:$B)</f>
        <v>#N/A</v>
      </c>
      <c r="F105" s="80"/>
      <c r="G105" s="75"/>
      <c r="H105" s="75"/>
      <c r="I105" s="73"/>
      <c r="J105" s="73"/>
      <c r="K105" s="73"/>
      <c r="L105" s="73"/>
      <c r="M105" s="73"/>
      <c r="N105" s="73" t="e">
        <f>WEEKNUM(M105-RESUMEN!$P$7)</f>
        <v>#NUM!</v>
      </c>
      <c r="O105" s="73">
        <f>_xlfn.DAYS(M105,RESUMEN!$P$7)</f>
        <v>-43242</v>
      </c>
      <c r="P105" s="73"/>
      <c r="Q105" s="73" t="e">
        <f>LOOKUP(P105,FORMULAS!$A:$A,FORMULAS!$B:$B)</f>
        <v>#N/A</v>
      </c>
      <c r="R105" s="78"/>
      <c r="S105" s="73"/>
      <c r="T105" s="73"/>
      <c r="U105" s="73"/>
      <c r="V105" s="73"/>
      <c r="W105" s="73"/>
      <c r="X105" s="73"/>
      <c r="Y105" s="73"/>
      <c r="Z105" s="73" t="e">
        <f>WEEKNUM(Y105-RESUMEN!$AB$7)</f>
        <v>#NUM!</v>
      </c>
      <c r="AA105" s="73">
        <f>_xlfn.DAYS(Y105,RESUMEN!$AB$7)</f>
        <v>-43247</v>
      </c>
      <c r="AB105" s="73"/>
      <c r="AC105" s="73" t="e">
        <f>LOOKUP(AB105,FORMULAS!$A:$A,FORMULAS!$B:$B)</f>
        <v>#N/A</v>
      </c>
      <c r="AD105" s="78"/>
      <c r="AE105" s="73"/>
      <c r="AF105" s="73"/>
      <c r="AG105" s="73"/>
      <c r="AH105" s="73"/>
      <c r="AI105" s="73"/>
      <c r="AJ105" s="73"/>
      <c r="AK105" s="73"/>
      <c r="AL105" s="73" t="e">
        <f>WEEKNUM(AK105-RESUMEN!$AN$7)</f>
        <v>#NUM!</v>
      </c>
      <c r="AM105" s="73">
        <f>_xlfn.DAYS(AK105,RESUMEN!$AN$7)</f>
        <v>-43254</v>
      </c>
      <c r="AN105" s="73"/>
      <c r="AO105" s="73" t="e">
        <f>LOOKUP(AN105,FORMULAS!$A:$A,FORMULAS!$B:$B)</f>
        <v>#N/A</v>
      </c>
      <c r="AP105" s="78"/>
      <c r="AQ105" s="78"/>
      <c r="AR105" s="73"/>
      <c r="AS105" s="73"/>
      <c r="AT105" s="73"/>
      <c r="AU105" s="73"/>
      <c r="AV105" s="73"/>
      <c r="AW105" s="73"/>
      <c r="AX105" s="73" t="e">
        <f>WEEKNUM(AW105-RESUMEN!$AZ$7)</f>
        <v>#NUM!</v>
      </c>
      <c r="AY105" s="73">
        <f>_xlfn.DAYS(AW105,RESUMEN!$AZ$7)</f>
        <v>-43261</v>
      </c>
      <c r="AZ105" s="73"/>
      <c r="BA105" s="73" t="e">
        <f>LOOKUP(AZ105,FORMULAS!$A:$A,FORMULAS!$B:$B)</f>
        <v>#N/A</v>
      </c>
      <c r="BB105" s="78"/>
      <c r="BC105" s="73"/>
      <c r="BD105" s="73"/>
      <c r="BE105" s="73"/>
      <c r="BF105" s="73"/>
      <c r="BG105" s="73"/>
      <c r="BH105" s="73"/>
      <c r="BI105" s="73"/>
      <c r="BJ105" s="73" t="e">
        <f>WEEKNUM(BI105-RESUMEN!$BL$7)</f>
        <v>#NUM!</v>
      </c>
      <c r="BK105" s="73">
        <f>_xlfn.DAYS(BI105,RESUMEN!$BL$7)</f>
        <v>-43267</v>
      </c>
      <c r="BL105" s="73"/>
      <c r="BM105" s="73" t="e">
        <f>LOOKUP(BL105,FORMULAS!$A:$A,FORMULAS!$B:$B)</f>
        <v>#N/A</v>
      </c>
      <c r="BN105" s="78"/>
      <c r="BO105" s="73"/>
      <c r="BP105" s="73"/>
      <c r="BQ105" s="73"/>
      <c r="BR105" s="73"/>
      <c r="BS105" s="73"/>
      <c r="BT105" s="73"/>
    </row>
    <row r="106" spans="1:72" x14ac:dyDescent="0.25">
      <c r="A106" s="75"/>
      <c r="B106" s="74" t="e">
        <f>WEEKNUM(A106-RESUMEN!$D$7)</f>
        <v>#NUM!</v>
      </c>
      <c r="C106" s="74">
        <f>_xlfn.DAYS(A106,RESUMEN!$D$7)</f>
        <v>-43238</v>
      </c>
      <c r="D106" s="75"/>
      <c r="E106" s="73" t="e">
        <f>LOOKUP(D106,FORMULAS!$A:$A,FORMULAS!$B:$B)</f>
        <v>#N/A</v>
      </c>
      <c r="F106" s="80"/>
      <c r="G106" s="75"/>
      <c r="H106" s="75"/>
      <c r="I106" s="73"/>
      <c r="J106" s="73"/>
      <c r="K106" s="73"/>
      <c r="L106" s="73"/>
      <c r="M106" s="73"/>
      <c r="N106" s="73" t="e">
        <f>WEEKNUM(M106-RESUMEN!$P$7)</f>
        <v>#NUM!</v>
      </c>
      <c r="O106" s="73">
        <f>_xlfn.DAYS(M106,RESUMEN!$P$7)</f>
        <v>-43242</v>
      </c>
      <c r="P106" s="73"/>
      <c r="Q106" s="73" t="e">
        <f>LOOKUP(P106,FORMULAS!$A:$A,FORMULAS!$B:$B)</f>
        <v>#N/A</v>
      </c>
      <c r="R106" s="78"/>
      <c r="S106" s="73"/>
      <c r="T106" s="73"/>
      <c r="U106" s="73"/>
      <c r="V106" s="73"/>
      <c r="W106" s="73"/>
      <c r="X106" s="73"/>
      <c r="Y106" s="73"/>
      <c r="Z106" s="73" t="e">
        <f>WEEKNUM(Y106-RESUMEN!$AB$7)</f>
        <v>#NUM!</v>
      </c>
      <c r="AA106" s="73">
        <f>_xlfn.DAYS(Y106,RESUMEN!$AB$7)</f>
        <v>-43247</v>
      </c>
      <c r="AB106" s="73"/>
      <c r="AC106" s="73" t="e">
        <f>LOOKUP(AB106,FORMULAS!$A:$A,FORMULAS!$B:$B)</f>
        <v>#N/A</v>
      </c>
      <c r="AD106" s="78"/>
      <c r="AE106" s="73"/>
      <c r="AF106" s="73"/>
      <c r="AG106" s="73"/>
      <c r="AH106" s="73"/>
      <c r="AI106" s="73"/>
      <c r="AJ106" s="73"/>
      <c r="AK106" s="73"/>
      <c r="AL106" s="73" t="e">
        <f>WEEKNUM(AK106-RESUMEN!$AN$7)</f>
        <v>#NUM!</v>
      </c>
      <c r="AM106" s="73">
        <f>_xlfn.DAYS(AK106,RESUMEN!$AN$7)</f>
        <v>-43254</v>
      </c>
      <c r="AN106" s="73"/>
      <c r="AO106" s="73" t="e">
        <f>LOOKUP(AN106,FORMULAS!$A:$A,FORMULAS!$B:$B)</f>
        <v>#N/A</v>
      </c>
      <c r="AP106" s="78"/>
      <c r="AQ106" s="78"/>
      <c r="AR106" s="73"/>
      <c r="AS106" s="73"/>
      <c r="AT106" s="73"/>
      <c r="AU106" s="73"/>
      <c r="AV106" s="73"/>
      <c r="AW106" s="73"/>
      <c r="AX106" s="73" t="e">
        <f>WEEKNUM(AW106-RESUMEN!$AZ$7)</f>
        <v>#NUM!</v>
      </c>
      <c r="AY106" s="73">
        <f>_xlfn.DAYS(AW106,RESUMEN!$AZ$7)</f>
        <v>-43261</v>
      </c>
      <c r="AZ106" s="73"/>
      <c r="BA106" s="73" t="e">
        <f>LOOKUP(AZ106,FORMULAS!$A:$A,FORMULAS!$B:$B)</f>
        <v>#N/A</v>
      </c>
      <c r="BB106" s="78"/>
      <c r="BC106" s="73"/>
      <c r="BD106" s="73"/>
      <c r="BE106" s="73"/>
      <c r="BF106" s="73"/>
      <c r="BG106" s="73"/>
      <c r="BH106" s="73"/>
      <c r="BI106" s="73"/>
      <c r="BJ106" s="73" t="e">
        <f>WEEKNUM(BI106-RESUMEN!$BL$7)</f>
        <v>#NUM!</v>
      </c>
      <c r="BK106" s="73">
        <f>_xlfn.DAYS(BI106,RESUMEN!$BL$7)</f>
        <v>-43267</v>
      </c>
      <c r="BL106" s="73"/>
      <c r="BM106" s="73" t="e">
        <f>LOOKUP(BL106,FORMULAS!$A:$A,FORMULAS!$B:$B)</f>
        <v>#N/A</v>
      </c>
      <c r="BN106" s="78"/>
      <c r="BO106" s="73"/>
      <c r="BP106" s="73"/>
      <c r="BQ106" s="73"/>
      <c r="BR106" s="73"/>
      <c r="BS106" s="73"/>
      <c r="BT106" s="73"/>
    </row>
    <row r="107" spans="1:72" x14ac:dyDescent="0.25">
      <c r="A107" s="75"/>
      <c r="B107" s="74" t="e">
        <f>WEEKNUM(A107-RESUMEN!$D$7)</f>
        <v>#NUM!</v>
      </c>
      <c r="C107" s="74">
        <f>_xlfn.DAYS(A107,RESUMEN!$D$7)</f>
        <v>-43238</v>
      </c>
      <c r="D107" s="75"/>
      <c r="E107" s="73" t="e">
        <f>LOOKUP(D107,FORMULAS!$A:$A,FORMULAS!$B:$B)</f>
        <v>#N/A</v>
      </c>
      <c r="F107" s="80"/>
      <c r="G107" s="75"/>
      <c r="H107" s="75"/>
      <c r="I107" s="73"/>
      <c r="J107" s="73"/>
      <c r="K107" s="73"/>
      <c r="L107" s="73"/>
      <c r="M107" s="73"/>
      <c r="N107" s="73" t="e">
        <f>WEEKNUM(M107-RESUMEN!$P$7)</f>
        <v>#NUM!</v>
      </c>
      <c r="O107" s="73">
        <f>_xlfn.DAYS(M107,RESUMEN!$P$7)</f>
        <v>-43242</v>
      </c>
      <c r="P107" s="73"/>
      <c r="Q107" s="73" t="e">
        <f>LOOKUP(P107,FORMULAS!$A:$A,FORMULAS!$B:$B)</f>
        <v>#N/A</v>
      </c>
      <c r="R107" s="78"/>
      <c r="S107" s="73"/>
      <c r="T107" s="73"/>
      <c r="U107" s="73"/>
      <c r="V107" s="73"/>
      <c r="W107" s="73"/>
      <c r="X107" s="73"/>
      <c r="Y107" s="73"/>
      <c r="Z107" s="73" t="e">
        <f>WEEKNUM(Y107-RESUMEN!$AB$7)</f>
        <v>#NUM!</v>
      </c>
      <c r="AA107" s="73">
        <f>_xlfn.DAYS(Y107,RESUMEN!$AB$7)</f>
        <v>-43247</v>
      </c>
      <c r="AB107" s="73"/>
      <c r="AC107" s="73" t="e">
        <f>LOOKUP(AB107,FORMULAS!$A:$A,FORMULAS!$B:$B)</f>
        <v>#N/A</v>
      </c>
      <c r="AD107" s="78"/>
      <c r="AE107" s="73"/>
      <c r="AF107" s="73"/>
      <c r="AG107" s="73"/>
      <c r="AH107" s="73"/>
      <c r="AI107" s="73"/>
      <c r="AJ107" s="73"/>
      <c r="AK107" s="73"/>
      <c r="AL107" s="73" t="e">
        <f>WEEKNUM(AK107-RESUMEN!$AN$7)</f>
        <v>#NUM!</v>
      </c>
      <c r="AM107" s="73">
        <f>_xlfn.DAYS(AK107,RESUMEN!$AN$7)</f>
        <v>-43254</v>
      </c>
      <c r="AN107" s="73"/>
      <c r="AO107" s="73" t="e">
        <f>LOOKUP(AN107,FORMULAS!$A:$A,FORMULAS!$B:$B)</f>
        <v>#N/A</v>
      </c>
      <c r="AP107" s="78"/>
      <c r="AQ107" s="78"/>
      <c r="AR107" s="73"/>
      <c r="AS107" s="73"/>
      <c r="AT107" s="73"/>
      <c r="AU107" s="73"/>
      <c r="AV107" s="73"/>
      <c r="AW107" s="73"/>
      <c r="AX107" s="73" t="e">
        <f>WEEKNUM(AW107-RESUMEN!$AZ$7)</f>
        <v>#NUM!</v>
      </c>
      <c r="AY107" s="73">
        <f>_xlfn.DAYS(AW107,RESUMEN!$AZ$7)</f>
        <v>-43261</v>
      </c>
      <c r="AZ107" s="73"/>
      <c r="BA107" s="73" t="e">
        <f>LOOKUP(AZ107,FORMULAS!$A:$A,FORMULAS!$B:$B)</f>
        <v>#N/A</v>
      </c>
      <c r="BB107" s="78"/>
      <c r="BC107" s="73"/>
      <c r="BD107" s="73"/>
      <c r="BE107" s="73"/>
      <c r="BF107" s="73"/>
      <c r="BG107" s="73"/>
      <c r="BH107" s="73"/>
      <c r="BI107" s="73"/>
      <c r="BJ107" s="73" t="e">
        <f>WEEKNUM(BI107-RESUMEN!$BL$7)</f>
        <v>#NUM!</v>
      </c>
      <c r="BK107" s="73">
        <f>_xlfn.DAYS(BI107,RESUMEN!$BL$7)</f>
        <v>-43267</v>
      </c>
      <c r="BL107" s="73"/>
      <c r="BM107" s="73" t="e">
        <f>LOOKUP(BL107,FORMULAS!$A:$A,FORMULAS!$B:$B)</f>
        <v>#N/A</v>
      </c>
      <c r="BN107" s="78"/>
      <c r="BO107" s="73"/>
      <c r="BP107" s="73"/>
      <c r="BQ107" s="73"/>
      <c r="BR107" s="73"/>
      <c r="BS107" s="73"/>
      <c r="BT107" s="73"/>
    </row>
    <row r="108" spans="1:72" x14ac:dyDescent="0.25">
      <c r="A108" s="75"/>
      <c r="B108" s="74" t="e">
        <f>WEEKNUM(A108-RESUMEN!$D$7)</f>
        <v>#NUM!</v>
      </c>
      <c r="C108" s="74">
        <f>_xlfn.DAYS(A108,RESUMEN!$D$7)</f>
        <v>-43238</v>
      </c>
      <c r="D108" s="75"/>
      <c r="E108" s="73" t="e">
        <f>LOOKUP(D108,FORMULAS!$A:$A,FORMULAS!$B:$B)</f>
        <v>#N/A</v>
      </c>
      <c r="F108" s="80"/>
      <c r="G108" s="75"/>
      <c r="H108" s="75"/>
      <c r="I108" s="73"/>
      <c r="J108" s="73"/>
      <c r="K108" s="73"/>
      <c r="L108" s="73"/>
      <c r="M108" s="73"/>
      <c r="N108" s="73" t="e">
        <f>WEEKNUM(M108-RESUMEN!$P$7)</f>
        <v>#NUM!</v>
      </c>
      <c r="O108" s="73">
        <f>_xlfn.DAYS(M108,RESUMEN!$P$7)</f>
        <v>-43242</v>
      </c>
      <c r="P108" s="73"/>
      <c r="Q108" s="73" t="e">
        <f>LOOKUP(P108,FORMULAS!$A:$A,FORMULAS!$B:$B)</f>
        <v>#N/A</v>
      </c>
      <c r="R108" s="78"/>
      <c r="S108" s="73"/>
      <c r="T108" s="73"/>
      <c r="U108" s="73"/>
      <c r="V108" s="73"/>
      <c r="W108" s="73"/>
      <c r="X108" s="73"/>
      <c r="Y108" s="73"/>
      <c r="Z108" s="73" t="e">
        <f>WEEKNUM(Y108-RESUMEN!$AB$7)</f>
        <v>#NUM!</v>
      </c>
      <c r="AA108" s="73">
        <f>_xlfn.DAYS(Y108,RESUMEN!$AB$7)</f>
        <v>-43247</v>
      </c>
      <c r="AB108" s="73"/>
      <c r="AC108" s="73" t="e">
        <f>LOOKUP(AB108,FORMULAS!$A:$A,FORMULAS!$B:$B)</f>
        <v>#N/A</v>
      </c>
      <c r="AD108" s="78"/>
      <c r="AE108" s="73"/>
      <c r="AF108" s="73"/>
      <c r="AG108" s="73"/>
      <c r="AH108" s="73"/>
      <c r="AI108" s="73"/>
      <c r="AJ108" s="73"/>
      <c r="AK108" s="73"/>
      <c r="AL108" s="73" t="e">
        <f>WEEKNUM(AK108-RESUMEN!$AN$7)</f>
        <v>#NUM!</v>
      </c>
      <c r="AM108" s="73">
        <f>_xlfn.DAYS(AK108,RESUMEN!$AN$7)</f>
        <v>-43254</v>
      </c>
      <c r="AN108" s="73"/>
      <c r="AO108" s="73" t="e">
        <f>LOOKUP(AN108,FORMULAS!$A:$A,FORMULAS!$B:$B)</f>
        <v>#N/A</v>
      </c>
      <c r="AP108" s="78"/>
      <c r="AQ108" s="78"/>
      <c r="AR108" s="73"/>
      <c r="AS108" s="73"/>
      <c r="AT108" s="73"/>
      <c r="AU108" s="73"/>
      <c r="AV108" s="73"/>
      <c r="AW108" s="73"/>
      <c r="AX108" s="73" t="e">
        <f>WEEKNUM(AW108-RESUMEN!$AZ$7)</f>
        <v>#NUM!</v>
      </c>
      <c r="AY108" s="73">
        <f>_xlfn.DAYS(AW108,RESUMEN!$AZ$7)</f>
        <v>-43261</v>
      </c>
      <c r="AZ108" s="73"/>
      <c r="BA108" s="73" t="e">
        <f>LOOKUP(AZ108,FORMULAS!$A:$A,FORMULAS!$B:$B)</f>
        <v>#N/A</v>
      </c>
      <c r="BB108" s="78"/>
      <c r="BC108" s="73"/>
      <c r="BD108" s="73"/>
      <c r="BE108" s="73"/>
      <c r="BF108" s="73"/>
      <c r="BG108" s="73"/>
      <c r="BH108" s="73"/>
      <c r="BI108" s="73"/>
      <c r="BJ108" s="73" t="e">
        <f>WEEKNUM(BI108-RESUMEN!$BL$7)</f>
        <v>#NUM!</v>
      </c>
      <c r="BK108" s="73">
        <f>_xlfn.DAYS(BI108,RESUMEN!$BL$7)</f>
        <v>-43267</v>
      </c>
      <c r="BL108" s="73"/>
      <c r="BM108" s="73" t="e">
        <f>LOOKUP(BL108,FORMULAS!$A:$A,FORMULAS!$B:$B)</f>
        <v>#N/A</v>
      </c>
      <c r="BN108" s="78"/>
      <c r="BO108" s="73"/>
      <c r="BP108" s="73"/>
      <c r="BQ108" s="73"/>
      <c r="BR108" s="73"/>
      <c r="BS108" s="73"/>
      <c r="BT108" s="73"/>
    </row>
    <row r="109" spans="1:72" x14ac:dyDescent="0.25">
      <c r="A109" s="75"/>
      <c r="B109" s="74" t="e">
        <f>WEEKNUM(A109-RESUMEN!$D$7)</f>
        <v>#NUM!</v>
      </c>
      <c r="C109" s="74">
        <f>_xlfn.DAYS(A109,RESUMEN!$D$7)</f>
        <v>-43238</v>
      </c>
      <c r="D109" s="75"/>
      <c r="E109" s="73" t="e">
        <f>LOOKUP(D109,FORMULAS!$A:$A,FORMULAS!$B:$B)</f>
        <v>#N/A</v>
      </c>
      <c r="F109" s="80"/>
      <c r="G109" s="75"/>
      <c r="H109" s="75"/>
      <c r="I109" s="73"/>
      <c r="J109" s="73"/>
      <c r="K109" s="73"/>
      <c r="L109" s="73"/>
      <c r="M109" s="73"/>
      <c r="N109" s="73" t="e">
        <f>WEEKNUM(M109-RESUMEN!$P$7)</f>
        <v>#NUM!</v>
      </c>
      <c r="O109" s="73">
        <f>_xlfn.DAYS(M109,RESUMEN!$P$7)</f>
        <v>-43242</v>
      </c>
      <c r="P109" s="73"/>
      <c r="Q109" s="73" t="e">
        <f>LOOKUP(P109,FORMULAS!$A:$A,FORMULAS!$B:$B)</f>
        <v>#N/A</v>
      </c>
      <c r="R109" s="78"/>
      <c r="S109" s="73"/>
      <c r="T109" s="73"/>
      <c r="U109" s="73"/>
      <c r="V109" s="73"/>
      <c r="W109" s="73"/>
      <c r="X109" s="73"/>
      <c r="Y109" s="73"/>
      <c r="Z109" s="73" t="e">
        <f>WEEKNUM(Y109-RESUMEN!$AB$7)</f>
        <v>#NUM!</v>
      </c>
      <c r="AA109" s="73">
        <f>_xlfn.DAYS(Y109,RESUMEN!$AB$7)</f>
        <v>-43247</v>
      </c>
      <c r="AB109" s="73"/>
      <c r="AC109" s="73" t="e">
        <f>LOOKUP(AB109,FORMULAS!$A:$A,FORMULAS!$B:$B)</f>
        <v>#N/A</v>
      </c>
      <c r="AD109" s="78"/>
      <c r="AE109" s="73"/>
      <c r="AF109" s="73"/>
      <c r="AG109" s="73"/>
      <c r="AH109" s="73"/>
      <c r="AI109" s="73"/>
      <c r="AJ109" s="73"/>
      <c r="AK109" s="73"/>
      <c r="AL109" s="73" t="e">
        <f>WEEKNUM(AK109-RESUMEN!$AN$7)</f>
        <v>#NUM!</v>
      </c>
      <c r="AM109" s="73">
        <f>_xlfn.DAYS(AK109,RESUMEN!$AN$7)</f>
        <v>-43254</v>
      </c>
      <c r="AN109" s="73"/>
      <c r="AO109" s="73" t="e">
        <f>LOOKUP(AN109,FORMULAS!$A:$A,FORMULAS!$B:$B)</f>
        <v>#N/A</v>
      </c>
      <c r="AP109" s="78"/>
      <c r="AQ109" s="78"/>
      <c r="AR109" s="73"/>
      <c r="AS109" s="73"/>
      <c r="AT109" s="73"/>
      <c r="AU109" s="73"/>
      <c r="AV109" s="73"/>
      <c r="AW109" s="73"/>
      <c r="AX109" s="73" t="e">
        <f>WEEKNUM(AW109-RESUMEN!$AZ$7)</f>
        <v>#NUM!</v>
      </c>
      <c r="AY109" s="73">
        <f>_xlfn.DAYS(AW109,RESUMEN!$AZ$7)</f>
        <v>-43261</v>
      </c>
      <c r="AZ109" s="73"/>
      <c r="BA109" s="73" t="e">
        <f>LOOKUP(AZ109,FORMULAS!$A:$A,FORMULAS!$B:$B)</f>
        <v>#N/A</v>
      </c>
      <c r="BB109" s="78"/>
      <c r="BC109" s="73"/>
      <c r="BD109" s="73"/>
      <c r="BE109" s="73"/>
      <c r="BF109" s="73"/>
      <c r="BG109" s="73"/>
      <c r="BH109" s="73"/>
      <c r="BI109" s="73"/>
      <c r="BJ109" s="73" t="e">
        <f>WEEKNUM(BI109-RESUMEN!$BL$7)</f>
        <v>#NUM!</v>
      </c>
      <c r="BK109" s="73">
        <f>_xlfn.DAYS(BI109,RESUMEN!$BL$7)</f>
        <v>-43267</v>
      </c>
      <c r="BL109" s="73"/>
      <c r="BM109" s="73" t="e">
        <f>LOOKUP(BL109,FORMULAS!$A:$A,FORMULAS!$B:$B)</f>
        <v>#N/A</v>
      </c>
      <c r="BN109" s="78"/>
      <c r="BO109" s="73"/>
      <c r="BP109" s="73"/>
      <c r="BQ109" s="73"/>
      <c r="BR109" s="73"/>
      <c r="BS109" s="73"/>
      <c r="BT109" s="73"/>
    </row>
    <row r="110" spans="1:72" x14ac:dyDescent="0.25">
      <c r="A110" s="75"/>
      <c r="B110" s="74" t="e">
        <f>WEEKNUM(A110-RESUMEN!$D$7)</f>
        <v>#NUM!</v>
      </c>
      <c r="C110" s="74">
        <f>_xlfn.DAYS(A110,RESUMEN!$D$7)</f>
        <v>-43238</v>
      </c>
      <c r="D110" s="75"/>
      <c r="E110" s="73" t="e">
        <f>LOOKUP(D110,FORMULAS!$A:$A,FORMULAS!$B:$B)</f>
        <v>#N/A</v>
      </c>
      <c r="F110" s="80"/>
      <c r="G110" s="75"/>
      <c r="H110" s="75"/>
      <c r="I110" s="73"/>
      <c r="J110" s="73"/>
      <c r="K110" s="73"/>
      <c r="L110" s="73"/>
      <c r="M110" s="73"/>
      <c r="N110" s="73" t="e">
        <f>WEEKNUM(M110-RESUMEN!$P$7)</f>
        <v>#NUM!</v>
      </c>
      <c r="O110" s="73">
        <f>_xlfn.DAYS(M110,RESUMEN!$P$7)</f>
        <v>-43242</v>
      </c>
      <c r="P110" s="73"/>
      <c r="Q110" s="73" t="e">
        <f>LOOKUP(P110,FORMULAS!$A:$A,FORMULAS!$B:$B)</f>
        <v>#N/A</v>
      </c>
      <c r="R110" s="78"/>
      <c r="S110" s="73"/>
      <c r="T110" s="73"/>
      <c r="U110" s="73"/>
      <c r="V110" s="73"/>
      <c r="W110" s="73"/>
      <c r="X110" s="73"/>
      <c r="Y110" s="73"/>
      <c r="Z110" s="73" t="e">
        <f>WEEKNUM(Y110-RESUMEN!$AB$7)</f>
        <v>#NUM!</v>
      </c>
      <c r="AA110" s="73">
        <f>_xlfn.DAYS(Y110,RESUMEN!$AB$7)</f>
        <v>-43247</v>
      </c>
      <c r="AB110" s="73"/>
      <c r="AC110" s="73" t="e">
        <f>LOOKUP(AB110,FORMULAS!$A:$A,FORMULAS!$B:$B)</f>
        <v>#N/A</v>
      </c>
      <c r="AD110" s="78"/>
      <c r="AE110" s="73"/>
      <c r="AF110" s="73"/>
      <c r="AG110" s="73"/>
      <c r="AH110" s="73"/>
      <c r="AI110" s="73"/>
      <c r="AJ110" s="73"/>
      <c r="AK110" s="73"/>
      <c r="AL110" s="73" t="e">
        <f>WEEKNUM(AK110-RESUMEN!$AN$7)</f>
        <v>#NUM!</v>
      </c>
      <c r="AM110" s="73">
        <f>_xlfn.DAYS(AK110,RESUMEN!$AN$7)</f>
        <v>-43254</v>
      </c>
      <c r="AN110" s="73"/>
      <c r="AO110" s="73" t="e">
        <f>LOOKUP(AN110,FORMULAS!$A:$A,FORMULAS!$B:$B)</f>
        <v>#N/A</v>
      </c>
      <c r="AP110" s="78"/>
      <c r="AQ110" s="78"/>
      <c r="AR110" s="73"/>
      <c r="AS110" s="73"/>
      <c r="AT110" s="73"/>
      <c r="AU110" s="73"/>
      <c r="AV110" s="73"/>
      <c r="AW110" s="73"/>
      <c r="AX110" s="73" t="e">
        <f>WEEKNUM(AW110-RESUMEN!$AZ$7)</f>
        <v>#NUM!</v>
      </c>
      <c r="AY110" s="73">
        <f>_xlfn.DAYS(AW110,RESUMEN!$AZ$7)</f>
        <v>-43261</v>
      </c>
      <c r="AZ110" s="73"/>
      <c r="BA110" s="73" t="e">
        <f>LOOKUP(AZ110,FORMULAS!$A:$A,FORMULAS!$B:$B)</f>
        <v>#N/A</v>
      </c>
      <c r="BB110" s="78"/>
      <c r="BC110" s="73"/>
      <c r="BD110" s="73"/>
      <c r="BE110" s="73"/>
      <c r="BF110" s="73"/>
      <c r="BG110" s="73"/>
      <c r="BH110" s="73"/>
      <c r="BI110" s="73"/>
      <c r="BJ110" s="73" t="e">
        <f>WEEKNUM(BI110-RESUMEN!$BL$7)</f>
        <v>#NUM!</v>
      </c>
      <c r="BK110" s="73">
        <f>_xlfn.DAYS(BI110,RESUMEN!$BL$7)</f>
        <v>-43267</v>
      </c>
      <c r="BL110" s="73"/>
      <c r="BM110" s="73" t="e">
        <f>LOOKUP(BL110,FORMULAS!$A:$A,FORMULAS!$B:$B)</f>
        <v>#N/A</v>
      </c>
      <c r="BN110" s="78"/>
      <c r="BO110" s="73"/>
      <c r="BP110" s="73"/>
      <c r="BQ110" s="73"/>
      <c r="BR110" s="73"/>
      <c r="BS110" s="73"/>
      <c r="BT110" s="73"/>
    </row>
    <row r="111" spans="1:72" x14ac:dyDescent="0.25">
      <c r="A111" s="75"/>
      <c r="B111" s="74" t="e">
        <f>WEEKNUM(A111-RESUMEN!$D$7)</f>
        <v>#NUM!</v>
      </c>
      <c r="C111" s="74">
        <f>_xlfn.DAYS(A111,RESUMEN!$D$7)</f>
        <v>-43238</v>
      </c>
      <c r="D111" s="75"/>
      <c r="E111" s="73" t="e">
        <f>LOOKUP(D111,FORMULAS!$A:$A,FORMULAS!$B:$B)</f>
        <v>#N/A</v>
      </c>
      <c r="F111" s="80"/>
      <c r="G111" s="75"/>
      <c r="H111" s="75"/>
      <c r="I111" s="73"/>
      <c r="J111" s="73"/>
      <c r="K111" s="73"/>
      <c r="L111" s="73"/>
      <c r="M111" s="73"/>
      <c r="N111" s="73" t="e">
        <f>WEEKNUM(M111-RESUMEN!$P$7)</f>
        <v>#NUM!</v>
      </c>
      <c r="O111" s="73">
        <f>_xlfn.DAYS(M111,RESUMEN!$P$7)</f>
        <v>-43242</v>
      </c>
      <c r="P111" s="73"/>
      <c r="Q111" s="73" t="e">
        <f>LOOKUP(P111,FORMULAS!$A:$A,FORMULAS!$B:$B)</f>
        <v>#N/A</v>
      </c>
      <c r="R111" s="78"/>
      <c r="S111" s="73"/>
      <c r="T111" s="73"/>
      <c r="U111" s="73"/>
      <c r="V111" s="73"/>
      <c r="W111" s="73"/>
      <c r="X111" s="73"/>
      <c r="Y111" s="73"/>
      <c r="Z111" s="73" t="e">
        <f>WEEKNUM(Y111-RESUMEN!$AB$7)</f>
        <v>#NUM!</v>
      </c>
      <c r="AA111" s="73">
        <f>_xlfn.DAYS(Y111,RESUMEN!$AB$7)</f>
        <v>-43247</v>
      </c>
      <c r="AB111" s="73"/>
      <c r="AC111" s="73" t="e">
        <f>LOOKUP(AB111,FORMULAS!$A:$A,FORMULAS!$B:$B)</f>
        <v>#N/A</v>
      </c>
      <c r="AD111" s="78"/>
      <c r="AE111" s="73"/>
      <c r="AF111" s="73"/>
      <c r="AG111" s="73"/>
      <c r="AH111" s="73"/>
      <c r="AI111" s="73"/>
      <c r="AJ111" s="73"/>
      <c r="AK111" s="73"/>
      <c r="AL111" s="73" t="e">
        <f>WEEKNUM(AK111-RESUMEN!$AN$7)</f>
        <v>#NUM!</v>
      </c>
      <c r="AM111" s="73">
        <f>_xlfn.DAYS(AK111,RESUMEN!$AN$7)</f>
        <v>-43254</v>
      </c>
      <c r="AN111" s="73"/>
      <c r="AO111" s="73" t="e">
        <f>LOOKUP(AN111,FORMULAS!$A:$A,FORMULAS!$B:$B)</f>
        <v>#N/A</v>
      </c>
      <c r="AP111" s="78"/>
      <c r="AQ111" s="78"/>
      <c r="AR111" s="73"/>
      <c r="AS111" s="73"/>
      <c r="AT111" s="73"/>
      <c r="AU111" s="73"/>
      <c r="AV111" s="73"/>
      <c r="AW111" s="73"/>
      <c r="AX111" s="73" t="e">
        <f>WEEKNUM(AW111-RESUMEN!$AZ$7)</f>
        <v>#NUM!</v>
      </c>
      <c r="AY111" s="73">
        <f>_xlfn.DAYS(AW111,RESUMEN!$AZ$7)</f>
        <v>-43261</v>
      </c>
      <c r="AZ111" s="73"/>
      <c r="BA111" s="73" t="e">
        <f>LOOKUP(AZ111,FORMULAS!$A:$A,FORMULAS!$B:$B)</f>
        <v>#N/A</v>
      </c>
      <c r="BB111" s="78"/>
      <c r="BC111" s="73"/>
      <c r="BD111" s="73"/>
      <c r="BE111" s="73"/>
      <c r="BF111" s="73"/>
      <c r="BG111" s="73"/>
      <c r="BH111" s="73"/>
      <c r="BI111" s="73"/>
      <c r="BJ111" s="73" t="e">
        <f>WEEKNUM(BI111-RESUMEN!$BL$7)</f>
        <v>#NUM!</v>
      </c>
      <c r="BK111" s="73">
        <f>_xlfn.DAYS(BI111,RESUMEN!$BL$7)</f>
        <v>-43267</v>
      </c>
      <c r="BL111" s="73"/>
      <c r="BM111" s="73" t="e">
        <f>LOOKUP(BL111,FORMULAS!$A:$A,FORMULAS!$B:$B)</f>
        <v>#N/A</v>
      </c>
      <c r="BN111" s="78"/>
      <c r="BO111" s="73"/>
      <c r="BP111" s="73"/>
      <c r="BQ111" s="73"/>
      <c r="BR111" s="73"/>
      <c r="BS111" s="73"/>
      <c r="BT111" s="73"/>
    </row>
    <row r="112" spans="1:72" x14ac:dyDescent="0.25">
      <c r="A112" s="75"/>
      <c r="B112" s="74" t="e">
        <f>WEEKNUM(A112-RESUMEN!$D$7)</f>
        <v>#NUM!</v>
      </c>
      <c r="C112" s="74">
        <f>_xlfn.DAYS(A112,RESUMEN!$D$7)</f>
        <v>-43238</v>
      </c>
      <c r="D112" s="75"/>
      <c r="E112" s="73" t="e">
        <f>LOOKUP(D112,FORMULAS!$A:$A,FORMULAS!$B:$B)</f>
        <v>#N/A</v>
      </c>
      <c r="F112" s="80"/>
      <c r="G112" s="75"/>
      <c r="H112" s="75"/>
      <c r="I112" s="73"/>
      <c r="J112" s="73"/>
      <c r="K112" s="73"/>
      <c r="L112" s="73"/>
      <c r="M112" s="73"/>
      <c r="N112" s="73" t="e">
        <f>WEEKNUM(M112-RESUMEN!$P$7)</f>
        <v>#NUM!</v>
      </c>
      <c r="O112" s="73">
        <f>_xlfn.DAYS(M112,RESUMEN!$P$7)</f>
        <v>-43242</v>
      </c>
      <c r="P112" s="73"/>
      <c r="Q112" s="73" t="e">
        <f>LOOKUP(P112,FORMULAS!$A:$A,FORMULAS!$B:$B)</f>
        <v>#N/A</v>
      </c>
      <c r="R112" s="78"/>
      <c r="S112" s="73"/>
      <c r="T112" s="73"/>
      <c r="U112" s="73"/>
      <c r="V112" s="73"/>
      <c r="W112" s="73"/>
      <c r="X112" s="73"/>
      <c r="Y112" s="73"/>
      <c r="Z112" s="73" t="e">
        <f>WEEKNUM(Y112-RESUMEN!$AB$7)</f>
        <v>#NUM!</v>
      </c>
      <c r="AA112" s="73">
        <f>_xlfn.DAYS(Y112,RESUMEN!$AB$7)</f>
        <v>-43247</v>
      </c>
      <c r="AB112" s="73"/>
      <c r="AC112" s="73" t="e">
        <f>LOOKUP(AB112,FORMULAS!$A:$A,FORMULAS!$B:$B)</f>
        <v>#N/A</v>
      </c>
      <c r="AD112" s="78"/>
      <c r="AE112" s="73"/>
      <c r="AF112" s="73"/>
      <c r="AG112" s="73"/>
      <c r="AH112" s="73"/>
      <c r="AI112" s="73"/>
      <c r="AJ112" s="73"/>
      <c r="AK112" s="73"/>
      <c r="AL112" s="73" t="e">
        <f>WEEKNUM(AK112-RESUMEN!$AN$7)</f>
        <v>#NUM!</v>
      </c>
      <c r="AM112" s="73">
        <f>_xlfn.DAYS(AK112,RESUMEN!$AN$7)</f>
        <v>-43254</v>
      </c>
      <c r="AN112" s="73"/>
      <c r="AO112" s="73" t="e">
        <f>LOOKUP(AN112,FORMULAS!$A:$A,FORMULAS!$B:$B)</f>
        <v>#N/A</v>
      </c>
      <c r="AP112" s="78"/>
      <c r="AQ112" s="78"/>
      <c r="AR112" s="73"/>
      <c r="AS112" s="73"/>
      <c r="AT112" s="73"/>
      <c r="AU112" s="73"/>
      <c r="AV112" s="73"/>
      <c r="AW112" s="73"/>
      <c r="AX112" s="73" t="e">
        <f>WEEKNUM(AW112-RESUMEN!$AZ$7)</f>
        <v>#NUM!</v>
      </c>
      <c r="AY112" s="73">
        <f>_xlfn.DAYS(AW112,RESUMEN!$AZ$7)</f>
        <v>-43261</v>
      </c>
      <c r="AZ112" s="73"/>
      <c r="BA112" s="73" t="e">
        <f>LOOKUP(AZ112,FORMULAS!$A:$A,FORMULAS!$B:$B)</f>
        <v>#N/A</v>
      </c>
      <c r="BB112" s="78"/>
      <c r="BC112" s="73"/>
      <c r="BD112" s="73"/>
      <c r="BE112" s="73"/>
      <c r="BF112" s="73"/>
      <c r="BG112" s="73"/>
      <c r="BH112" s="73"/>
      <c r="BI112" s="73"/>
      <c r="BJ112" s="73" t="e">
        <f>WEEKNUM(BI112-RESUMEN!$BL$7)</f>
        <v>#NUM!</v>
      </c>
      <c r="BK112" s="73">
        <f>_xlfn.DAYS(BI112,RESUMEN!$BL$7)</f>
        <v>-43267</v>
      </c>
      <c r="BL112" s="73"/>
      <c r="BM112" s="73" t="e">
        <f>LOOKUP(BL112,FORMULAS!$A:$A,FORMULAS!$B:$B)</f>
        <v>#N/A</v>
      </c>
      <c r="BN112" s="78"/>
      <c r="BO112" s="73"/>
      <c r="BP112" s="73"/>
      <c r="BQ112" s="73"/>
      <c r="BR112" s="73"/>
      <c r="BS112" s="73"/>
      <c r="BT112" s="73"/>
    </row>
    <row r="113" spans="1:72" x14ac:dyDescent="0.25">
      <c r="A113" s="75"/>
      <c r="B113" s="74" t="e">
        <f>WEEKNUM(A113-RESUMEN!$D$7)</f>
        <v>#NUM!</v>
      </c>
      <c r="C113" s="74">
        <f>_xlfn.DAYS(A113,RESUMEN!$D$7)</f>
        <v>-43238</v>
      </c>
      <c r="D113" s="75"/>
      <c r="E113" s="73" t="e">
        <f>LOOKUP(D113,FORMULAS!$A:$A,FORMULAS!$B:$B)</f>
        <v>#N/A</v>
      </c>
      <c r="F113" s="80"/>
      <c r="G113" s="75"/>
      <c r="H113" s="75"/>
      <c r="I113" s="73"/>
      <c r="J113" s="73"/>
      <c r="K113" s="73"/>
      <c r="L113" s="73"/>
      <c r="M113" s="73"/>
      <c r="N113" s="73" t="e">
        <f>WEEKNUM(M113-RESUMEN!$P$7)</f>
        <v>#NUM!</v>
      </c>
      <c r="O113" s="73">
        <f>_xlfn.DAYS(M113,RESUMEN!$P$7)</f>
        <v>-43242</v>
      </c>
      <c r="P113" s="73"/>
      <c r="Q113" s="73" t="e">
        <f>LOOKUP(P113,FORMULAS!$A:$A,FORMULAS!$B:$B)</f>
        <v>#N/A</v>
      </c>
      <c r="R113" s="78"/>
      <c r="S113" s="73"/>
      <c r="T113" s="73"/>
      <c r="U113" s="73"/>
      <c r="V113" s="73"/>
      <c r="W113" s="73"/>
      <c r="X113" s="73"/>
      <c r="Y113" s="73"/>
      <c r="Z113" s="73" t="e">
        <f>WEEKNUM(Y113-RESUMEN!$AB$7)</f>
        <v>#NUM!</v>
      </c>
      <c r="AA113" s="73">
        <f>_xlfn.DAYS(Y113,RESUMEN!$AB$7)</f>
        <v>-43247</v>
      </c>
      <c r="AB113" s="73"/>
      <c r="AC113" s="73" t="e">
        <f>LOOKUP(AB113,FORMULAS!$A:$A,FORMULAS!$B:$B)</f>
        <v>#N/A</v>
      </c>
      <c r="AD113" s="78"/>
      <c r="AE113" s="73"/>
      <c r="AF113" s="73"/>
      <c r="AG113" s="73"/>
      <c r="AH113" s="73"/>
      <c r="AI113" s="73"/>
      <c r="AJ113" s="73"/>
      <c r="AK113" s="73"/>
      <c r="AL113" s="73" t="e">
        <f>WEEKNUM(AK113-RESUMEN!$AN$7)</f>
        <v>#NUM!</v>
      </c>
      <c r="AM113" s="73">
        <f>_xlfn.DAYS(AK113,RESUMEN!$AN$7)</f>
        <v>-43254</v>
      </c>
      <c r="AN113" s="73"/>
      <c r="AO113" s="73" t="e">
        <f>LOOKUP(AN113,FORMULAS!$A:$A,FORMULAS!$B:$B)</f>
        <v>#N/A</v>
      </c>
      <c r="AP113" s="78"/>
      <c r="AQ113" s="78"/>
      <c r="AR113" s="73"/>
      <c r="AS113" s="73"/>
      <c r="AT113" s="73"/>
      <c r="AU113" s="73"/>
      <c r="AV113" s="73"/>
      <c r="AW113" s="73"/>
      <c r="AX113" s="73" t="e">
        <f>WEEKNUM(AW113-RESUMEN!$AZ$7)</f>
        <v>#NUM!</v>
      </c>
      <c r="AY113" s="73">
        <f>_xlfn.DAYS(AW113,RESUMEN!$AZ$7)</f>
        <v>-43261</v>
      </c>
      <c r="AZ113" s="73"/>
      <c r="BA113" s="73" t="e">
        <f>LOOKUP(AZ113,FORMULAS!$A:$A,FORMULAS!$B:$B)</f>
        <v>#N/A</v>
      </c>
      <c r="BB113" s="78"/>
      <c r="BC113" s="73"/>
      <c r="BD113" s="73"/>
      <c r="BE113" s="73"/>
      <c r="BF113" s="73"/>
      <c r="BG113" s="73"/>
      <c r="BH113" s="73"/>
      <c r="BI113" s="73"/>
      <c r="BJ113" s="73" t="e">
        <f>WEEKNUM(BI113-RESUMEN!$BL$7)</f>
        <v>#NUM!</v>
      </c>
      <c r="BK113" s="73">
        <f>_xlfn.DAYS(BI113,RESUMEN!$BL$7)</f>
        <v>-43267</v>
      </c>
      <c r="BL113" s="73"/>
      <c r="BM113" s="73" t="e">
        <f>LOOKUP(BL113,FORMULAS!$A:$A,FORMULAS!$B:$B)</f>
        <v>#N/A</v>
      </c>
      <c r="BN113" s="78"/>
      <c r="BO113" s="73"/>
      <c r="BP113" s="73"/>
      <c r="BQ113" s="73"/>
      <c r="BR113" s="73"/>
      <c r="BS113" s="73"/>
      <c r="BT113" s="73"/>
    </row>
    <row r="114" spans="1:72" x14ac:dyDescent="0.25">
      <c r="A114" s="75"/>
      <c r="B114" s="74" t="e">
        <f>WEEKNUM(A114-RESUMEN!$D$7)</f>
        <v>#NUM!</v>
      </c>
      <c r="C114" s="74">
        <f>_xlfn.DAYS(A114,RESUMEN!$D$7)</f>
        <v>-43238</v>
      </c>
      <c r="D114" s="75"/>
      <c r="E114" s="73" t="e">
        <f>LOOKUP(D114,FORMULAS!$A:$A,FORMULAS!$B:$B)</f>
        <v>#N/A</v>
      </c>
      <c r="F114" s="80"/>
      <c r="G114" s="75"/>
      <c r="H114" s="75"/>
      <c r="I114" s="73"/>
      <c r="J114" s="73"/>
      <c r="K114" s="73"/>
      <c r="L114" s="73"/>
      <c r="M114" s="73"/>
      <c r="N114" s="73" t="e">
        <f>WEEKNUM(M114-RESUMEN!$P$7)</f>
        <v>#NUM!</v>
      </c>
      <c r="O114" s="73">
        <f>_xlfn.DAYS(M114,RESUMEN!$P$7)</f>
        <v>-43242</v>
      </c>
      <c r="P114" s="73"/>
      <c r="Q114" s="73" t="e">
        <f>LOOKUP(P114,FORMULAS!$A:$A,FORMULAS!$B:$B)</f>
        <v>#N/A</v>
      </c>
      <c r="R114" s="78"/>
      <c r="S114" s="73"/>
      <c r="T114" s="73"/>
      <c r="U114" s="73"/>
      <c r="V114" s="73"/>
      <c r="W114" s="73"/>
      <c r="X114" s="73"/>
      <c r="Y114" s="73"/>
      <c r="Z114" s="73" t="e">
        <f>WEEKNUM(Y114-RESUMEN!$AB$7)</f>
        <v>#NUM!</v>
      </c>
      <c r="AA114" s="73">
        <f>_xlfn.DAYS(Y114,RESUMEN!$AB$7)</f>
        <v>-43247</v>
      </c>
      <c r="AB114" s="73"/>
      <c r="AC114" s="73" t="e">
        <f>LOOKUP(AB114,FORMULAS!$A:$A,FORMULAS!$B:$B)</f>
        <v>#N/A</v>
      </c>
      <c r="AD114" s="78"/>
      <c r="AE114" s="73"/>
      <c r="AF114" s="73"/>
      <c r="AG114" s="73"/>
      <c r="AH114" s="73"/>
      <c r="AI114" s="73"/>
      <c r="AJ114" s="73"/>
      <c r="AK114" s="73"/>
      <c r="AL114" s="73" t="e">
        <f>WEEKNUM(AK114-RESUMEN!$AN$7)</f>
        <v>#NUM!</v>
      </c>
      <c r="AM114" s="73">
        <f>_xlfn.DAYS(AK114,RESUMEN!$AN$7)</f>
        <v>-43254</v>
      </c>
      <c r="AN114" s="73"/>
      <c r="AO114" s="73" t="e">
        <f>LOOKUP(AN114,FORMULAS!$A:$A,FORMULAS!$B:$B)</f>
        <v>#N/A</v>
      </c>
      <c r="AP114" s="78"/>
      <c r="AQ114" s="78"/>
      <c r="AR114" s="73"/>
      <c r="AS114" s="73"/>
      <c r="AT114" s="73"/>
      <c r="AU114" s="73"/>
      <c r="AV114" s="73"/>
      <c r="AW114" s="73"/>
      <c r="AX114" s="73" t="e">
        <f>WEEKNUM(AW114-RESUMEN!$AZ$7)</f>
        <v>#NUM!</v>
      </c>
      <c r="AY114" s="73">
        <f>_xlfn.DAYS(AW114,RESUMEN!$AZ$7)</f>
        <v>-43261</v>
      </c>
      <c r="AZ114" s="73"/>
      <c r="BA114" s="73" t="e">
        <f>LOOKUP(AZ114,FORMULAS!$A:$A,FORMULAS!$B:$B)</f>
        <v>#N/A</v>
      </c>
      <c r="BB114" s="78"/>
      <c r="BC114" s="73"/>
      <c r="BD114" s="73"/>
      <c r="BE114" s="73"/>
      <c r="BF114" s="73"/>
      <c r="BG114" s="73"/>
      <c r="BH114" s="73"/>
      <c r="BI114" s="73"/>
      <c r="BJ114" s="73" t="e">
        <f>WEEKNUM(BI114-RESUMEN!$BL$7)</f>
        <v>#NUM!</v>
      </c>
      <c r="BK114" s="73">
        <f>_xlfn.DAYS(BI114,RESUMEN!$BL$7)</f>
        <v>-43267</v>
      </c>
      <c r="BL114" s="73"/>
      <c r="BM114" s="73" t="e">
        <f>LOOKUP(BL114,FORMULAS!$A:$A,FORMULAS!$B:$B)</f>
        <v>#N/A</v>
      </c>
      <c r="BN114" s="78"/>
      <c r="BO114" s="73"/>
      <c r="BP114" s="73"/>
      <c r="BQ114" s="73"/>
      <c r="BR114" s="73"/>
      <c r="BS114" s="73"/>
      <c r="BT114" s="73"/>
    </row>
    <row r="115" spans="1:72" x14ac:dyDescent="0.25">
      <c r="A115" s="75"/>
      <c r="B115" s="74" t="e">
        <f>WEEKNUM(A115-RESUMEN!$D$7)</f>
        <v>#NUM!</v>
      </c>
      <c r="C115" s="74">
        <f>_xlfn.DAYS(A115,RESUMEN!$D$7)</f>
        <v>-43238</v>
      </c>
      <c r="D115" s="75"/>
      <c r="E115" s="73" t="e">
        <f>LOOKUP(D115,FORMULAS!$A:$A,FORMULAS!$B:$B)</f>
        <v>#N/A</v>
      </c>
      <c r="F115" s="80"/>
      <c r="G115" s="75"/>
      <c r="H115" s="75"/>
      <c r="I115" s="73"/>
      <c r="J115" s="73"/>
      <c r="K115" s="73"/>
      <c r="L115" s="73"/>
      <c r="M115" s="73"/>
      <c r="N115" s="73" t="e">
        <f>WEEKNUM(M115-RESUMEN!$P$7)</f>
        <v>#NUM!</v>
      </c>
      <c r="O115" s="73">
        <f>_xlfn.DAYS(M115,RESUMEN!$P$7)</f>
        <v>-43242</v>
      </c>
      <c r="P115" s="73"/>
      <c r="Q115" s="73" t="e">
        <f>LOOKUP(P115,FORMULAS!$A:$A,FORMULAS!$B:$B)</f>
        <v>#N/A</v>
      </c>
      <c r="R115" s="78"/>
      <c r="S115" s="73"/>
      <c r="T115" s="73"/>
      <c r="U115" s="73"/>
      <c r="V115" s="73"/>
      <c r="W115" s="73"/>
      <c r="X115" s="73"/>
      <c r="Y115" s="73"/>
      <c r="Z115" s="73" t="e">
        <f>WEEKNUM(Y115-RESUMEN!$AB$7)</f>
        <v>#NUM!</v>
      </c>
      <c r="AA115" s="73">
        <f>_xlfn.DAYS(Y115,RESUMEN!$AB$7)</f>
        <v>-43247</v>
      </c>
      <c r="AB115" s="73"/>
      <c r="AC115" s="73" t="e">
        <f>LOOKUP(AB115,FORMULAS!$A:$A,FORMULAS!$B:$B)</f>
        <v>#N/A</v>
      </c>
      <c r="AD115" s="78"/>
      <c r="AE115" s="73"/>
      <c r="AF115" s="73"/>
      <c r="AG115" s="73"/>
      <c r="AH115" s="73"/>
      <c r="AI115" s="73"/>
      <c r="AJ115" s="73"/>
      <c r="AK115" s="73"/>
      <c r="AL115" s="73" t="e">
        <f>WEEKNUM(AK115-RESUMEN!$AN$7)</f>
        <v>#NUM!</v>
      </c>
      <c r="AM115" s="73">
        <f>_xlfn.DAYS(AK115,RESUMEN!$AN$7)</f>
        <v>-43254</v>
      </c>
      <c r="AN115" s="73"/>
      <c r="AO115" s="73" t="e">
        <f>LOOKUP(AN115,FORMULAS!$A:$A,FORMULAS!$B:$B)</f>
        <v>#N/A</v>
      </c>
      <c r="AP115" s="78"/>
      <c r="AQ115" s="78"/>
      <c r="AR115" s="73"/>
      <c r="AS115" s="73"/>
      <c r="AT115" s="73"/>
      <c r="AU115" s="73"/>
      <c r="AV115" s="73"/>
      <c r="AW115" s="73"/>
      <c r="AX115" s="73" t="e">
        <f>WEEKNUM(AW115-RESUMEN!$AZ$7)</f>
        <v>#NUM!</v>
      </c>
      <c r="AY115" s="73">
        <f>_xlfn.DAYS(AW115,RESUMEN!$AZ$7)</f>
        <v>-43261</v>
      </c>
      <c r="AZ115" s="73"/>
      <c r="BA115" s="73" t="e">
        <f>LOOKUP(AZ115,FORMULAS!$A:$A,FORMULAS!$B:$B)</f>
        <v>#N/A</v>
      </c>
      <c r="BB115" s="78"/>
      <c r="BC115" s="73"/>
      <c r="BD115" s="73"/>
      <c r="BE115" s="73"/>
      <c r="BF115" s="73"/>
      <c r="BG115" s="73"/>
      <c r="BH115" s="73"/>
      <c r="BI115" s="73"/>
      <c r="BJ115" s="73" t="e">
        <f>WEEKNUM(BI115-RESUMEN!$BL$7)</f>
        <v>#NUM!</v>
      </c>
      <c r="BK115" s="73">
        <f>_xlfn.DAYS(BI115,RESUMEN!$BL$7)</f>
        <v>-43267</v>
      </c>
      <c r="BL115" s="73"/>
      <c r="BM115" s="73" t="e">
        <f>LOOKUP(BL115,FORMULAS!$A:$A,FORMULAS!$B:$B)</f>
        <v>#N/A</v>
      </c>
      <c r="BN115" s="78"/>
      <c r="BO115" s="73"/>
      <c r="BP115" s="73"/>
      <c r="BQ115" s="73"/>
      <c r="BR115" s="73"/>
      <c r="BS115" s="73"/>
      <c r="BT115" s="73"/>
    </row>
    <row r="116" spans="1:72" x14ac:dyDescent="0.25">
      <c r="A116" s="75"/>
      <c r="B116" s="74" t="e">
        <f>WEEKNUM(A116-RESUMEN!$D$7)</f>
        <v>#NUM!</v>
      </c>
      <c r="C116" s="74">
        <f>_xlfn.DAYS(A116,RESUMEN!$D$7)</f>
        <v>-43238</v>
      </c>
      <c r="D116" s="75"/>
      <c r="E116" s="73" t="e">
        <f>LOOKUP(D116,FORMULAS!$A:$A,FORMULAS!$B:$B)</f>
        <v>#N/A</v>
      </c>
      <c r="F116" s="80"/>
      <c r="G116" s="75"/>
      <c r="H116" s="75"/>
      <c r="I116" s="73"/>
      <c r="J116" s="73"/>
      <c r="K116" s="73"/>
      <c r="L116" s="73"/>
      <c r="M116" s="73"/>
      <c r="N116" s="73" t="e">
        <f>WEEKNUM(M116-RESUMEN!$P$7)</f>
        <v>#NUM!</v>
      </c>
      <c r="O116" s="73">
        <f>_xlfn.DAYS(M116,RESUMEN!$P$7)</f>
        <v>-43242</v>
      </c>
      <c r="P116" s="73"/>
      <c r="Q116" s="73" t="e">
        <f>LOOKUP(P116,FORMULAS!$A:$A,FORMULAS!$B:$B)</f>
        <v>#N/A</v>
      </c>
      <c r="R116" s="78"/>
      <c r="S116" s="73"/>
      <c r="T116" s="73"/>
      <c r="U116" s="73"/>
      <c r="V116" s="73"/>
      <c r="W116" s="73"/>
      <c r="X116" s="73"/>
      <c r="Y116" s="73"/>
      <c r="Z116" s="73" t="e">
        <f>WEEKNUM(Y116-RESUMEN!$AB$7)</f>
        <v>#NUM!</v>
      </c>
      <c r="AA116" s="73">
        <f>_xlfn.DAYS(Y116,RESUMEN!$AB$7)</f>
        <v>-43247</v>
      </c>
      <c r="AB116" s="73"/>
      <c r="AC116" s="73" t="e">
        <f>LOOKUP(AB116,FORMULAS!$A:$A,FORMULAS!$B:$B)</f>
        <v>#N/A</v>
      </c>
      <c r="AD116" s="78"/>
      <c r="AE116" s="73"/>
      <c r="AF116" s="73"/>
      <c r="AG116" s="73"/>
      <c r="AH116" s="73"/>
      <c r="AI116" s="73"/>
      <c r="AJ116" s="73"/>
      <c r="AK116" s="73"/>
      <c r="AL116" s="73" t="e">
        <f>WEEKNUM(AK116-RESUMEN!$AN$7)</f>
        <v>#NUM!</v>
      </c>
      <c r="AM116" s="73">
        <f>_xlfn.DAYS(AK116,RESUMEN!$AN$7)</f>
        <v>-43254</v>
      </c>
      <c r="AN116" s="73"/>
      <c r="AO116" s="73" t="e">
        <f>LOOKUP(AN116,FORMULAS!$A:$A,FORMULAS!$B:$B)</f>
        <v>#N/A</v>
      </c>
      <c r="AP116" s="78"/>
      <c r="AQ116" s="78"/>
      <c r="AR116" s="73"/>
      <c r="AS116" s="73"/>
      <c r="AT116" s="73"/>
      <c r="AU116" s="73"/>
      <c r="AV116" s="73"/>
      <c r="AW116" s="73"/>
      <c r="AX116" s="73" t="e">
        <f>WEEKNUM(AW116-RESUMEN!$AZ$7)</f>
        <v>#NUM!</v>
      </c>
      <c r="AY116" s="73">
        <f>_xlfn.DAYS(AW116,RESUMEN!$AZ$7)</f>
        <v>-43261</v>
      </c>
      <c r="AZ116" s="73"/>
      <c r="BA116" s="73" t="e">
        <f>LOOKUP(AZ116,FORMULAS!$A:$A,FORMULAS!$B:$B)</f>
        <v>#N/A</v>
      </c>
      <c r="BB116" s="78"/>
      <c r="BC116" s="73"/>
      <c r="BD116" s="73"/>
      <c r="BE116" s="73"/>
      <c r="BF116" s="73"/>
      <c r="BG116" s="73"/>
      <c r="BH116" s="73"/>
      <c r="BI116" s="73"/>
      <c r="BJ116" s="73" t="e">
        <f>WEEKNUM(BI116-RESUMEN!$BL$7)</f>
        <v>#NUM!</v>
      </c>
      <c r="BK116" s="73">
        <f>_xlfn.DAYS(BI116,RESUMEN!$BL$7)</f>
        <v>-43267</v>
      </c>
      <c r="BL116" s="73"/>
      <c r="BM116" s="73" t="e">
        <f>LOOKUP(BL116,FORMULAS!$A:$A,FORMULAS!$B:$B)</f>
        <v>#N/A</v>
      </c>
      <c r="BN116" s="78"/>
      <c r="BO116" s="73"/>
      <c r="BP116" s="73"/>
      <c r="BQ116" s="73"/>
      <c r="BR116" s="73"/>
      <c r="BS116" s="73"/>
      <c r="BT116" s="73"/>
    </row>
    <row r="117" spans="1:72" x14ac:dyDescent="0.25">
      <c r="A117" s="75"/>
      <c r="B117" s="74" t="e">
        <f>WEEKNUM(A117-RESUMEN!$D$7)</f>
        <v>#NUM!</v>
      </c>
      <c r="C117" s="74">
        <f>_xlfn.DAYS(A117,RESUMEN!$D$7)</f>
        <v>-43238</v>
      </c>
      <c r="D117" s="75"/>
      <c r="E117" s="73" t="e">
        <f>LOOKUP(D117,FORMULAS!$A:$A,FORMULAS!$B:$B)</f>
        <v>#N/A</v>
      </c>
      <c r="F117" s="80"/>
      <c r="G117" s="75"/>
      <c r="H117" s="75"/>
      <c r="I117" s="73"/>
      <c r="J117" s="73"/>
      <c r="K117" s="73"/>
      <c r="L117" s="73"/>
      <c r="M117" s="73"/>
      <c r="N117" s="73" t="e">
        <f>WEEKNUM(M117-RESUMEN!$P$7)</f>
        <v>#NUM!</v>
      </c>
      <c r="O117" s="73">
        <f>_xlfn.DAYS(M117,RESUMEN!$P$7)</f>
        <v>-43242</v>
      </c>
      <c r="P117" s="73"/>
      <c r="Q117" s="73" t="e">
        <f>LOOKUP(P117,FORMULAS!$A:$A,FORMULAS!$B:$B)</f>
        <v>#N/A</v>
      </c>
      <c r="R117" s="78"/>
      <c r="S117" s="73"/>
      <c r="T117" s="73"/>
      <c r="U117" s="73"/>
      <c r="V117" s="73"/>
      <c r="W117" s="73"/>
      <c r="X117" s="73"/>
      <c r="Y117" s="73"/>
      <c r="Z117" s="73" t="e">
        <f>WEEKNUM(Y117-RESUMEN!$AB$7)</f>
        <v>#NUM!</v>
      </c>
      <c r="AA117" s="73">
        <f>_xlfn.DAYS(Y117,RESUMEN!$AB$7)</f>
        <v>-43247</v>
      </c>
      <c r="AB117" s="73"/>
      <c r="AC117" s="73" t="e">
        <f>LOOKUP(AB117,FORMULAS!$A:$A,FORMULAS!$B:$B)</f>
        <v>#N/A</v>
      </c>
      <c r="AD117" s="78"/>
      <c r="AE117" s="73"/>
      <c r="AF117" s="73"/>
      <c r="AG117" s="73"/>
      <c r="AH117" s="73"/>
      <c r="AI117" s="73"/>
      <c r="AJ117" s="73"/>
      <c r="AK117" s="73"/>
      <c r="AL117" s="73" t="e">
        <f>WEEKNUM(AK117-RESUMEN!$AN$7)</f>
        <v>#NUM!</v>
      </c>
      <c r="AM117" s="73">
        <f>_xlfn.DAYS(AK117,RESUMEN!$AN$7)</f>
        <v>-43254</v>
      </c>
      <c r="AN117" s="73"/>
      <c r="AO117" s="73" t="e">
        <f>LOOKUP(AN117,FORMULAS!$A:$A,FORMULAS!$B:$B)</f>
        <v>#N/A</v>
      </c>
      <c r="AP117" s="78"/>
      <c r="AQ117" s="78"/>
      <c r="AR117" s="73"/>
      <c r="AS117" s="73"/>
      <c r="AT117" s="73"/>
      <c r="AU117" s="73"/>
      <c r="AV117" s="73"/>
      <c r="AW117" s="73"/>
      <c r="AX117" s="73" t="e">
        <f>WEEKNUM(AW117-RESUMEN!$AZ$7)</f>
        <v>#NUM!</v>
      </c>
      <c r="AY117" s="73">
        <f>_xlfn.DAYS(AW117,RESUMEN!$AZ$7)</f>
        <v>-43261</v>
      </c>
      <c r="AZ117" s="73"/>
      <c r="BA117" s="73" t="e">
        <f>LOOKUP(AZ117,FORMULAS!$A:$A,FORMULAS!$B:$B)</f>
        <v>#N/A</v>
      </c>
      <c r="BB117" s="78"/>
      <c r="BC117" s="73"/>
      <c r="BD117" s="73"/>
      <c r="BE117" s="73"/>
      <c r="BF117" s="73"/>
      <c r="BG117" s="73"/>
      <c r="BH117" s="73"/>
      <c r="BI117" s="73"/>
      <c r="BJ117" s="73" t="e">
        <f>WEEKNUM(BI117-RESUMEN!$BL$7)</f>
        <v>#NUM!</v>
      </c>
      <c r="BK117" s="73">
        <f>_xlfn.DAYS(BI117,RESUMEN!$BL$7)</f>
        <v>-43267</v>
      </c>
      <c r="BL117" s="73"/>
      <c r="BM117" s="73" t="e">
        <f>LOOKUP(BL117,FORMULAS!$A:$A,FORMULAS!$B:$B)</f>
        <v>#N/A</v>
      </c>
      <c r="BN117" s="78"/>
      <c r="BO117" s="73"/>
      <c r="BP117" s="73"/>
      <c r="BQ117" s="73"/>
      <c r="BR117" s="73"/>
      <c r="BS117" s="73"/>
      <c r="BT117" s="73"/>
    </row>
    <row r="118" spans="1:72" x14ac:dyDescent="0.25">
      <c r="A118" s="75"/>
      <c r="B118" s="74" t="e">
        <f>WEEKNUM(A118-RESUMEN!$D$7)</f>
        <v>#NUM!</v>
      </c>
      <c r="C118" s="74">
        <f>_xlfn.DAYS(A118,RESUMEN!$D$7)</f>
        <v>-43238</v>
      </c>
      <c r="D118" s="75"/>
      <c r="E118" s="73" t="e">
        <f>LOOKUP(D118,FORMULAS!$A:$A,FORMULAS!$B:$B)</f>
        <v>#N/A</v>
      </c>
      <c r="F118" s="80"/>
      <c r="G118" s="75"/>
      <c r="H118" s="75"/>
      <c r="I118" s="73"/>
      <c r="J118" s="73"/>
      <c r="K118" s="73"/>
      <c r="L118" s="73"/>
      <c r="M118" s="73"/>
      <c r="N118" s="73" t="e">
        <f>WEEKNUM(M118-RESUMEN!$P$7)</f>
        <v>#NUM!</v>
      </c>
      <c r="O118" s="73">
        <f>_xlfn.DAYS(M118,RESUMEN!$P$7)</f>
        <v>-43242</v>
      </c>
      <c r="P118" s="73"/>
      <c r="Q118" s="73" t="e">
        <f>LOOKUP(P118,FORMULAS!$A:$A,FORMULAS!$B:$B)</f>
        <v>#N/A</v>
      </c>
      <c r="R118" s="78"/>
      <c r="S118" s="73"/>
      <c r="T118" s="73"/>
      <c r="U118" s="73"/>
      <c r="V118" s="73"/>
      <c r="W118" s="73"/>
      <c r="X118" s="73"/>
      <c r="Y118" s="73"/>
      <c r="Z118" s="73" t="e">
        <f>WEEKNUM(Y118-RESUMEN!$AB$7)</f>
        <v>#NUM!</v>
      </c>
      <c r="AA118" s="73">
        <f>_xlfn.DAYS(Y118,RESUMEN!$AB$7)</f>
        <v>-43247</v>
      </c>
      <c r="AB118" s="73"/>
      <c r="AC118" s="73" t="e">
        <f>LOOKUP(AB118,FORMULAS!$A:$A,FORMULAS!$B:$B)</f>
        <v>#N/A</v>
      </c>
      <c r="AD118" s="78"/>
      <c r="AE118" s="73"/>
      <c r="AF118" s="73"/>
      <c r="AG118" s="73"/>
      <c r="AH118" s="73"/>
      <c r="AI118" s="73"/>
      <c r="AJ118" s="73"/>
      <c r="AK118" s="73"/>
      <c r="AL118" s="73" t="e">
        <f>WEEKNUM(AK118-RESUMEN!$AN$7)</f>
        <v>#NUM!</v>
      </c>
      <c r="AM118" s="73">
        <f>_xlfn.DAYS(AK118,RESUMEN!$AN$7)</f>
        <v>-43254</v>
      </c>
      <c r="AN118" s="73"/>
      <c r="AO118" s="73" t="e">
        <f>LOOKUP(AN118,FORMULAS!$A:$A,FORMULAS!$B:$B)</f>
        <v>#N/A</v>
      </c>
      <c r="AP118" s="78"/>
      <c r="AQ118" s="78"/>
      <c r="AR118" s="73"/>
      <c r="AS118" s="73"/>
      <c r="AT118" s="73"/>
      <c r="AU118" s="73"/>
      <c r="AV118" s="73"/>
      <c r="AW118" s="73"/>
      <c r="AX118" s="73" t="e">
        <f>WEEKNUM(AW118-RESUMEN!$AZ$7)</f>
        <v>#NUM!</v>
      </c>
      <c r="AY118" s="73">
        <f>_xlfn.DAYS(AW118,RESUMEN!$AZ$7)</f>
        <v>-43261</v>
      </c>
      <c r="AZ118" s="73"/>
      <c r="BA118" s="73" t="e">
        <f>LOOKUP(AZ118,FORMULAS!$A:$A,FORMULAS!$B:$B)</f>
        <v>#N/A</v>
      </c>
      <c r="BB118" s="78"/>
      <c r="BC118" s="73"/>
      <c r="BD118" s="73"/>
      <c r="BE118" s="73"/>
      <c r="BF118" s="73"/>
      <c r="BG118" s="73"/>
      <c r="BH118" s="73"/>
      <c r="BI118" s="73"/>
      <c r="BJ118" s="73" t="e">
        <f>WEEKNUM(BI118-RESUMEN!$BL$7)</f>
        <v>#NUM!</v>
      </c>
      <c r="BK118" s="73">
        <f>_xlfn.DAYS(BI118,RESUMEN!$BL$7)</f>
        <v>-43267</v>
      </c>
      <c r="BL118" s="73"/>
      <c r="BM118" s="73" t="e">
        <f>LOOKUP(BL118,FORMULAS!$A:$A,FORMULAS!$B:$B)</f>
        <v>#N/A</v>
      </c>
      <c r="BN118" s="78"/>
      <c r="BO118" s="73"/>
      <c r="BP118" s="73"/>
      <c r="BQ118" s="73"/>
      <c r="BR118" s="73"/>
      <c r="BS118" s="73"/>
      <c r="BT118" s="73"/>
    </row>
    <row r="119" spans="1:72" x14ac:dyDescent="0.25">
      <c r="A119" s="75"/>
      <c r="B119" s="74" t="e">
        <f>WEEKNUM(A119-RESUMEN!$D$7)</f>
        <v>#NUM!</v>
      </c>
      <c r="C119" s="74">
        <f>_xlfn.DAYS(A119,RESUMEN!$D$7)</f>
        <v>-43238</v>
      </c>
      <c r="D119" s="75"/>
      <c r="E119" s="73" t="e">
        <f>LOOKUP(D119,FORMULAS!$A:$A,FORMULAS!$B:$B)</f>
        <v>#N/A</v>
      </c>
      <c r="F119" s="80"/>
      <c r="G119" s="75"/>
      <c r="H119" s="75"/>
      <c r="I119" s="73"/>
      <c r="J119" s="73"/>
      <c r="K119" s="73"/>
      <c r="L119" s="73"/>
      <c r="M119" s="73"/>
      <c r="N119" s="73" t="e">
        <f>WEEKNUM(M119-RESUMEN!$P$7)</f>
        <v>#NUM!</v>
      </c>
      <c r="O119" s="73">
        <f>_xlfn.DAYS(M119,RESUMEN!$P$7)</f>
        <v>-43242</v>
      </c>
      <c r="P119" s="73"/>
      <c r="Q119" s="73" t="e">
        <f>LOOKUP(P119,FORMULAS!$A:$A,FORMULAS!$B:$B)</f>
        <v>#N/A</v>
      </c>
      <c r="R119" s="78"/>
      <c r="S119" s="73"/>
      <c r="T119" s="73"/>
      <c r="U119" s="73"/>
      <c r="V119" s="73"/>
      <c r="W119" s="73"/>
      <c r="X119" s="73"/>
      <c r="Y119" s="73"/>
      <c r="Z119" s="73" t="e">
        <f>WEEKNUM(Y119-RESUMEN!$AB$7)</f>
        <v>#NUM!</v>
      </c>
      <c r="AA119" s="73">
        <f>_xlfn.DAYS(Y119,RESUMEN!$AB$7)</f>
        <v>-43247</v>
      </c>
      <c r="AB119" s="73"/>
      <c r="AC119" s="73" t="e">
        <f>LOOKUP(AB119,FORMULAS!$A:$A,FORMULAS!$B:$B)</f>
        <v>#N/A</v>
      </c>
      <c r="AD119" s="78"/>
      <c r="AE119" s="73"/>
      <c r="AF119" s="73"/>
      <c r="AG119" s="73"/>
      <c r="AH119" s="73"/>
      <c r="AI119" s="73"/>
      <c r="AJ119" s="73"/>
      <c r="AK119" s="73"/>
      <c r="AL119" s="73" t="e">
        <f>WEEKNUM(AK119-RESUMEN!$AN$7)</f>
        <v>#NUM!</v>
      </c>
      <c r="AM119" s="73">
        <f>_xlfn.DAYS(AK119,RESUMEN!$AN$7)</f>
        <v>-43254</v>
      </c>
      <c r="AN119" s="73"/>
      <c r="AO119" s="73" t="e">
        <f>LOOKUP(AN119,FORMULAS!$A:$A,FORMULAS!$B:$B)</f>
        <v>#N/A</v>
      </c>
      <c r="AP119" s="78"/>
      <c r="AQ119" s="78"/>
      <c r="AR119" s="73"/>
      <c r="AS119" s="73"/>
      <c r="AT119" s="73"/>
      <c r="AU119" s="73"/>
      <c r="AV119" s="73"/>
      <c r="AW119" s="73"/>
      <c r="AX119" s="73" t="e">
        <f>WEEKNUM(AW119-RESUMEN!$AZ$7)</f>
        <v>#NUM!</v>
      </c>
      <c r="AY119" s="73">
        <f>_xlfn.DAYS(AW119,RESUMEN!$AZ$7)</f>
        <v>-43261</v>
      </c>
      <c r="AZ119" s="73"/>
      <c r="BA119" s="73" t="e">
        <f>LOOKUP(AZ119,FORMULAS!$A:$A,FORMULAS!$B:$B)</f>
        <v>#N/A</v>
      </c>
      <c r="BB119" s="78"/>
      <c r="BC119" s="73"/>
      <c r="BD119" s="73"/>
      <c r="BE119" s="73"/>
      <c r="BF119" s="73"/>
      <c r="BG119" s="73"/>
      <c r="BH119" s="73"/>
      <c r="BI119" s="73"/>
      <c r="BJ119" s="73" t="e">
        <f>WEEKNUM(BI119-RESUMEN!$BL$7)</f>
        <v>#NUM!</v>
      </c>
      <c r="BK119" s="73">
        <f>_xlfn.DAYS(BI119,RESUMEN!$BL$7)</f>
        <v>-43267</v>
      </c>
      <c r="BL119" s="73"/>
      <c r="BM119" s="73" t="e">
        <f>LOOKUP(BL119,FORMULAS!$A:$A,FORMULAS!$B:$B)</f>
        <v>#N/A</v>
      </c>
      <c r="BN119" s="78"/>
      <c r="BO119" s="73"/>
      <c r="BP119" s="73"/>
      <c r="BQ119" s="73"/>
      <c r="BR119" s="73"/>
      <c r="BS119" s="73"/>
      <c r="BT119" s="73"/>
    </row>
    <row r="120" spans="1:72" x14ac:dyDescent="0.25">
      <c r="A120" s="75"/>
      <c r="B120" s="74" t="e">
        <f>WEEKNUM(A120-RESUMEN!$D$7)</f>
        <v>#NUM!</v>
      </c>
      <c r="C120" s="74">
        <f>_xlfn.DAYS(A120,RESUMEN!$D$7)</f>
        <v>-43238</v>
      </c>
      <c r="D120" s="75"/>
      <c r="E120" s="73" t="e">
        <f>LOOKUP(D120,FORMULAS!$A:$A,FORMULAS!$B:$B)</f>
        <v>#N/A</v>
      </c>
      <c r="F120" s="80"/>
      <c r="G120" s="75"/>
      <c r="H120" s="75"/>
      <c r="I120" s="73"/>
      <c r="J120" s="73"/>
      <c r="K120" s="73"/>
      <c r="L120" s="73"/>
      <c r="M120" s="73"/>
      <c r="N120" s="73" t="e">
        <f>WEEKNUM(M120-RESUMEN!$P$7)</f>
        <v>#NUM!</v>
      </c>
      <c r="O120" s="73">
        <f>_xlfn.DAYS(M120,RESUMEN!$P$7)</f>
        <v>-43242</v>
      </c>
      <c r="P120" s="73"/>
      <c r="Q120" s="73" t="e">
        <f>LOOKUP(P120,FORMULAS!$A:$A,FORMULAS!$B:$B)</f>
        <v>#N/A</v>
      </c>
      <c r="R120" s="78"/>
      <c r="S120" s="73"/>
      <c r="T120" s="73"/>
      <c r="U120" s="73"/>
      <c r="V120" s="73"/>
      <c r="W120" s="73"/>
      <c r="X120" s="73"/>
      <c r="Y120" s="73"/>
      <c r="Z120" s="73" t="e">
        <f>WEEKNUM(Y120-RESUMEN!$AB$7)</f>
        <v>#NUM!</v>
      </c>
      <c r="AA120" s="73">
        <f>_xlfn.DAYS(Y120,RESUMEN!$AB$7)</f>
        <v>-43247</v>
      </c>
      <c r="AB120" s="73"/>
      <c r="AC120" s="73" t="e">
        <f>LOOKUP(AB120,FORMULAS!$A:$A,FORMULAS!$B:$B)</f>
        <v>#N/A</v>
      </c>
      <c r="AD120" s="78"/>
      <c r="AE120" s="73"/>
      <c r="AF120" s="73"/>
      <c r="AG120" s="73"/>
      <c r="AH120" s="73"/>
      <c r="AI120" s="73"/>
      <c r="AJ120" s="73"/>
      <c r="AK120" s="73"/>
      <c r="AL120" s="73" t="e">
        <f>WEEKNUM(AK120-RESUMEN!$AN$7)</f>
        <v>#NUM!</v>
      </c>
      <c r="AM120" s="73">
        <f>_xlfn.DAYS(AK120,RESUMEN!$AN$7)</f>
        <v>-43254</v>
      </c>
      <c r="AN120" s="73"/>
      <c r="AO120" s="73" t="e">
        <f>LOOKUP(AN120,FORMULAS!$A:$A,FORMULAS!$B:$B)</f>
        <v>#N/A</v>
      </c>
      <c r="AP120" s="78"/>
      <c r="AQ120" s="78"/>
      <c r="AR120" s="73"/>
      <c r="AS120" s="73"/>
      <c r="AT120" s="73"/>
      <c r="AU120" s="73"/>
      <c r="AV120" s="73"/>
      <c r="AW120" s="73"/>
      <c r="AX120" s="73" t="e">
        <f>WEEKNUM(AW120-RESUMEN!$AZ$7)</f>
        <v>#NUM!</v>
      </c>
      <c r="AY120" s="73">
        <f>_xlfn.DAYS(AW120,RESUMEN!$AZ$7)</f>
        <v>-43261</v>
      </c>
      <c r="AZ120" s="73"/>
      <c r="BA120" s="73" t="e">
        <f>LOOKUP(AZ120,FORMULAS!$A:$A,FORMULAS!$B:$B)</f>
        <v>#N/A</v>
      </c>
      <c r="BB120" s="78"/>
      <c r="BC120" s="73"/>
      <c r="BD120" s="73"/>
      <c r="BE120" s="73"/>
      <c r="BF120" s="73"/>
      <c r="BG120" s="73"/>
      <c r="BH120" s="73"/>
      <c r="BI120" s="73"/>
      <c r="BJ120" s="73" t="e">
        <f>WEEKNUM(BI120-RESUMEN!$BL$7)</f>
        <v>#NUM!</v>
      </c>
      <c r="BK120" s="73">
        <f>_xlfn.DAYS(BI120,RESUMEN!$BL$7)</f>
        <v>-43267</v>
      </c>
      <c r="BL120" s="73"/>
      <c r="BM120" s="73" t="e">
        <f>LOOKUP(BL120,FORMULAS!$A:$A,FORMULAS!$B:$B)</f>
        <v>#N/A</v>
      </c>
      <c r="BN120" s="78"/>
      <c r="BO120" s="73"/>
      <c r="BP120" s="73"/>
      <c r="BQ120" s="73"/>
      <c r="BR120" s="73"/>
      <c r="BS120" s="73"/>
      <c r="BT120" s="73"/>
    </row>
    <row r="121" spans="1:72" x14ac:dyDescent="0.25">
      <c r="A121" s="75"/>
      <c r="B121" s="74" t="e">
        <f>WEEKNUM(A121-RESUMEN!$D$7)</f>
        <v>#NUM!</v>
      </c>
      <c r="C121" s="74">
        <f>_xlfn.DAYS(A121,RESUMEN!$D$7)</f>
        <v>-43238</v>
      </c>
      <c r="D121" s="75"/>
      <c r="E121" s="73" t="e">
        <f>LOOKUP(D121,FORMULAS!$A:$A,FORMULAS!$B:$B)</f>
        <v>#N/A</v>
      </c>
      <c r="F121" s="80"/>
      <c r="G121" s="75"/>
      <c r="H121" s="75"/>
      <c r="I121" s="73"/>
      <c r="J121" s="73"/>
      <c r="K121" s="73"/>
      <c r="L121" s="73"/>
      <c r="M121" s="73"/>
      <c r="N121" s="73" t="e">
        <f>WEEKNUM(M121-RESUMEN!$P$7)</f>
        <v>#NUM!</v>
      </c>
      <c r="O121" s="73">
        <f>_xlfn.DAYS(M121,RESUMEN!$P$7)</f>
        <v>-43242</v>
      </c>
      <c r="P121" s="73"/>
      <c r="Q121" s="73" t="e">
        <f>LOOKUP(P121,FORMULAS!$A:$A,FORMULAS!$B:$B)</f>
        <v>#N/A</v>
      </c>
      <c r="R121" s="78"/>
      <c r="S121" s="73"/>
      <c r="T121" s="73"/>
      <c r="U121" s="73"/>
      <c r="V121" s="73"/>
      <c r="W121" s="73"/>
      <c r="X121" s="73"/>
      <c r="Y121" s="73"/>
      <c r="Z121" s="73" t="e">
        <f>WEEKNUM(Y121-RESUMEN!$AB$7)</f>
        <v>#NUM!</v>
      </c>
      <c r="AA121" s="73">
        <f>_xlfn.DAYS(Y121,RESUMEN!$AB$7)</f>
        <v>-43247</v>
      </c>
      <c r="AB121" s="73"/>
      <c r="AC121" s="73" t="e">
        <f>LOOKUP(AB121,FORMULAS!$A:$A,FORMULAS!$B:$B)</f>
        <v>#N/A</v>
      </c>
      <c r="AD121" s="78"/>
      <c r="AE121" s="73"/>
      <c r="AF121" s="73"/>
      <c r="AG121" s="73"/>
      <c r="AH121" s="73"/>
      <c r="AI121" s="73"/>
      <c r="AJ121" s="73"/>
      <c r="AK121" s="73"/>
      <c r="AL121" s="73" t="e">
        <f>WEEKNUM(AK121-RESUMEN!$AN$7)</f>
        <v>#NUM!</v>
      </c>
      <c r="AM121" s="73">
        <f>_xlfn.DAYS(AK121,RESUMEN!$AN$7)</f>
        <v>-43254</v>
      </c>
      <c r="AN121" s="73"/>
      <c r="AO121" s="73" t="e">
        <f>LOOKUP(AN121,FORMULAS!$A:$A,FORMULAS!$B:$B)</f>
        <v>#N/A</v>
      </c>
      <c r="AP121" s="78"/>
      <c r="AQ121" s="78"/>
      <c r="AR121" s="73"/>
      <c r="AS121" s="73"/>
      <c r="AT121" s="73"/>
      <c r="AU121" s="73"/>
      <c r="AV121" s="73"/>
      <c r="AW121" s="73"/>
      <c r="AX121" s="73" t="e">
        <f>WEEKNUM(AW121-RESUMEN!$AZ$7)</f>
        <v>#NUM!</v>
      </c>
      <c r="AY121" s="73">
        <f>_xlfn.DAYS(AW121,RESUMEN!$AZ$7)</f>
        <v>-43261</v>
      </c>
      <c r="AZ121" s="73"/>
      <c r="BA121" s="73" t="e">
        <f>LOOKUP(AZ121,FORMULAS!$A:$A,FORMULAS!$B:$B)</f>
        <v>#N/A</v>
      </c>
      <c r="BB121" s="78"/>
      <c r="BC121" s="73"/>
      <c r="BD121" s="73"/>
      <c r="BE121" s="73"/>
      <c r="BF121" s="73"/>
      <c r="BG121" s="73"/>
      <c r="BH121" s="73"/>
      <c r="BI121" s="73"/>
      <c r="BJ121" s="73" t="e">
        <f>WEEKNUM(BI121-RESUMEN!$BL$7)</f>
        <v>#NUM!</v>
      </c>
      <c r="BK121" s="73">
        <f>_xlfn.DAYS(BI121,RESUMEN!$BL$7)</f>
        <v>-43267</v>
      </c>
      <c r="BL121" s="73"/>
      <c r="BM121" s="73" t="e">
        <f>LOOKUP(BL121,FORMULAS!$A:$A,FORMULAS!$B:$B)</f>
        <v>#N/A</v>
      </c>
      <c r="BN121" s="78"/>
      <c r="BO121" s="73"/>
      <c r="BP121" s="73"/>
      <c r="BQ121" s="73"/>
      <c r="BR121" s="73"/>
      <c r="BS121" s="73"/>
      <c r="BT121" s="73"/>
    </row>
    <row r="122" spans="1:72" x14ac:dyDescent="0.25">
      <c r="A122" s="75"/>
      <c r="B122" s="74" t="e">
        <f>WEEKNUM(A122-RESUMEN!$D$7)</f>
        <v>#NUM!</v>
      </c>
      <c r="C122" s="74">
        <f>_xlfn.DAYS(A122,RESUMEN!$D$7)</f>
        <v>-43238</v>
      </c>
      <c r="D122" s="75"/>
      <c r="E122" s="73" t="e">
        <f>LOOKUP(D122,FORMULAS!$A:$A,FORMULAS!$B:$B)</f>
        <v>#N/A</v>
      </c>
      <c r="F122" s="80"/>
      <c r="G122" s="75"/>
      <c r="H122" s="75"/>
      <c r="I122" s="73"/>
      <c r="J122" s="73"/>
      <c r="K122" s="73"/>
      <c r="L122" s="73"/>
      <c r="M122" s="73"/>
      <c r="N122" s="73" t="e">
        <f>WEEKNUM(M122-RESUMEN!$P$7)</f>
        <v>#NUM!</v>
      </c>
      <c r="O122" s="73">
        <f>_xlfn.DAYS(M122,RESUMEN!$P$7)</f>
        <v>-43242</v>
      </c>
      <c r="P122" s="73"/>
      <c r="Q122" s="73" t="e">
        <f>LOOKUP(P122,FORMULAS!$A:$A,FORMULAS!$B:$B)</f>
        <v>#N/A</v>
      </c>
      <c r="R122" s="78"/>
      <c r="S122" s="73"/>
      <c r="T122" s="73"/>
      <c r="U122" s="73"/>
      <c r="V122" s="73"/>
      <c r="W122" s="73"/>
      <c r="X122" s="73"/>
      <c r="Y122" s="73"/>
      <c r="Z122" s="73" t="e">
        <f>WEEKNUM(Y122-RESUMEN!$AB$7)</f>
        <v>#NUM!</v>
      </c>
      <c r="AA122" s="73">
        <f>_xlfn.DAYS(Y122,RESUMEN!$AB$7)</f>
        <v>-43247</v>
      </c>
      <c r="AB122" s="73"/>
      <c r="AC122" s="73" t="e">
        <f>LOOKUP(AB122,FORMULAS!$A:$A,FORMULAS!$B:$B)</f>
        <v>#N/A</v>
      </c>
      <c r="AD122" s="78"/>
      <c r="AE122" s="73"/>
      <c r="AF122" s="73"/>
      <c r="AG122" s="73"/>
      <c r="AH122" s="73"/>
      <c r="AI122" s="73"/>
      <c r="AJ122" s="73"/>
      <c r="AK122" s="73"/>
      <c r="AL122" s="73" t="e">
        <f>WEEKNUM(AK122-RESUMEN!$AN$7)</f>
        <v>#NUM!</v>
      </c>
      <c r="AM122" s="73">
        <f>_xlfn.DAYS(AK122,RESUMEN!$AN$7)</f>
        <v>-43254</v>
      </c>
      <c r="AN122" s="73"/>
      <c r="AO122" s="73" t="e">
        <f>LOOKUP(AN122,FORMULAS!$A:$A,FORMULAS!$B:$B)</f>
        <v>#N/A</v>
      </c>
      <c r="AP122" s="78"/>
      <c r="AQ122" s="78"/>
      <c r="AR122" s="73"/>
      <c r="AS122" s="73"/>
      <c r="AT122" s="73"/>
      <c r="AU122" s="73"/>
      <c r="AV122" s="73"/>
      <c r="AW122" s="73"/>
      <c r="AX122" s="73" t="e">
        <f>WEEKNUM(AW122-RESUMEN!$AZ$7)</f>
        <v>#NUM!</v>
      </c>
      <c r="AY122" s="73">
        <f>_xlfn.DAYS(AW122,RESUMEN!$AZ$7)</f>
        <v>-43261</v>
      </c>
      <c r="AZ122" s="73"/>
      <c r="BA122" s="73" t="e">
        <f>LOOKUP(AZ122,FORMULAS!$A:$A,FORMULAS!$B:$B)</f>
        <v>#N/A</v>
      </c>
      <c r="BB122" s="78"/>
      <c r="BC122" s="73"/>
      <c r="BD122" s="73"/>
      <c r="BE122" s="73"/>
      <c r="BF122" s="73"/>
      <c r="BG122" s="73"/>
      <c r="BH122" s="73"/>
      <c r="BI122" s="73"/>
      <c r="BJ122" s="73" t="e">
        <f>WEEKNUM(BI122-RESUMEN!$BL$7)</f>
        <v>#NUM!</v>
      </c>
      <c r="BK122" s="73">
        <f>_xlfn.DAYS(BI122,RESUMEN!$BL$7)</f>
        <v>-43267</v>
      </c>
      <c r="BL122" s="73"/>
      <c r="BM122" s="73" t="e">
        <f>LOOKUP(BL122,FORMULAS!$A:$A,FORMULAS!$B:$B)</f>
        <v>#N/A</v>
      </c>
      <c r="BN122" s="78"/>
      <c r="BO122" s="73"/>
      <c r="BP122" s="73"/>
      <c r="BQ122" s="73"/>
      <c r="BR122" s="73"/>
      <c r="BS122" s="73"/>
      <c r="BT122" s="73"/>
    </row>
    <row r="123" spans="1:72" x14ac:dyDescent="0.25">
      <c r="A123" s="75"/>
      <c r="B123" s="74" t="e">
        <f>WEEKNUM(A123-RESUMEN!$D$7)</f>
        <v>#NUM!</v>
      </c>
      <c r="C123" s="74">
        <f>_xlfn.DAYS(A123,RESUMEN!$D$7)</f>
        <v>-43238</v>
      </c>
      <c r="D123" s="75"/>
      <c r="E123" s="73" t="e">
        <f>LOOKUP(D123,FORMULAS!$A:$A,FORMULAS!$B:$B)</f>
        <v>#N/A</v>
      </c>
      <c r="F123" s="80"/>
      <c r="G123" s="75"/>
      <c r="H123" s="75"/>
      <c r="I123" s="73"/>
      <c r="J123" s="73"/>
      <c r="K123" s="73"/>
      <c r="L123" s="73"/>
      <c r="M123" s="73"/>
      <c r="N123" s="73" t="e">
        <f>WEEKNUM(M123-RESUMEN!$P$7)</f>
        <v>#NUM!</v>
      </c>
      <c r="O123" s="73">
        <f>_xlfn.DAYS(M123,RESUMEN!$P$7)</f>
        <v>-43242</v>
      </c>
      <c r="P123" s="73"/>
      <c r="Q123" s="73" t="e">
        <f>LOOKUP(P123,FORMULAS!$A:$A,FORMULAS!$B:$B)</f>
        <v>#N/A</v>
      </c>
      <c r="R123" s="78"/>
      <c r="S123" s="73"/>
      <c r="T123" s="73"/>
      <c r="U123" s="73"/>
      <c r="V123" s="73"/>
      <c r="W123" s="73"/>
      <c r="X123" s="73"/>
      <c r="Y123" s="73"/>
      <c r="Z123" s="73" t="e">
        <f>WEEKNUM(Y123-RESUMEN!$AB$7)</f>
        <v>#NUM!</v>
      </c>
      <c r="AA123" s="73">
        <f>_xlfn.DAYS(Y123,RESUMEN!$AB$7)</f>
        <v>-43247</v>
      </c>
      <c r="AB123" s="73"/>
      <c r="AC123" s="73" t="e">
        <f>LOOKUP(AB123,FORMULAS!$A:$A,FORMULAS!$B:$B)</f>
        <v>#N/A</v>
      </c>
      <c r="AD123" s="78"/>
      <c r="AE123" s="73"/>
      <c r="AF123" s="73"/>
      <c r="AG123" s="73"/>
      <c r="AH123" s="73"/>
      <c r="AI123" s="73"/>
      <c r="AJ123" s="73"/>
      <c r="AK123" s="73"/>
      <c r="AL123" s="73" t="e">
        <f>WEEKNUM(AK123-RESUMEN!$AN$7)</f>
        <v>#NUM!</v>
      </c>
      <c r="AM123" s="73">
        <f>_xlfn.DAYS(AK123,RESUMEN!$AN$7)</f>
        <v>-43254</v>
      </c>
      <c r="AN123" s="73"/>
      <c r="AO123" s="73" t="e">
        <f>LOOKUP(AN123,FORMULAS!$A:$A,FORMULAS!$B:$B)</f>
        <v>#N/A</v>
      </c>
      <c r="AP123" s="78"/>
      <c r="AQ123" s="78"/>
      <c r="AR123" s="73"/>
      <c r="AS123" s="73"/>
      <c r="AT123" s="73"/>
      <c r="AU123" s="73"/>
      <c r="AV123" s="73"/>
      <c r="AW123" s="73"/>
      <c r="AX123" s="73" t="e">
        <f>WEEKNUM(AW123-RESUMEN!$AZ$7)</f>
        <v>#NUM!</v>
      </c>
      <c r="AY123" s="73">
        <f>_xlfn.DAYS(AW123,RESUMEN!$AZ$7)</f>
        <v>-43261</v>
      </c>
      <c r="AZ123" s="73"/>
      <c r="BA123" s="73" t="e">
        <f>LOOKUP(AZ123,FORMULAS!$A:$A,FORMULAS!$B:$B)</f>
        <v>#N/A</v>
      </c>
      <c r="BB123" s="78"/>
      <c r="BC123" s="73"/>
      <c r="BD123" s="73"/>
      <c r="BE123" s="73"/>
      <c r="BF123" s="73"/>
      <c r="BG123" s="73"/>
      <c r="BH123" s="73"/>
      <c r="BI123" s="73"/>
      <c r="BJ123" s="73" t="e">
        <f>WEEKNUM(BI123-RESUMEN!$BL$7)</f>
        <v>#NUM!</v>
      </c>
      <c r="BK123" s="73">
        <f>_xlfn.DAYS(BI123,RESUMEN!$BL$7)</f>
        <v>-43267</v>
      </c>
      <c r="BL123" s="73"/>
      <c r="BM123" s="73" t="e">
        <f>LOOKUP(BL123,FORMULAS!$A:$A,FORMULAS!$B:$B)</f>
        <v>#N/A</v>
      </c>
      <c r="BN123" s="78"/>
      <c r="BO123" s="73"/>
      <c r="BP123" s="73"/>
      <c r="BQ123" s="73"/>
      <c r="BR123" s="73"/>
      <c r="BS123" s="73"/>
      <c r="BT123" s="73"/>
    </row>
    <row r="124" spans="1:72" x14ac:dyDescent="0.25">
      <c r="A124" s="75"/>
      <c r="B124" s="74" t="e">
        <f>WEEKNUM(A124-RESUMEN!$D$7)</f>
        <v>#NUM!</v>
      </c>
      <c r="C124" s="74">
        <f>_xlfn.DAYS(A124,RESUMEN!$D$7)</f>
        <v>-43238</v>
      </c>
      <c r="D124" s="75"/>
      <c r="E124" s="73" t="e">
        <f>LOOKUP(D124,FORMULAS!$A:$A,FORMULAS!$B:$B)</f>
        <v>#N/A</v>
      </c>
      <c r="F124" s="80"/>
      <c r="G124" s="75"/>
      <c r="H124" s="75"/>
      <c r="I124" s="73"/>
      <c r="J124" s="73"/>
      <c r="K124" s="73"/>
      <c r="L124" s="73"/>
      <c r="M124" s="73"/>
      <c r="N124" s="73" t="e">
        <f>WEEKNUM(M124-RESUMEN!$P$7)</f>
        <v>#NUM!</v>
      </c>
      <c r="O124" s="73">
        <f>_xlfn.DAYS(M124,RESUMEN!$P$7)</f>
        <v>-43242</v>
      </c>
      <c r="P124" s="73"/>
      <c r="Q124" s="73" t="e">
        <f>LOOKUP(P124,FORMULAS!$A:$A,FORMULAS!$B:$B)</f>
        <v>#N/A</v>
      </c>
      <c r="R124" s="78"/>
      <c r="S124" s="73"/>
      <c r="T124" s="73"/>
      <c r="U124" s="73"/>
      <c r="V124" s="73"/>
      <c r="W124" s="73"/>
      <c r="X124" s="73"/>
      <c r="Y124" s="73"/>
      <c r="Z124" s="73" t="e">
        <f>WEEKNUM(Y124-RESUMEN!$AB$7)</f>
        <v>#NUM!</v>
      </c>
      <c r="AA124" s="73">
        <f>_xlfn.DAYS(Y124,RESUMEN!$AB$7)</f>
        <v>-43247</v>
      </c>
      <c r="AB124" s="73"/>
      <c r="AC124" s="73" t="e">
        <f>LOOKUP(AB124,FORMULAS!$A:$A,FORMULAS!$B:$B)</f>
        <v>#N/A</v>
      </c>
      <c r="AD124" s="78"/>
      <c r="AE124" s="73"/>
      <c r="AF124" s="73"/>
      <c r="AG124" s="73"/>
      <c r="AH124" s="73"/>
      <c r="AI124" s="73"/>
      <c r="AJ124" s="73"/>
      <c r="AK124" s="73"/>
      <c r="AL124" s="73" t="e">
        <f>WEEKNUM(AK124-RESUMEN!$AN$7)</f>
        <v>#NUM!</v>
      </c>
      <c r="AM124" s="73">
        <f>_xlfn.DAYS(AK124,RESUMEN!$AN$7)</f>
        <v>-43254</v>
      </c>
      <c r="AN124" s="73"/>
      <c r="AO124" s="73" t="e">
        <f>LOOKUP(AN124,FORMULAS!$A:$A,FORMULAS!$B:$B)</f>
        <v>#N/A</v>
      </c>
      <c r="AP124" s="78"/>
      <c r="AQ124" s="78"/>
      <c r="AR124" s="73"/>
      <c r="AS124" s="73"/>
      <c r="AT124" s="73"/>
      <c r="AU124" s="73"/>
      <c r="AV124" s="73"/>
      <c r="AW124" s="73"/>
      <c r="AX124" s="73" t="e">
        <f>WEEKNUM(AW124-RESUMEN!$AZ$7)</f>
        <v>#NUM!</v>
      </c>
      <c r="AY124" s="73">
        <f>_xlfn.DAYS(AW124,RESUMEN!$AZ$7)</f>
        <v>-43261</v>
      </c>
      <c r="AZ124" s="73"/>
      <c r="BA124" s="73" t="e">
        <f>LOOKUP(AZ124,FORMULAS!$A:$A,FORMULAS!$B:$B)</f>
        <v>#N/A</v>
      </c>
      <c r="BB124" s="78"/>
      <c r="BC124" s="73"/>
      <c r="BD124" s="73"/>
      <c r="BE124" s="73"/>
      <c r="BF124" s="73"/>
      <c r="BG124" s="73"/>
      <c r="BH124" s="73"/>
      <c r="BI124" s="73"/>
      <c r="BJ124" s="73" t="e">
        <f>WEEKNUM(BI124-RESUMEN!$BL$7)</f>
        <v>#NUM!</v>
      </c>
      <c r="BK124" s="73">
        <f>_xlfn.DAYS(BI124,RESUMEN!$BL$7)</f>
        <v>-43267</v>
      </c>
      <c r="BL124" s="73"/>
      <c r="BM124" s="73" t="e">
        <f>LOOKUP(BL124,FORMULAS!$A:$A,FORMULAS!$B:$B)</f>
        <v>#N/A</v>
      </c>
      <c r="BN124" s="78"/>
      <c r="BO124" s="73"/>
      <c r="BP124" s="73"/>
      <c r="BQ124" s="73"/>
      <c r="BR124" s="73"/>
      <c r="BS124" s="73"/>
      <c r="BT124" s="73"/>
    </row>
    <row r="125" spans="1:72" x14ac:dyDescent="0.25">
      <c r="A125" s="75"/>
      <c r="B125" s="74" t="e">
        <f>WEEKNUM(A125-RESUMEN!$D$7)</f>
        <v>#NUM!</v>
      </c>
      <c r="C125" s="74">
        <f>_xlfn.DAYS(A125,RESUMEN!$D$7)</f>
        <v>-43238</v>
      </c>
      <c r="D125" s="75"/>
      <c r="E125" s="73" t="e">
        <f>LOOKUP(D125,FORMULAS!$A:$A,FORMULAS!$B:$B)</f>
        <v>#N/A</v>
      </c>
      <c r="F125" s="80"/>
      <c r="G125" s="75"/>
      <c r="H125" s="75"/>
      <c r="I125" s="73"/>
      <c r="J125" s="73"/>
      <c r="K125" s="73"/>
      <c r="L125" s="73"/>
      <c r="M125" s="73"/>
      <c r="N125" s="73" t="e">
        <f>WEEKNUM(M125-RESUMEN!$P$7)</f>
        <v>#NUM!</v>
      </c>
      <c r="O125" s="73">
        <f>_xlfn.DAYS(M125,RESUMEN!$P$7)</f>
        <v>-43242</v>
      </c>
      <c r="P125" s="73"/>
      <c r="Q125" s="73" t="e">
        <f>LOOKUP(P125,FORMULAS!$A:$A,FORMULAS!$B:$B)</f>
        <v>#N/A</v>
      </c>
      <c r="R125" s="78"/>
      <c r="S125" s="73"/>
      <c r="T125" s="73"/>
      <c r="U125" s="73"/>
      <c r="V125" s="73"/>
      <c r="W125" s="73"/>
      <c r="X125" s="73"/>
      <c r="Y125" s="73"/>
      <c r="Z125" s="73" t="e">
        <f>WEEKNUM(Y125-RESUMEN!$AB$7)</f>
        <v>#NUM!</v>
      </c>
      <c r="AA125" s="73">
        <f>_xlfn.DAYS(Y125,RESUMEN!$AB$7)</f>
        <v>-43247</v>
      </c>
      <c r="AB125" s="73"/>
      <c r="AC125" s="73" t="e">
        <f>LOOKUP(AB125,FORMULAS!$A:$A,FORMULAS!$B:$B)</f>
        <v>#N/A</v>
      </c>
      <c r="AD125" s="78"/>
      <c r="AE125" s="73"/>
      <c r="AF125" s="73"/>
      <c r="AG125" s="73"/>
      <c r="AH125" s="73"/>
      <c r="AI125" s="73"/>
      <c r="AJ125" s="73"/>
      <c r="AK125" s="73"/>
      <c r="AL125" s="73" t="e">
        <f>WEEKNUM(AK125-RESUMEN!$AN$7)</f>
        <v>#NUM!</v>
      </c>
      <c r="AM125" s="73">
        <f>_xlfn.DAYS(AK125,RESUMEN!$AN$7)</f>
        <v>-43254</v>
      </c>
      <c r="AN125" s="73"/>
      <c r="AO125" s="73" t="e">
        <f>LOOKUP(AN125,FORMULAS!$A:$A,FORMULAS!$B:$B)</f>
        <v>#N/A</v>
      </c>
      <c r="AP125" s="78"/>
      <c r="AQ125" s="78"/>
      <c r="AR125" s="73"/>
      <c r="AS125" s="73"/>
      <c r="AT125" s="73"/>
      <c r="AU125" s="73"/>
      <c r="AV125" s="73"/>
      <c r="AW125" s="73"/>
      <c r="AX125" s="73" t="e">
        <f>WEEKNUM(AW125-RESUMEN!$AZ$7)</f>
        <v>#NUM!</v>
      </c>
      <c r="AY125" s="73">
        <f>_xlfn.DAYS(AW125,RESUMEN!$AZ$7)</f>
        <v>-43261</v>
      </c>
      <c r="AZ125" s="73"/>
      <c r="BA125" s="73" t="e">
        <f>LOOKUP(AZ125,FORMULAS!$A:$A,FORMULAS!$B:$B)</f>
        <v>#N/A</v>
      </c>
      <c r="BB125" s="78"/>
      <c r="BC125" s="73"/>
      <c r="BD125" s="73"/>
      <c r="BE125" s="73"/>
      <c r="BF125" s="73"/>
      <c r="BG125" s="73"/>
      <c r="BH125" s="73"/>
      <c r="BI125" s="73"/>
      <c r="BJ125" s="73" t="e">
        <f>WEEKNUM(BI125-RESUMEN!$BL$7)</f>
        <v>#NUM!</v>
      </c>
      <c r="BK125" s="73">
        <f>_xlfn.DAYS(BI125,RESUMEN!$BL$7)</f>
        <v>-43267</v>
      </c>
      <c r="BL125" s="73"/>
      <c r="BM125" s="73" t="e">
        <f>LOOKUP(BL125,FORMULAS!$A:$A,FORMULAS!$B:$B)</f>
        <v>#N/A</v>
      </c>
      <c r="BN125" s="78"/>
      <c r="BO125" s="73"/>
      <c r="BP125" s="73"/>
      <c r="BQ125" s="73"/>
      <c r="BR125" s="73"/>
      <c r="BS125" s="73"/>
      <c r="BT125" s="73"/>
    </row>
    <row r="126" spans="1:72" x14ac:dyDescent="0.25">
      <c r="A126" s="75"/>
      <c r="B126" s="74" t="e">
        <f>WEEKNUM(A126-RESUMEN!$D$7)</f>
        <v>#NUM!</v>
      </c>
      <c r="C126" s="74">
        <f>_xlfn.DAYS(A126,RESUMEN!$D$7)</f>
        <v>-43238</v>
      </c>
      <c r="D126" s="75"/>
      <c r="E126" s="73" t="e">
        <f>LOOKUP(D126,FORMULAS!$A:$A,FORMULAS!$B:$B)</f>
        <v>#N/A</v>
      </c>
      <c r="F126" s="80"/>
      <c r="G126" s="75"/>
      <c r="H126" s="75"/>
      <c r="I126" s="73"/>
      <c r="J126" s="73"/>
      <c r="K126" s="73"/>
      <c r="L126" s="73"/>
      <c r="M126" s="73"/>
      <c r="N126" s="73" t="e">
        <f>WEEKNUM(M126-RESUMEN!$P$7)</f>
        <v>#NUM!</v>
      </c>
      <c r="O126" s="73">
        <f>_xlfn.DAYS(M126,RESUMEN!$P$7)</f>
        <v>-43242</v>
      </c>
      <c r="P126" s="73"/>
      <c r="Q126" s="73" t="e">
        <f>LOOKUP(P126,FORMULAS!$A:$A,FORMULAS!$B:$B)</f>
        <v>#N/A</v>
      </c>
      <c r="R126" s="78"/>
      <c r="S126" s="73"/>
      <c r="T126" s="73"/>
      <c r="U126" s="73"/>
      <c r="V126" s="73"/>
      <c r="W126" s="73"/>
      <c r="X126" s="73"/>
      <c r="Y126" s="73"/>
      <c r="Z126" s="73" t="e">
        <f>WEEKNUM(Y126-RESUMEN!$AB$7)</f>
        <v>#NUM!</v>
      </c>
      <c r="AA126" s="73">
        <f>_xlfn.DAYS(Y126,RESUMEN!$AB$7)</f>
        <v>-43247</v>
      </c>
      <c r="AB126" s="73"/>
      <c r="AC126" s="73" t="e">
        <f>LOOKUP(AB126,FORMULAS!$A:$A,FORMULAS!$B:$B)</f>
        <v>#N/A</v>
      </c>
      <c r="AD126" s="78"/>
      <c r="AE126" s="73"/>
      <c r="AF126" s="73"/>
      <c r="AG126" s="73"/>
      <c r="AH126" s="73"/>
      <c r="AI126" s="73"/>
      <c r="AJ126" s="73"/>
      <c r="AK126" s="73"/>
      <c r="AL126" s="73" t="e">
        <f>WEEKNUM(AK126-RESUMEN!$AN$7)</f>
        <v>#NUM!</v>
      </c>
      <c r="AM126" s="73">
        <f>_xlfn.DAYS(AK126,RESUMEN!$AN$7)</f>
        <v>-43254</v>
      </c>
      <c r="AN126" s="73"/>
      <c r="AO126" s="73" t="e">
        <f>LOOKUP(AN126,FORMULAS!$A:$A,FORMULAS!$B:$B)</f>
        <v>#N/A</v>
      </c>
      <c r="AP126" s="78"/>
      <c r="AQ126" s="78"/>
      <c r="AR126" s="73"/>
      <c r="AS126" s="73"/>
      <c r="AT126" s="73"/>
      <c r="AU126" s="73"/>
      <c r="AV126" s="73"/>
      <c r="AW126" s="73"/>
      <c r="AX126" s="73" t="e">
        <f>WEEKNUM(AW126-RESUMEN!$AZ$7)</f>
        <v>#NUM!</v>
      </c>
      <c r="AY126" s="73">
        <f>_xlfn.DAYS(AW126,RESUMEN!$AZ$7)</f>
        <v>-43261</v>
      </c>
      <c r="AZ126" s="73"/>
      <c r="BA126" s="73" t="e">
        <f>LOOKUP(AZ126,FORMULAS!$A:$A,FORMULAS!$B:$B)</f>
        <v>#N/A</v>
      </c>
      <c r="BB126" s="78"/>
      <c r="BC126" s="73"/>
      <c r="BD126" s="73"/>
      <c r="BE126" s="73"/>
      <c r="BF126" s="73"/>
      <c r="BG126" s="73"/>
      <c r="BH126" s="73"/>
      <c r="BI126" s="73"/>
      <c r="BJ126" s="73" t="e">
        <f>WEEKNUM(BI126-RESUMEN!$BL$7)</f>
        <v>#NUM!</v>
      </c>
      <c r="BK126" s="73">
        <f>_xlfn.DAYS(BI126,RESUMEN!$BL$7)</f>
        <v>-43267</v>
      </c>
      <c r="BL126" s="73"/>
      <c r="BM126" s="73" t="e">
        <f>LOOKUP(BL126,FORMULAS!$A:$A,FORMULAS!$B:$B)</f>
        <v>#N/A</v>
      </c>
      <c r="BN126" s="78"/>
      <c r="BO126" s="73"/>
      <c r="BP126" s="73"/>
      <c r="BQ126" s="73"/>
      <c r="BR126" s="73"/>
      <c r="BS126" s="73"/>
      <c r="BT126" s="73"/>
    </row>
    <row r="127" spans="1:72" x14ac:dyDescent="0.25">
      <c r="A127" s="75"/>
      <c r="B127" s="74" t="e">
        <f>WEEKNUM(A127-RESUMEN!$D$7)</f>
        <v>#NUM!</v>
      </c>
      <c r="C127" s="74">
        <f>_xlfn.DAYS(A127,RESUMEN!$D$7)</f>
        <v>-43238</v>
      </c>
      <c r="D127" s="75"/>
      <c r="E127" s="73" t="e">
        <f>LOOKUP(D127,FORMULAS!$A:$A,FORMULAS!$B:$B)</f>
        <v>#N/A</v>
      </c>
      <c r="F127" s="80"/>
      <c r="G127" s="75"/>
      <c r="H127" s="75"/>
      <c r="I127" s="73"/>
      <c r="J127" s="73"/>
      <c r="K127" s="73"/>
      <c r="L127" s="73"/>
      <c r="M127" s="73"/>
      <c r="N127" s="73" t="e">
        <f>WEEKNUM(M127-RESUMEN!$P$7)</f>
        <v>#NUM!</v>
      </c>
      <c r="O127" s="73">
        <f>_xlfn.DAYS(M127,RESUMEN!$P$7)</f>
        <v>-43242</v>
      </c>
      <c r="P127" s="73"/>
      <c r="Q127" s="73" t="e">
        <f>LOOKUP(P127,FORMULAS!$A:$A,FORMULAS!$B:$B)</f>
        <v>#N/A</v>
      </c>
      <c r="R127" s="78"/>
      <c r="S127" s="73"/>
      <c r="T127" s="73"/>
      <c r="U127" s="73"/>
      <c r="V127" s="73"/>
      <c r="W127" s="73"/>
      <c r="X127" s="73"/>
      <c r="Y127" s="73"/>
      <c r="Z127" s="73" t="e">
        <f>WEEKNUM(Y127-RESUMEN!$AB$7)</f>
        <v>#NUM!</v>
      </c>
      <c r="AA127" s="73">
        <f>_xlfn.DAYS(Y127,RESUMEN!$AB$7)</f>
        <v>-43247</v>
      </c>
      <c r="AB127" s="73"/>
      <c r="AC127" s="73" t="e">
        <f>LOOKUP(AB127,FORMULAS!$A:$A,FORMULAS!$B:$B)</f>
        <v>#N/A</v>
      </c>
      <c r="AD127" s="78"/>
      <c r="AE127" s="73"/>
      <c r="AF127" s="73"/>
      <c r="AG127" s="73"/>
      <c r="AH127" s="73"/>
      <c r="AI127" s="73"/>
      <c r="AJ127" s="73"/>
      <c r="AK127" s="73"/>
      <c r="AL127" s="73" t="e">
        <f>WEEKNUM(AK127-RESUMEN!$AN$7)</f>
        <v>#NUM!</v>
      </c>
      <c r="AM127" s="73">
        <f>_xlfn.DAYS(AK127,RESUMEN!$AN$7)</f>
        <v>-43254</v>
      </c>
      <c r="AN127" s="73"/>
      <c r="AO127" s="73" t="e">
        <f>LOOKUP(AN127,FORMULAS!$A:$A,FORMULAS!$B:$B)</f>
        <v>#N/A</v>
      </c>
      <c r="AP127" s="78"/>
      <c r="AQ127" s="78"/>
      <c r="AR127" s="73"/>
      <c r="AS127" s="73"/>
      <c r="AT127" s="73"/>
      <c r="AU127" s="73"/>
      <c r="AV127" s="73"/>
      <c r="AW127" s="73"/>
      <c r="AX127" s="73" t="e">
        <f>WEEKNUM(AW127-RESUMEN!$AZ$7)</f>
        <v>#NUM!</v>
      </c>
      <c r="AY127" s="73">
        <f>_xlfn.DAYS(AW127,RESUMEN!$AZ$7)</f>
        <v>-43261</v>
      </c>
      <c r="AZ127" s="73"/>
      <c r="BA127" s="73" t="e">
        <f>LOOKUP(AZ127,FORMULAS!$A:$A,FORMULAS!$B:$B)</f>
        <v>#N/A</v>
      </c>
      <c r="BB127" s="78"/>
      <c r="BC127" s="73"/>
      <c r="BD127" s="73"/>
      <c r="BE127" s="73"/>
      <c r="BF127" s="73"/>
      <c r="BG127" s="73"/>
      <c r="BH127" s="73"/>
      <c r="BI127" s="73"/>
      <c r="BJ127" s="73" t="e">
        <f>WEEKNUM(BI127-RESUMEN!$BL$7)</f>
        <v>#NUM!</v>
      </c>
      <c r="BK127" s="73">
        <f>_xlfn.DAYS(BI127,RESUMEN!$BL$7)</f>
        <v>-43267</v>
      </c>
      <c r="BL127" s="73"/>
      <c r="BM127" s="73" t="e">
        <f>LOOKUP(BL127,FORMULAS!$A:$A,FORMULAS!$B:$B)</f>
        <v>#N/A</v>
      </c>
      <c r="BN127" s="78"/>
      <c r="BO127" s="73"/>
      <c r="BP127" s="73"/>
      <c r="BQ127" s="73"/>
      <c r="BR127" s="73"/>
      <c r="BS127" s="73"/>
      <c r="BT127" s="73"/>
    </row>
    <row r="128" spans="1:72" x14ac:dyDescent="0.25">
      <c r="A128" s="75"/>
      <c r="B128" s="74" t="e">
        <f>WEEKNUM(A128-RESUMEN!$D$7)</f>
        <v>#NUM!</v>
      </c>
      <c r="C128" s="74">
        <f>_xlfn.DAYS(A128,RESUMEN!$D$7)</f>
        <v>-43238</v>
      </c>
      <c r="D128" s="75"/>
      <c r="E128" s="73" t="e">
        <f>LOOKUP(D128,FORMULAS!$A:$A,FORMULAS!$B:$B)</f>
        <v>#N/A</v>
      </c>
      <c r="F128" s="80"/>
      <c r="G128" s="75"/>
      <c r="H128" s="75"/>
      <c r="I128" s="73"/>
      <c r="J128" s="73"/>
      <c r="K128" s="73"/>
      <c r="L128" s="73"/>
      <c r="M128" s="73"/>
      <c r="N128" s="73" t="e">
        <f>WEEKNUM(M128-RESUMEN!$P$7)</f>
        <v>#NUM!</v>
      </c>
      <c r="O128" s="73">
        <f>_xlfn.DAYS(M128,RESUMEN!$P$7)</f>
        <v>-43242</v>
      </c>
      <c r="P128" s="73"/>
      <c r="Q128" s="73" t="e">
        <f>LOOKUP(P128,FORMULAS!$A:$A,FORMULAS!$B:$B)</f>
        <v>#N/A</v>
      </c>
      <c r="R128" s="78"/>
      <c r="S128" s="73"/>
      <c r="T128" s="73"/>
      <c r="U128" s="73"/>
      <c r="V128" s="73"/>
      <c r="W128" s="73"/>
      <c r="X128" s="73"/>
      <c r="Y128" s="73"/>
      <c r="Z128" s="73" t="e">
        <f>WEEKNUM(Y128-RESUMEN!$AB$7)</f>
        <v>#NUM!</v>
      </c>
      <c r="AA128" s="73">
        <f>_xlfn.DAYS(Y128,RESUMEN!$AB$7)</f>
        <v>-43247</v>
      </c>
      <c r="AB128" s="73"/>
      <c r="AC128" s="73" t="e">
        <f>LOOKUP(AB128,FORMULAS!$A:$A,FORMULAS!$B:$B)</f>
        <v>#N/A</v>
      </c>
      <c r="AD128" s="78"/>
      <c r="AE128" s="73"/>
      <c r="AF128" s="73"/>
      <c r="AG128" s="73"/>
      <c r="AH128" s="73"/>
      <c r="AI128" s="73"/>
      <c r="AJ128" s="73"/>
      <c r="AK128" s="73"/>
      <c r="AL128" s="73" t="e">
        <f>WEEKNUM(AK128-RESUMEN!$AN$7)</f>
        <v>#NUM!</v>
      </c>
      <c r="AM128" s="73">
        <f>_xlfn.DAYS(AK128,RESUMEN!$AN$7)</f>
        <v>-43254</v>
      </c>
      <c r="AN128" s="73"/>
      <c r="AO128" s="73" t="e">
        <f>LOOKUP(AN128,FORMULAS!$A:$A,FORMULAS!$B:$B)</f>
        <v>#N/A</v>
      </c>
      <c r="AP128" s="78"/>
      <c r="AQ128" s="78"/>
      <c r="AR128" s="73"/>
      <c r="AS128" s="73"/>
      <c r="AT128" s="73"/>
      <c r="AU128" s="73"/>
      <c r="AV128" s="73"/>
      <c r="AW128" s="73"/>
      <c r="AX128" s="73" t="e">
        <f>WEEKNUM(AW128-RESUMEN!$AZ$7)</f>
        <v>#NUM!</v>
      </c>
      <c r="AY128" s="73">
        <f>_xlfn.DAYS(AW128,RESUMEN!$AZ$7)</f>
        <v>-43261</v>
      </c>
      <c r="AZ128" s="73"/>
      <c r="BA128" s="73" t="e">
        <f>LOOKUP(AZ128,FORMULAS!$A:$A,FORMULAS!$B:$B)</f>
        <v>#N/A</v>
      </c>
      <c r="BB128" s="78"/>
      <c r="BC128" s="73"/>
      <c r="BD128" s="73"/>
      <c r="BE128" s="73"/>
      <c r="BF128" s="73"/>
      <c r="BG128" s="73"/>
      <c r="BH128" s="73"/>
      <c r="BI128" s="73"/>
      <c r="BJ128" s="73" t="e">
        <f>WEEKNUM(BI128-RESUMEN!$BL$7)</f>
        <v>#NUM!</v>
      </c>
      <c r="BK128" s="73">
        <f>_xlfn.DAYS(BI128,RESUMEN!$BL$7)</f>
        <v>-43267</v>
      </c>
      <c r="BL128" s="73"/>
      <c r="BM128" s="73" t="e">
        <f>LOOKUP(BL128,FORMULAS!$A:$A,FORMULAS!$B:$B)</f>
        <v>#N/A</v>
      </c>
      <c r="BN128" s="78"/>
      <c r="BO128" s="73"/>
      <c r="BP128" s="73"/>
      <c r="BQ128" s="73"/>
      <c r="BR128" s="73"/>
      <c r="BS128" s="73"/>
      <c r="BT128" s="73"/>
    </row>
    <row r="129" spans="1:72" x14ac:dyDescent="0.25">
      <c r="A129" s="75"/>
      <c r="B129" s="74" t="e">
        <f>WEEKNUM(A129-RESUMEN!$D$7)</f>
        <v>#NUM!</v>
      </c>
      <c r="C129" s="74">
        <f>_xlfn.DAYS(A129,RESUMEN!$D$7)</f>
        <v>-43238</v>
      </c>
      <c r="D129" s="75"/>
      <c r="E129" s="73" t="e">
        <f>LOOKUP(D129,FORMULAS!$A:$A,FORMULAS!$B:$B)</f>
        <v>#N/A</v>
      </c>
      <c r="F129" s="80"/>
      <c r="G129" s="75"/>
      <c r="H129" s="75"/>
      <c r="I129" s="73"/>
      <c r="J129" s="73"/>
      <c r="K129" s="73"/>
      <c r="L129" s="73"/>
      <c r="M129" s="73"/>
      <c r="N129" s="73" t="e">
        <f>WEEKNUM(M129-RESUMEN!$P$7)</f>
        <v>#NUM!</v>
      </c>
      <c r="O129" s="73">
        <f>_xlfn.DAYS(M129,RESUMEN!$P$7)</f>
        <v>-43242</v>
      </c>
      <c r="P129" s="73"/>
      <c r="Q129" s="73" t="e">
        <f>LOOKUP(P129,FORMULAS!$A:$A,FORMULAS!$B:$B)</f>
        <v>#N/A</v>
      </c>
      <c r="R129" s="78"/>
      <c r="S129" s="73"/>
      <c r="T129" s="73"/>
      <c r="U129" s="73"/>
      <c r="V129" s="73"/>
      <c r="W129" s="73"/>
      <c r="X129" s="73"/>
      <c r="Y129" s="73"/>
      <c r="Z129" s="73" t="e">
        <f>WEEKNUM(Y129-RESUMEN!$AB$7)</f>
        <v>#NUM!</v>
      </c>
      <c r="AA129" s="73">
        <f>_xlfn.DAYS(Y129,RESUMEN!$AB$7)</f>
        <v>-43247</v>
      </c>
      <c r="AB129" s="73"/>
      <c r="AC129" s="73" t="e">
        <f>LOOKUP(AB129,FORMULAS!$A:$A,FORMULAS!$B:$B)</f>
        <v>#N/A</v>
      </c>
      <c r="AD129" s="78"/>
      <c r="AE129" s="73"/>
      <c r="AF129" s="73"/>
      <c r="AG129" s="73"/>
      <c r="AH129" s="73"/>
      <c r="AI129" s="73"/>
      <c r="AJ129" s="73"/>
      <c r="AK129" s="73"/>
      <c r="AL129" s="73" t="e">
        <f>WEEKNUM(AK129-RESUMEN!$AN$7)</f>
        <v>#NUM!</v>
      </c>
      <c r="AM129" s="73">
        <f>_xlfn.DAYS(AK129,RESUMEN!$AN$7)</f>
        <v>-43254</v>
      </c>
      <c r="AN129" s="73"/>
      <c r="AO129" s="73" t="e">
        <f>LOOKUP(AN129,FORMULAS!$A:$A,FORMULAS!$B:$B)</f>
        <v>#N/A</v>
      </c>
      <c r="AP129" s="78"/>
      <c r="AQ129" s="78"/>
      <c r="AR129" s="73"/>
      <c r="AS129" s="73"/>
      <c r="AT129" s="73"/>
      <c r="AU129" s="73"/>
      <c r="AV129" s="73"/>
      <c r="AW129" s="73"/>
      <c r="AX129" s="73" t="e">
        <f>WEEKNUM(AW129-RESUMEN!$AZ$7)</f>
        <v>#NUM!</v>
      </c>
      <c r="AY129" s="73">
        <f>_xlfn.DAYS(AW129,RESUMEN!$AZ$7)</f>
        <v>-43261</v>
      </c>
      <c r="AZ129" s="73"/>
      <c r="BA129" s="73" t="e">
        <f>LOOKUP(AZ129,FORMULAS!$A:$A,FORMULAS!$B:$B)</f>
        <v>#N/A</v>
      </c>
      <c r="BB129" s="78"/>
      <c r="BC129" s="73"/>
      <c r="BD129" s="73"/>
      <c r="BE129" s="73"/>
      <c r="BF129" s="73"/>
      <c r="BG129" s="73"/>
      <c r="BH129" s="73"/>
      <c r="BI129" s="73"/>
      <c r="BJ129" s="73" t="e">
        <f>WEEKNUM(BI129-RESUMEN!$BL$7)</f>
        <v>#NUM!</v>
      </c>
      <c r="BK129" s="73">
        <f>_xlfn.DAYS(BI129,RESUMEN!$BL$7)</f>
        <v>-43267</v>
      </c>
      <c r="BL129" s="73"/>
      <c r="BM129" s="73" t="e">
        <f>LOOKUP(BL129,FORMULAS!$A:$A,FORMULAS!$B:$B)</f>
        <v>#N/A</v>
      </c>
      <c r="BN129" s="78"/>
      <c r="BO129" s="73"/>
      <c r="BP129" s="73"/>
      <c r="BQ129" s="73"/>
      <c r="BR129" s="73"/>
      <c r="BS129" s="73"/>
      <c r="BT129" s="73"/>
    </row>
    <row r="130" spans="1:72" x14ac:dyDescent="0.25">
      <c r="A130" s="75"/>
      <c r="B130" s="74" t="e">
        <f>WEEKNUM(A130-RESUMEN!$D$7)</f>
        <v>#NUM!</v>
      </c>
      <c r="C130" s="74">
        <f>_xlfn.DAYS(A130,RESUMEN!$D$7)</f>
        <v>-43238</v>
      </c>
      <c r="D130" s="75"/>
      <c r="E130" s="73" t="e">
        <f>LOOKUP(D130,FORMULAS!$A:$A,FORMULAS!$B:$B)</f>
        <v>#N/A</v>
      </c>
      <c r="F130" s="80"/>
      <c r="G130" s="75"/>
      <c r="H130" s="75"/>
      <c r="I130" s="73"/>
      <c r="J130" s="73"/>
      <c r="K130" s="73"/>
      <c r="L130" s="73"/>
      <c r="M130" s="73"/>
      <c r="N130" s="73" t="e">
        <f>WEEKNUM(M130-RESUMEN!$P$7)</f>
        <v>#NUM!</v>
      </c>
      <c r="O130" s="73">
        <f>_xlfn.DAYS(M130,RESUMEN!$P$7)</f>
        <v>-43242</v>
      </c>
      <c r="P130" s="73"/>
      <c r="Q130" s="73" t="e">
        <f>LOOKUP(P130,FORMULAS!$A:$A,FORMULAS!$B:$B)</f>
        <v>#N/A</v>
      </c>
      <c r="R130" s="78"/>
      <c r="S130" s="73"/>
      <c r="T130" s="73"/>
      <c r="U130" s="73"/>
      <c r="V130" s="73"/>
      <c r="W130" s="73"/>
      <c r="X130" s="73"/>
      <c r="Y130" s="73"/>
      <c r="Z130" s="73" t="e">
        <f>WEEKNUM(Y130-RESUMEN!$AB$7)</f>
        <v>#NUM!</v>
      </c>
      <c r="AA130" s="73">
        <f>_xlfn.DAYS(Y130,RESUMEN!$AB$7)</f>
        <v>-43247</v>
      </c>
      <c r="AB130" s="73"/>
      <c r="AC130" s="73" t="e">
        <f>LOOKUP(AB130,FORMULAS!$A:$A,FORMULAS!$B:$B)</f>
        <v>#N/A</v>
      </c>
      <c r="AD130" s="78"/>
      <c r="AE130" s="73"/>
      <c r="AF130" s="73"/>
      <c r="AG130" s="73"/>
      <c r="AH130" s="73"/>
      <c r="AI130" s="73"/>
      <c r="AJ130" s="73"/>
      <c r="AK130" s="73"/>
      <c r="AL130" s="73" t="e">
        <f>WEEKNUM(AK130-RESUMEN!$AN$7)</f>
        <v>#NUM!</v>
      </c>
      <c r="AM130" s="73">
        <f>_xlfn.DAYS(AK130,RESUMEN!$AN$7)</f>
        <v>-43254</v>
      </c>
      <c r="AN130" s="73"/>
      <c r="AO130" s="73" t="e">
        <f>LOOKUP(AN130,FORMULAS!$A:$A,FORMULAS!$B:$B)</f>
        <v>#N/A</v>
      </c>
      <c r="AP130" s="78"/>
      <c r="AQ130" s="78"/>
      <c r="AR130" s="73"/>
      <c r="AS130" s="73"/>
      <c r="AT130" s="73"/>
      <c r="AU130" s="73"/>
      <c r="AV130" s="73"/>
      <c r="AW130" s="73"/>
      <c r="AX130" s="73" t="e">
        <f>WEEKNUM(AW130-RESUMEN!$AZ$7)</f>
        <v>#NUM!</v>
      </c>
      <c r="AY130" s="73">
        <f>_xlfn.DAYS(AW130,RESUMEN!$AZ$7)</f>
        <v>-43261</v>
      </c>
      <c r="AZ130" s="73"/>
      <c r="BA130" s="73" t="e">
        <f>LOOKUP(AZ130,FORMULAS!$A:$A,FORMULAS!$B:$B)</f>
        <v>#N/A</v>
      </c>
      <c r="BB130" s="78"/>
      <c r="BC130" s="73"/>
      <c r="BD130" s="73"/>
      <c r="BE130" s="73"/>
      <c r="BF130" s="73"/>
      <c r="BG130" s="73"/>
      <c r="BH130" s="73"/>
      <c r="BI130" s="73"/>
      <c r="BJ130" s="73" t="e">
        <f>WEEKNUM(BI130-RESUMEN!$BL$7)</f>
        <v>#NUM!</v>
      </c>
      <c r="BK130" s="73">
        <f>_xlfn.DAYS(BI130,RESUMEN!$BL$7)</f>
        <v>-43267</v>
      </c>
      <c r="BL130" s="73"/>
      <c r="BM130" s="73" t="e">
        <f>LOOKUP(BL130,FORMULAS!$A:$A,FORMULAS!$B:$B)</f>
        <v>#N/A</v>
      </c>
      <c r="BN130" s="78"/>
      <c r="BO130" s="73"/>
      <c r="BP130" s="73"/>
      <c r="BQ130" s="73"/>
      <c r="BR130" s="73"/>
      <c r="BS130" s="73"/>
      <c r="BT130" s="73"/>
    </row>
    <row r="131" spans="1:72" x14ac:dyDescent="0.25">
      <c r="A131" s="75"/>
      <c r="B131" s="74" t="e">
        <f>WEEKNUM(A131-RESUMEN!$D$7)</f>
        <v>#NUM!</v>
      </c>
      <c r="C131" s="74">
        <f>_xlfn.DAYS(A131,RESUMEN!$D$7)</f>
        <v>-43238</v>
      </c>
      <c r="D131" s="75"/>
      <c r="E131" s="73" t="e">
        <f>LOOKUP(D131,FORMULAS!$A:$A,FORMULAS!$B:$B)</f>
        <v>#N/A</v>
      </c>
      <c r="F131" s="80"/>
      <c r="G131" s="75"/>
      <c r="H131" s="75"/>
      <c r="I131" s="73"/>
      <c r="J131" s="73"/>
      <c r="K131" s="73"/>
      <c r="L131" s="73"/>
      <c r="M131" s="73"/>
      <c r="N131" s="73" t="e">
        <f>WEEKNUM(M131-RESUMEN!$P$7)</f>
        <v>#NUM!</v>
      </c>
      <c r="O131" s="73">
        <f>_xlfn.DAYS(M131,RESUMEN!$P$7)</f>
        <v>-43242</v>
      </c>
      <c r="P131" s="73"/>
      <c r="Q131" s="73" t="e">
        <f>LOOKUP(P131,FORMULAS!$A:$A,FORMULAS!$B:$B)</f>
        <v>#N/A</v>
      </c>
      <c r="R131" s="78"/>
      <c r="S131" s="73"/>
      <c r="T131" s="73"/>
      <c r="U131" s="73"/>
      <c r="V131" s="73"/>
      <c r="W131" s="73"/>
      <c r="X131" s="73"/>
      <c r="Y131" s="73"/>
      <c r="Z131" s="73" t="e">
        <f>WEEKNUM(Y131-RESUMEN!$AB$7)</f>
        <v>#NUM!</v>
      </c>
      <c r="AA131" s="73">
        <f>_xlfn.DAYS(Y131,RESUMEN!$AB$7)</f>
        <v>-43247</v>
      </c>
      <c r="AB131" s="73"/>
      <c r="AC131" s="73" t="e">
        <f>LOOKUP(AB131,FORMULAS!$A:$A,FORMULAS!$B:$B)</f>
        <v>#N/A</v>
      </c>
      <c r="AD131" s="78"/>
      <c r="AE131" s="73"/>
      <c r="AF131" s="73"/>
      <c r="AG131" s="73"/>
      <c r="AH131" s="73"/>
      <c r="AI131" s="73"/>
      <c r="AJ131" s="73"/>
      <c r="AK131" s="73"/>
      <c r="AL131" s="73" t="e">
        <f>WEEKNUM(AK131-RESUMEN!$AN$7)</f>
        <v>#NUM!</v>
      </c>
      <c r="AM131" s="73">
        <f>_xlfn.DAYS(AK131,RESUMEN!$AN$7)</f>
        <v>-43254</v>
      </c>
      <c r="AN131" s="73"/>
      <c r="AO131" s="73" t="e">
        <f>LOOKUP(AN131,FORMULAS!$A:$A,FORMULAS!$B:$B)</f>
        <v>#N/A</v>
      </c>
      <c r="AP131" s="78"/>
      <c r="AQ131" s="78"/>
      <c r="AR131" s="73"/>
      <c r="AS131" s="73"/>
      <c r="AT131" s="73"/>
      <c r="AU131" s="73"/>
      <c r="AV131" s="73"/>
      <c r="AW131" s="73"/>
      <c r="AX131" s="73" t="e">
        <f>WEEKNUM(AW131-RESUMEN!$AZ$7)</f>
        <v>#NUM!</v>
      </c>
      <c r="AY131" s="73">
        <f>_xlfn.DAYS(AW131,RESUMEN!$AZ$7)</f>
        <v>-43261</v>
      </c>
      <c r="AZ131" s="73"/>
      <c r="BA131" s="73" t="e">
        <f>LOOKUP(AZ131,FORMULAS!$A:$A,FORMULAS!$B:$B)</f>
        <v>#N/A</v>
      </c>
      <c r="BB131" s="78"/>
      <c r="BC131" s="73"/>
      <c r="BD131" s="73"/>
      <c r="BE131" s="73"/>
      <c r="BF131" s="73"/>
      <c r="BG131" s="73"/>
      <c r="BH131" s="73"/>
      <c r="BI131" s="73"/>
      <c r="BJ131" s="73" t="e">
        <f>WEEKNUM(BI131-RESUMEN!$BL$7)</f>
        <v>#NUM!</v>
      </c>
      <c r="BK131" s="73">
        <f>_xlfn.DAYS(BI131,RESUMEN!$BL$7)</f>
        <v>-43267</v>
      </c>
      <c r="BL131" s="73"/>
      <c r="BM131" s="73" t="e">
        <f>LOOKUP(BL131,FORMULAS!$A:$A,FORMULAS!$B:$B)</f>
        <v>#N/A</v>
      </c>
      <c r="BN131" s="78"/>
      <c r="BO131" s="73"/>
      <c r="BP131" s="73"/>
      <c r="BQ131" s="73"/>
      <c r="BR131" s="73"/>
      <c r="BS131" s="73"/>
      <c r="BT131" s="73"/>
    </row>
    <row r="132" spans="1:72" x14ac:dyDescent="0.25">
      <c r="A132" s="75"/>
      <c r="B132" s="74" t="e">
        <f>WEEKNUM(A132-RESUMEN!$D$7)</f>
        <v>#NUM!</v>
      </c>
      <c r="C132" s="74">
        <f>_xlfn.DAYS(A132,RESUMEN!$D$7)</f>
        <v>-43238</v>
      </c>
      <c r="D132" s="75"/>
      <c r="E132" s="73" t="e">
        <f>LOOKUP(D132,FORMULAS!$A:$A,FORMULAS!$B:$B)</f>
        <v>#N/A</v>
      </c>
      <c r="F132" s="80"/>
      <c r="G132" s="75"/>
      <c r="H132" s="75"/>
      <c r="I132" s="73"/>
      <c r="J132" s="73"/>
      <c r="K132" s="73"/>
      <c r="L132" s="73"/>
      <c r="M132" s="73"/>
      <c r="N132" s="73" t="e">
        <f>WEEKNUM(M132-RESUMEN!$P$7)</f>
        <v>#NUM!</v>
      </c>
      <c r="O132" s="73">
        <f>_xlfn.DAYS(M132,RESUMEN!$P$7)</f>
        <v>-43242</v>
      </c>
      <c r="P132" s="73"/>
      <c r="Q132" s="73" t="e">
        <f>LOOKUP(P132,FORMULAS!$A:$A,FORMULAS!$B:$B)</f>
        <v>#N/A</v>
      </c>
      <c r="R132" s="78"/>
      <c r="S132" s="73"/>
      <c r="T132" s="73"/>
      <c r="U132" s="73"/>
      <c r="V132" s="73"/>
      <c r="W132" s="73"/>
      <c r="X132" s="73"/>
      <c r="Y132" s="73"/>
      <c r="Z132" s="73" t="e">
        <f>WEEKNUM(Y132-RESUMEN!$AB$7)</f>
        <v>#NUM!</v>
      </c>
      <c r="AA132" s="73">
        <f>_xlfn.DAYS(Y132,RESUMEN!$AB$7)</f>
        <v>-43247</v>
      </c>
      <c r="AB132" s="73"/>
      <c r="AC132" s="73" t="e">
        <f>LOOKUP(AB132,FORMULAS!$A:$A,FORMULAS!$B:$B)</f>
        <v>#N/A</v>
      </c>
      <c r="AD132" s="78"/>
      <c r="AE132" s="73"/>
      <c r="AF132" s="73"/>
      <c r="AG132" s="73"/>
      <c r="AH132" s="73"/>
      <c r="AI132" s="73"/>
      <c r="AJ132" s="73"/>
      <c r="AK132" s="73"/>
      <c r="AL132" s="73" t="e">
        <f>WEEKNUM(AK132-RESUMEN!$AN$7)</f>
        <v>#NUM!</v>
      </c>
      <c r="AM132" s="73">
        <f>_xlfn.DAYS(AK132,RESUMEN!$AN$7)</f>
        <v>-43254</v>
      </c>
      <c r="AN132" s="73"/>
      <c r="AO132" s="73" t="e">
        <f>LOOKUP(AN132,FORMULAS!$A:$A,FORMULAS!$B:$B)</f>
        <v>#N/A</v>
      </c>
      <c r="AP132" s="78"/>
      <c r="AQ132" s="78"/>
      <c r="AR132" s="73"/>
      <c r="AS132" s="73"/>
      <c r="AT132" s="73"/>
      <c r="AU132" s="73"/>
      <c r="AV132" s="73"/>
      <c r="AW132" s="73"/>
      <c r="AX132" s="73" t="e">
        <f>WEEKNUM(AW132-RESUMEN!$AZ$7)</f>
        <v>#NUM!</v>
      </c>
      <c r="AY132" s="73">
        <f>_xlfn.DAYS(AW132,RESUMEN!$AZ$7)</f>
        <v>-43261</v>
      </c>
      <c r="AZ132" s="73"/>
      <c r="BA132" s="73" t="e">
        <f>LOOKUP(AZ132,FORMULAS!$A:$A,FORMULAS!$B:$B)</f>
        <v>#N/A</v>
      </c>
      <c r="BB132" s="78"/>
      <c r="BC132" s="73"/>
      <c r="BD132" s="73"/>
      <c r="BE132" s="73"/>
      <c r="BF132" s="73"/>
      <c r="BG132" s="73"/>
      <c r="BH132" s="73"/>
      <c r="BI132" s="73"/>
      <c r="BJ132" s="73" t="e">
        <f>WEEKNUM(BI132-RESUMEN!$BL$7)</f>
        <v>#NUM!</v>
      </c>
      <c r="BK132" s="73">
        <f>_xlfn.DAYS(BI132,RESUMEN!$BL$7)</f>
        <v>-43267</v>
      </c>
      <c r="BL132" s="73"/>
      <c r="BM132" s="73" t="e">
        <f>LOOKUP(BL132,FORMULAS!$A:$A,FORMULAS!$B:$B)</f>
        <v>#N/A</v>
      </c>
      <c r="BN132" s="78"/>
      <c r="BO132" s="73"/>
      <c r="BP132" s="73"/>
      <c r="BQ132" s="73"/>
      <c r="BR132" s="73"/>
      <c r="BS132" s="73"/>
      <c r="BT132" s="73"/>
    </row>
    <row r="133" spans="1:72" x14ac:dyDescent="0.25">
      <c r="A133" s="75"/>
      <c r="B133" s="74" t="e">
        <f>WEEKNUM(A133-RESUMEN!$D$7)</f>
        <v>#NUM!</v>
      </c>
      <c r="C133" s="74">
        <f>_xlfn.DAYS(A133,RESUMEN!$D$7)</f>
        <v>-43238</v>
      </c>
      <c r="D133" s="75"/>
      <c r="E133" s="73" t="e">
        <f>LOOKUP(D133,FORMULAS!$A:$A,FORMULAS!$B:$B)</f>
        <v>#N/A</v>
      </c>
      <c r="F133" s="80"/>
      <c r="G133" s="75"/>
      <c r="H133" s="75"/>
      <c r="I133" s="73"/>
      <c r="J133" s="73"/>
      <c r="K133" s="73"/>
      <c r="L133" s="73"/>
      <c r="M133" s="73"/>
      <c r="N133" s="73" t="e">
        <f>WEEKNUM(M133-RESUMEN!$P$7)</f>
        <v>#NUM!</v>
      </c>
      <c r="O133" s="73">
        <f>_xlfn.DAYS(M133,RESUMEN!$P$7)</f>
        <v>-43242</v>
      </c>
      <c r="P133" s="73"/>
      <c r="Q133" s="73" t="e">
        <f>LOOKUP(P133,FORMULAS!$A:$A,FORMULAS!$B:$B)</f>
        <v>#N/A</v>
      </c>
      <c r="R133" s="78"/>
      <c r="S133" s="73"/>
      <c r="T133" s="73"/>
      <c r="U133" s="73"/>
      <c r="V133" s="73"/>
      <c r="W133" s="73"/>
      <c r="X133" s="73"/>
      <c r="Y133" s="73"/>
      <c r="Z133" s="73" t="e">
        <f>WEEKNUM(Y133-RESUMEN!$AB$7)</f>
        <v>#NUM!</v>
      </c>
      <c r="AA133" s="73">
        <f>_xlfn.DAYS(Y133,RESUMEN!$AB$7)</f>
        <v>-43247</v>
      </c>
      <c r="AB133" s="73"/>
      <c r="AC133" s="73" t="e">
        <f>LOOKUP(AB133,FORMULAS!$A:$A,FORMULAS!$B:$B)</f>
        <v>#N/A</v>
      </c>
      <c r="AD133" s="78"/>
      <c r="AE133" s="73"/>
      <c r="AF133" s="73"/>
      <c r="AG133" s="73"/>
      <c r="AH133" s="73"/>
      <c r="AI133" s="73"/>
      <c r="AJ133" s="73"/>
      <c r="AK133" s="73"/>
      <c r="AL133" s="73" t="e">
        <f>WEEKNUM(AK133-RESUMEN!$AN$7)</f>
        <v>#NUM!</v>
      </c>
      <c r="AM133" s="73">
        <f>_xlfn.DAYS(AK133,RESUMEN!$AN$7)</f>
        <v>-43254</v>
      </c>
      <c r="AN133" s="73"/>
      <c r="AO133" s="73" t="e">
        <f>LOOKUP(AN133,FORMULAS!$A:$A,FORMULAS!$B:$B)</f>
        <v>#N/A</v>
      </c>
      <c r="AP133" s="78"/>
      <c r="AQ133" s="78"/>
      <c r="AR133" s="73"/>
      <c r="AS133" s="73"/>
      <c r="AT133" s="73"/>
      <c r="AU133" s="73"/>
      <c r="AV133" s="73"/>
      <c r="AW133" s="73"/>
      <c r="AX133" s="73" t="e">
        <f>WEEKNUM(AW133-RESUMEN!$AZ$7)</f>
        <v>#NUM!</v>
      </c>
      <c r="AY133" s="73">
        <f>_xlfn.DAYS(AW133,RESUMEN!$AZ$7)</f>
        <v>-43261</v>
      </c>
      <c r="AZ133" s="73"/>
      <c r="BA133" s="73" t="e">
        <f>LOOKUP(AZ133,FORMULAS!$A:$A,FORMULAS!$B:$B)</f>
        <v>#N/A</v>
      </c>
      <c r="BB133" s="78"/>
      <c r="BC133" s="73"/>
      <c r="BD133" s="73"/>
      <c r="BE133" s="73"/>
      <c r="BF133" s="73"/>
      <c r="BG133" s="73"/>
      <c r="BH133" s="73"/>
      <c r="BI133" s="73"/>
      <c r="BJ133" s="73" t="e">
        <f>WEEKNUM(BI133-RESUMEN!$BL$7)</f>
        <v>#NUM!</v>
      </c>
      <c r="BK133" s="73">
        <f>_xlfn.DAYS(BI133,RESUMEN!$BL$7)</f>
        <v>-43267</v>
      </c>
      <c r="BL133" s="73"/>
      <c r="BM133" s="73" t="e">
        <f>LOOKUP(BL133,FORMULAS!$A:$A,FORMULAS!$B:$B)</f>
        <v>#N/A</v>
      </c>
      <c r="BN133" s="78"/>
      <c r="BO133" s="73"/>
      <c r="BP133" s="73"/>
      <c r="BQ133" s="73"/>
      <c r="BR133" s="73"/>
      <c r="BS133" s="73"/>
      <c r="BT133" s="73"/>
    </row>
    <row r="134" spans="1:72" x14ac:dyDescent="0.25">
      <c r="A134" s="75"/>
      <c r="B134" s="74" t="e">
        <f>WEEKNUM(A134-RESUMEN!$D$7)</f>
        <v>#NUM!</v>
      </c>
      <c r="C134" s="74">
        <f>_xlfn.DAYS(A134,RESUMEN!$D$7)</f>
        <v>-43238</v>
      </c>
      <c r="D134" s="75"/>
      <c r="E134" s="73" t="e">
        <f>LOOKUP(D134,FORMULAS!$A:$A,FORMULAS!$B:$B)</f>
        <v>#N/A</v>
      </c>
      <c r="F134" s="80"/>
      <c r="G134" s="75"/>
      <c r="H134" s="75"/>
      <c r="I134" s="73"/>
      <c r="J134" s="73"/>
      <c r="K134" s="73"/>
      <c r="L134" s="73"/>
      <c r="M134" s="73"/>
      <c r="N134" s="73" t="e">
        <f>WEEKNUM(M134-RESUMEN!$P$7)</f>
        <v>#NUM!</v>
      </c>
      <c r="O134" s="73">
        <f>_xlfn.DAYS(M134,RESUMEN!$P$7)</f>
        <v>-43242</v>
      </c>
      <c r="P134" s="73"/>
      <c r="Q134" s="73" t="e">
        <f>LOOKUP(P134,FORMULAS!$A:$A,FORMULAS!$B:$B)</f>
        <v>#N/A</v>
      </c>
      <c r="R134" s="78"/>
      <c r="S134" s="73"/>
      <c r="T134" s="73"/>
      <c r="U134" s="73"/>
      <c r="V134" s="73"/>
      <c r="W134" s="73"/>
      <c r="X134" s="73"/>
      <c r="Y134" s="73"/>
      <c r="Z134" s="73" t="e">
        <f>WEEKNUM(Y134-RESUMEN!$AB$7)</f>
        <v>#NUM!</v>
      </c>
      <c r="AA134" s="73">
        <f>_xlfn.DAYS(Y134,RESUMEN!$AB$7)</f>
        <v>-43247</v>
      </c>
      <c r="AB134" s="73"/>
      <c r="AC134" s="73" t="e">
        <f>LOOKUP(AB134,FORMULAS!$A:$A,FORMULAS!$B:$B)</f>
        <v>#N/A</v>
      </c>
      <c r="AD134" s="78"/>
      <c r="AE134" s="73"/>
      <c r="AF134" s="73"/>
      <c r="AG134" s="73"/>
      <c r="AH134" s="73"/>
      <c r="AI134" s="73"/>
      <c r="AJ134" s="73"/>
      <c r="AK134" s="73"/>
      <c r="AL134" s="73" t="e">
        <f>WEEKNUM(AK134-RESUMEN!$AN$7)</f>
        <v>#NUM!</v>
      </c>
      <c r="AM134" s="73">
        <f>_xlfn.DAYS(AK134,RESUMEN!$AN$7)</f>
        <v>-43254</v>
      </c>
      <c r="AN134" s="73"/>
      <c r="AO134" s="73" t="e">
        <f>LOOKUP(AN134,FORMULAS!$A:$A,FORMULAS!$B:$B)</f>
        <v>#N/A</v>
      </c>
      <c r="AP134" s="78"/>
      <c r="AQ134" s="78"/>
      <c r="AR134" s="73"/>
      <c r="AS134" s="73"/>
      <c r="AT134" s="73"/>
      <c r="AU134" s="73"/>
      <c r="AV134" s="73"/>
      <c r="AW134" s="73"/>
      <c r="AX134" s="73" t="e">
        <f>WEEKNUM(AW134-RESUMEN!$AZ$7)</f>
        <v>#NUM!</v>
      </c>
      <c r="AY134" s="73">
        <f>_xlfn.DAYS(AW134,RESUMEN!$AZ$7)</f>
        <v>-43261</v>
      </c>
      <c r="AZ134" s="73"/>
      <c r="BA134" s="73" t="e">
        <f>LOOKUP(AZ134,FORMULAS!$A:$A,FORMULAS!$B:$B)</f>
        <v>#N/A</v>
      </c>
      <c r="BB134" s="78"/>
      <c r="BC134" s="73"/>
      <c r="BD134" s="73"/>
      <c r="BE134" s="73"/>
      <c r="BF134" s="73"/>
      <c r="BG134" s="73"/>
      <c r="BH134" s="73"/>
      <c r="BI134" s="73"/>
      <c r="BJ134" s="73" t="e">
        <f>WEEKNUM(BI134-RESUMEN!$BL$7)</f>
        <v>#NUM!</v>
      </c>
      <c r="BK134" s="73">
        <f>_xlfn.DAYS(BI134,RESUMEN!$BL$7)</f>
        <v>-43267</v>
      </c>
      <c r="BL134" s="73"/>
      <c r="BM134" s="73" t="e">
        <f>LOOKUP(BL134,FORMULAS!$A:$A,FORMULAS!$B:$B)</f>
        <v>#N/A</v>
      </c>
      <c r="BN134" s="78"/>
      <c r="BO134" s="73"/>
      <c r="BP134" s="73"/>
      <c r="BQ134" s="73"/>
      <c r="BR134" s="73"/>
      <c r="BS134" s="73"/>
      <c r="BT134" s="73"/>
    </row>
    <row r="135" spans="1:72" x14ac:dyDescent="0.25">
      <c r="A135" s="75"/>
      <c r="B135" s="74" t="e">
        <f>WEEKNUM(A135-RESUMEN!$D$7)</f>
        <v>#NUM!</v>
      </c>
      <c r="C135" s="74">
        <f>_xlfn.DAYS(A135,RESUMEN!$D$7)</f>
        <v>-43238</v>
      </c>
      <c r="D135" s="75"/>
      <c r="E135" s="73" t="e">
        <f>LOOKUP(D135,FORMULAS!$A:$A,FORMULAS!$B:$B)</f>
        <v>#N/A</v>
      </c>
      <c r="F135" s="80"/>
      <c r="G135" s="75"/>
      <c r="H135" s="75"/>
      <c r="I135" s="73"/>
      <c r="J135" s="73"/>
      <c r="K135" s="73"/>
      <c r="L135" s="73"/>
      <c r="M135" s="73"/>
      <c r="N135" s="73" t="e">
        <f>WEEKNUM(M135-RESUMEN!$P$7)</f>
        <v>#NUM!</v>
      </c>
      <c r="O135" s="73">
        <f>_xlfn.DAYS(M135,RESUMEN!$P$7)</f>
        <v>-43242</v>
      </c>
      <c r="P135" s="73"/>
      <c r="Q135" s="73" t="e">
        <f>LOOKUP(P135,FORMULAS!$A:$A,FORMULAS!$B:$B)</f>
        <v>#N/A</v>
      </c>
      <c r="R135" s="78"/>
      <c r="S135" s="73"/>
      <c r="T135" s="73"/>
      <c r="U135" s="73"/>
      <c r="V135" s="73"/>
      <c r="W135" s="73"/>
      <c r="X135" s="73"/>
      <c r="Y135" s="73"/>
      <c r="Z135" s="73" t="e">
        <f>WEEKNUM(Y135-RESUMEN!$AB$7)</f>
        <v>#NUM!</v>
      </c>
      <c r="AA135" s="73">
        <f>_xlfn.DAYS(Y135,RESUMEN!$AB$7)</f>
        <v>-43247</v>
      </c>
      <c r="AB135" s="73"/>
      <c r="AC135" s="73" t="e">
        <f>LOOKUP(AB135,FORMULAS!$A:$A,FORMULAS!$B:$B)</f>
        <v>#N/A</v>
      </c>
      <c r="AD135" s="78"/>
      <c r="AE135" s="73"/>
      <c r="AF135" s="73"/>
      <c r="AG135" s="73"/>
      <c r="AH135" s="73"/>
      <c r="AI135" s="73"/>
      <c r="AJ135" s="73"/>
      <c r="AK135" s="73"/>
      <c r="AL135" s="73" t="e">
        <f>WEEKNUM(AK135-RESUMEN!$AN$7)</f>
        <v>#NUM!</v>
      </c>
      <c r="AM135" s="73">
        <f>_xlfn.DAYS(AK135,RESUMEN!$AN$7)</f>
        <v>-43254</v>
      </c>
      <c r="AN135" s="73"/>
      <c r="AO135" s="73" t="e">
        <f>LOOKUP(AN135,FORMULAS!$A:$A,FORMULAS!$B:$B)</f>
        <v>#N/A</v>
      </c>
      <c r="AP135" s="78"/>
      <c r="AQ135" s="78"/>
      <c r="AR135" s="73"/>
      <c r="AS135" s="73"/>
      <c r="AT135" s="73"/>
      <c r="AU135" s="73"/>
      <c r="AV135" s="73"/>
      <c r="AW135" s="73"/>
      <c r="AX135" s="73" t="e">
        <f>WEEKNUM(AW135-RESUMEN!$AZ$7)</f>
        <v>#NUM!</v>
      </c>
      <c r="AY135" s="73">
        <f>_xlfn.DAYS(AW135,RESUMEN!$AZ$7)</f>
        <v>-43261</v>
      </c>
      <c r="AZ135" s="73"/>
      <c r="BA135" s="73" t="e">
        <f>LOOKUP(AZ135,FORMULAS!$A:$A,FORMULAS!$B:$B)</f>
        <v>#N/A</v>
      </c>
      <c r="BB135" s="78"/>
      <c r="BC135" s="73"/>
      <c r="BD135" s="73"/>
      <c r="BE135" s="73"/>
      <c r="BF135" s="73"/>
      <c r="BG135" s="73"/>
      <c r="BH135" s="73"/>
      <c r="BI135" s="73"/>
      <c r="BJ135" s="73" t="e">
        <f>WEEKNUM(BI135-RESUMEN!$BL$7)</f>
        <v>#NUM!</v>
      </c>
      <c r="BK135" s="73">
        <f>_xlfn.DAYS(BI135,RESUMEN!$BL$7)</f>
        <v>-43267</v>
      </c>
      <c r="BL135" s="73"/>
      <c r="BM135" s="73" t="e">
        <f>LOOKUP(BL135,FORMULAS!$A:$A,FORMULAS!$B:$B)</f>
        <v>#N/A</v>
      </c>
      <c r="BN135" s="78"/>
      <c r="BO135" s="73"/>
      <c r="BP135" s="73"/>
      <c r="BQ135" s="73"/>
      <c r="BR135" s="73"/>
      <c r="BS135" s="73"/>
      <c r="BT135" s="73"/>
    </row>
    <row r="136" spans="1:72" x14ac:dyDescent="0.25">
      <c r="A136" s="75"/>
      <c r="B136" s="74" t="e">
        <f>WEEKNUM(A136-RESUMEN!$D$7)</f>
        <v>#NUM!</v>
      </c>
      <c r="C136" s="74">
        <f>_xlfn.DAYS(A136,RESUMEN!$D$7)</f>
        <v>-43238</v>
      </c>
      <c r="D136" s="75"/>
      <c r="E136" s="73" t="e">
        <f>LOOKUP(D136,FORMULAS!$A:$A,FORMULAS!$B:$B)</f>
        <v>#N/A</v>
      </c>
      <c r="F136" s="80"/>
      <c r="G136" s="75"/>
      <c r="H136" s="75"/>
      <c r="I136" s="73"/>
      <c r="J136" s="73"/>
      <c r="K136" s="73"/>
      <c r="L136" s="73"/>
      <c r="M136" s="73"/>
      <c r="N136" s="73" t="e">
        <f>WEEKNUM(M136-RESUMEN!$P$7)</f>
        <v>#NUM!</v>
      </c>
      <c r="O136" s="73">
        <f>_xlfn.DAYS(M136,RESUMEN!$P$7)</f>
        <v>-43242</v>
      </c>
      <c r="P136" s="73"/>
      <c r="Q136" s="73" t="e">
        <f>LOOKUP(P136,FORMULAS!$A:$A,FORMULAS!$B:$B)</f>
        <v>#N/A</v>
      </c>
      <c r="R136" s="78"/>
      <c r="S136" s="73"/>
      <c r="T136" s="73"/>
      <c r="U136" s="73"/>
      <c r="V136" s="73"/>
      <c r="W136" s="73"/>
      <c r="X136" s="73"/>
      <c r="Y136" s="73"/>
      <c r="Z136" s="73" t="e">
        <f>WEEKNUM(Y136-RESUMEN!$AB$7)</f>
        <v>#NUM!</v>
      </c>
      <c r="AA136" s="73">
        <f>_xlfn.DAYS(Y136,RESUMEN!$AB$7)</f>
        <v>-43247</v>
      </c>
      <c r="AB136" s="73"/>
      <c r="AC136" s="73" t="e">
        <f>LOOKUP(AB136,FORMULAS!$A:$A,FORMULAS!$B:$B)</f>
        <v>#N/A</v>
      </c>
      <c r="AD136" s="78"/>
      <c r="AE136" s="73"/>
      <c r="AF136" s="73"/>
      <c r="AG136" s="73"/>
      <c r="AH136" s="73"/>
      <c r="AI136" s="73"/>
      <c r="AJ136" s="73"/>
      <c r="AK136" s="73"/>
      <c r="AL136" s="73" t="e">
        <f>WEEKNUM(AK136-RESUMEN!$AN$7)</f>
        <v>#NUM!</v>
      </c>
      <c r="AM136" s="73">
        <f>_xlfn.DAYS(AK136,RESUMEN!$AN$7)</f>
        <v>-43254</v>
      </c>
      <c r="AN136" s="73"/>
      <c r="AO136" s="73" t="e">
        <f>LOOKUP(AN136,FORMULAS!$A:$A,FORMULAS!$B:$B)</f>
        <v>#N/A</v>
      </c>
      <c r="AP136" s="78"/>
      <c r="AQ136" s="78"/>
      <c r="AR136" s="73"/>
      <c r="AS136" s="73"/>
      <c r="AT136" s="73"/>
      <c r="AU136" s="73"/>
      <c r="AV136" s="73"/>
      <c r="AW136" s="73"/>
      <c r="AX136" s="73" t="e">
        <f>WEEKNUM(AW136-RESUMEN!$AZ$7)</f>
        <v>#NUM!</v>
      </c>
      <c r="AY136" s="73">
        <f>_xlfn.DAYS(AW136,RESUMEN!$AZ$7)</f>
        <v>-43261</v>
      </c>
      <c r="AZ136" s="73"/>
      <c r="BA136" s="73" t="e">
        <f>LOOKUP(AZ136,FORMULAS!$A:$A,FORMULAS!$B:$B)</f>
        <v>#N/A</v>
      </c>
      <c r="BB136" s="78"/>
      <c r="BC136" s="73"/>
      <c r="BD136" s="73"/>
      <c r="BE136" s="73"/>
      <c r="BF136" s="73"/>
      <c r="BG136" s="73"/>
      <c r="BH136" s="73"/>
      <c r="BI136" s="73"/>
      <c r="BJ136" s="73" t="e">
        <f>WEEKNUM(BI136-RESUMEN!$BL$7)</f>
        <v>#NUM!</v>
      </c>
      <c r="BK136" s="73">
        <f>_xlfn.DAYS(BI136,RESUMEN!$BL$7)</f>
        <v>-43267</v>
      </c>
      <c r="BL136" s="73"/>
      <c r="BM136" s="73" t="e">
        <f>LOOKUP(BL136,FORMULAS!$A:$A,FORMULAS!$B:$B)</f>
        <v>#N/A</v>
      </c>
      <c r="BN136" s="78"/>
      <c r="BO136" s="73"/>
      <c r="BP136" s="73"/>
      <c r="BQ136" s="73"/>
      <c r="BR136" s="73"/>
      <c r="BS136" s="73"/>
      <c r="BT136" s="73"/>
    </row>
    <row r="137" spans="1:72" x14ac:dyDescent="0.25">
      <c r="A137" s="75"/>
      <c r="B137" s="74" t="e">
        <f>WEEKNUM(A137-RESUMEN!$D$7)</f>
        <v>#NUM!</v>
      </c>
      <c r="C137" s="74">
        <f>_xlfn.DAYS(A137,RESUMEN!$D$7)</f>
        <v>-43238</v>
      </c>
      <c r="D137" s="75"/>
      <c r="E137" s="73" t="e">
        <f>LOOKUP(D137,FORMULAS!$A:$A,FORMULAS!$B:$B)</f>
        <v>#N/A</v>
      </c>
      <c r="F137" s="80"/>
      <c r="G137" s="75"/>
      <c r="H137" s="75"/>
      <c r="I137" s="73"/>
      <c r="J137" s="73"/>
      <c r="K137" s="73"/>
      <c r="L137" s="73"/>
      <c r="M137" s="73"/>
      <c r="N137" s="73" t="e">
        <f>WEEKNUM(M137-RESUMEN!$P$7)</f>
        <v>#NUM!</v>
      </c>
      <c r="O137" s="73">
        <f>_xlfn.DAYS(M137,RESUMEN!$P$7)</f>
        <v>-43242</v>
      </c>
      <c r="P137" s="73"/>
      <c r="Q137" s="73" t="e">
        <f>LOOKUP(P137,FORMULAS!$A:$A,FORMULAS!$B:$B)</f>
        <v>#N/A</v>
      </c>
      <c r="R137" s="78"/>
      <c r="S137" s="73"/>
      <c r="T137" s="73"/>
      <c r="U137" s="73"/>
      <c r="V137" s="73"/>
      <c r="W137" s="73"/>
      <c r="X137" s="73"/>
      <c r="Y137" s="73"/>
      <c r="Z137" s="73" t="e">
        <f>WEEKNUM(Y137-RESUMEN!$AB$7)</f>
        <v>#NUM!</v>
      </c>
      <c r="AA137" s="73">
        <f>_xlfn.DAYS(Y137,RESUMEN!$AB$7)</f>
        <v>-43247</v>
      </c>
      <c r="AB137" s="73"/>
      <c r="AC137" s="73" t="e">
        <f>LOOKUP(AB137,FORMULAS!$A:$A,FORMULAS!$B:$B)</f>
        <v>#N/A</v>
      </c>
      <c r="AD137" s="78"/>
      <c r="AE137" s="73"/>
      <c r="AF137" s="73"/>
      <c r="AG137" s="73"/>
      <c r="AH137" s="73"/>
      <c r="AI137" s="73"/>
      <c r="AJ137" s="73"/>
      <c r="AK137" s="73"/>
      <c r="AL137" s="73" t="e">
        <f>WEEKNUM(AK137-RESUMEN!$AN$7)</f>
        <v>#NUM!</v>
      </c>
      <c r="AM137" s="73">
        <f>_xlfn.DAYS(AK137,RESUMEN!$AN$7)</f>
        <v>-43254</v>
      </c>
      <c r="AN137" s="73"/>
      <c r="AO137" s="73" t="e">
        <f>LOOKUP(AN137,FORMULAS!$A:$A,FORMULAS!$B:$B)</f>
        <v>#N/A</v>
      </c>
      <c r="AP137" s="78"/>
      <c r="AQ137" s="78"/>
      <c r="AR137" s="73"/>
      <c r="AS137" s="73"/>
      <c r="AT137" s="73"/>
      <c r="AU137" s="73"/>
      <c r="AV137" s="73"/>
      <c r="AW137" s="73"/>
      <c r="AX137" s="73" t="e">
        <f>WEEKNUM(AW137-RESUMEN!$AZ$7)</f>
        <v>#NUM!</v>
      </c>
      <c r="AY137" s="73">
        <f>_xlfn.DAYS(AW137,RESUMEN!$AZ$7)</f>
        <v>-43261</v>
      </c>
      <c r="AZ137" s="73"/>
      <c r="BA137" s="73" t="e">
        <f>LOOKUP(AZ137,FORMULAS!$A:$A,FORMULAS!$B:$B)</f>
        <v>#N/A</v>
      </c>
      <c r="BB137" s="78"/>
      <c r="BC137" s="73"/>
      <c r="BD137" s="73"/>
      <c r="BE137" s="73"/>
      <c r="BF137" s="73"/>
      <c r="BG137" s="73"/>
      <c r="BH137" s="73"/>
      <c r="BI137" s="73"/>
      <c r="BJ137" s="73" t="e">
        <f>WEEKNUM(BI137-RESUMEN!$BL$7)</f>
        <v>#NUM!</v>
      </c>
      <c r="BK137" s="73">
        <f>_xlfn.DAYS(BI137,RESUMEN!$BL$7)</f>
        <v>-43267</v>
      </c>
      <c r="BL137" s="73"/>
      <c r="BM137" s="73" t="e">
        <f>LOOKUP(BL137,FORMULAS!$A:$A,FORMULAS!$B:$B)</f>
        <v>#N/A</v>
      </c>
      <c r="BN137" s="78"/>
      <c r="BO137" s="73"/>
      <c r="BP137" s="73"/>
      <c r="BQ137" s="73"/>
      <c r="BR137" s="73"/>
      <c r="BS137" s="73"/>
      <c r="BT137" s="73"/>
    </row>
    <row r="138" spans="1:72" x14ac:dyDescent="0.25">
      <c r="A138" s="75"/>
      <c r="B138" s="74" t="e">
        <f>WEEKNUM(A138-RESUMEN!$D$7)</f>
        <v>#NUM!</v>
      </c>
      <c r="C138" s="74">
        <f>_xlfn.DAYS(A138,RESUMEN!$D$7)</f>
        <v>-43238</v>
      </c>
      <c r="D138" s="75"/>
      <c r="E138" s="73" t="e">
        <f>LOOKUP(D138,FORMULAS!$A:$A,FORMULAS!$B:$B)</f>
        <v>#N/A</v>
      </c>
      <c r="F138" s="80"/>
      <c r="G138" s="75"/>
      <c r="H138" s="75"/>
      <c r="I138" s="73"/>
      <c r="J138" s="73"/>
      <c r="K138" s="73"/>
      <c r="L138" s="73"/>
      <c r="M138" s="73"/>
      <c r="N138" s="73" t="e">
        <f>WEEKNUM(M138-RESUMEN!$P$7)</f>
        <v>#NUM!</v>
      </c>
      <c r="O138" s="73">
        <f>_xlfn.DAYS(M138,RESUMEN!$P$7)</f>
        <v>-43242</v>
      </c>
      <c r="P138" s="73"/>
      <c r="Q138" s="73" t="e">
        <f>LOOKUP(P138,FORMULAS!$A:$A,FORMULAS!$B:$B)</f>
        <v>#N/A</v>
      </c>
      <c r="R138" s="78"/>
      <c r="S138" s="73"/>
      <c r="T138" s="73"/>
      <c r="U138" s="73"/>
      <c r="V138" s="73"/>
      <c r="W138" s="73"/>
      <c r="X138" s="73"/>
      <c r="Y138" s="73"/>
      <c r="Z138" s="73" t="e">
        <f>WEEKNUM(Y138-RESUMEN!$AB$7)</f>
        <v>#NUM!</v>
      </c>
      <c r="AA138" s="73">
        <f>_xlfn.DAYS(Y138,RESUMEN!$AB$7)</f>
        <v>-43247</v>
      </c>
      <c r="AB138" s="73"/>
      <c r="AC138" s="73" t="e">
        <f>LOOKUP(AB138,FORMULAS!$A:$A,FORMULAS!$B:$B)</f>
        <v>#N/A</v>
      </c>
      <c r="AD138" s="78"/>
      <c r="AE138" s="73"/>
      <c r="AF138" s="73"/>
      <c r="AG138" s="73"/>
      <c r="AH138" s="73"/>
      <c r="AI138" s="73"/>
      <c r="AJ138" s="73"/>
      <c r="AK138" s="73"/>
      <c r="AL138" s="73" t="e">
        <f>WEEKNUM(AK138-RESUMEN!$AN$7)</f>
        <v>#NUM!</v>
      </c>
      <c r="AM138" s="73">
        <f>_xlfn.DAYS(AK138,RESUMEN!$AN$7)</f>
        <v>-43254</v>
      </c>
      <c r="AN138" s="73"/>
      <c r="AO138" s="73" t="e">
        <f>LOOKUP(AN138,FORMULAS!$A:$A,FORMULAS!$B:$B)</f>
        <v>#N/A</v>
      </c>
      <c r="AP138" s="78"/>
      <c r="AQ138" s="78"/>
      <c r="AR138" s="73"/>
      <c r="AS138" s="73"/>
      <c r="AT138" s="73"/>
      <c r="AU138" s="73"/>
      <c r="AV138" s="73"/>
      <c r="AW138" s="73"/>
      <c r="AX138" s="73" t="e">
        <f>WEEKNUM(AW138-RESUMEN!$AZ$7)</f>
        <v>#NUM!</v>
      </c>
      <c r="AY138" s="73">
        <f>_xlfn.DAYS(AW138,RESUMEN!$AZ$7)</f>
        <v>-43261</v>
      </c>
      <c r="AZ138" s="73"/>
      <c r="BA138" s="73" t="e">
        <f>LOOKUP(AZ138,FORMULAS!$A:$A,FORMULAS!$B:$B)</f>
        <v>#N/A</v>
      </c>
      <c r="BB138" s="78"/>
      <c r="BC138" s="73"/>
      <c r="BD138" s="73"/>
      <c r="BE138" s="73"/>
      <c r="BF138" s="73"/>
      <c r="BG138" s="73"/>
      <c r="BH138" s="73"/>
      <c r="BI138" s="73"/>
      <c r="BJ138" s="73" t="e">
        <f>WEEKNUM(BI138-RESUMEN!$BL$7)</f>
        <v>#NUM!</v>
      </c>
      <c r="BK138" s="73">
        <f>_xlfn.DAYS(BI138,RESUMEN!$BL$7)</f>
        <v>-43267</v>
      </c>
      <c r="BL138" s="73"/>
      <c r="BM138" s="73" t="e">
        <f>LOOKUP(BL138,FORMULAS!$A:$A,FORMULAS!$B:$B)</f>
        <v>#N/A</v>
      </c>
      <c r="BN138" s="78"/>
      <c r="BO138" s="73"/>
      <c r="BP138" s="73"/>
      <c r="BQ138" s="73"/>
      <c r="BR138" s="73"/>
      <c r="BS138" s="73"/>
      <c r="BT138" s="73"/>
    </row>
    <row r="139" spans="1:72" x14ac:dyDescent="0.25">
      <c r="A139" s="75"/>
      <c r="B139" s="74" t="e">
        <f>WEEKNUM(A139-RESUMEN!$D$7)</f>
        <v>#NUM!</v>
      </c>
      <c r="C139" s="74">
        <f>_xlfn.DAYS(A139,RESUMEN!$D$7)</f>
        <v>-43238</v>
      </c>
      <c r="D139" s="75"/>
      <c r="E139" s="73" t="e">
        <f>LOOKUP(D139,FORMULAS!$A:$A,FORMULAS!$B:$B)</f>
        <v>#N/A</v>
      </c>
      <c r="F139" s="80"/>
      <c r="G139" s="75"/>
      <c r="H139" s="75"/>
      <c r="I139" s="73"/>
      <c r="J139" s="73"/>
      <c r="K139" s="73"/>
      <c r="L139" s="73"/>
      <c r="M139" s="73"/>
      <c r="N139" s="73" t="e">
        <f>WEEKNUM(M139-RESUMEN!$P$7)</f>
        <v>#NUM!</v>
      </c>
      <c r="O139" s="73">
        <f>_xlfn.DAYS(M139,RESUMEN!$P$7)</f>
        <v>-43242</v>
      </c>
      <c r="P139" s="73"/>
      <c r="Q139" s="73" t="e">
        <f>LOOKUP(P139,FORMULAS!$A:$A,FORMULAS!$B:$B)</f>
        <v>#N/A</v>
      </c>
      <c r="R139" s="78"/>
      <c r="S139" s="73"/>
      <c r="T139" s="73"/>
      <c r="U139" s="73"/>
      <c r="V139" s="73"/>
      <c r="W139" s="73"/>
      <c r="X139" s="73"/>
      <c r="Y139" s="73"/>
      <c r="Z139" s="73" t="e">
        <f>WEEKNUM(Y139-RESUMEN!$AB$7)</f>
        <v>#NUM!</v>
      </c>
      <c r="AA139" s="73">
        <f>_xlfn.DAYS(Y139,RESUMEN!$AB$7)</f>
        <v>-43247</v>
      </c>
      <c r="AB139" s="73"/>
      <c r="AC139" s="73" t="e">
        <f>LOOKUP(AB139,FORMULAS!$A:$A,FORMULAS!$B:$B)</f>
        <v>#N/A</v>
      </c>
      <c r="AD139" s="78"/>
      <c r="AE139" s="73"/>
      <c r="AF139" s="73"/>
      <c r="AG139" s="73"/>
      <c r="AH139" s="73"/>
      <c r="AI139" s="73"/>
      <c r="AJ139" s="73"/>
      <c r="AK139" s="73"/>
      <c r="AL139" s="73" t="e">
        <f>WEEKNUM(AK139-RESUMEN!$AN$7)</f>
        <v>#NUM!</v>
      </c>
      <c r="AM139" s="73">
        <f>_xlfn.DAYS(AK139,RESUMEN!$AN$7)</f>
        <v>-43254</v>
      </c>
      <c r="AN139" s="73"/>
      <c r="AO139" s="73" t="e">
        <f>LOOKUP(AN139,FORMULAS!$A:$A,FORMULAS!$B:$B)</f>
        <v>#N/A</v>
      </c>
      <c r="AP139" s="78"/>
      <c r="AQ139" s="78"/>
      <c r="AR139" s="73"/>
      <c r="AS139" s="73"/>
      <c r="AT139" s="73"/>
      <c r="AU139" s="73"/>
      <c r="AV139" s="73"/>
      <c r="AW139" s="73"/>
      <c r="AX139" s="73" t="e">
        <f>WEEKNUM(AW139-RESUMEN!$AZ$7)</f>
        <v>#NUM!</v>
      </c>
      <c r="AY139" s="73">
        <f>_xlfn.DAYS(AW139,RESUMEN!$AZ$7)</f>
        <v>-43261</v>
      </c>
      <c r="AZ139" s="73"/>
      <c r="BA139" s="73" t="e">
        <f>LOOKUP(AZ139,FORMULAS!$A:$A,FORMULAS!$B:$B)</f>
        <v>#N/A</v>
      </c>
      <c r="BB139" s="78"/>
      <c r="BC139" s="73"/>
      <c r="BD139" s="73"/>
      <c r="BE139" s="73"/>
      <c r="BF139" s="73"/>
      <c r="BG139" s="73"/>
      <c r="BH139" s="73"/>
      <c r="BI139" s="73"/>
      <c r="BJ139" s="73" t="e">
        <f>WEEKNUM(BI139-RESUMEN!$BL$7)</f>
        <v>#NUM!</v>
      </c>
      <c r="BK139" s="73">
        <f>_xlfn.DAYS(BI139,RESUMEN!$BL$7)</f>
        <v>-43267</v>
      </c>
      <c r="BL139" s="73"/>
      <c r="BM139" s="73" t="e">
        <f>LOOKUP(BL139,FORMULAS!$A:$A,FORMULAS!$B:$B)</f>
        <v>#N/A</v>
      </c>
      <c r="BN139" s="78"/>
      <c r="BO139" s="73"/>
      <c r="BP139" s="73"/>
      <c r="BQ139" s="73"/>
      <c r="BR139" s="73"/>
      <c r="BS139" s="73"/>
      <c r="BT139" s="73"/>
    </row>
    <row r="140" spans="1:72" x14ac:dyDescent="0.25">
      <c r="A140" s="75"/>
      <c r="B140" s="74" t="e">
        <f>WEEKNUM(A140-RESUMEN!$D$7)</f>
        <v>#NUM!</v>
      </c>
      <c r="C140" s="74">
        <f>_xlfn.DAYS(A140,RESUMEN!$D$7)</f>
        <v>-43238</v>
      </c>
      <c r="D140" s="75"/>
      <c r="E140" s="73" t="e">
        <f>LOOKUP(D140,FORMULAS!$A:$A,FORMULAS!$B:$B)</f>
        <v>#N/A</v>
      </c>
      <c r="F140" s="80"/>
      <c r="G140" s="75"/>
      <c r="H140" s="75"/>
      <c r="I140" s="73"/>
      <c r="J140" s="73"/>
      <c r="K140" s="73"/>
      <c r="L140" s="73"/>
      <c r="M140" s="73"/>
      <c r="N140" s="73" t="e">
        <f>WEEKNUM(M140-RESUMEN!$P$7)</f>
        <v>#NUM!</v>
      </c>
      <c r="O140" s="73">
        <f>_xlfn.DAYS(M140,RESUMEN!$P$7)</f>
        <v>-43242</v>
      </c>
      <c r="P140" s="73"/>
      <c r="Q140" s="73" t="e">
        <f>LOOKUP(P140,FORMULAS!$A:$A,FORMULAS!$B:$B)</f>
        <v>#N/A</v>
      </c>
      <c r="R140" s="78"/>
      <c r="S140" s="73"/>
      <c r="T140" s="73"/>
      <c r="U140" s="73"/>
      <c r="V140" s="73"/>
      <c r="W140" s="73"/>
      <c r="X140" s="73"/>
      <c r="Y140" s="73"/>
      <c r="Z140" s="73" t="e">
        <f>WEEKNUM(Y140-RESUMEN!$AB$7)</f>
        <v>#NUM!</v>
      </c>
      <c r="AA140" s="73">
        <f>_xlfn.DAYS(Y140,RESUMEN!$AB$7)</f>
        <v>-43247</v>
      </c>
      <c r="AB140" s="73"/>
      <c r="AC140" s="73" t="e">
        <f>LOOKUP(AB140,FORMULAS!$A:$A,FORMULAS!$B:$B)</f>
        <v>#N/A</v>
      </c>
      <c r="AD140" s="78"/>
      <c r="AE140" s="73"/>
      <c r="AF140" s="73"/>
      <c r="AG140" s="73"/>
      <c r="AH140" s="73"/>
      <c r="AI140" s="73"/>
      <c r="AJ140" s="73"/>
      <c r="AK140" s="73"/>
      <c r="AL140" s="73" t="e">
        <f>WEEKNUM(AK140-RESUMEN!$AN$7)</f>
        <v>#NUM!</v>
      </c>
      <c r="AM140" s="73">
        <f>_xlfn.DAYS(AK140,RESUMEN!$AN$7)</f>
        <v>-43254</v>
      </c>
      <c r="AN140" s="73"/>
      <c r="AO140" s="73" t="e">
        <f>LOOKUP(AN140,FORMULAS!$A:$A,FORMULAS!$B:$B)</f>
        <v>#N/A</v>
      </c>
      <c r="AP140" s="78"/>
      <c r="AQ140" s="78"/>
      <c r="AR140" s="73"/>
      <c r="AS140" s="73"/>
      <c r="AT140" s="73"/>
      <c r="AU140" s="73"/>
      <c r="AV140" s="73"/>
      <c r="AW140" s="73"/>
      <c r="AX140" s="73" t="e">
        <f>WEEKNUM(AW140-RESUMEN!$AZ$7)</f>
        <v>#NUM!</v>
      </c>
      <c r="AY140" s="73">
        <f>_xlfn.DAYS(AW140,RESUMEN!$AZ$7)</f>
        <v>-43261</v>
      </c>
      <c r="AZ140" s="73"/>
      <c r="BA140" s="73" t="e">
        <f>LOOKUP(AZ140,FORMULAS!$A:$A,FORMULAS!$B:$B)</f>
        <v>#N/A</v>
      </c>
      <c r="BB140" s="78"/>
      <c r="BC140" s="73"/>
      <c r="BD140" s="73"/>
      <c r="BE140" s="73"/>
      <c r="BF140" s="73"/>
      <c r="BG140" s="73"/>
      <c r="BH140" s="73"/>
      <c r="BI140" s="73"/>
      <c r="BJ140" s="73" t="e">
        <f>WEEKNUM(BI140-RESUMEN!$BL$7)</f>
        <v>#NUM!</v>
      </c>
      <c r="BK140" s="73">
        <f>_xlfn.DAYS(BI140,RESUMEN!$BL$7)</f>
        <v>-43267</v>
      </c>
      <c r="BL140" s="73"/>
      <c r="BM140" s="73" t="e">
        <f>LOOKUP(BL140,FORMULAS!$A:$A,FORMULAS!$B:$B)</f>
        <v>#N/A</v>
      </c>
      <c r="BN140" s="78"/>
      <c r="BO140" s="73"/>
      <c r="BP140" s="73"/>
      <c r="BQ140" s="73"/>
      <c r="BR140" s="73"/>
      <c r="BS140" s="73"/>
      <c r="BT140" s="73"/>
    </row>
    <row r="141" spans="1:72" x14ac:dyDescent="0.25">
      <c r="A141" s="75"/>
      <c r="B141" s="74" t="e">
        <f>WEEKNUM(A141-RESUMEN!$D$7)</f>
        <v>#NUM!</v>
      </c>
      <c r="C141" s="74">
        <f>_xlfn.DAYS(A141,RESUMEN!$D$7)</f>
        <v>-43238</v>
      </c>
      <c r="D141" s="75"/>
      <c r="E141" s="73" t="e">
        <f>LOOKUP(D141,FORMULAS!$A:$A,FORMULAS!$B:$B)</f>
        <v>#N/A</v>
      </c>
      <c r="F141" s="80"/>
      <c r="G141" s="75"/>
      <c r="H141" s="75"/>
      <c r="I141" s="73"/>
      <c r="J141" s="73"/>
      <c r="K141" s="73"/>
      <c r="L141" s="73"/>
      <c r="M141" s="73"/>
      <c r="N141" s="73" t="e">
        <f>WEEKNUM(M141-RESUMEN!$P$7)</f>
        <v>#NUM!</v>
      </c>
      <c r="O141" s="73">
        <f>_xlfn.DAYS(M141,RESUMEN!$P$7)</f>
        <v>-43242</v>
      </c>
      <c r="P141" s="73"/>
      <c r="Q141" s="73" t="e">
        <f>LOOKUP(P141,FORMULAS!$A:$A,FORMULAS!$B:$B)</f>
        <v>#N/A</v>
      </c>
      <c r="R141" s="78"/>
      <c r="S141" s="73"/>
      <c r="T141" s="73"/>
      <c r="U141" s="73"/>
      <c r="V141" s="73"/>
      <c r="W141" s="73"/>
      <c r="X141" s="73"/>
      <c r="Y141" s="73"/>
      <c r="Z141" s="73" t="e">
        <f>WEEKNUM(Y141-RESUMEN!$AB$7)</f>
        <v>#NUM!</v>
      </c>
      <c r="AA141" s="73">
        <f>_xlfn.DAYS(Y141,RESUMEN!$AB$7)</f>
        <v>-43247</v>
      </c>
      <c r="AB141" s="73"/>
      <c r="AC141" s="73" t="e">
        <f>LOOKUP(AB141,FORMULAS!$A:$A,FORMULAS!$B:$B)</f>
        <v>#N/A</v>
      </c>
      <c r="AD141" s="78"/>
      <c r="AE141" s="73"/>
      <c r="AF141" s="73"/>
      <c r="AG141" s="73"/>
      <c r="AH141" s="73"/>
      <c r="AI141" s="73"/>
      <c r="AJ141" s="73"/>
      <c r="AK141" s="73"/>
      <c r="AL141" s="73" t="e">
        <f>WEEKNUM(AK141-RESUMEN!$AN$7)</f>
        <v>#NUM!</v>
      </c>
      <c r="AM141" s="73">
        <f>_xlfn.DAYS(AK141,RESUMEN!$AN$7)</f>
        <v>-43254</v>
      </c>
      <c r="AN141" s="73"/>
      <c r="AO141" s="73" t="e">
        <f>LOOKUP(AN141,FORMULAS!$A:$A,FORMULAS!$B:$B)</f>
        <v>#N/A</v>
      </c>
      <c r="AP141" s="78"/>
      <c r="AQ141" s="78"/>
      <c r="AR141" s="73"/>
      <c r="AS141" s="73"/>
      <c r="AT141" s="73"/>
      <c r="AU141" s="73"/>
      <c r="AV141" s="73"/>
      <c r="AW141" s="73"/>
      <c r="AX141" s="73" t="e">
        <f>WEEKNUM(AW141-RESUMEN!$AZ$7)</f>
        <v>#NUM!</v>
      </c>
      <c r="AY141" s="73">
        <f>_xlfn.DAYS(AW141,RESUMEN!$AZ$7)</f>
        <v>-43261</v>
      </c>
      <c r="AZ141" s="73"/>
      <c r="BA141" s="73" t="e">
        <f>LOOKUP(AZ141,FORMULAS!$A:$A,FORMULAS!$B:$B)</f>
        <v>#N/A</v>
      </c>
      <c r="BB141" s="78"/>
      <c r="BC141" s="73"/>
      <c r="BD141" s="73"/>
      <c r="BE141" s="73"/>
      <c r="BF141" s="73"/>
      <c r="BG141" s="73"/>
      <c r="BH141" s="73"/>
      <c r="BI141" s="73"/>
      <c r="BJ141" s="73" t="e">
        <f>WEEKNUM(BI141-RESUMEN!$BL$7)</f>
        <v>#NUM!</v>
      </c>
      <c r="BK141" s="73">
        <f>_xlfn.DAYS(BI141,RESUMEN!$BL$7)</f>
        <v>-43267</v>
      </c>
      <c r="BL141" s="73"/>
      <c r="BM141" s="73" t="e">
        <f>LOOKUP(BL141,FORMULAS!$A:$A,FORMULAS!$B:$B)</f>
        <v>#N/A</v>
      </c>
      <c r="BN141" s="78"/>
      <c r="BO141" s="73"/>
      <c r="BP141" s="73"/>
      <c r="BQ141" s="73"/>
      <c r="BR141" s="73"/>
      <c r="BS141" s="73"/>
      <c r="BT141" s="73"/>
    </row>
    <row r="142" spans="1:72" x14ac:dyDescent="0.25">
      <c r="A142" s="75"/>
      <c r="B142" s="74" t="e">
        <f>WEEKNUM(A142-RESUMEN!$D$7)</f>
        <v>#NUM!</v>
      </c>
      <c r="C142" s="74">
        <f>_xlfn.DAYS(A142,RESUMEN!$D$7)</f>
        <v>-43238</v>
      </c>
      <c r="D142" s="75"/>
      <c r="E142" s="73" t="e">
        <f>LOOKUP(D142,FORMULAS!$A:$A,FORMULAS!$B:$B)</f>
        <v>#N/A</v>
      </c>
      <c r="F142" s="80"/>
      <c r="G142" s="75"/>
      <c r="H142" s="75"/>
      <c r="I142" s="73"/>
      <c r="J142" s="73"/>
      <c r="K142" s="73"/>
      <c r="L142" s="73"/>
      <c r="M142" s="73"/>
      <c r="N142" s="73" t="e">
        <f>WEEKNUM(M142-RESUMEN!$P$7)</f>
        <v>#NUM!</v>
      </c>
      <c r="O142" s="73">
        <f>_xlfn.DAYS(M142,RESUMEN!$P$7)</f>
        <v>-43242</v>
      </c>
      <c r="P142" s="73"/>
      <c r="Q142" s="73" t="e">
        <f>LOOKUP(P142,FORMULAS!$A:$A,FORMULAS!$B:$B)</f>
        <v>#N/A</v>
      </c>
      <c r="R142" s="78"/>
      <c r="S142" s="73"/>
      <c r="T142" s="73"/>
      <c r="U142" s="73"/>
      <c r="V142" s="73"/>
      <c r="W142" s="73"/>
      <c r="X142" s="73"/>
      <c r="Y142" s="73"/>
      <c r="Z142" s="73" t="e">
        <f>WEEKNUM(Y142-RESUMEN!$AB$7)</f>
        <v>#NUM!</v>
      </c>
      <c r="AA142" s="73">
        <f>_xlfn.DAYS(Y142,RESUMEN!$AB$7)</f>
        <v>-43247</v>
      </c>
      <c r="AB142" s="73"/>
      <c r="AC142" s="73" t="e">
        <f>LOOKUP(AB142,FORMULAS!$A:$A,FORMULAS!$B:$B)</f>
        <v>#N/A</v>
      </c>
      <c r="AD142" s="78"/>
      <c r="AE142" s="73"/>
      <c r="AF142" s="73"/>
      <c r="AG142" s="73"/>
      <c r="AH142" s="73"/>
      <c r="AI142" s="73"/>
      <c r="AJ142" s="73"/>
      <c r="AK142" s="73"/>
      <c r="AL142" s="73" t="e">
        <f>WEEKNUM(AK142-RESUMEN!$AN$7)</f>
        <v>#NUM!</v>
      </c>
      <c r="AM142" s="73">
        <f>_xlfn.DAYS(AK142,RESUMEN!$AN$7)</f>
        <v>-43254</v>
      </c>
      <c r="AN142" s="73"/>
      <c r="AO142" s="73" t="e">
        <f>LOOKUP(AN142,FORMULAS!$A:$A,FORMULAS!$B:$B)</f>
        <v>#N/A</v>
      </c>
      <c r="AP142" s="78"/>
      <c r="AQ142" s="78"/>
      <c r="AR142" s="73"/>
      <c r="AS142" s="73"/>
      <c r="AT142" s="73"/>
      <c r="AU142" s="73"/>
      <c r="AV142" s="73"/>
      <c r="AW142" s="73"/>
      <c r="AX142" s="73" t="e">
        <f>WEEKNUM(AW142-RESUMEN!$AZ$7)</f>
        <v>#NUM!</v>
      </c>
      <c r="AY142" s="73">
        <f>_xlfn.DAYS(AW142,RESUMEN!$AZ$7)</f>
        <v>-43261</v>
      </c>
      <c r="AZ142" s="73"/>
      <c r="BA142" s="73" t="e">
        <f>LOOKUP(AZ142,FORMULAS!$A:$A,FORMULAS!$B:$B)</f>
        <v>#N/A</v>
      </c>
      <c r="BB142" s="78"/>
      <c r="BC142" s="73"/>
      <c r="BD142" s="73"/>
      <c r="BE142" s="73"/>
      <c r="BF142" s="73"/>
      <c r="BG142" s="73"/>
      <c r="BH142" s="73"/>
      <c r="BI142" s="73"/>
      <c r="BJ142" s="73" t="e">
        <f>WEEKNUM(BI142-RESUMEN!$BL$7)</f>
        <v>#NUM!</v>
      </c>
      <c r="BK142" s="73">
        <f>_xlfn.DAYS(BI142,RESUMEN!$BL$7)</f>
        <v>-43267</v>
      </c>
      <c r="BL142" s="73"/>
      <c r="BM142" s="73" t="e">
        <f>LOOKUP(BL142,FORMULAS!$A:$A,FORMULAS!$B:$B)</f>
        <v>#N/A</v>
      </c>
      <c r="BN142" s="78"/>
      <c r="BO142" s="73"/>
      <c r="BP142" s="73"/>
      <c r="BQ142" s="73"/>
      <c r="BR142" s="73"/>
      <c r="BS142" s="73"/>
      <c r="BT142" s="73"/>
    </row>
    <row r="143" spans="1:72" x14ac:dyDescent="0.25">
      <c r="A143" s="75"/>
      <c r="B143" s="74" t="e">
        <f>WEEKNUM(A143-RESUMEN!$D$7)</f>
        <v>#NUM!</v>
      </c>
      <c r="C143" s="74">
        <f>_xlfn.DAYS(A143,RESUMEN!$D$7)</f>
        <v>-43238</v>
      </c>
      <c r="D143" s="75"/>
      <c r="E143" s="73" t="e">
        <f>LOOKUP(D143,FORMULAS!$A:$A,FORMULAS!$B:$B)</f>
        <v>#N/A</v>
      </c>
      <c r="F143" s="80"/>
      <c r="G143" s="75"/>
      <c r="H143" s="75"/>
      <c r="I143" s="73"/>
      <c r="J143" s="73"/>
      <c r="K143" s="73"/>
      <c r="L143" s="73"/>
      <c r="M143" s="73"/>
      <c r="N143" s="73" t="e">
        <f>WEEKNUM(M143-RESUMEN!$P$7)</f>
        <v>#NUM!</v>
      </c>
      <c r="O143" s="73">
        <f>_xlfn.DAYS(M143,RESUMEN!$P$7)</f>
        <v>-43242</v>
      </c>
      <c r="P143" s="73"/>
      <c r="Q143" s="73" t="e">
        <f>LOOKUP(P143,FORMULAS!$A:$A,FORMULAS!$B:$B)</f>
        <v>#N/A</v>
      </c>
      <c r="R143" s="78"/>
      <c r="S143" s="73"/>
      <c r="T143" s="73"/>
      <c r="U143" s="73"/>
      <c r="V143" s="73"/>
      <c r="W143" s="73"/>
      <c r="X143" s="73"/>
      <c r="Y143" s="73"/>
      <c r="Z143" s="73" t="e">
        <f>WEEKNUM(Y143-RESUMEN!$AB$7)</f>
        <v>#NUM!</v>
      </c>
      <c r="AA143" s="73">
        <f>_xlfn.DAYS(Y143,RESUMEN!$AB$7)</f>
        <v>-43247</v>
      </c>
      <c r="AB143" s="73"/>
      <c r="AC143" s="73" t="e">
        <f>LOOKUP(AB143,FORMULAS!$A:$A,FORMULAS!$B:$B)</f>
        <v>#N/A</v>
      </c>
      <c r="AD143" s="78"/>
      <c r="AE143" s="73"/>
      <c r="AF143" s="73"/>
      <c r="AG143" s="73"/>
      <c r="AH143" s="73"/>
      <c r="AI143" s="73"/>
      <c r="AJ143" s="73"/>
      <c r="AK143" s="73"/>
      <c r="AL143" s="73" t="e">
        <f>WEEKNUM(AK143-RESUMEN!$AN$7)</f>
        <v>#NUM!</v>
      </c>
      <c r="AM143" s="73">
        <f>_xlfn.DAYS(AK143,RESUMEN!$AN$7)</f>
        <v>-43254</v>
      </c>
      <c r="AN143" s="73"/>
      <c r="AO143" s="73" t="e">
        <f>LOOKUP(AN143,FORMULAS!$A:$A,FORMULAS!$B:$B)</f>
        <v>#N/A</v>
      </c>
      <c r="AP143" s="78"/>
      <c r="AQ143" s="78"/>
      <c r="AR143" s="73"/>
      <c r="AS143" s="73"/>
      <c r="AT143" s="73"/>
      <c r="AU143" s="73"/>
      <c r="AV143" s="73"/>
      <c r="AW143" s="73"/>
      <c r="AX143" s="73" t="e">
        <f>WEEKNUM(AW143-RESUMEN!$AZ$7)</f>
        <v>#NUM!</v>
      </c>
      <c r="AY143" s="73">
        <f>_xlfn.DAYS(AW143,RESUMEN!$AZ$7)</f>
        <v>-43261</v>
      </c>
      <c r="AZ143" s="73"/>
      <c r="BA143" s="73" t="e">
        <f>LOOKUP(AZ143,FORMULAS!$A:$A,FORMULAS!$B:$B)</f>
        <v>#N/A</v>
      </c>
      <c r="BB143" s="78"/>
      <c r="BC143" s="73"/>
      <c r="BD143" s="73"/>
      <c r="BE143" s="73"/>
      <c r="BF143" s="73"/>
      <c r="BG143" s="73"/>
      <c r="BH143" s="73"/>
      <c r="BI143" s="73"/>
      <c r="BJ143" s="73" t="e">
        <f>WEEKNUM(BI143-RESUMEN!$BL$7)</f>
        <v>#NUM!</v>
      </c>
      <c r="BK143" s="73">
        <f>_xlfn.DAYS(BI143,RESUMEN!$BL$7)</f>
        <v>-43267</v>
      </c>
      <c r="BL143" s="73"/>
      <c r="BM143" s="73" t="e">
        <f>LOOKUP(BL143,FORMULAS!$A:$A,FORMULAS!$B:$B)</f>
        <v>#N/A</v>
      </c>
      <c r="BN143" s="78"/>
      <c r="BO143" s="73"/>
      <c r="BP143" s="73"/>
      <c r="BQ143" s="73"/>
      <c r="BR143" s="73"/>
      <c r="BS143" s="73"/>
      <c r="BT143" s="73"/>
    </row>
    <row r="144" spans="1:72" x14ac:dyDescent="0.25">
      <c r="A144" s="75"/>
      <c r="B144" s="74" t="e">
        <f>WEEKNUM(A144-RESUMEN!$D$7)</f>
        <v>#NUM!</v>
      </c>
      <c r="C144" s="74">
        <f>_xlfn.DAYS(A144,RESUMEN!$D$7)</f>
        <v>-43238</v>
      </c>
      <c r="D144" s="75"/>
      <c r="E144" s="73" t="e">
        <f>LOOKUP(D144,FORMULAS!$A:$A,FORMULAS!$B:$B)</f>
        <v>#N/A</v>
      </c>
      <c r="F144" s="80"/>
      <c r="G144" s="75"/>
      <c r="H144" s="75"/>
      <c r="I144" s="73"/>
      <c r="J144" s="73"/>
      <c r="K144" s="73"/>
      <c r="L144" s="73"/>
      <c r="M144" s="73"/>
      <c r="N144" s="73" t="e">
        <f>WEEKNUM(M144-RESUMEN!$P$7)</f>
        <v>#NUM!</v>
      </c>
      <c r="O144" s="73">
        <f>_xlfn.DAYS(M144,RESUMEN!$P$7)</f>
        <v>-43242</v>
      </c>
      <c r="P144" s="73"/>
      <c r="Q144" s="73" t="e">
        <f>LOOKUP(P144,FORMULAS!$A:$A,FORMULAS!$B:$B)</f>
        <v>#N/A</v>
      </c>
      <c r="R144" s="78"/>
      <c r="S144" s="73"/>
      <c r="T144" s="73"/>
      <c r="U144" s="73"/>
      <c r="V144" s="73"/>
      <c r="W144" s="73"/>
      <c r="X144" s="73"/>
      <c r="Y144" s="73"/>
      <c r="Z144" s="73" t="e">
        <f>WEEKNUM(Y144-RESUMEN!$AB$7)</f>
        <v>#NUM!</v>
      </c>
      <c r="AA144" s="73">
        <f>_xlfn.DAYS(Y144,RESUMEN!$AB$7)</f>
        <v>-43247</v>
      </c>
      <c r="AB144" s="73"/>
      <c r="AC144" s="73" t="e">
        <f>LOOKUP(AB144,FORMULAS!$A:$A,FORMULAS!$B:$B)</f>
        <v>#N/A</v>
      </c>
      <c r="AD144" s="78"/>
      <c r="AE144" s="73"/>
      <c r="AF144" s="73"/>
      <c r="AG144" s="73"/>
      <c r="AH144" s="73"/>
      <c r="AI144" s="73"/>
      <c r="AJ144" s="73"/>
      <c r="AK144" s="73"/>
      <c r="AL144" s="73" t="e">
        <f>WEEKNUM(AK144-RESUMEN!$AN$7)</f>
        <v>#NUM!</v>
      </c>
      <c r="AM144" s="73">
        <f>_xlfn.DAYS(AK144,RESUMEN!$AN$7)</f>
        <v>-43254</v>
      </c>
      <c r="AN144" s="73"/>
      <c r="AO144" s="73" t="e">
        <f>LOOKUP(AN144,FORMULAS!$A:$A,FORMULAS!$B:$B)</f>
        <v>#N/A</v>
      </c>
      <c r="AP144" s="78"/>
      <c r="AQ144" s="78"/>
      <c r="AR144" s="73"/>
      <c r="AS144" s="73"/>
      <c r="AT144" s="73"/>
      <c r="AU144" s="73"/>
      <c r="AV144" s="73"/>
      <c r="AW144" s="73"/>
      <c r="AX144" s="73" t="e">
        <f>WEEKNUM(AW144-RESUMEN!$AZ$7)</f>
        <v>#NUM!</v>
      </c>
      <c r="AY144" s="73">
        <f>_xlfn.DAYS(AW144,RESUMEN!$AZ$7)</f>
        <v>-43261</v>
      </c>
      <c r="AZ144" s="73"/>
      <c r="BA144" s="73" t="e">
        <f>LOOKUP(AZ144,FORMULAS!$A:$A,FORMULAS!$B:$B)</f>
        <v>#N/A</v>
      </c>
      <c r="BB144" s="78"/>
      <c r="BC144" s="73"/>
      <c r="BD144" s="73"/>
      <c r="BE144" s="73"/>
      <c r="BF144" s="73"/>
      <c r="BG144" s="73"/>
      <c r="BH144" s="73"/>
      <c r="BI144" s="73"/>
      <c r="BJ144" s="73" t="e">
        <f>WEEKNUM(BI144-RESUMEN!$BL$7)</f>
        <v>#NUM!</v>
      </c>
      <c r="BK144" s="73">
        <f>_xlfn.DAYS(BI144,RESUMEN!$BL$7)</f>
        <v>-43267</v>
      </c>
      <c r="BL144" s="73"/>
      <c r="BM144" s="73" t="e">
        <f>LOOKUP(BL144,FORMULAS!$A:$A,FORMULAS!$B:$B)</f>
        <v>#N/A</v>
      </c>
      <c r="BN144" s="78"/>
      <c r="BO144" s="73"/>
      <c r="BP144" s="73"/>
      <c r="BQ144" s="73"/>
      <c r="BR144" s="73"/>
      <c r="BS144" s="73"/>
      <c r="BT144" s="73"/>
    </row>
    <row r="145" spans="1:72" x14ac:dyDescent="0.25">
      <c r="A145" s="75"/>
      <c r="B145" s="74" t="e">
        <f>WEEKNUM(A145-RESUMEN!$D$7)</f>
        <v>#NUM!</v>
      </c>
      <c r="C145" s="74">
        <f>_xlfn.DAYS(A145,RESUMEN!$D$7)</f>
        <v>-43238</v>
      </c>
      <c r="D145" s="75"/>
      <c r="E145" s="73" t="e">
        <f>LOOKUP(D145,FORMULAS!$A:$A,FORMULAS!$B:$B)</f>
        <v>#N/A</v>
      </c>
      <c r="F145" s="80"/>
      <c r="G145" s="75"/>
      <c r="H145" s="75"/>
      <c r="I145" s="73"/>
      <c r="J145" s="73"/>
      <c r="K145" s="73"/>
      <c r="L145" s="73"/>
      <c r="M145" s="73"/>
      <c r="N145" s="73" t="e">
        <f>WEEKNUM(M145-RESUMEN!$P$7)</f>
        <v>#NUM!</v>
      </c>
      <c r="O145" s="73">
        <f>_xlfn.DAYS(M145,RESUMEN!$P$7)</f>
        <v>-43242</v>
      </c>
      <c r="P145" s="73"/>
      <c r="Q145" s="73" t="e">
        <f>LOOKUP(P145,FORMULAS!$A:$A,FORMULAS!$B:$B)</f>
        <v>#N/A</v>
      </c>
      <c r="R145" s="78"/>
      <c r="S145" s="73"/>
      <c r="T145" s="73"/>
      <c r="U145" s="73"/>
      <c r="V145" s="73"/>
      <c r="W145" s="73"/>
      <c r="X145" s="73"/>
      <c r="Y145" s="73"/>
      <c r="Z145" s="73" t="e">
        <f>WEEKNUM(Y145-RESUMEN!$AB$7)</f>
        <v>#NUM!</v>
      </c>
      <c r="AA145" s="73">
        <f>_xlfn.DAYS(Y145,RESUMEN!$AB$7)</f>
        <v>-43247</v>
      </c>
      <c r="AB145" s="73"/>
      <c r="AC145" s="73" t="e">
        <f>LOOKUP(AB145,FORMULAS!$A:$A,FORMULAS!$B:$B)</f>
        <v>#N/A</v>
      </c>
      <c r="AD145" s="78"/>
      <c r="AE145" s="73"/>
      <c r="AF145" s="73"/>
      <c r="AG145" s="73"/>
      <c r="AH145" s="73"/>
      <c r="AI145" s="73"/>
      <c r="AJ145" s="73"/>
      <c r="AK145" s="73"/>
      <c r="AL145" s="73" t="e">
        <f>WEEKNUM(AK145-RESUMEN!$AN$7)</f>
        <v>#NUM!</v>
      </c>
      <c r="AM145" s="73">
        <f>_xlfn.DAYS(AK145,RESUMEN!$AN$7)</f>
        <v>-43254</v>
      </c>
      <c r="AN145" s="73"/>
      <c r="AO145" s="73" t="e">
        <f>LOOKUP(AN145,FORMULAS!$A:$A,FORMULAS!$B:$B)</f>
        <v>#N/A</v>
      </c>
      <c r="AP145" s="78"/>
      <c r="AQ145" s="78"/>
      <c r="AR145" s="73"/>
      <c r="AS145" s="73"/>
      <c r="AT145" s="73"/>
      <c r="AU145" s="73"/>
      <c r="AV145" s="73"/>
      <c r="AW145" s="73"/>
      <c r="AX145" s="73" t="e">
        <f>WEEKNUM(AW145-RESUMEN!$AZ$7)</f>
        <v>#NUM!</v>
      </c>
      <c r="AY145" s="73">
        <f>_xlfn.DAYS(AW145,RESUMEN!$AZ$7)</f>
        <v>-43261</v>
      </c>
      <c r="AZ145" s="73"/>
      <c r="BA145" s="73" t="e">
        <f>LOOKUP(AZ145,FORMULAS!$A:$A,FORMULAS!$B:$B)</f>
        <v>#N/A</v>
      </c>
      <c r="BB145" s="78"/>
      <c r="BC145" s="73"/>
      <c r="BD145" s="73"/>
      <c r="BE145" s="73"/>
      <c r="BF145" s="73"/>
      <c r="BG145" s="73"/>
      <c r="BH145" s="73"/>
      <c r="BI145" s="73"/>
      <c r="BJ145" s="73" t="e">
        <f>WEEKNUM(BI145-RESUMEN!$BL$7)</f>
        <v>#NUM!</v>
      </c>
      <c r="BK145" s="73">
        <f>_xlfn.DAYS(BI145,RESUMEN!$BL$7)</f>
        <v>-43267</v>
      </c>
      <c r="BL145" s="73"/>
      <c r="BM145" s="73" t="e">
        <f>LOOKUP(BL145,FORMULAS!$A:$A,FORMULAS!$B:$B)</f>
        <v>#N/A</v>
      </c>
      <c r="BN145" s="78"/>
      <c r="BO145" s="73"/>
      <c r="BP145" s="73"/>
      <c r="BQ145" s="73"/>
      <c r="BR145" s="73"/>
      <c r="BS145" s="73"/>
      <c r="BT145" s="73"/>
    </row>
    <row r="146" spans="1:72" x14ac:dyDescent="0.25">
      <c r="A146" s="75"/>
      <c r="B146" s="74" t="e">
        <f>WEEKNUM(A146-RESUMEN!$D$7)</f>
        <v>#NUM!</v>
      </c>
      <c r="C146" s="74">
        <f>_xlfn.DAYS(A146,RESUMEN!$D$7)</f>
        <v>-43238</v>
      </c>
      <c r="D146" s="75"/>
      <c r="E146" s="73" t="e">
        <f>LOOKUP(D146,FORMULAS!$A:$A,FORMULAS!$B:$B)</f>
        <v>#N/A</v>
      </c>
      <c r="F146" s="80"/>
      <c r="G146" s="75"/>
      <c r="H146" s="75"/>
      <c r="I146" s="73"/>
      <c r="J146" s="73"/>
      <c r="K146" s="73"/>
      <c r="L146" s="73"/>
      <c r="M146" s="73"/>
      <c r="N146" s="73" t="e">
        <f>WEEKNUM(M146-RESUMEN!$P$7)</f>
        <v>#NUM!</v>
      </c>
      <c r="O146" s="73">
        <f>_xlfn.DAYS(M146,RESUMEN!$P$7)</f>
        <v>-43242</v>
      </c>
      <c r="P146" s="73"/>
      <c r="Q146" s="73" t="e">
        <f>LOOKUP(P146,FORMULAS!$A:$A,FORMULAS!$B:$B)</f>
        <v>#N/A</v>
      </c>
      <c r="R146" s="78"/>
      <c r="S146" s="73"/>
      <c r="T146" s="73"/>
      <c r="U146" s="73"/>
      <c r="V146" s="73"/>
      <c r="W146" s="73"/>
      <c r="X146" s="73"/>
      <c r="Y146" s="73"/>
      <c r="Z146" s="73" t="e">
        <f>WEEKNUM(Y146-RESUMEN!$AB$7)</f>
        <v>#NUM!</v>
      </c>
      <c r="AA146" s="73">
        <f>_xlfn.DAYS(Y146,RESUMEN!$AB$7)</f>
        <v>-43247</v>
      </c>
      <c r="AB146" s="73"/>
      <c r="AC146" s="73" t="e">
        <f>LOOKUP(AB146,FORMULAS!$A:$A,FORMULAS!$B:$B)</f>
        <v>#N/A</v>
      </c>
      <c r="AD146" s="78"/>
      <c r="AE146" s="73"/>
      <c r="AF146" s="73"/>
      <c r="AG146" s="73"/>
      <c r="AH146" s="73"/>
      <c r="AI146" s="73"/>
      <c r="AJ146" s="73"/>
      <c r="AK146" s="73"/>
      <c r="AL146" s="73" t="e">
        <f>WEEKNUM(AK146-RESUMEN!$AN$7)</f>
        <v>#NUM!</v>
      </c>
      <c r="AM146" s="73">
        <f>_xlfn.DAYS(AK146,RESUMEN!$AN$7)</f>
        <v>-43254</v>
      </c>
      <c r="AN146" s="73"/>
      <c r="AO146" s="73" t="e">
        <f>LOOKUP(AN146,FORMULAS!$A:$A,FORMULAS!$B:$B)</f>
        <v>#N/A</v>
      </c>
      <c r="AP146" s="78"/>
      <c r="AQ146" s="78"/>
      <c r="AR146" s="73"/>
      <c r="AS146" s="73"/>
      <c r="AT146" s="73"/>
      <c r="AU146" s="73"/>
      <c r="AV146" s="73"/>
      <c r="AW146" s="73"/>
      <c r="AX146" s="73" t="e">
        <f>WEEKNUM(AW146-RESUMEN!$AZ$7)</f>
        <v>#NUM!</v>
      </c>
      <c r="AY146" s="73">
        <f>_xlfn.DAYS(AW146,RESUMEN!$AZ$7)</f>
        <v>-43261</v>
      </c>
      <c r="AZ146" s="73"/>
      <c r="BA146" s="73" t="e">
        <f>LOOKUP(AZ146,FORMULAS!$A:$A,FORMULAS!$B:$B)</f>
        <v>#N/A</v>
      </c>
      <c r="BB146" s="78"/>
      <c r="BC146" s="73"/>
      <c r="BD146" s="73"/>
      <c r="BE146" s="73"/>
      <c r="BF146" s="73"/>
      <c r="BG146" s="73"/>
      <c r="BH146" s="73"/>
      <c r="BI146" s="73"/>
      <c r="BJ146" s="73" t="e">
        <f>WEEKNUM(BI146-RESUMEN!$BL$7)</f>
        <v>#NUM!</v>
      </c>
      <c r="BK146" s="73">
        <f>_xlfn.DAYS(BI146,RESUMEN!$BL$7)</f>
        <v>-43267</v>
      </c>
      <c r="BL146" s="73"/>
      <c r="BM146" s="73" t="e">
        <f>LOOKUP(BL146,FORMULAS!$A:$A,FORMULAS!$B:$B)</f>
        <v>#N/A</v>
      </c>
      <c r="BN146" s="78"/>
      <c r="BO146" s="73"/>
      <c r="BP146" s="73"/>
      <c r="BQ146" s="73"/>
      <c r="BR146" s="73"/>
      <c r="BS146" s="73"/>
      <c r="BT146" s="73"/>
    </row>
    <row r="147" spans="1:72" x14ac:dyDescent="0.25">
      <c r="A147" s="75"/>
      <c r="B147" s="74" t="e">
        <f>WEEKNUM(A147-RESUMEN!$D$7)</f>
        <v>#NUM!</v>
      </c>
      <c r="C147" s="74">
        <f>_xlfn.DAYS(A147,RESUMEN!$D$7)</f>
        <v>-43238</v>
      </c>
      <c r="D147" s="75"/>
      <c r="E147" s="73" t="e">
        <f>LOOKUP(D147,FORMULAS!$A:$A,FORMULAS!$B:$B)</f>
        <v>#N/A</v>
      </c>
      <c r="F147" s="80"/>
      <c r="G147" s="75"/>
      <c r="H147" s="75"/>
      <c r="I147" s="73"/>
      <c r="J147" s="73"/>
      <c r="K147" s="73"/>
      <c r="L147" s="73"/>
      <c r="M147" s="73"/>
      <c r="N147" s="73" t="e">
        <f>WEEKNUM(M147-RESUMEN!$P$7)</f>
        <v>#NUM!</v>
      </c>
      <c r="O147" s="73">
        <f>_xlfn.DAYS(M147,RESUMEN!$P$7)</f>
        <v>-43242</v>
      </c>
      <c r="P147" s="73"/>
      <c r="Q147" s="73" t="e">
        <f>LOOKUP(P147,FORMULAS!$A:$A,FORMULAS!$B:$B)</f>
        <v>#N/A</v>
      </c>
      <c r="R147" s="78"/>
      <c r="S147" s="73"/>
      <c r="T147" s="73"/>
      <c r="U147" s="73"/>
      <c r="V147" s="73"/>
      <c r="W147" s="73"/>
      <c r="X147" s="73"/>
      <c r="Y147" s="73"/>
      <c r="Z147" s="73" t="e">
        <f>WEEKNUM(Y147-RESUMEN!$AB$7)</f>
        <v>#NUM!</v>
      </c>
      <c r="AA147" s="73">
        <f>_xlfn.DAYS(Y147,RESUMEN!$AB$7)</f>
        <v>-43247</v>
      </c>
      <c r="AB147" s="73"/>
      <c r="AC147" s="73" t="e">
        <f>LOOKUP(AB147,FORMULAS!$A:$A,FORMULAS!$B:$B)</f>
        <v>#N/A</v>
      </c>
      <c r="AD147" s="78"/>
      <c r="AE147" s="73"/>
      <c r="AF147" s="73"/>
      <c r="AG147" s="73"/>
      <c r="AH147" s="73"/>
      <c r="AI147" s="73"/>
      <c r="AJ147" s="73"/>
      <c r="AK147" s="73"/>
      <c r="AL147" s="73" t="e">
        <f>WEEKNUM(AK147-RESUMEN!$AN$7)</f>
        <v>#NUM!</v>
      </c>
      <c r="AM147" s="73">
        <f>_xlfn.DAYS(AK147,RESUMEN!$AN$7)</f>
        <v>-43254</v>
      </c>
      <c r="AN147" s="73"/>
      <c r="AO147" s="73" t="e">
        <f>LOOKUP(AN147,FORMULAS!$A:$A,FORMULAS!$B:$B)</f>
        <v>#N/A</v>
      </c>
      <c r="AP147" s="78"/>
      <c r="AQ147" s="78"/>
      <c r="AR147" s="73"/>
      <c r="AS147" s="73"/>
      <c r="AT147" s="73"/>
      <c r="AU147" s="73"/>
      <c r="AV147" s="73"/>
      <c r="AW147" s="73"/>
      <c r="AX147" s="73" t="e">
        <f>WEEKNUM(AW147-RESUMEN!$AZ$7)</f>
        <v>#NUM!</v>
      </c>
      <c r="AY147" s="73">
        <f>_xlfn.DAYS(AW147,RESUMEN!$AZ$7)</f>
        <v>-43261</v>
      </c>
      <c r="AZ147" s="73"/>
      <c r="BA147" s="73" t="e">
        <f>LOOKUP(AZ147,FORMULAS!$A:$A,FORMULAS!$B:$B)</f>
        <v>#N/A</v>
      </c>
      <c r="BB147" s="78"/>
      <c r="BC147" s="73"/>
      <c r="BD147" s="73"/>
      <c r="BE147" s="73"/>
      <c r="BF147" s="73"/>
      <c r="BG147" s="73"/>
      <c r="BH147" s="73"/>
      <c r="BI147" s="73"/>
      <c r="BJ147" s="73" t="e">
        <f>WEEKNUM(BI147-RESUMEN!$BL$7)</f>
        <v>#NUM!</v>
      </c>
      <c r="BK147" s="73">
        <f>_xlfn.DAYS(BI147,RESUMEN!$BL$7)</f>
        <v>-43267</v>
      </c>
      <c r="BL147" s="73"/>
      <c r="BM147" s="73" t="e">
        <f>LOOKUP(BL147,FORMULAS!$A:$A,FORMULAS!$B:$B)</f>
        <v>#N/A</v>
      </c>
      <c r="BN147" s="78"/>
      <c r="BO147" s="73"/>
      <c r="BP147" s="73"/>
      <c r="BQ147" s="73"/>
      <c r="BR147" s="73"/>
      <c r="BS147" s="73"/>
      <c r="BT147" s="73"/>
    </row>
    <row r="148" spans="1:72" x14ac:dyDescent="0.25">
      <c r="A148" s="75"/>
      <c r="B148" s="74" t="e">
        <f>WEEKNUM(A148-RESUMEN!$D$7)</f>
        <v>#NUM!</v>
      </c>
      <c r="C148" s="74">
        <f>_xlfn.DAYS(A148,RESUMEN!$D$7)</f>
        <v>-43238</v>
      </c>
      <c r="D148" s="75"/>
      <c r="E148" s="73" t="e">
        <f>LOOKUP(D148,FORMULAS!$A:$A,FORMULAS!$B:$B)</f>
        <v>#N/A</v>
      </c>
      <c r="F148" s="80"/>
      <c r="G148" s="75"/>
      <c r="H148" s="75"/>
      <c r="I148" s="73"/>
      <c r="J148" s="73"/>
      <c r="K148" s="73"/>
      <c r="L148" s="73"/>
      <c r="M148" s="73"/>
      <c r="N148" s="73" t="e">
        <f>WEEKNUM(M148-RESUMEN!$P$7)</f>
        <v>#NUM!</v>
      </c>
      <c r="O148" s="73">
        <f>_xlfn.DAYS(M148,RESUMEN!$P$7)</f>
        <v>-43242</v>
      </c>
      <c r="P148" s="73"/>
      <c r="Q148" s="73" t="e">
        <f>LOOKUP(P148,FORMULAS!$A:$A,FORMULAS!$B:$B)</f>
        <v>#N/A</v>
      </c>
      <c r="R148" s="78"/>
      <c r="S148" s="73"/>
      <c r="T148" s="73"/>
      <c r="U148" s="73"/>
      <c r="V148" s="73"/>
      <c r="W148" s="73"/>
      <c r="X148" s="73"/>
      <c r="Y148" s="73"/>
      <c r="Z148" s="73" t="e">
        <f>WEEKNUM(Y148-RESUMEN!$AB$7)</f>
        <v>#NUM!</v>
      </c>
      <c r="AA148" s="73">
        <f>_xlfn.DAYS(Y148,RESUMEN!$AB$7)</f>
        <v>-43247</v>
      </c>
      <c r="AB148" s="73"/>
      <c r="AC148" s="73" t="e">
        <f>LOOKUP(AB148,FORMULAS!$A:$A,FORMULAS!$B:$B)</f>
        <v>#N/A</v>
      </c>
      <c r="AD148" s="78"/>
      <c r="AE148" s="73"/>
      <c r="AF148" s="73"/>
      <c r="AG148" s="73"/>
      <c r="AH148" s="73"/>
      <c r="AI148" s="73"/>
      <c r="AJ148" s="73"/>
      <c r="AK148" s="73"/>
      <c r="AL148" s="73" t="e">
        <f>WEEKNUM(AK148-RESUMEN!$AN$7)</f>
        <v>#NUM!</v>
      </c>
      <c r="AM148" s="73">
        <f>_xlfn.DAYS(AK148,RESUMEN!$AN$7)</f>
        <v>-43254</v>
      </c>
      <c r="AN148" s="73"/>
      <c r="AO148" s="73" t="e">
        <f>LOOKUP(AN148,FORMULAS!$A:$A,FORMULAS!$B:$B)</f>
        <v>#N/A</v>
      </c>
      <c r="AP148" s="78"/>
      <c r="AQ148" s="78"/>
      <c r="AR148" s="73"/>
      <c r="AS148" s="73"/>
      <c r="AT148" s="73"/>
      <c r="AU148" s="73"/>
      <c r="AV148" s="73"/>
      <c r="AW148" s="73"/>
      <c r="AX148" s="73" t="e">
        <f>WEEKNUM(AW148-RESUMEN!$AZ$7)</f>
        <v>#NUM!</v>
      </c>
      <c r="AY148" s="73">
        <f>_xlfn.DAYS(AW148,RESUMEN!$AZ$7)</f>
        <v>-43261</v>
      </c>
      <c r="AZ148" s="73"/>
      <c r="BA148" s="73" t="e">
        <f>LOOKUP(AZ148,FORMULAS!$A:$A,FORMULAS!$B:$B)</f>
        <v>#N/A</v>
      </c>
      <c r="BB148" s="78"/>
      <c r="BC148" s="73"/>
      <c r="BD148" s="73"/>
      <c r="BE148" s="73"/>
      <c r="BF148" s="73"/>
      <c r="BG148" s="73"/>
      <c r="BH148" s="73"/>
      <c r="BI148" s="73"/>
      <c r="BJ148" s="73" t="e">
        <f>WEEKNUM(BI148-RESUMEN!$BL$7)</f>
        <v>#NUM!</v>
      </c>
      <c r="BK148" s="73">
        <f>_xlfn.DAYS(BI148,RESUMEN!$BL$7)</f>
        <v>-43267</v>
      </c>
      <c r="BL148" s="73"/>
      <c r="BM148" s="73" t="e">
        <f>LOOKUP(BL148,FORMULAS!$A:$A,FORMULAS!$B:$B)</f>
        <v>#N/A</v>
      </c>
      <c r="BN148" s="78"/>
      <c r="BO148" s="73"/>
      <c r="BP148" s="73"/>
      <c r="BQ148" s="73"/>
      <c r="BR148" s="73"/>
      <c r="BS148" s="73"/>
      <c r="BT148" s="73"/>
    </row>
    <row r="149" spans="1:72" x14ac:dyDescent="0.25">
      <c r="A149" s="75"/>
      <c r="B149" s="74" t="e">
        <f>WEEKNUM(A149-RESUMEN!$D$7)</f>
        <v>#NUM!</v>
      </c>
      <c r="C149" s="74">
        <f>_xlfn.DAYS(A149,RESUMEN!$D$7)</f>
        <v>-43238</v>
      </c>
      <c r="D149" s="75"/>
      <c r="E149" s="73" t="e">
        <f>LOOKUP(D149,FORMULAS!$A:$A,FORMULAS!$B:$B)</f>
        <v>#N/A</v>
      </c>
      <c r="F149" s="80"/>
      <c r="G149" s="75"/>
      <c r="H149" s="75"/>
      <c r="I149" s="73"/>
      <c r="J149" s="73"/>
      <c r="K149" s="73"/>
      <c r="L149" s="73"/>
      <c r="M149" s="73"/>
      <c r="N149" s="73" t="e">
        <f>WEEKNUM(M149-RESUMEN!$P$7)</f>
        <v>#NUM!</v>
      </c>
      <c r="O149" s="73">
        <f>_xlfn.DAYS(M149,RESUMEN!$P$7)</f>
        <v>-43242</v>
      </c>
      <c r="P149" s="73"/>
      <c r="Q149" s="73" t="e">
        <f>LOOKUP(P149,FORMULAS!$A:$A,FORMULAS!$B:$B)</f>
        <v>#N/A</v>
      </c>
      <c r="R149" s="78"/>
      <c r="S149" s="73"/>
      <c r="T149" s="73"/>
      <c r="U149" s="73"/>
      <c r="V149" s="73"/>
      <c r="W149" s="73"/>
      <c r="X149" s="73"/>
      <c r="Y149" s="73"/>
      <c r="Z149" s="73" t="e">
        <f>WEEKNUM(Y149-RESUMEN!$AB$7)</f>
        <v>#NUM!</v>
      </c>
      <c r="AA149" s="73">
        <f>_xlfn.DAYS(Y149,RESUMEN!$AB$7)</f>
        <v>-43247</v>
      </c>
      <c r="AB149" s="73"/>
      <c r="AC149" s="73" t="e">
        <f>LOOKUP(AB149,FORMULAS!$A:$A,FORMULAS!$B:$B)</f>
        <v>#N/A</v>
      </c>
      <c r="AD149" s="78"/>
      <c r="AE149" s="73"/>
      <c r="AF149" s="73"/>
      <c r="AG149" s="73"/>
      <c r="AH149" s="73"/>
      <c r="AI149" s="73"/>
      <c r="AJ149" s="73"/>
      <c r="AK149" s="73"/>
      <c r="AL149" s="73" t="e">
        <f>WEEKNUM(AK149-RESUMEN!$AN$7)</f>
        <v>#NUM!</v>
      </c>
      <c r="AM149" s="73">
        <f>_xlfn.DAYS(AK149,RESUMEN!$AN$7)</f>
        <v>-43254</v>
      </c>
      <c r="AN149" s="73"/>
      <c r="AO149" s="73" t="e">
        <f>LOOKUP(AN149,FORMULAS!$A:$A,FORMULAS!$B:$B)</f>
        <v>#N/A</v>
      </c>
      <c r="AP149" s="78"/>
      <c r="AQ149" s="78"/>
      <c r="AR149" s="73"/>
      <c r="AS149" s="73"/>
      <c r="AT149" s="73"/>
      <c r="AU149" s="73"/>
      <c r="AV149" s="73"/>
      <c r="AW149" s="73"/>
      <c r="AX149" s="73" t="e">
        <f>WEEKNUM(AW149-RESUMEN!$AZ$7)</f>
        <v>#NUM!</v>
      </c>
      <c r="AY149" s="73">
        <f>_xlfn.DAYS(AW149,RESUMEN!$AZ$7)</f>
        <v>-43261</v>
      </c>
      <c r="AZ149" s="73"/>
      <c r="BA149" s="73" t="e">
        <f>LOOKUP(AZ149,FORMULAS!$A:$A,FORMULAS!$B:$B)</f>
        <v>#N/A</v>
      </c>
      <c r="BB149" s="78"/>
      <c r="BC149" s="73"/>
      <c r="BD149" s="73"/>
      <c r="BE149" s="73"/>
      <c r="BF149" s="73"/>
      <c r="BG149" s="73"/>
      <c r="BH149" s="73"/>
      <c r="BI149" s="73"/>
      <c r="BJ149" s="73" t="e">
        <f>WEEKNUM(BI149-RESUMEN!$BL$7)</f>
        <v>#NUM!</v>
      </c>
      <c r="BK149" s="73">
        <f>_xlfn.DAYS(BI149,RESUMEN!$BL$7)</f>
        <v>-43267</v>
      </c>
      <c r="BL149" s="73"/>
      <c r="BM149" s="73" t="e">
        <f>LOOKUP(BL149,FORMULAS!$A:$A,FORMULAS!$B:$B)</f>
        <v>#N/A</v>
      </c>
      <c r="BN149" s="78"/>
      <c r="BO149" s="73"/>
      <c r="BP149" s="73"/>
      <c r="BQ149" s="73"/>
      <c r="BR149" s="73"/>
      <c r="BS149" s="73"/>
      <c r="BT149" s="73"/>
    </row>
    <row r="150" spans="1:72" x14ac:dyDescent="0.25">
      <c r="A150" s="75"/>
      <c r="B150" s="74" t="e">
        <f>WEEKNUM(A150-RESUMEN!$D$7)</f>
        <v>#NUM!</v>
      </c>
      <c r="C150" s="74">
        <f>_xlfn.DAYS(A150,RESUMEN!$D$7)</f>
        <v>-43238</v>
      </c>
      <c r="D150" s="75"/>
      <c r="E150" s="73" t="e">
        <f>LOOKUP(D150,FORMULAS!$A:$A,FORMULAS!$B:$B)</f>
        <v>#N/A</v>
      </c>
      <c r="F150" s="80"/>
      <c r="G150" s="75"/>
      <c r="H150" s="75"/>
      <c r="I150" s="73"/>
      <c r="J150" s="73"/>
      <c r="K150" s="73"/>
      <c r="L150" s="73"/>
      <c r="M150" s="73"/>
      <c r="N150" s="73" t="e">
        <f>WEEKNUM(M150-RESUMEN!$P$7)</f>
        <v>#NUM!</v>
      </c>
      <c r="O150" s="73">
        <f>_xlfn.DAYS(M150,RESUMEN!$P$7)</f>
        <v>-43242</v>
      </c>
      <c r="P150" s="73"/>
      <c r="Q150" s="73" t="e">
        <f>LOOKUP(P150,FORMULAS!$A:$A,FORMULAS!$B:$B)</f>
        <v>#N/A</v>
      </c>
      <c r="R150" s="78"/>
      <c r="S150" s="73"/>
      <c r="T150" s="73"/>
      <c r="U150" s="73"/>
      <c r="V150" s="73"/>
      <c r="W150" s="73"/>
      <c r="X150" s="73"/>
      <c r="Y150" s="73"/>
      <c r="Z150" s="73" t="e">
        <f>WEEKNUM(Y150-RESUMEN!$AB$7)</f>
        <v>#NUM!</v>
      </c>
      <c r="AA150" s="73">
        <f>_xlfn.DAYS(Y150,RESUMEN!$AB$7)</f>
        <v>-43247</v>
      </c>
      <c r="AB150" s="73"/>
      <c r="AC150" s="73" t="e">
        <f>LOOKUP(AB150,FORMULAS!$A:$A,FORMULAS!$B:$B)</f>
        <v>#N/A</v>
      </c>
      <c r="AD150" s="78"/>
      <c r="AE150" s="73"/>
      <c r="AF150" s="73"/>
      <c r="AG150" s="73"/>
      <c r="AH150" s="73"/>
      <c r="AI150" s="73"/>
      <c r="AJ150" s="73"/>
      <c r="AK150" s="73"/>
      <c r="AL150" s="73" t="e">
        <f>WEEKNUM(AK150-RESUMEN!$AN$7)</f>
        <v>#NUM!</v>
      </c>
      <c r="AM150" s="73">
        <f>_xlfn.DAYS(AK150,RESUMEN!$AN$7)</f>
        <v>-43254</v>
      </c>
      <c r="AN150" s="73"/>
      <c r="AO150" s="73" t="e">
        <f>LOOKUP(AN150,FORMULAS!$A:$A,FORMULAS!$B:$B)</f>
        <v>#N/A</v>
      </c>
      <c r="AP150" s="78"/>
      <c r="AQ150" s="78"/>
      <c r="AR150" s="73"/>
      <c r="AS150" s="73"/>
      <c r="AT150" s="73"/>
      <c r="AU150" s="73"/>
      <c r="AV150" s="73"/>
      <c r="AW150" s="73"/>
      <c r="AX150" s="73" t="e">
        <f>WEEKNUM(AW150-RESUMEN!$AZ$7)</f>
        <v>#NUM!</v>
      </c>
      <c r="AY150" s="73">
        <f>_xlfn.DAYS(AW150,RESUMEN!$AZ$7)</f>
        <v>-43261</v>
      </c>
      <c r="AZ150" s="73"/>
      <c r="BA150" s="73" t="e">
        <f>LOOKUP(AZ150,FORMULAS!$A:$A,FORMULAS!$B:$B)</f>
        <v>#N/A</v>
      </c>
      <c r="BB150" s="78"/>
      <c r="BC150" s="73"/>
      <c r="BD150" s="73"/>
      <c r="BE150" s="73"/>
      <c r="BF150" s="73"/>
      <c r="BG150" s="73"/>
      <c r="BH150" s="73"/>
      <c r="BI150" s="73"/>
      <c r="BJ150" s="73" t="e">
        <f>WEEKNUM(BI150-RESUMEN!$BL$7)</f>
        <v>#NUM!</v>
      </c>
      <c r="BK150" s="73">
        <f>_xlfn.DAYS(BI150,RESUMEN!$BL$7)</f>
        <v>-43267</v>
      </c>
      <c r="BL150" s="73"/>
      <c r="BM150" s="73" t="e">
        <f>LOOKUP(BL150,FORMULAS!$A:$A,FORMULAS!$B:$B)</f>
        <v>#N/A</v>
      </c>
      <c r="BN150" s="78"/>
      <c r="BO150" s="73"/>
      <c r="BP150" s="73"/>
      <c r="BQ150" s="73"/>
      <c r="BR150" s="73"/>
      <c r="BS150" s="73"/>
      <c r="BT150" s="73"/>
    </row>
    <row r="151" spans="1:72" x14ac:dyDescent="0.25">
      <c r="A151" s="75"/>
      <c r="B151" s="74" t="e">
        <f>WEEKNUM(A151-RESUMEN!$D$7)</f>
        <v>#NUM!</v>
      </c>
      <c r="C151" s="74">
        <f>_xlfn.DAYS(A151,RESUMEN!$D$7)</f>
        <v>-43238</v>
      </c>
      <c r="D151" s="75"/>
      <c r="E151" s="73" t="e">
        <f>LOOKUP(D151,FORMULAS!$A:$A,FORMULAS!$B:$B)</f>
        <v>#N/A</v>
      </c>
      <c r="F151" s="80"/>
      <c r="G151" s="75"/>
      <c r="H151" s="75"/>
      <c r="I151" s="73"/>
      <c r="J151" s="73"/>
      <c r="K151" s="73"/>
      <c r="L151" s="73"/>
      <c r="M151" s="73"/>
      <c r="N151" s="73" t="e">
        <f>WEEKNUM(M151-RESUMEN!$P$7)</f>
        <v>#NUM!</v>
      </c>
      <c r="O151" s="73">
        <f>_xlfn.DAYS(M151,RESUMEN!$P$7)</f>
        <v>-43242</v>
      </c>
      <c r="P151" s="73"/>
      <c r="Q151" s="73" t="e">
        <f>LOOKUP(P151,FORMULAS!$A:$A,FORMULAS!$B:$B)</f>
        <v>#N/A</v>
      </c>
      <c r="R151" s="78"/>
      <c r="S151" s="73"/>
      <c r="T151" s="73"/>
      <c r="U151" s="73"/>
      <c r="V151" s="73"/>
      <c r="W151" s="73"/>
      <c r="X151" s="73"/>
      <c r="Y151" s="73"/>
      <c r="Z151" s="73" t="e">
        <f>WEEKNUM(Y151-RESUMEN!$AB$7)</f>
        <v>#NUM!</v>
      </c>
      <c r="AA151" s="73">
        <f>_xlfn.DAYS(Y151,RESUMEN!$AB$7)</f>
        <v>-43247</v>
      </c>
      <c r="AB151" s="73"/>
      <c r="AC151" s="73" t="e">
        <f>LOOKUP(AB151,FORMULAS!$A:$A,FORMULAS!$B:$B)</f>
        <v>#N/A</v>
      </c>
      <c r="AD151" s="78"/>
      <c r="AE151" s="73"/>
      <c r="AF151" s="73"/>
      <c r="AG151" s="73"/>
      <c r="AH151" s="73"/>
      <c r="AI151" s="73"/>
      <c r="AJ151" s="73"/>
      <c r="AK151" s="73"/>
      <c r="AL151" s="73" t="e">
        <f>WEEKNUM(AK151-RESUMEN!$AN$7)</f>
        <v>#NUM!</v>
      </c>
      <c r="AM151" s="73">
        <f>_xlfn.DAYS(AK151,RESUMEN!$AN$7)</f>
        <v>-43254</v>
      </c>
      <c r="AN151" s="73"/>
      <c r="AO151" s="73" t="e">
        <f>LOOKUP(AN151,FORMULAS!$A:$A,FORMULAS!$B:$B)</f>
        <v>#N/A</v>
      </c>
      <c r="AP151" s="78"/>
      <c r="AQ151" s="78"/>
      <c r="AR151" s="73"/>
      <c r="AS151" s="73"/>
      <c r="AT151" s="73"/>
      <c r="AU151" s="73"/>
      <c r="AV151" s="73"/>
      <c r="AW151" s="73"/>
      <c r="AX151" s="73" t="e">
        <f>WEEKNUM(AW151-RESUMEN!$AZ$7)</f>
        <v>#NUM!</v>
      </c>
      <c r="AY151" s="73">
        <f>_xlfn.DAYS(AW151,RESUMEN!$AZ$7)</f>
        <v>-43261</v>
      </c>
      <c r="AZ151" s="73"/>
      <c r="BA151" s="73" t="e">
        <f>LOOKUP(AZ151,FORMULAS!$A:$A,FORMULAS!$B:$B)</f>
        <v>#N/A</v>
      </c>
      <c r="BB151" s="78"/>
      <c r="BC151" s="73"/>
      <c r="BD151" s="73"/>
      <c r="BE151" s="73"/>
      <c r="BF151" s="73"/>
      <c r="BG151" s="73"/>
      <c r="BH151" s="73"/>
      <c r="BI151" s="73"/>
      <c r="BJ151" s="73" t="e">
        <f>WEEKNUM(BI151-RESUMEN!$BL$7)</f>
        <v>#NUM!</v>
      </c>
      <c r="BK151" s="73">
        <f>_xlfn.DAYS(BI151,RESUMEN!$BL$7)</f>
        <v>-43267</v>
      </c>
      <c r="BL151" s="73"/>
      <c r="BM151" s="73" t="e">
        <f>LOOKUP(BL151,FORMULAS!$A:$A,FORMULAS!$B:$B)</f>
        <v>#N/A</v>
      </c>
      <c r="BN151" s="78"/>
      <c r="BO151" s="73"/>
      <c r="BP151" s="73"/>
      <c r="BQ151" s="73"/>
      <c r="BR151" s="73"/>
      <c r="BS151" s="73"/>
      <c r="BT151" s="73"/>
    </row>
    <row r="152" spans="1:72" x14ac:dyDescent="0.25">
      <c r="A152" s="75"/>
      <c r="B152" s="74" t="e">
        <f>WEEKNUM(A152-RESUMEN!$D$7)</f>
        <v>#NUM!</v>
      </c>
      <c r="C152" s="74">
        <f>_xlfn.DAYS(A152,RESUMEN!$D$7)</f>
        <v>-43238</v>
      </c>
      <c r="D152" s="75"/>
      <c r="E152" s="73" t="e">
        <f>LOOKUP(D152,FORMULAS!$A:$A,FORMULAS!$B:$B)</f>
        <v>#N/A</v>
      </c>
      <c r="F152" s="80"/>
      <c r="G152" s="75"/>
      <c r="H152" s="75"/>
      <c r="I152" s="73"/>
      <c r="J152" s="73"/>
      <c r="K152" s="73"/>
      <c r="L152" s="73"/>
      <c r="M152" s="73"/>
      <c r="N152" s="73" t="e">
        <f>WEEKNUM(M152-RESUMEN!$P$7)</f>
        <v>#NUM!</v>
      </c>
      <c r="O152" s="73">
        <f>_xlfn.DAYS(M152,RESUMEN!$P$7)</f>
        <v>-43242</v>
      </c>
      <c r="P152" s="73"/>
      <c r="Q152" s="73" t="e">
        <f>LOOKUP(P152,FORMULAS!$A:$A,FORMULAS!$B:$B)</f>
        <v>#N/A</v>
      </c>
      <c r="R152" s="78"/>
      <c r="S152" s="73"/>
      <c r="T152" s="73"/>
      <c r="U152" s="73"/>
      <c r="V152" s="73"/>
      <c r="W152" s="73"/>
      <c r="X152" s="73"/>
      <c r="Y152" s="73"/>
      <c r="Z152" s="73" t="e">
        <f>WEEKNUM(Y152-RESUMEN!$AB$7)</f>
        <v>#NUM!</v>
      </c>
      <c r="AA152" s="73">
        <f>_xlfn.DAYS(Y152,RESUMEN!$AB$7)</f>
        <v>-43247</v>
      </c>
      <c r="AB152" s="73"/>
      <c r="AC152" s="73" t="e">
        <f>LOOKUP(AB152,FORMULAS!$A:$A,FORMULAS!$B:$B)</f>
        <v>#N/A</v>
      </c>
      <c r="AD152" s="78"/>
      <c r="AE152" s="73"/>
      <c r="AF152" s="73"/>
      <c r="AG152" s="73"/>
      <c r="AH152" s="73"/>
      <c r="AI152" s="73"/>
      <c r="AJ152" s="73"/>
      <c r="AK152" s="73"/>
      <c r="AL152" s="73" t="e">
        <f>WEEKNUM(AK152-RESUMEN!$AN$7)</f>
        <v>#NUM!</v>
      </c>
      <c r="AM152" s="73">
        <f>_xlfn.DAYS(AK152,RESUMEN!$AN$7)</f>
        <v>-43254</v>
      </c>
      <c r="AN152" s="73"/>
      <c r="AO152" s="73" t="e">
        <f>LOOKUP(AN152,FORMULAS!$A:$A,FORMULAS!$B:$B)</f>
        <v>#N/A</v>
      </c>
      <c r="AP152" s="78"/>
      <c r="AQ152" s="78"/>
      <c r="AR152" s="73"/>
      <c r="AS152" s="73"/>
      <c r="AT152" s="73"/>
      <c r="AU152" s="73"/>
      <c r="AV152" s="73"/>
      <c r="AW152" s="73"/>
      <c r="AX152" s="73" t="e">
        <f>WEEKNUM(AW152-RESUMEN!$AZ$7)</f>
        <v>#NUM!</v>
      </c>
      <c r="AY152" s="73">
        <f>_xlfn.DAYS(AW152,RESUMEN!$AZ$7)</f>
        <v>-43261</v>
      </c>
      <c r="AZ152" s="73"/>
      <c r="BA152" s="73" t="e">
        <f>LOOKUP(AZ152,FORMULAS!$A:$A,FORMULAS!$B:$B)</f>
        <v>#N/A</v>
      </c>
      <c r="BB152" s="78"/>
      <c r="BC152" s="73"/>
      <c r="BD152" s="73"/>
      <c r="BE152" s="73"/>
      <c r="BF152" s="73"/>
      <c r="BG152" s="73"/>
      <c r="BH152" s="73"/>
      <c r="BI152" s="73"/>
      <c r="BJ152" s="73" t="e">
        <f>WEEKNUM(BI152-RESUMEN!$BL$7)</f>
        <v>#NUM!</v>
      </c>
      <c r="BK152" s="73">
        <f>_xlfn.DAYS(BI152,RESUMEN!$BL$7)</f>
        <v>-43267</v>
      </c>
      <c r="BL152" s="73"/>
      <c r="BM152" s="73" t="e">
        <f>LOOKUP(BL152,FORMULAS!$A:$A,FORMULAS!$B:$B)</f>
        <v>#N/A</v>
      </c>
      <c r="BN152" s="78"/>
      <c r="BO152" s="73"/>
      <c r="BP152" s="73"/>
      <c r="BQ152" s="73"/>
      <c r="BR152" s="73"/>
      <c r="BS152" s="73"/>
      <c r="BT152" s="73"/>
    </row>
    <row r="153" spans="1:72" x14ac:dyDescent="0.25">
      <c r="A153" s="75"/>
      <c r="B153" s="74" t="e">
        <f>WEEKNUM(A153-RESUMEN!$D$7)</f>
        <v>#NUM!</v>
      </c>
      <c r="C153" s="74">
        <f>_xlfn.DAYS(A153,RESUMEN!$D$7)</f>
        <v>-43238</v>
      </c>
      <c r="D153" s="75"/>
      <c r="E153" s="73" t="e">
        <f>LOOKUP(D153,FORMULAS!$A:$A,FORMULAS!$B:$B)</f>
        <v>#N/A</v>
      </c>
      <c r="F153" s="80"/>
      <c r="G153" s="75"/>
      <c r="H153" s="75"/>
      <c r="I153" s="73"/>
      <c r="J153" s="73"/>
      <c r="K153" s="73"/>
      <c r="L153" s="73"/>
      <c r="M153" s="73"/>
      <c r="N153" s="73" t="e">
        <f>WEEKNUM(M153-RESUMEN!$P$7)</f>
        <v>#NUM!</v>
      </c>
      <c r="O153" s="73">
        <f>_xlfn.DAYS(M153,RESUMEN!$P$7)</f>
        <v>-43242</v>
      </c>
      <c r="P153" s="73"/>
      <c r="Q153" s="73" t="e">
        <f>LOOKUP(P153,FORMULAS!$A:$A,FORMULAS!$B:$B)</f>
        <v>#N/A</v>
      </c>
      <c r="R153" s="78"/>
      <c r="S153" s="73"/>
      <c r="T153" s="73"/>
      <c r="U153" s="73"/>
      <c r="V153" s="73"/>
      <c r="W153" s="73"/>
      <c r="X153" s="73"/>
      <c r="Y153" s="73"/>
      <c r="Z153" s="73" t="e">
        <f>WEEKNUM(Y153-RESUMEN!$AB$7)</f>
        <v>#NUM!</v>
      </c>
      <c r="AA153" s="73">
        <f>_xlfn.DAYS(Y153,RESUMEN!$AB$7)</f>
        <v>-43247</v>
      </c>
      <c r="AB153" s="73"/>
      <c r="AC153" s="73" t="e">
        <f>LOOKUP(AB153,FORMULAS!$A:$A,FORMULAS!$B:$B)</f>
        <v>#N/A</v>
      </c>
      <c r="AD153" s="78"/>
      <c r="AE153" s="73"/>
      <c r="AF153" s="73"/>
      <c r="AG153" s="73"/>
      <c r="AH153" s="73"/>
      <c r="AI153" s="73"/>
      <c r="AJ153" s="73"/>
      <c r="AK153" s="73"/>
      <c r="AL153" s="73" t="e">
        <f>WEEKNUM(AK153-RESUMEN!$AN$7)</f>
        <v>#NUM!</v>
      </c>
      <c r="AM153" s="73">
        <f>_xlfn.DAYS(AK153,RESUMEN!$AN$7)</f>
        <v>-43254</v>
      </c>
      <c r="AN153" s="73"/>
      <c r="AO153" s="73" t="e">
        <f>LOOKUP(AN153,FORMULAS!$A:$A,FORMULAS!$B:$B)</f>
        <v>#N/A</v>
      </c>
      <c r="AP153" s="78"/>
      <c r="AQ153" s="78"/>
      <c r="AR153" s="73"/>
      <c r="AS153" s="73"/>
      <c r="AT153" s="73"/>
      <c r="AU153" s="73"/>
      <c r="AV153" s="73"/>
      <c r="AW153" s="73"/>
      <c r="AX153" s="73" t="e">
        <f>WEEKNUM(AW153-RESUMEN!$AZ$7)</f>
        <v>#NUM!</v>
      </c>
      <c r="AY153" s="73">
        <f>_xlfn.DAYS(AW153,RESUMEN!$AZ$7)</f>
        <v>-43261</v>
      </c>
      <c r="AZ153" s="73"/>
      <c r="BA153" s="73" t="e">
        <f>LOOKUP(AZ153,FORMULAS!$A:$A,FORMULAS!$B:$B)</f>
        <v>#N/A</v>
      </c>
      <c r="BB153" s="78"/>
      <c r="BC153" s="73"/>
      <c r="BD153" s="73"/>
      <c r="BE153" s="73"/>
      <c r="BF153" s="73"/>
      <c r="BG153" s="73"/>
      <c r="BH153" s="73"/>
      <c r="BI153" s="73"/>
      <c r="BJ153" s="73" t="e">
        <f>WEEKNUM(BI153-RESUMEN!$BL$7)</f>
        <v>#NUM!</v>
      </c>
      <c r="BK153" s="73">
        <f>_xlfn.DAYS(BI153,RESUMEN!$BL$7)</f>
        <v>-43267</v>
      </c>
      <c r="BL153" s="73"/>
      <c r="BM153" s="73" t="e">
        <f>LOOKUP(BL153,FORMULAS!$A:$A,FORMULAS!$B:$B)</f>
        <v>#N/A</v>
      </c>
      <c r="BN153" s="78"/>
      <c r="BO153" s="73"/>
      <c r="BP153" s="73"/>
      <c r="BQ153" s="73"/>
      <c r="BR153" s="73"/>
      <c r="BS153" s="73"/>
      <c r="BT153" s="73"/>
    </row>
    <row r="154" spans="1:72" x14ac:dyDescent="0.25">
      <c r="A154" s="75"/>
      <c r="B154" s="74" t="e">
        <f>WEEKNUM(A154-RESUMEN!$D$7)</f>
        <v>#NUM!</v>
      </c>
      <c r="C154" s="74">
        <f>_xlfn.DAYS(A154,RESUMEN!$D$7)</f>
        <v>-43238</v>
      </c>
      <c r="D154" s="75"/>
      <c r="E154" s="73" t="e">
        <f>LOOKUP(D154,FORMULAS!$A:$A,FORMULAS!$B:$B)</f>
        <v>#N/A</v>
      </c>
      <c r="F154" s="80"/>
      <c r="G154" s="75"/>
      <c r="H154" s="75"/>
      <c r="I154" s="73"/>
      <c r="J154" s="73"/>
      <c r="K154" s="73"/>
      <c r="L154" s="73"/>
      <c r="M154" s="73"/>
      <c r="N154" s="73" t="e">
        <f>WEEKNUM(M154-RESUMEN!$P$7)</f>
        <v>#NUM!</v>
      </c>
      <c r="O154" s="73">
        <f>_xlfn.DAYS(M154,RESUMEN!$P$7)</f>
        <v>-43242</v>
      </c>
      <c r="P154" s="73"/>
      <c r="Q154" s="73" t="e">
        <f>LOOKUP(P154,FORMULAS!$A:$A,FORMULAS!$B:$B)</f>
        <v>#N/A</v>
      </c>
      <c r="R154" s="78"/>
      <c r="S154" s="73"/>
      <c r="T154" s="73"/>
      <c r="U154" s="73"/>
      <c r="V154" s="73"/>
      <c r="W154" s="73"/>
      <c r="X154" s="73"/>
      <c r="Y154" s="73"/>
      <c r="Z154" s="73" t="e">
        <f>WEEKNUM(Y154-RESUMEN!$AB$7)</f>
        <v>#NUM!</v>
      </c>
      <c r="AA154" s="73">
        <f>_xlfn.DAYS(Y154,RESUMEN!$AB$7)</f>
        <v>-43247</v>
      </c>
      <c r="AB154" s="73"/>
      <c r="AC154" s="73" t="e">
        <f>LOOKUP(AB154,FORMULAS!$A:$A,FORMULAS!$B:$B)</f>
        <v>#N/A</v>
      </c>
      <c r="AD154" s="78"/>
      <c r="AE154" s="73"/>
      <c r="AF154" s="73"/>
      <c r="AG154" s="73"/>
      <c r="AH154" s="73"/>
      <c r="AI154" s="73"/>
      <c r="AJ154" s="73"/>
      <c r="AK154" s="73"/>
      <c r="AL154" s="73" t="e">
        <f>WEEKNUM(AK154-RESUMEN!$AN$7)</f>
        <v>#NUM!</v>
      </c>
      <c r="AM154" s="73">
        <f>_xlfn.DAYS(AK154,RESUMEN!$AN$7)</f>
        <v>-43254</v>
      </c>
      <c r="AN154" s="73"/>
      <c r="AO154" s="73" t="e">
        <f>LOOKUP(AN154,FORMULAS!$A:$A,FORMULAS!$B:$B)</f>
        <v>#N/A</v>
      </c>
      <c r="AP154" s="78"/>
      <c r="AQ154" s="78"/>
      <c r="AR154" s="73"/>
      <c r="AS154" s="73"/>
      <c r="AT154" s="73"/>
      <c r="AU154" s="73"/>
      <c r="AV154" s="73"/>
      <c r="AW154" s="73"/>
      <c r="AX154" s="73" t="e">
        <f>WEEKNUM(AW154-RESUMEN!$AZ$7)</f>
        <v>#NUM!</v>
      </c>
      <c r="AY154" s="73">
        <f>_xlfn.DAYS(AW154,RESUMEN!$AZ$7)</f>
        <v>-43261</v>
      </c>
      <c r="AZ154" s="73"/>
      <c r="BA154" s="73" t="e">
        <f>LOOKUP(AZ154,FORMULAS!$A:$A,FORMULAS!$B:$B)</f>
        <v>#N/A</v>
      </c>
      <c r="BB154" s="78"/>
      <c r="BC154" s="73"/>
      <c r="BD154" s="73"/>
      <c r="BE154" s="73"/>
      <c r="BF154" s="73"/>
      <c r="BG154" s="73"/>
      <c r="BH154" s="73"/>
      <c r="BI154" s="73"/>
      <c r="BJ154" s="73" t="e">
        <f>WEEKNUM(BI154-RESUMEN!$BL$7)</f>
        <v>#NUM!</v>
      </c>
      <c r="BK154" s="73">
        <f>_xlfn.DAYS(BI154,RESUMEN!$BL$7)</f>
        <v>-43267</v>
      </c>
      <c r="BL154" s="73"/>
      <c r="BM154" s="73" t="e">
        <f>LOOKUP(BL154,FORMULAS!$A:$A,FORMULAS!$B:$B)</f>
        <v>#N/A</v>
      </c>
      <c r="BN154" s="78"/>
      <c r="BO154" s="73"/>
      <c r="BP154" s="73"/>
      <c r="BQ154" s="73"/>
      <c r="BR154" s="73"/>
      <c r="BS154" s="73"/>
      <c r="BT154" s="73"/>
    </row>
    <row r="155" spans="1:72" x14ac:dyDescent="0.25">
      <c r="A155" s="75"/>
      <c r="B155" s="74" t="e">
        <f>WEEKNUM(A155-RESUMEN!$D$7)</f>
        <v>#NUM!</v>
      </c>
      <c r="C155" s="74">
        <f>_xlfn.DAYS(A155,RESUMEN!$D$7)</f>
        <v>-43238</v>
      </c>
      <c r="D155" s="75"/>
      <c r="E155" s="73" t="e">
        <f>LOOKUP(D155,FORMULAS!$A:$A,FORMULAS!$B:$B)</f>
        <v>#N/A</v>
      </c>
      <c r="F155" s="80"/>
      <c r="G155" s="75"/>
      <c r="H155" s="75"/>
      <c r="I155" s="73"/>
      <c r="J155" s="73"/>
      <c r="K155" s="73"/>
      <c r="L155" s="73"/>
      <c r="M155" s="73"/>
      <c r="N155" s="73" t="e">
        <f>WEEKNUM(M155-RESUMEN!$P$7)</f>
        <v>#NUM!</v>
      </c>
      <c r="O155" s="73">
        <f>_xlfn.DAYS(M155,RESUMEN!$P$7)</f>
        <v>-43242</v>
      </c>
      <c r="P155" s="73"/>
      <c r="Q155" s="73" t="e">
        <f>LOOKUP(P155,FORMULAS!$A:$A,FORMULAS!$B:$B)</f>
        <v>#N/A</v>
      </c>
      <c r="R155" s="78"/>
      <c r="S155" s="73"/>
      <c r="T155" s="73"/>
      <c r="U155" s="73"/>
      <c r="V155" s="73"/>
      <c r="W155" s="73"/>
      <c r="X155" s="73"/>
      <c r="Y155" s="73"/>
      <c r="Z155" s="73" t="e">
        <f>WEEKNUM(Y155-RESUMEN!$AB$7)</f>
        <v>#NUM!</v>
      </c>
      <c r="AA155" s="73">
        <f>_xlfn.DAYS(Y155,RESUMEN!$AB$7)</f>
        <v>-43247</v>
      </c>
      <c r="AB155" s="73"/>
      <c r="AC155" s="73" t="e">
        <f>LOOKUP(AB155,FORMULAS!$A:$A,FORMULAS!$B:$B)</f>
        <v>#N/A</v>
      </c>
      <c r="AD155" s="78"/>
      <c r="AE155" s="73"/>
      <c r="AF155" s="73"/>
      <c r="AG155" s="73"/>
      <c r="AH155" s="73"/>
      <c r="AI155" s="73"/>
      <c r="AJ155" s="73"/>
      <c r="AK155" s="73"/>
      <c r="AL155" s="73" t="e">
        <f>WEEKNUM(AK155-RESUMEN!$AN$7)</f>
        <v>#NUM!</v>
      </c>
      <c r="AM155" s="73">
        <f>_xlfn.DAYS(AK155,RESUMEN!$AN$7)</f>
        <v>-43254</v>
      </c>
      <c r="AN155" s="73"/>
      <c r="AO155" s="73" t="e">
        <f>LOOKUP(AN155,FORMULAS!$A:$A,FORMULAS!$B:$B)</f>
        <v>#N/A</v>
      </c>
      <c r="AP155" s="78"/>
      <c r="AQ155" s="78"/>
      <c r="AR155" s="73"/>
      <c r="AS155" s="73"/>
      <c r="AT155" s="73"/>
      <c r="AU155" s="73"/>
      <c r="AV155" s="73"/>
      <c r="AW155" s="73"/>
      <c r="AX155" s="73" t="e">
        <f>WEEKNUM(AW155-RESUMEN!$AZ$7)</f>
        <v>#NUM!</v>
      </c>
      <c r="AY155" s="73">
        <f>_xlfn.DAYS(AW155,RESUMEN!$AZ$7)</f>
        <v>-43261</v>
      </c>
      <c r="AZ155" s="73"/>
      <c r="BA155" s="73" t="e">
        <f>LOOKUP(AZ155,FORMULAS!$A:$A,FORMULAS!$B:$B)</f>
        <v>#N/A</v>
      </c>
      <c r="BB155" s="78"/>
      <c r="BC155" s="73"/>
      <c r="BD155" s="73"/>
      <c r="BE155" s="73"/>
      <c r="BF155" s="73"/>
      <c r="BG155" s="73"/>
      <c r="BH155" s="73"/>
      <c r="BI155" s="73"/>
      <c r="BJ155" s="73" t="e">
        <f>WEEKNUM(BI155-RESUMEN!$BL$7)</f>
        <v>#NUM!</v>
      </c>
      <c r="BK155" s="73">
        <f>_xlfn.DAYS(BI155,RESUMEN!$BL$7)</f>
        <v>-43267</v>
      </c>
      <c r="BL155" s="73"/>
      <c r="BM155" s="73" t="e">
        <f>LOOKUP(BL155,FORMULAS!$A:$A,FORMULAS!$B:$B)</f>
        <v>#N/A</v>
      </c>
      <c r="BN155" s="78"/>
      <c r="BO155" s="73"/>
      <c r="BP155" s="73"/>
      <c r="BQ155" s="73"/>
      <c r="BR155" s="73"/>
      <c r="BS155" s="73"/>
      <c r="BT155" s="73"/>
    </row>
    <row r="156" spans="1:72" x14ac:dyDescent="0.25">
      <c r="A156" s="75"/>
      <c r="B156" s="74" t="e">
        <f>WEEKNUM(A156-RESUMEN!$D$7)</f>
        <v>#NUM!</v>
      </c>
      <c r="C156" s="74">
        <f>_xlfn.DAYS(A156,RESUMEN!$D$7)</f>
        <v>-43238</v>
      </c>
      <c r="D156" s="75"/>
      <c r="E156" s="73" t="e">
        <f>LOOKUP(D156,FORMULAS!$A:$A,FORMULAS!$B:$B)</f>
        <v>#N/A</v>
      </c>
      <c r="F156" s="80"/>
      <c r="G156" s="75"/>
      <c r="H156" s="75"/>
      <c r="I156" s="73"/>
      <c r="J156" s="73"/>
      <c r="K156" s="73"/>
      <c r="L156" s="73"/>
      <c r="M156" s="73"/>
      <c r="N156" s="73" t="e">
        <f>WEEKNUM(M156-RESUMEN!$P$7)</f>
        <v>#NUM!</v>
      </c>
      <c r="O156" s="73">
        <f>_xlfn.DAYS(M156,RESUMEN!$P$7)</f>
        <v>-43242</v>
      </c>
      <c r="P156" s="73"/>
      <c r="Q156" s="73" t="e">
        <f>LOOKUP(P156,FORMULAS!$A:$A,FORMULAS!$B:$B)</f>
        <v>#N/A</v>
      </c>
      <c r="R156" s="78"/>
      <c r="S156" s="73"/>
      <c r="T156" s="73"/>
      <c r="U156" s="73"/>
      <c r="V156" s="73"/>
      <c r="W156" s="73"/>
      <c r="X156" s="73"/>
      <c r="Y156" s="73"/>
      <c r="Z156" s="73" t="e">
        <f>WEEKNUM(Y156-RESUMEN!$AB$7)</f>
        <v>#NUM!</v>
      </c>
      <c r="AA156" s="73">
        <f>_xlfn.DAYS(Y156,RESUMEN!$AB$7)</f>
        <v>-43247</v>
      </c>
      <c r="AB156" s="73"/>
      <c r="AC156" s="73" t="e">
        <f>LOOKUP(AB156,FORMULAS!$A:$A,FORMULAS!$B:$B)</f>
        <v>#N/A</v>
      </c>
      <c r="AD156" s="78"/>
      <c r="AE156" s="73"/>
      <c r="AF156" s="73"/>
      <c r="AG156" s="73"/>
      <c r="AH156" s="73"/>
      <c r="AI156" s="73"/>
      <c r="AJ156" s="73"/>
      <c r="AK156" s="73"/>
      <c r="AL156" s="73" t="e">
        <f>WEEKNUM(AK156-RESUMEN!$AN$7)</f>
        <v>#NUM!</v>
      </c>
      <c r="AM156" s="73">
        <f>_xlfn.DAYS(AK156,RESUMEN!$AN$7)</f>
        <v>-43254</v>
      </c>
      <c r="AN156" s="73"/>
      <c r="AO156" s="73" t="e">
        <f>LOOKUP(AN156,FORMULAS!$A:$A,FORMULAS!$B:$B)</f>
        <v>#N/A</v>
      </c>
      <c r="AP156" s="78"/>
      <c r="AQ156" s="78"/>
      <c r="AR156" s="73"/>
      <c r="AS156" s="73"/>
      <c r="AT156" s="73"/>
      <c r="AU156" s="73"/>
      <c r="AV156" s="73"/>
      <c r="AW156" s="73"/>
      <c r="AX156" s="73" t="e">
        <f>WEEKNUM(AW156-RESUMEN!$AZ$7)</f>
        <v>#NUM!</v>
      </c>
      <c r="AY156" s="73">
        <f>_xlfn.DAYS(AW156,RESUMEN!$AZ$7)</f>
        <v>-43261</v>
      </c>
      <c r="AZ156" s="73"/>
      <c r="BA156" s="73" t="e">
        <f>LOOKUP(AZ156,FORMULAS!$A:$A,FORMULAS!$B:$B)</f>
        <v>#N/A</v>
      </c>
      <c r="BB156" s="78"/>
      <c r="BC156" s="73"/>
      <c r="BD156" s="73"/>
      <c r="BE156" s="73"/>
      <c r="BF156" s="73"/>
      <c r="BG156" s="73"/>
      <c r="BH156" s="73"/>
      <c r="BI156" s="73"/>
      <c r="BJ156" s="73" t="e">
        <f>WEEKNUM(BI156-RESUMEN!$BL$7)</f>
        <v>#NUM!</v>
      </c>
      <c r="BK156" s="73">
        <f>_xlfn.DAYS(BI156,RESUMEN!$BL$7)</f>
        <v>-43267</v>
      </c>
      <c r="BL156" s="73"/>
      <c r="BM156" s="73" t="e">
        <f>LOOKUP(BL156,FORMULAS!$A:$A,FORMULAS!$B:$B)</f>
        <v>#N/A</v>
      </c>
      <c r="BN156" s="78"/>
      <c r="BO156" s="73"/>
      <c r="BP156" s="73"/>
      <c r="BQ156" s="73"/>
      <c r="BR156" s="73"/>
      <c r="BS156" s="73"/>
      <c r="BT156" s="73"/>
    </row>
    <row r="157" spans="1:72" x14ac:dyDescent="0.25">
      <c r="A157" s="75"/>
      <c r="B157" s="74" t="e">
        <f>WEEKNUM(A157-RESUMEN!$D$7)</f>
        <v>#NUM!</v>
      </c>
      <c r="C157" s="74">
        <f>_xlfn.DAYS(A157,RESUMEN!$D$7)</f>
        <v>-43238</v>
      </c>
      <c r="D157" s="75"/>
      <c r="E157" s="73" t="e">
        <f>LOOKUP(D157,FORMULAS!$A:$A,FORMULAS!$B:$B)</f>
        <v>#N/A</v>
      </c>
      <c r="F157" s="80"/>
      <c r="G157" s="75"/>
      <c r="H157" s="75"/>
      <c r="I157" s="73"/>
      <c r="J157" s="73"/>
      <c r="K157" s="73"/>
      <c r="L157" s="73"/>
      <c r="M157" s="73"/>
      <c r="N157" s="73" t="e">
        <f>WEEKNUM(M157-RESUMEN!$P$7)</f>
        <v>#NUM!</v>
      </c>
      <c r="O157" s="73">
        <f>_xlfn.DAYS(M157,RESUMEN!$P$7)</f>
        <v>-43242</v>
      </c>
      <c r="P157" s="73"/>
      <c r="Q157" s="73" t="e">
        <f>LOOKUP(P157,FORMULAS!$A:$A,FORMULAS!$B:$B)</f>
        <v>#N/A</v>
      </c>
      <c r="R157" s="78"/>
      <c r="S157" s="73"/>
      <c r="T157" s="73"/>
      <c r="U157" s="73"/>
      <c r="V157" s="73"/>
      <c r="W157" s="73"/>
      <c r="X157" s="73"/>
      <c r="Y157" s="73"/>
      <c r="Z157" s="73" t="e">
        <f>WEEKNUM(Y157-RESUMEN!$AB$7)</f>
        <v>#NUM!</v>
      </c>
      <c r="AA157" s="73">
        <f>_xlfn.DAYS(Y157,RESUMEN!$AB$7)</f>
        <v>-43247</v>
      </c>
      <c r="AB157" s="73"/>
      <c r="AC157" s="73" t="e">
        <f>LOOKUP(AB157,FORMULAS!$A:$A,FORMULAS!$B:$B)</f>
        <v>#N/A</v>
      </c>
      <c r="AD157" s="78"/>
      <c r="AE157" s="73"/>
      <c r="AF157" s="73"/>
      <c r="AG157" s="73"/>
      <c r="AH157" s="73"/>
      <c r="AI157" s="73"/>
      <c r="AJ157" s="73"/>
      <c r="AK157" s="73"/>
      <c r="AL157" s="73" t="e">
        <f>WEEKNUM(AK157-RESUMEN!$AN$7)</f>
        <v>#NUM!</v>
      </c>
      <c r="AM157" s="73">
        <f>_xlfn.DAYS(AK157,RESUMEN!$AN$7)</f>
        <v>-43254</v>
      </c>
      <c r="AN157" s="73"/>
      <c r="AO157" s="73" t="e">
        <f>LOOKUP(AN157,FORMULAS!$A:$A,FORMULAS!$B:$B)</f>
        <v>#N/A</v>
      </c>
      <c r="AP157" s="78"/>
      <c r="AQ157" s="78"/>
      <c r="AR157" s="73"/>
      <c r="AS157" s="73"/>
      <c r="AT157" s="73"/>
      <c r="AU157" s="73"/>
      <c r="AV157" s="73"/>
      <c r="AW157" s="73"/>
      <c r="AX157" s="73" t="e">
        <f>WEEKNUM(AW157-RESUMEN!$AZ$7)</f>
        <v>#NUM!</v>
      </c>
      <c r="AY157" s="73">
        <f>_xlfn.DAYS(AW157,RESUMEN!$AZ$7)</f>
        <v>-43261</v>
      </c>
      <c r="AZ157" s="73"/>
      <c r="BA157" s="73" t="e">
        <f>LOOKUP(AZ157,FORMULAS!$A:$A,FORMULAS!$B:$B)</f>
        <v>#N/A</v>
      </c>
      <c r="BB157" s="78"/>
      <c r="BC157" s="73"/>
      <c r="BD157" s="73"/>
      <c r="BE157" s="73"/>
      <c r="BF157" s="73"/>
      <c r="BG157" s="73"/>
      <c r="BH157" s="73"/>
      <c r="BI157" s="73"/>
      <c r="BJ157" s="73" t="e">
        <f>WEEKNUM(BI157-RESUMEN!$BL$7)</f>
        <v>#NUM!</v>
      </c>
      <c r="BK157" s="73">
        <f>_xlfn.DAYS(BI157,RESUMEN!$BL$7)</f>
        <v>-43267</v>
      </c>
      <c r="BL157" s="73"/>
      <c r="BM157" s="73" t="e">
        <f>LOOKUP(BL157,FORMULAS!$A:$A,FORMULAS!$B:$B)</f>
        <v>#N/A</v>
      </c>
      <c r="BN157" s="78"/>
      <c r="BO157" s="73"/>
      <c r="BP157" s="73"/>
      <c r="BQ157" s="73"/>
      <c r="BR157" s="73"/>
      <c r="BS157" s="73"/>
      <c r="BT157" s="73"/>
    </row>
    <row r="158" spans="1:72" x14ac:dyDescent="0.25">
      <c r="A158" s="75"/>
      <c r="B158" s="74" t="e">
        <f>WEEKNUM(A158-RESUMEN!$D$7)</f>
        <v>#NUM!</v>
      </c>
      <c r="C158" s="74">
        <f>_xlfn.DAYS(A158,RESUMEN!$D$7)</f>
        <v>-43238</v>
      </c>
      <c r="D158" s="75"/>
      <c r="E158" s="73" t="e">
        <f>LOOKUP(D158,FORMULAS!$A:$A,FORMULAS!$B:$B)</f>
        <v>#N/A</v>
      </c>
      <c r="F158" s="80"/>
      <c r="G158" s="75"/>
      <c r="H158" s="75"/>
      <c r="I158" s="73"/>
      <c r="J158" s="73"/>
      <c r="K158" s="73"/>
      <c r="L158" s="73"/>
      <c r="M158" s="73"/>
      <c r="N158" s="73" t="e">
        <f>WEEKNUM(M158-RESUMEN!$P$7)</f>
        <v>#NUM!</v>
      </c>
      <c r="O158" s="73">
        <f>_xlfn.DAYS(M158,RESUMEN!$P$7)</f>
        <v>-43242</v>
      </c>
      <c r="P158" s="73"/>
      <c r="Q158" s="73" t="e">
        <f>LOOKUP(P158,FORMULAS!$A:$A,FORMULAS!$B:$B)</f>
        <v>#N/A</v>
      </c>
      <c r="R158" s="78"/>
      <c r="S158" s="73"/>
      <c r="T158" s="73"/>
      <c r="U158" s="73"/>
      <c r="V158" s="73"/>
      <c r="W158" s="73"/>
      <c r="X158" s="73"/>
      <c r="Y158" s="73"/>
      <c r="Z158" s="73" t="e">
        <f>WEEKNUM(Y158-RESUMEN!$AB$7)</f>
        <v>#NUM!</v>
      </c>
      <c r="AA158" s="73">
        <f>_xlfn.DAYS(Y158,RESUMEN!$AB$7)</f>
        <v>-43247</v>
      </c>
      <c r="AB158" s="73"/>
      <c r="AC158" s="73" t="e">
        <f>LOOKUP(AB158,FORMULAS!$A:$A,FORMULAS!$B:$B)</f>
        <v>#N/A</v>
      </c>
      <c r="AD158" s="78"/>
      <c r="AE158" s="73"/>
      <c r="AF158" s="73"/>
      <c r="AG158" s="73"/>
      <c r="AH158" s="73"/>
      <c r="AI158" s="73"/>
      <c r="AJ158" s="73"/>
      <c r="AK158" s="73"/>
      <c r="AL158" s="73" t="e">
        <f>WEEKNUM(AK158-RESUMEN!$AN$7)</f>
        <v>#NUM!</v>
      </c>
      <c r="AM158" s="73">
        <f>_xlfn.DAYS(AK158,RESUMEN!$AN$7)</f>
        <v>-43254</v>
      </c>
      <c r="AN158" s="73"/>
      <c r="AO158" s="73" t="e">
        <f>LOOKUP(AN158,FORMULAS!$A:$A,FORMULAS!$B:$B)</f>
        <v>#N/A</v>
      </c>
      <c r="AP158" s="78"/>
      <c r="AQ158" s="78"/>
      <c r="AR158" s="73"/>
      <c r="AS158" s="73"/>
      <c r="AT158" s="73"/>
      <c r="AU158" s="73"/>
      <c r="AV158" s="73"/>
      <c r="AW158" s="73"/>
      <c r="AX158" s="73" t="e">
        <f>WEEKNUM(AW158-RESUMEN!$AZ$7)</f>
        <v>#NUM!</v>
      </c>
      <c r="AY158" s="73">
        <f>_xlfn.DAYS(AW158,RESUMEN!$AZ$7)</f>
        <v>-43261</v>
      </c>
      <c r="AZ158" s="73"/>
      <c r="BA158" s="73" t="e">
        <f>LOOKUP(AZ158,FORMULAS!$A:$A,FORMULAS!$B:$B)</f>
        <v>#N/A</v>
      </c>
      <c r="BB158" s="78"/>
      <c r="BC158" s="73"/>
      <c r="BD158" s="73"/>
      <c r="BE158" s="73"/>
      <c r="BF158" s="73"/>
      <c r="BG158" s="73"/>
      <c r="BH158" s="73"/>
      <c r="BI158" s="73"/>
      <c r="BJ158" s="73" t="e">
        <f>WEEKNUM(BI158-RESUMEN!$BL$7)</f>
        <v>#NUM!</v>
      </c>
      <c r="BK158" s="73">
        <f>_xlfn.DAYS(BI158,RESUMEN!$BL$7)</f>
        <v>-43267</v>
      </c>
      <c r="BL158" s="73"/>
      <c r="BM158" s="73" t="e">
        <f>LOOKUP(BL158,FORMULAS!$A:$A,FORMULAS!$B:$B)</f>
        <v>#N/A</v>
      </c>
      <c r="BN158" s="78"/>
      <c r="BO158" s="73"/>
      <c r="BP158" s="73"/>
      <c r="BQ158" s="73"/>
      <c r="BR158" s="73"/>
      <c r="BS158" s="73"/>
      <c r="BT158" s="73"/>
    </row>
    <row r="159" spans="1:72" x14ac:dyDescent="0.25">
      <c r="A159" s="75"/>
      <c r="B159" s="74" t="e">
        <f>WEEKNUM(A159-RESUMEN!$D$7)</f>
        <v>#NUM!</v>
      </c>
      <c r="C159" s="74">
        <f>_xlfn.DAYS(A159,RESUMEN!$D$7)</f>
        <v>-43238</v>
      </c>
      <c r="D159" s="75"/>
      <c r="E159" s="73" t="e">
        <f>LOOKUP(D159,FORMULAS!$A:$A,FORMULAS!$B:$B)</f>
        <v>#N/A</v>
      </c>
      <c r="F159" s="80"/>
      <c r="G159" s="75"/>
      <c r="H159" s="75"/>
      <c r="I159" s="73"/>
      <c r="J159" s="73"/>
      <c r="K159" s="73"/>
      <c r="L159" s="73"/>
      <c r="M159" s="73"/>
      <c r="N159" s="73" t="e">
        <f>WEEKNUM(M159-RESUMEN!$P$7)</f>
        <v>#NUM!</v>
      </c>
      <c r="O159" s="73">
        <f>_xlfn.DAYS(M159,RESUMEN!$P$7)</f>
        <v>-43242</v>
      </c>
      <c r="P159" s="73"/>
      <c r="Q159" s="73" t="e">
        <f>LOOKUP(P159,FORMULAS!$A:$A,FORMULAS!$B:$B)</f>
        <v>#N/A</v>
      </c>
      <c r="R159" s="78"/>
      <c r="S159" s="73"/>
      <c r="T159" s="73"/>
      <c r="U159" s="73"/>
      <c r="V159" s="73"/>
      <c r="W159" s="73"/>
      <c r="X159" s="73"/>
      <c r="Y159" s="73"/>
      <c r="Z159" s="73" t="e">
        <f>WEEKNUM(Y159-RESUMEN!$AB$7)</f>
        <v>#NUM!</v>
      </c>
      <c r="AA159" s="73">
        <f>_xlfn.DAYS(Y159,RESUMEN!$AB$7)</f>
        <v>-43247</v>
      </c>
      <c r="AB159" s="73"/>
      <c r="AC159" s="73" t="e">
        <f>LOOKUP(AB159,FORMULAS!$A:$A,FORMULAS!$B:$B)</f>
        <v>#N/A</v>
      </c>
      <c r="AD159" s="78"/>
      <c r="AE159" s="73"/>
      <c r="AF159" s="73"/>
      <c r="AG159" s="73"/>
      <c r="AH159" s="73"/>
      <c r="AI159" s="73"/>
      <c r="AJ159" s="73"/>
      <c r="AK159" s="73"/>
      <c r="AL159" s="73" t="e">
        <f>WEEKNUM(AK159-RESUMEN!$AN$7)</f>
        <v>#NUM!</v>
      </c>
      <c r="AM159" s="73">
        <f>_xlfn.DAYS(AK159,RESUMEN!$AN$7)</f>
        <v>-43254</v>
      </c>
      <c r="AN159" s="73"/>
      <c r="AO159" s="73" t="e">
        <f>LOOKUP(AN159,FORMULAS!$A:$A,FORMULAS!$B:$B)</f>
        <v>#N/A</v>
      </c>
      <c r="AP159" s="78"/>
      <c r="AQ159" s="78"/>
      <c r="AR159" s="73"/>
      <c r="AS159" s="73"/>
      <c r="AT159" s="73"/>
      <c r="AU159" s="73"/>
      <c r="AV159" s="73"/>
      <c r="AW159" s="73"/>
      <c r="AX159" s="73" t="e">
        <f>WEEKNUM(AW159-RESUMEN!$AZ$7)</f>
        <v>#NUM!</v>
      </c>
      <c r="AY159" s="73">
        <f>_xlfn.DAYS(AW159,RESUMEN!$AZ$7)</f>
        <v>-43261</v>
      </c>
      <c r="AZ159" s="73"/>
      <c r="BA159" s="73" t="e">
        <f>LOOKUP(AZ159,FORMULAS!$A:$A,FORMULAS!$B:$B)</f>
        <v>#N/A</v>
      </c>
      <c r="BB159" s="78"/>
      <c r="BC159" s="73"/>
      <c r="BD159" s="73"/>
      <c r="BE159" s="73"/>
      <c r="BF159" s="73"/>
      <c r="BG159" s="73"/>
      <c r="BH159" s="73"/>
      <c r="BI159" s="73"/>
      <c r="BJ159" s="73" t="e">
        <f>WEEKNUM(BI159-RESUMEN!$BL$7)</f>
        <v>#NUM!</v>
      </c>
      <c r="BK159" s="73">
        <f>_xlfn.DAYS(BI159,RESUMEN!$BL$7)</f>
        <v>-43267</v>
      </c>
      <c r="BL159" s="73"/>
      <c r="BM159" s="73" t="e">
        <f>LOOKUP(BL159,FORMULAS!$A:$A,FORMULAS!$B:$B)</f>
        <v>#N/A</v>
      </c>
      <c r="BN159" s="78"/>
      <c r="BO159" s="73"/>
      <c r="BP159" s="73"/>
      <c r="BQ159" s="73"/>
      <c r="BR159" s="73"/>
      <c r="BS159" s="73"/>
      <c r="BT159" s="73"/>
    </row>
    <row r="160" spans="1:72" x14ac:dyDescent="0.25">
      <c r="A160" s="75"/>
      <c r="B160" s="74" t="e">
        <f>WEEKNUM(A160-RESUMEN!$D$7)</f>
        <v>#NUM!</v>
      </c>
      <c r="C160" s="74">
        <f>_xlfn.DAYS(A160,RESUMEN!$D$7)</f>
        <v>-43238</v>
      </c>
      <c r="D160" s="75"/>
      <c r="E160" s="73" t="e">
        <f>LOOKUP(D160,FORMULAS!$A:$A,FORMULAS!$B:$B)</f>
        <v>#N/A</v>
      </c>
      <c r="F160" s="80"/>
      <c r="G160" s="75"/>
      <c r="H160" s="75"/>
      <c r="I160" s="73"/>
      <c r="J160" s="73"/>
      <c r="K160" s="73"/>
      <c r="L160" s="73"/>
      <c r="M160" s="73"/>
      <c r="N160" s="73" t="e">
        <f>WEEKNUM(M160-RESUMEN!$P$7)</f>
        <v>#NUM!</v>
      </c>
      <c r="O160" s="73">
        <f>_xlfn.DAYS(M160,RESUMEN!$P$7)</f>
        <v>-43242</v>
      </c>
      <c r="P160" s="73"/>
      <c r="Q160" s="73" t="e">
        <f>LOOKUP(P160,FORMULAS!$A:$A,FORMULAS!$B:$B)</f>
        <v>#N/A</v>
      </c>
      <c r="R160" s="78"/>
      <c r="S160" s="73"/>
      <c r="T160" s="73"/>
      <c r="U160" s="73"/>
      <c r="V160" s="73"/>
      <c r="W160" s="73"/>
      <c r="X160" s="73"/>
      <c r="Y160" s="73"/>
      <c r="Z160" s="73" t="e">
        <f>WEEKNUM(Y160-RESUMEN!$AB$7)</f>
        <v>#NUM!</v>
      </c>
      <c r="AA160" s="73">
        <f>_xlfn.DAYS(Y160,RESUMEN!$AB$7)</f>
        <v>-43247</v>
      </c>
      <c r="AB160" s="73"/>
      <c r="AC160" s="73" t="e">
        <f>LOOKUP(AB160,FORMULAS!$A:$A,FORMULAS!$B:$B)</f>
        <v>#N/A</v>
      </c>
      <c r="AD160" s="78"/>
      <c r="AE160" s="73"/>
      <c r="AF160" s="73"/>
      <c r="AG160" s="73"/>
      <c r="AH160" s="73"/>
      <c r="AI160" s="73"/>
      <c r="AJ160" s="73"/>
      <c r="AK160" s="73"/>
      <c r="AL160" s="73" t="e">
        <f>WEEKNUM(AK160-RESUMEN!$AN$7)</f>
        <v>#NUM!</v>
      </c>
      <c r="AM160" s="73">
        <f>_xlfn.DAYS(AK160,RESUMEN!$AN$7)</f>
        <v>-43254</v>
      </c>
      <c r="AN160" s="73"/>
      <c r="AO160" s="73" t="e">
        <f>LOOKUP(AN160,FORMULAS!$A:$A,FORMULAS!$B:$B)</f>
        <v>#N/A</v>
      </c>
      <c r="AP160" s="78"/>
      <c r="AQ160" s="78"/>
      <c r="AR160" s="73"/>
      <c r="AS160" s="73"/>
      <c r="AT160" s="73"/>
      <c r="AU160" s="73"/>
      <c r="AV160" s="73"/>
      <c r="AW160" s="73"/>
      <c r="AX160" s="73" t="e">
        <f>WEEKNUM(AW160-RESUMEN!$AZ$7)</f>
        <v>#NUM!</v>
      </c>
      <c r="AY160" s="73">
        <f>_xlfn.DAYS(AW160,RESUMEN!$AZ$7)</f>
        <v>-43261</v>
      </c>
      <c r="AZ160" s="73"/>
      <c r="BA160" s="73" t="e">
        <f>LOOKUP(AZ160,FORMULAS!$A:$A,FORMULAS!$B:$B)</f>
        <v>#N/A</v>
      </c>
      <c r="BB160" s="78"/>
      <c r="BC160" s="73"/>
      <c r="BD160" s="73"/>
      <c r="BE160" s="73"/>
      <c r="BF160" s="73"/>
      <c r="BG160" s="73"/>
      <c r="BH160" s="73"/>
      <c r="BI160" s="73"/>
      <c r="BJ160" s="73" t="e">
        <f>WEEKNUM(BI160-RESUMEN!$BL$7)</f>
        <v>#NUM!</v>
      </c>
      <c r="BK160" s="73">
        <f>_xlfn.DAYS(BI160,RESUMEN!$BL$7)</f>
        <v>-43267</v>
      </c>
      <c r="BL160" s="73"/>
      <c r="BM160" s="73" t="e">
        <f>LOOKUP(BL160,FORMULAS!$A:$A,FORMULAS!$B:$B)</f>
        <v>#N/A</v>
      </c>
      <c r="BN160" s="78"/>
      <c r="BO160" s="73"/>
      <c r="BP160" s="73"/>
      <c r="BQ160" s="73"/>
      <c r="BR160" s="73"/>
      <c r="BS160" s="73"/>
      <c r="BT160" s="73"/>
    </row>
    <row r="161" spans="1:72" x14ac:dyDescent="0.25">
      <c r="A161" s="75"/>
      <c r="B161" s="74" t="e">
        <f>WEEKNUM(A161-RESUMEN!$D$7)</f>
        <v>#NUM!</v>
      </c>
      <c r="C161" s="74">
        <f>_xlfn.DAYS(A161,RESUMEN!$D$7)</f>
        <v>-43238</v>
      </c>
      <c r="D161" s="75"/>
      <c r="E161" s="73" t="e">
        <f>LOOKUP(D161,FORMULAS!$A:$A,FORMULAS!$B:$B)</f>
        <v>#N/A</v>
      </c>
      <c r="F161" s="80"/>
      <c r="G161" s="75"/>
      <c r="H161" s="75"/>
      <c r="I161" s="73"/>
      <c r="J161" s="73"/>
      <c r="K161" s="73"/>
      <c r="L161" s="73"/>
      <c r="M161" s="73"/>
      <c r="N161" s="73" t="e">
        <f>WEEKNUM(M161-RESUMEN!$P$7)</f>
        <v>#NUM!</v>
      </c>
      <c r="O161" s="73">
        <f>_xlfn.DAYS(M161,RESUMEN!$P$7)</f>
        <v>-43242</v>
      </c>
      <c r="P161" s="73"/>
      <c r="Q161" s="73" t="e">
        <f>LOOKUP(P161,FORMULAS!$A:$A,FORMULAS!$B:$B)</f>
        <v>#N/A</v>
      </c>
      <c r="R161" s="78"/>
      <c r="S161" s="73"/>
      <c r="T161" s="73"/>
      <c r="U161" s="73"/>
      <c r="V161" s="73"/>
      <c r="W161" s="73"/>
      <c r="X161" s="73"/>
      <c r="Y161" s="73"/>
      <c r="Z161" s="73" t="e">
        <f>WEEKNUM(Y161-RESUMEN!$AB$7)</f>
        <v>#NUM!</v>
      </c>
      <c r="AA161" s="73">
        <f>_xlfn.DAYS(Y161,RESUMEN!$AB$7)</f>
        <v>-43247</v>
      </c>
      <c r="AB161" s="73"/>
      <c r="AC161" s="73" t="e">
        <f>LOOKUP(AB161,FORMULAS!$A:$A,FORMULAS!$B:$B)</f>
        <v>#N/A</v>
      </c>
      <c r="AD161" s="78"/>
      <c r="AE161" s="73"/>
      <c r="AF161" s="73"/>
      <c r="AG161" s="73"/>
      <c r="AH161" s="73"/>
      <c r="AI161" s="73"/>
      <c r="AJ161" s="73"/>
      <c r="AK161" s="73"/>
      <c r="AL161" s="73" t="e">
        <f>WEEKNUM(AK161-RESUMEN!$AN$7)</f>
        <v>#NUM!</v>
      </c>
      <c r="AM161" s="73">
        <f>_xlfn.DAYS(AK161,RESUMEN!$AN$7)</f>
        <v>-43254</v>
      </c>
      <c r="AN161" s="73"/>
      <c r="AO161" s="73" t="e">
        <f>LOOKUP(AN161,FORMULAS!$A:$A,FORMULAS!$B:$B)</f>
        <v>#N/A</v>
      </c>
      <c r="AP161" s="78"/>
      <c r="AQ161" s="78"/>
      <c r="AR161" s="73"/>
      <c r="AS161" s="73"/>
      <c r="AT161" s="73"/>
      <c r="AU161" s="73"/>
      <c r="AV161" s="73"/>
      <c r="AW161" s="73"/>
      <c r="AX161" s="73" t="e">
        <f>WEEKNUM(AW161-RESUMEN!$AZ$7)</f>
        <v>#NUM!</v>
      </c>
      <c r="AY161" s="73">
        <f>_xlfn.DAYS(AW161,RESUMEN!$AZ$7)</f>
        <v>-43261</v>
      </c>
      <c r="AZ161" s="73"/>
      <c r="BA161" s="73" t="e">
        <f>LOOKUP(AZ161,FORMULAS!$A:$A,FORMULAS!$B:$B)</f>
        <v>#N/A</v>
      </c>
      <c r="BB161" s="78"/>
      <c r="BC161" s="73"/>
      <c r="BD161" s="73"/>
      <c r="BE161" s="73"/>
      <c r="BF161" s="73"/>
      <c r="BG161" s="73"/>
      <c r="BH161" s="73"/>
      <c r="BI161" s="73"/>
      <c r="BJ161" s="73" t="e">
        <f>WEEKNUM(BI161-RESUMEN!$BL$7)</f>
        <v>#NUM!</v>
      </c>
      <c r="BK161" s="73">
        <f>_xlfn.DAYS(BI161,RESUMEN!$BL$7)</f>
        <v>-43267</v>
      </c>
      <c r="BL161" s="73"/>
      <c r="BM161" s="73" t="e">
        <f>LOOKUP(BL161,FORMULAS!$A:$A,FORMULAS!$B:$B)</f>
        <v>#N/A</v>
      </c>
      <c r="BN161" s="78"/>
      <c r="BO161" s="73"/>
      <c r="BP161" s="73"/>
      <c r="BQ161" s="73"/>
      <c r="BR161" s="73"/>
      <c r="BS161" s="73"/>
      <c r="BT161" s="73"/>
    </row>
    <row r="162" spans="1:72" x14ac:dyDescent="0.25">
      <c r="A162" s="75"/>
      <c r="B162" s="74" t="e">
        <f>WEEKNUM(A162-RESUMEN!$D$7)</f>
        <v>#NUM!</v>
      </c>
      <c r="C162" s="74">
        <f>_xlfn.DAYS(A162,RESUMEN!$D$7)</f>
        <v>-43238</v>
      </c>
      <c r="D162" s="75"/>
      <c r="E162" s="73" t="e">
        <f>LOOKUP(D162,FORMULAS!$A:$A,FORMULAS!$B:$B)</f>
        <v>#N/A</v>
      </c>
      <c r="F162" s="80"/>
      <c r="G162" s="75"/>
      <c r="H162" s="75"/>
      <c r="I162" s="73"/>
      <c r="J162" s="73"/>
      <c r="K162" s="73"/>
      <c r="L162" s="73"/>
      <c r="M162" s="73"/>
      <c r="N162" s="73" t="e">
        <f>WEEKNUM(M162-RESUMEN!$P$7)</f>
        <v>#NUM!</v>
      </c>
      <c r="O162" s="73">
        <f>_xlfn.DAYS(M162,RESUMEN!$P$7)</f>
        <v>-43242</v>
      </c>
      <c r="P162" s="73"/>
      <c r="Q162" s="73" t="e">
        <f>LOOKUP(P162,FORMULAS!$A:$A,FORMULAS!$B:$B)</f>
        <v>#N/A</v>
      </c>
      <c r="R162" s="78"/>
      <c r="S162" s="73"/>
      <c r="T162" s="73"/>
      <c r="U162" s="73"/>
      <c r="V162" s="73"/>
      <c r="W162" s="73"/>
      <c r="X162" s="73"/>
      <c r="Y162" s="73"/>
      <c r="Z162" s="73" t="e">
        <f>WEEKNUM(Y162-RESUMEN!$AB$7)</f>
        <v>#NUM!</v>
      </c>
      <c r="AA162" s="73">
        <f>_xlfn.DAYS(Y162,RESUMEN!$AB$7)</f>
        <v>-43247</v>
      </c>
      <c r="AB162" s="73"/>
      <c r="AC162" s="73" t="e">
        <f>LOOKUP(AB162,FORMULAS!$A:$A,FORMULAS!$B:$B)</f>
        <v>#N/A</v>
      </c>
      <c r="AD162" s="78"/>
      <c r="AE162" s="73"/>
      <c r="AF162" s="73"/>
      <c r="AG162" s="73"/>
      <c r="AH162" s="73"/>
      <c r="AI162" s="73"/>
      <c r="AJ162" s="73"/>
      <c r="AK162" s="73"/>
      <c r="AL162" s="73" t="e">
        <f>WEEKNUM(AK162-RESUMEN!$AN$7)</f>
        <v>#NUM!</v>
      </c>
      <c r="AM162" s="73">
        <f>_xlfn.DAYS(AK162,RESUMEN!$AN$7)</f>
        <v>-43254</v>
      </c>
      <c r="AN162" s="73"/>
      <c r="AO162" s="73" t="e">
        <f>LOOKUP(AN162,FORMULAS!$A:$A,FORMULAS!$B:$B)</f>
        <v>#N/A</v>
      </c>
      <c r="AP162" s="78"/>
      <c r="AQ162" s="78"/>
      <c r="AR162" s="73"/>
      <c r="AS162" s="73"/>
      <c r="AT162" s="73"/>
      <c r="AU162" s="73"/>
      <c r="AV162" s="73"/>
      <c r="AW162" s="73"/>
      <c r="AX162" s="73" t="e">
        <f>WEEKNUM(AW162-RESUMEN!$AZ$7)</f>
        <v>#NUM!</v>
      </c>
      <c r="AY162" s="73">
        <f>_xlfn.DAYS(AW162,RESUMEN!$AZ$7)</f>
        <v>-43261</v>
      </c>
      <c r="AZ162" s="73"/>
      <c r="BA162" s="73" t="e">
        <f>LOOKUP(AZ162,FORMULAS!$A:$A,FORMULAS!$B:$B)</f>
        <v>#N/A</v>
      </c>
      <c r="BB162" s="78"/>
      <c r="BC162" s="73"/>
      <c r="BD162" s="73"/>
      <c r="BE162" s="73"/>
      <c r="BF162" s="73"/>
      <c r="BG162" s="73"/>
      <c r="BH162" s="73"/>
      <c r="BI162" s="73"/>
      <c r="BJ162" s="73" t="e">
        <f>WEEKNUM(BI162-RESUMEN!$BL$7)</f>
        <v>#NUM!</v>
      </c>
      <c r="BK162" s="73">
        <f>_xlfn.DAYS(BI162,RESUMEN!$BL$7)</f>
        <v>-43267</v>
      </c>
      <c r="BL162" s="73"/>
      <c r="BM162" s="73" t="e">
        <f>LOOKUP(BL162,FORMULAS!$A:$A,FORMULAS!$B:$B)</f>
        <v>#N/A</v>
      </c>
      <c r="BN162" s="78"/>
      <c r="BO162" s="73"/>
      <c r="BP162" s="73"/>
      <c r="BQ162" s="73"/>
      <c r="BR162" s="73"/>
      <c r="BS162" s="73"/>
      <c r="BT162" s="73"/>
    </row>
    <row r="163" spans="1:72" x14ac:dyDescent="0.25">
      <c r="A163" s="75"/>
      <c r="B163" s="74" t="e">
        <f>WEEKNUM(A163-RESUMEN!$D$7)</f>
        <v>#NUM!</v>
      </c>
      <c r="C163" s="74">
        <f>_xlfn.DAYS(A163,RESUMEN!$D$7)</f>
        <v>-43238</v>
      </c>
      <c r="D163" s="75"/>
      <c r="E163" s="73" t="e">
        <f>LOOKUP(D163,FORMULAS!$A:$A,FORMULAS!$B:$B)</f>
        <v>#N/A</v>
      </c>
      <c r="F163" s="80"/>
      <c r="G163" s="75"/>
      <c r="H163" s="75"/>
      <c r="I163" s="73"/>
      <c r="J163" s="73"/>
      <c r="K163" s="73"/>
      <c r="L163" s="73"/>
      <c r="M163" s="73"/>
      <c r="N163" s="73" t="e">
        <f>WEEKNUM(M163-RESUMEN!$P$7)</f>
        <v>#NUM!</v>
      </c>
      <c r="O163" s="73">
        <f>_xlfn.DAYS(M163,RESUMEN!$P$7)</f>
        <v>-43242</v>
      </c>
      <c r="P163" s="73"/>
      <c r="Q163" s="73" t="e">
        <f>LOOKUP(P163,FORMULAS!$A:$A,FORMULAS!$B:$B)</f>
        <v>#N/A</v>
      </c>
      <c r="R163" s="78"/>
      <c r="S163" s="73"/>
      <c r="T163" s="73"/>
      <c r="U163" s="73"/>
      <c r="V163" s="73"/>
      <c r="W163" s="73"/>
      <c r="X163" s="73"/>
      <c r="Y163" s="73"/>
      <c r="Z163" s="73" t="e">
        <f>WEEKNUM(Y163-RESUMEN!$AB$7)</f>
        <v>#NUM!</v>
      </c>
      <c r="AA163" s="73">
        <f>_xlfn.DAYS(Y163,RESUMEN!$AB$7)</f>
        <v>-43247</v>
      </c>
      <c r="AB163" s="73"/>
      <c r="AC163" s="73" t="e">
        <f>LOOKUP(AB163,FORMULAS!$A:$A,FORMULAS!$B:$B)</f>
        <v>#N/A</v>
      </c>
      <c r="AD163" s="78"/>
      <c r="AE163" s="73"/>
      <c r="AF163" s="73"/>
      <c r="AG163" s="73"/>
      <c r="AH163" s="73"/>
      <c r="AI163" s="73"/>
      <c r="AJ163" s="73"/>
      <c r="AK163" s="73"/>
      <c r="AL163" s="73" t="e">
        <f>WEEKNUM(AK163-RESUMEN!$AN$7)</f>
        <v>#NUM!</v>
      </c>
      <c r="AM163" s="73">
        <f>_xlfn.DAYS(AK163,RESUMEN!$AN$7)</f>
        <v>-43254</v>
      </c>
      <c r="AN163" s="73"/>
      <c r="AO163" s="73" t="e">
        <f>LOOKUP(AN163,FORMULAS!$A:$A,FORMULAS!$B:$B)</f>
        <v>#N/A</v>
      </c>
      <c r="AP163" s="78"/>
      <c r="AQ163" s="78"/>
      <c r="AR163" s="73"/>
      <c r="AS163" s="73"/>
      <c r="AT163" s="73"/>
      <c r="AU163" s="73"/>
      <c r="AV163" s="73"/>
      <c r="AW163" s="73"/>
      <c r="AX163" s="73" t="e">
        <f>WEEKNUM(AW163-RESUMEN!$AZ$7)</f>
        <v>#NUM!</v>
      </c>
      <c r="AY163" s="73">
        <f>_xlfn.DAYS(AW163,RESUMEN!$AZ$7)</f>
        <v>-43261</v>
      </c>
      <c r="AZ163" s="73"/>
      <c r="BA163" s="73" t="e">
        <f>LOOKUP(AZ163,FORMULAS!$A:$A,FORMULAS!$B:$B)</f>
        <v>#N/A</v>
      </c>
      <c r="BB163" s="78"/>
      <c r="BC163" s="73"/>
      <c r="BD163" s="73"/>
      <c r="BE163" s="73"/>
      <c r="BF163" s="73"/>
      <c r="BG163" s="73"/>
      <c r="BH163" s="73"/>
      <c r="BI163" s="73"/>
      <c r="BJ163" s="73" t="e">
        <f>WEEKNUM(BI163-RESUMEN!$BL$7)</f>
        <v>#NUM!</v>
      </c>
      <c r="BK163" s="73">
        <f>_xlfn.DAYS(BI163,RESUMEN!$BL$7)</f>
        <v>-43267</v>
      </c>
      <c r="BL163" s="73"/>
      <c r="BM163" s="73" t="e">
        <f>LOOKUP(BL163,FORMULAS!$A:$A,FORMULAS!$B:$B)</f>
        <v>#N/A</v>
      </c>
      <c r="BN163" s="78"/>
      <c r="BO163" s="73"/>
      <c r="BP163" s="73"/>
      <c r="BQ163" s="73"/>
      <c r="BR163" s="73"/>
      <c r="BS163" s="73"/>
      <c r="BT163" s="73"/>
    </row>
    <row r="164" spans="1:72" x14ac:dyDescent="0.25">
      <c r="A164" s="75"/>
      <c r="B164" s="74" t="e">
        <f>WEEKNUM(A164-RESUMEN!$D$7)</f>
        <v>#NUM!</v>
      </c>
      <c r="C164" s="74">
        <f>_xlfn.DAYS(A164,RESUMEN!$D$7)</f>
        <v>-43238</v>
      </c>
      <c r="D164" s="75"/>
      <c r="E164" s="73" t="e">
        <f>LOOKUP(D164,FORMULAS!$A:$A,FORMULAS!$B:$B)</f>
        <v>#N/A</v>
      </c>
      <c r="F164" s="80"/>
      <c r="G164" s="75"/>
      <c r="H164" s="75"/>
      <c r="I164" s="73"/>
      <c r="J164" s="73"/>
      <c r="K164" s="73"/>
      <c r="L164" s="73"/>
      <c r="M164" s="73"/>
      <c r="N164" s="73" t="e">
        <f>WEEKNUM(M164-RESUMEN!$P$7)</f>
        <v>#NUM!</v>
      </c>
      <c r="O164" s="73">
        <f>_xlfn.DAYS(M164,RESUMEN!$P$7)</f>
        <v>-43242</v>
      </c>
      <c r="P164" s="73"/>
      <c r="Q164" s="73" t="e">
        <f>LOOKUP(P164,FORMULAS!$A:$A,FORMULAS!$B:$B)</f>
        <v>#N/A</v>
      </c>
      <c r="R164" s="78"/>
      <c r="S164" s="73"/>
      <c r="T164" s="73"/>
      <c r="U164" s="73"/>
      <c r="V164" s="73"/>
      <c r="W164" s="73"/>
      <c r="X164" s="73"/>
      <c r="Y164" s="73"/>
      <c r="Z164" s="73" t="e">
        <f>WEEKNUM(Y164-RESUMEN!$AB$7)</f>
        <v>#NUM!</v>
      </c>
      <c r="AA164" s="73">
        <f>_xlfn.DAYS(Y164,RESUMEN!$AB$7)</f>
        <v>-43247</v>
      </c>
      <c r="AB164" s="73"/>
      <c r="AC164" s="73" t="e">
        <f>LOOKUP(AB164,FORMULAS!$A:$A,FORMULAS!$B:$B)</f>
        <v>#N/A</v>
      </c>
      <c r="AD164" s="78"/>
      <c r="AE164" s="73"/>
      <c r="AF164" s="73"/>
      <c r="AG164" s="73"/>
      <c r="AH164" s="73"/>
      <c r="AI164" s="73"/>
      <c r="AJ164" s="73"/>
      <c r="AK164" s="73"/>
      <c r="AL164" s="73" t="e">
        <f>WEEKNUM(AK164-RESUMEN!$AN$7)</f>
        <v>#NUM!</v>
      </c>
      <c r="AM164" s="73">
        <f>_xlfn.DAYS(AK164,RESUMEN!$AN$7)</f>
        <v>-43254</v>
      </c>
      <c r="AN164" s="73"/>
      <c r="AO164" s="73" t="e">
        <f>LOOKUP(AN164,FORMULAS!$A:$A,FORMULAS!$B:$B)</f>
        <v>#N/A</v>
      </c>
      <c r="AP164" s="78"/>
      <c r="AQ164" s="78"/>
      <c r="AR164" s="73"/>
      <c r="AS164" s="73"/>
      <c r="AT164" s="73"/>
      <c r="AU164" s="73"/>
      <c r="AV164" s="73"/>
      <c r="AW164" s="73"/>
      <c r="AX164" s="73" t="e">
        <f>WEEKNUM(AW164-RESUMEN!$AZ$7)</f>
        <v>#NUM!</v>
      </c>
      <c r="AY164" s="73">
        <f>_xlfn.DAYS(AW164,RESUMEN!$AZ$7)</f>
        <v>-43261</v>
      </c>
      <c r="AZ164" s="73"/>
      <c r="BA164" s="73" t="e">
        <f>LOOKUP(AZ164,FORMULAS!$A:$A,FORMULAS!$B:$B)</f>
        <v>#N/A</v>
      </c>
      <c r="BB164" s="78"/>
      <c r="BC164" s="73"/>
      <c r="BD164" s="73"/>
      <c r="BE164" s="73"/>
      <c r="BF164" s="73"/>
      <c r="BG164" s="73"/>
      <c r="BH164" s="73"/>
      <c r="BI164" s="73"/>
      <c r="BJ164" s="73" t="e">
        <f>WEEKNUM(BI164-RESUMEN!$BL$7)</f>
        <v>#NUM!</v>
      </c>
      <c r="BK164" s="73">
        <f>_xlfn.DAYS(BI164,RESUMEN!$BL$7)</f>
        <v>-43267</v>
      </c>
      <c r="BL164" s="73"/>
      <c r="BM164" s="73" t="e">
        <f>LOOKUP(BL164,FORMULAS!$A:$A,FORMULAS!$B:$B)</f>
        <v>#N/A</v>
      </c>
      <c r="BN164" s="78"/>
      <c r="BO164" s="73"/>
      <c r="BP164" s="73"/>
      <c r="BQ164" s="73"/>
      <c r="BR164" s="73"/>
      <c r="BS164" s="73"/>
      <c r="BT164" s="73"/>
    </row>
    <row r="165" spans="1:72" x14ac:dyDescent="0.25">
      <c r="A165" s="75"/>
      <c r="B165" s="74" t="e">
        <f>WEEKNUM(A165-RESUMEN!$D$7)</f>
        <v>#NUM!</v>
      </c>
      <c r="C165" s="74">
        <f>_xlfn.DAYS(A165,RESUMEN!$D$7)</f>
        <v>-43238</v>
      </c>
      <c r="D165" s="75"/>
      <c r="E165" s="73" t="e">
        <f>LOOKUP(D165,FORMULAS!$A:$A,FORMULAS!$B:$B)</f>
        <v>#N/A</v>
      </c>
      <c r="F165" s="80"/>
      <c r="G165" s="75"/>
      <c r="H165" s="75"/>
      <c r="I165" s="73"/>
      <c r="J165" s="73"/>
      <c r="K165" s="73"/>
      <c r="L165" s="73"/>
      <c r="M165" s="73"/>
      <c r="N165" s="73" t="e">
        <f>WEEKNUM(M165-RESUMEN!$P$7)</f>
        <v>#NUM!</v>
      </c>
      <c r="O165" s="73">
        <f>_xlfn.DAYS(M165,RESUMEN!$P$7)</f>
        <v>-43242</v>
      </c>
      <c r="P165" s="73"/>
      <c r="Q165" s="73" t="e">
        <f>LOOKUP(P165,FORMULAS!$A:$A,FORMULAS!$B:$B)</f>
        <v>#N/A</v>
      </c>
      <c r="R165" s="78"/>
      <c r="S165" s="73"/>
      <c r="T165" s="73"/>
      <c r="U165" s="73"/>
      <c r="V165" s="73"/>
      <c r="W165" s="73"/>
      <c r="X165" s="73"/>
      <c r="Y165" s="73"/>
      <c r="Z165" s="73" t="e">
        <f>WEEKNUM(Y165-RESUMEN!$AB$7)</f>
        <v>#NUM!</v>
      </c>
      <c r="AA165" s="73">
        <f>_xlfn.DAYS(Y165,RESUMEN!$AB$7)</f>
        <v>-43247</v>
      </c>
      <c r="AB165" s="73"/>
      <c r="AC165" s="73" t="e">
        <f>LOOKUP(AB165,FORMULAS!$A:$A,FORMULAS!$B:$B)</f>
        <v>#N/A</v>
      </c>
      <c r="AD165" s="78"/>
      <c r="AE165" s="73"/>
      <c r="AF165" s="73"/>
      <c r="AG165" s="73"/>
      <c r="AH165" s="73"/>
      <c r="AI165" s="73"/>
      <c r="AJ165" s="73"/>
      <c r="AK165" s="73"/>
      <c r="AL165" s="73" t="e">
        <f>WEEKNUM(AK165-RESUMEN!$AN$7)</f>
        <v>#NUM!</v>
      </c>
      <c r="AM165" s="73">
        <f>_xlfn.DAYS(AK165,RESUMEN!$AN$7)</f>
        <v>-43254</v>
      </c>
      <c r="AN165" s="73"/>
      <c r="AO165" s="73" t="e">
        <f>LOOKUP(AN165,FORMULAS!$A:$A,FORMULAS!$B:$B)</f>
        <v>#N/A</v>
      </c>
      <c r="AP165" s="78"/>
      <c r="AQ165" s="78"/>
      <c r="AR165" s="73"/>
      <c r="AS165" s="73"/>
      <c r="AT165" s="73"/>
      <c r="AU165" s="73"/>
      <c r="AV165" s="73"/>
      <c r="AW165" s="73"/>
      <c r="AX165" s="73" t="e">
        <f>WEEKNUM(AW165-RESUMEN!$AZ$7)</f>
        <v>#NUM!</v>
      </c>
      <c r="AY165" s="73">
        <f>_xlfn.DAYS(AW165,RESUMEN!$AZ$7)</f>
        <v>-43261</v>
      </c>
      <c r="AZ165" s="73"/>
      <c r="BA165" s="73" t="e">
        <f>LOOKUP(AZ165,FORMULAS!$A:$A,FORMULAS!$B:$B)</f>
        <v>#N/A</v>
      </c>
      <c r="BB165" s="78"/>
      <c r="BC165" s="73"/>
      <c r="BD165" s="73"/>
      <c r="BE165" s="73"/>
      <c r="BF165" s="73"/>
      <c r="BG165" s="73"/>
      <c r="BH165" s="73"/>
      <c r="BI165" s="73"/>
      <c r="BJ165" s="73" t="e">
        <f>WEEKNUM(BI165-RESUMEN!$BL$7)</f>
        <v>#NUM!</v>
      </c>
      <c r="BK165" s="73">
        <f>_xlfn.DAYS(BI165,RESUMEN!$BL$7)</f>
        <v>-43267</v>
      </c>
      <c r="BL165" s="73"/>
      <c r="BM165" s="73" t="e">
        <f>LOOKUP(BL165,FORMULAS!$A:$A,FORMULAS!$B:$B)</f>
        <v>#N/A</v>
      </c>
      <c r="BN165" s="78"/>
      <c r="BO165" s="73"/>
      <c r="BP165" s="73"/>
      <c r="BQ165" s="73"/>
      <c r="BR165" s="73"/>
      <c r="BS165" s="73"/>
      <c r="BT165" s="73"/>
    </row>
    <row r="166" spans="1:72" x14ac:dyDescent="0.25">
      <c r="A166" s="75"/>
      <c r="B166" s="74" t="e">
        <f>WEEKNUM(A166-RESUMEN!$D$7)</f>
        <v>#NUM!</v>
      </c>
      <c r="C166" s="74">
        <f>_xlfn.DAYS(A166,RESUMEN!$D$7)</f>
        <v>-43238</v>
      </c>
      <c r="D166" s="75"/>
      <c r="E166" s="73" t="e">
        <f>LOOKUP(D166,FORMULAS!$A:$A,FORMULAS!$B:$B)</f>
        <v>#N/A</v>
      </c>
      <c r="F166" s="80"/>
      <c r="G166" s="75"/>
      <c r="H166" s="75"/>
      <c r="I166" s="73"/>
      <c r="J166" s="73"/>
      <c r="K166" s="73"/>
      <c r="L166" s="73"/>
      <c r="M166" s="73"/>
      <c r="N166" s="73" t="e">
        <f>WEEKNUM(M166-RESUMEN!$P$7)</f>
        <v>#NUM!</v>
      </c>
      <c r="O166" s="73">
        <f>_xlfn.DAYS(M166,RESUMEN!$P$7)</f>
        <v>-43242</v>
      </c>
      <c r="P166" s="73"/>
      <c r="Q166" s="73" t="e">
        <f>LOOKUP(P166,FORMULAS!$A:$A,FORMULAS!$B:$B)</f>
        <v>#N/A</v>
      </c>
      <c r="R166" s="78"/>
      <c r="S166" s="73"/>
      <c r="T166" s="73"/>
      <c r="U166" s="73"/>
      <c r="V166" s="73"/>
      <c r="W166" s="73"/>
      <c r="X166" s="73"/>
      <c r="Y166" s="73"/>
      <c r="Z166" s="73" t="e">
        <f>WEEKNUM(Y166-RESUMEN!$AB$7)</f>
        <v>#NUM!</v>
      </c>
      <c r="AA166" s="73">
        <f>_xlfn.DAYS(Y166,RESUMEN!$AB$7)</f>
        <v>-43247</v>
      </c>
      <c r="AB166" s="73"/>
      <c r="AC166" s="73" t="e">
        <f>LOOKUP(AB166,FORMULAS!$A:$A,FORMULAS!$B:$B)</f>
        <v>#N/A</v>
      </c>
      <c r="AD166" s="78"/>
      <c r="AE166" s="73"/>
      <c r="AF166" s="73"/>
      <c r="AG166" s="73"/>
      <c r="AH166" s="73"/>
      <c r="AI166" s="73"/>
      <c r="AJ166" s="73"/>
      <c r="AK166" s="73"/>
      <c r="AL166" s="73" t="e">
        <f>WEEKNUM(AK166-RESUMEN!$AN$7)</f>
        <v>#NUM!</v>
      </c>
      <c r="AM166" s="73">
        <f>_xlfn.DAYS(AK166,RESUMEN!$AN$7)</f>
        <v>-43254</v>
      </c>
      <c r="AN166" s="73"/>
      <c r="AO166" s="73" t="e">
        <f>LOOKUP(AN166,FORMULAS!$A:$A,FORMULAS!$B:$B)</f>
        <v>#N/A</v>
      </c>
      <c r="AP166" s="78"/>
      <c r="AQ166" s="78"/>
      <c r="AR166" s="73"/>
      <c r="AS166" s="73"/>
      <c r="AT166" s="73"/>
      <c r="AU166" s="73"/>
      <c r="AV166" s="73"/>
      <c r="AW166" s="73"/>
      <c r="AX166" s="73" t="e">
        <f>WEEKNUM(AW166-RESUMEN!$AZ$7)</f>
        <v>#NUM!</v>
      </c>
      <c r="AY166" s="73">
        <f>_xlfn.DAYS(AW166,RESUMEN!$AZ$7)</f>
        <v>-43261</v>
      </c>
      <c r="AZ166" s="73"/>
      <c r="BA166" s="73" t="e">
        <f>LOOKUP(AZ166,FORMULAS!$A:$A,FORMULAS!$B:$B)</f>
        <v>#N/A</v>
      </c>
      <c r="BB166" s="78"/>
      <c r="BC166" s="73"/>
      <c r="BD166" s="73"/>
      <c r="BE166" s="73"/>
      <c r="BF166" s="73"/>
      <c r="BG166" s="73"/>
      <c r="BH166" s="73"/>
      <c r="BI166" s="73"/>
      <c r="BJ166" s="73" t="e">
        <f>WEEKNUM(BI166-RESUMEN!$BL$7)</f>
        <v>#NUM!</v>
      </c>
      <c r="BK166" s="73">
        <f>_xlfn.DAYS(BI166,RESUMEN!$BL$7)</f>
        <v>-43267</v>
      </c>
      <c r="BL166" s="73"/>
      <c r="BM166" s="73" t="e">
        <f>LOOKUP(BL166,FORMULAS!$A:$A,FORMULAS!$B:$B)</f>
        <v>#N/A</v>
      </c>
      <c r="BN166" s="78"/>
      <c r="BO166" s="73"/>
      <c r="BP166" s="73"/>
      <c r="BQ166" s="73"/>
      <c r="BR166" s="73"/>
      <c r="BS166" s="73"/>
      <c r="BT166" s="73"/>
    </row>
    <row r="167" spans="1:72" x14ac:dyDescent="0.25">
      <c r="A167" s="75"/>
      <c r="B167" s="74" t="e">
        <f>WEEKNUM(A167-RESUMEN!$D$7)</f>
        <v>#NUM!</v>
      </c>
      <c r="C167" s="74">
        <f>_xlfn.DAYS(A167,RESUMEN!$D$7)</f>
        <v>-43238</v>
      </c>
      <c r="D167" s="75"/>
      <c r="E167" s="73" t="e">
        <f>LOOKUP(D167,FORMULAS!$A:$A,FORMULAS!$B:$B)</f>
        <v>#N/A</v>
      </c>
      <c r="F167" s="80"/>
      <c r="G167" s="75"/>
      <c r="H167" s="75"/>
      <c r="I167" s="73"/>
      <c r="J167" s="73"/>
      <c r="K167" s="73"/>
      <c r="L167" s="73"/>
      <c r="M167" s="73"/>
      <c r="N167" s="73" t="e">
        <f>WEEKNUM(M167-RESUMEN!$P$7)</f>
        <v>#NUM!</v>
      </c>
      <c r="O167" s="73">
        <f>_xlfn.DAYS(M167,RESUMEN!$P$7)</f>
        <v>-43242</v>
      </c>
      <c r="P167" s="73"/>
      <c r="Q167" s="73" t="e">
        <f>LOOKUP(P167,FORMULAS!$A:$A,FORMULAS!$B:$B)</f>
        <v>#N/A</v>
      </c>
      <c r="R167" s="78"/>
      <c r="S167" s="73"/>
      <c r="T167" s="73"/>
      <c r="U167" s="73"/>
      <c r="V167" s="73"/>
      <c r="W167" s="73"/>
      <c r="X167" s="73"/>
      <c r="Y167" s="73"/>
      <c r="Z167" s="73" t="e">
        <f>WEEKNUM(Y167-RESUMEN!$AB$7)</f>
        <v>#NUM!</v>
      </c>
      <c r="AA167" s="73">
        <f>_xlfn.DAYS(Y167,RESUMEN!$AB$7)</f>
        <v>-43247</v>
      </c>
      <c r="AB167" s="73"/>
      <c r="AC167" s="73" t="e">
        <f>LOOKUP(AB167,FORMULAS!$A:$A,FORMULAS!$B:$B)</f>
        <v>#N/A</v>
      </c>
      <c r="AD167" s="78"/>
      <c r="AE167" s="73"/>
      <c r="AF167" s="73"/>
      <c r="AG167" s="73"/>
      <c r="AH167" s="73"/>
      <c r="AI167" s="73"/>
      <c r="AJ167" s="73"/>
      <c r="AK167" s="73"/>
      <c r="AL167" s="73" t="e">
        <f>WEEKNUM(AK167-RESUMEN!$AN$7)</f>
        <v>#NUM!</v>
      </c>
      <c r="AM167" s="73">
        <f>_xlfn.DAYS(AK167,RESUMEN!$AN$7)</f>
        <v>-43254</v>
      </c>
      <c r="AN167" s="73"/>
      <c r="AO167" s="73" t="e">
        <f>LOOKUP(AN167,FORMULAS!$A:$A,FORMULAS!$B:$B)</f>
        <v>#N/A</v>
      </c>
      <c r="AP167" s="78"/>
      <c r="AQ167" s="78"/>
      <c r="AR167" s="73"/>
      <c r="AS167" s="73"/>
      <c r="AT167" s="73"/>
      <c r="AU167" s="73"/>
      <c r="AV167" s="73"/>
      <c r="AW167" s="73"/>
      <c r="AX167" s="73" t="e">
        <f>WEEKNUM(AW167-RESUMEN!$AZ$7)</f>
        <v>#NUM!</v>
      </c>
      <c r="AY167" s="73">
        <f>_xlfn.DAYS(AW167,RESUMEN!$AZ$7)</f>
        <v>-43261</v>
      </c>
      <c r="AZ167" s="73"/>
      <c r="BA167" s="73" t="e">
        <f>LOOKUP(AZ167,FORMULAS!$A:$A,FORMULAS!$B:$B)</f>
        <v>#N/A</v>
      </c>
      <c r="BB167" s="78"/>
      <c r="BC167" s="73"/>
      <c r="BD167" s="73"/>
      <c r="BE167" s="73"/>
      <c r="BF167" s="73"/>
      <c r="BG167" s="73"/>
      <c r="BH167" s="73"/>
      <c r="BI167" s="73"/>
      <c r="BJ167" s="73" t="e">
        <f>WEEKNUM(BI167-RESUMEN!$BL$7)</f>
        <v>#NUM!</v>
      </c>
      <c r="BK167" s="73">
        <f>_xlfn.DAYS(BI167,RESUMEN!$BL$7)</f>
        <v>-43267</v>
      </c>
      <c r="BL167" s="73"/>
      <c r="BM167" s="73" t="e">
        <f>LOOKUP(BL167,FORMULAS!$A:$A,FORMULAS!$B:$B)</f>
        <v>#N/A</v>
      </c>
      <c r="BN167" s="78"/>
      <c r="BO167" s="73"/>
      <c r="BP167" s="73"/>
      <c r="BQ167" s="73"/>
      <c r="BR167" s="73"/>
      <c r="BS167" s="73"/>
      <c r="BT167" s="73"/>
    </row>
    <row r="168" spans="1:72" x14ac:dyDescent="0.25">
      <c r="A168" s="75"/>
      <c r="B168" s="74" t="e">
        <f>WEEKNUM(A168-RESUMEN!$D$7)</f>
        <v>#NUM!</v>
      </c>
      <c r="C168" s="74">
        <f>_xlfn.DAYS(A168,RESUMEN!$D$7)</f>
        <v>-43238</v>
      </c>
      <c r="D168" s="75"/>
      <c r="E168" s="73" t="e">
        <f>LOOKUP(D168,FORMULAS!$A:$A,FORMULAS!$B:$B)</f>
        <v>#N/A</v>
      </c>
      <c r="F168" s="80"/>
      <c r="G168" s="75"/>
      <c r="H168" s="75"/>
      <c r="I168" s="73"/>
      <c r="J168" s="73"/>
      <c r="K168" s="73"/>
      <c r="L168" s="73"/>
      <c r="M168" s="73"/>
      <c r="N168" s="73" t="e">
        <f>WEEKNUM(M168-RESUMEN!$P$7)</f>
        <v>#NUM!</v>
      </c>
      <c r="O168" s="73">
        <f>_xlfn.DAYS(M168,RESUMEN!$P$7)</f>
        <v>-43242</v>
      </c>
      <c r="P168" s="73"/>
      <c r="Q168" s="73" t="e">
        <f>LOOKUP(P168,FORMULAS!$A:$A,FORMULAS!$B:$B)</f>
        <v>#N/A</v>
      </c>
      <c r="R168" s="78"/>
      <c r="S168" s="73"/>
      <c r="T168" s="73"/>
      <c r="U168" s="73"/>
      <c r="V168" s="73"/>
      <c r="W168" s="73"/>
      <c r="X168" s="73"/>
      <c r="Y168" s="73"/>
      <c r="Z168" s="73" t="e">
        <f>WEEKNUM(Y168-RESUMEN!$AB$7)</f>
        <v>#NUM!</v>
      </c>
      <c r="AA168" s="73">
        <f>_xlfn.DAYS(Y168,RESUMEN!$AB$7)</f>
        <v>-43247</v>
      </c>
      <c r="AB168" s="73"/>
      <c r="AC168" s="73" t="e">
        <f>LOOKUP(AB168,FORMULAS!$A:$A,FORMULAS!$B:$B)</f>
        <v>#N/A</v>
      </c>
      <c r="AD168" s="78"/>
      <c r="AE168" s="73"/>
      <c r="AF168" s="73"/>
      <c r="AG168" s="73"/>
      <c r="AH168" s="73"/>
      <c r="AI168" s="73"/>
      <c r="AJ168" s="73"/>
      <c r="AK168" s="73"/>
      <c r="AL168" s="73" t="e">
        <f>WEEKNUM(AK168-RESUMEN!$AN$7)</f>
        <v>#NUM!</v>
      </c>
      <c r="AM168" s="73">
        <f>_xlfn.DAYS(AK168,RESUMEN!$AN$7)</f>
        <v>-43254</v>
      </c>
      <c r="AN168" s="73"/>
      <c r="AO168" s="73" t="e">
        <f>LOOKUP(AN168,FORMULAS!$A:$A,FORMULAS!$B:$B)</f>
        <v>#N/A</v>
      </c>
      <c r="AP168" s="78"/>
      <c r="AQ168" s="78"/>
      <c r="AR168" s="73"/>
      <c r="AS168" s="73"/>
      <c r="AT168" s="73"/>
      <c r="AU168" s="73"/>
      <c r="AV168" s="73"/>
      <c r="AW168" s="73"/>
      <c r="AX168" s="73" t="e">
        <f>WEEKNUM(AW168-RESUMEN!$AZ$7)</f>
        <v>#NUM!</v>
      </c>
      <c r="AY168" s="73">
        <f>_xlfn.DAYS(AW168,RESUMEN!$AZ$7)</f>
        <v>-43261</v>
      </c>
      <c r="AZ168" s="73"/>
      <c r="BA168" s="73" t="e">
        <f>LOOKUP(AZ168,FORMULAS!$A:$A,FORMULAS!$B:$B)</f>
        <v>#N/A</v>
      </c>
      <c r="BB168" s="78"/>
      <c r="BC168" s="73"/>
      <c r="BD168" s="73"/>
      <c r="BE168" s="73"/>
      <c r="BF168" s="73"/>
      <c r="BG168" s="73"/>
      <c r="BH168" s="73"/>
      <c r="BI168" s="73"/>
      <c r="BJ168" s="73" t="e">
        <f>WEEKNUM(BI168-RESUMEN!$BL$7)</f>
        <v>#NUM!</v>
      </c>
      <c r="BK168" s="73">
        <f>_xlfn.DAYS(BI168,RESUMEN!$BL$7)</f>
        <v>-43267</v>
      </c>
      <c r="BL168" s="73"/>
      <c r="BM168" s="73" t="e">
        <f>LOOKUP(BL168,FORMULAS!$A:$A,FORMULAS!$B:$B)</f>
        <v>#N/A</v>
      </c>
      <c r="BN168" s="78"/>
      <c r="BO168" s="73"/>
      <c r="BP168" s="73"/>
      <c r="BQ168" s="73"/>
      <c r="BR168" s="73"/>
      <c r="BS168" s="73"/>
      <c r="BT168" s="73"/>
    </row>
    <row r="169" spans="1:72" x14ac:dyDescent="0.25">
      <c r="A169" s="75"/>
      <c r="B169" s="74" t="e">
        <f>WEEKNUM(A169-RESUMEN!$D$7)</f>
        <v>#NUM!</v>
      </c>
      <c r="C169" s="74">
        <f>_xlfn.DAYS(A169,RESUMEN!$D$7)</f>
        <v>-43238</v>
      </c>
      <c r="D169" s="75"/>
      <c r="E169" s="73" t="e">
        <f>LOOKUP(D169,FORMULAS!$A:$A,FORMULAS!$B:$B)</f>
        <v>#N/A</v>
      </c>
      <c r="F169" s="80"/>
      <c r="G169" s="75"/>
      <c r="H169" s="75"/>
      <c r="I169" s="73"/>
      <c r="J169" s="73"/>
      <c r="K169" s="73"/>
      <c r="L169" s="73"/>
      <c r="M169" s="73"/>
      <c r="N169" s="73" t="e">
        <f>WEEKNUM(M169-RESUMEN!$P$7)</f>
        <v>#NUM!</v>
      </c>
      <c r="O169" s="73">
        <f>_xlfn.DAYS(M169,RESUMEN!$P$7)</f>
        <v>-43242</v>
      </c>
      <c r="P169" s="73"/>
      <c r="Q169" s="73" t="e">
        <f>LOOKUP(P169,FORMULAS!$A:$A,FORMULAS!$B:$B)</f>
        <v>#N/A</v>
      </c>
      <c r="R169" s="78"/>
      <c r="S169" s="73"/>
      <c r="T169" s="73"/>
      <c r="U169" s="73"/>
      <c r="V169" s="73"/>
      <c r="W169" s="73"/>
      <c r="X169" s="73"/>
      <c r="Y169" s="73"/>
      <c r="Z169" s="73" t="e">
        <f>WEEKNUM(Y169-RESUMEN!$AB$7)</f>
        <v>#NUM!</v>
      </c>
      <c r="AA169" s="73">
        <f>_xlfn.DAYS(Y169,RESUMEN!$AB$7)</f>
        <v>-43247</v>
      </c>
      <c r="AB169" s="73"/>
      <c r="AC169" s="73" t="e">
        <f>LOOKUP(AB169,FORMULAS!$A:$A,FORMULAS!$B:$B)</f>
        <v>#N/A</v>
      </c>
      <c r="AD169" s="78"/>
      <c r="AE169" s="73"/>
      <c r="AF169" s="73"/>
      <c r="AG169" s="73"/>
      <c r="AH169" s="73"/>
      <c r="AI169" s="73"/>
      <c r="AJ169" s="73"/>
      <c r="AK169" s="73"/>
      <c r="AL169" s="73" t="e">
        <f>WEEKNUM(AK169-RESUMEN!$AN$7)</f>
        <v>#NUM!</v>
      </c>
      <c r="AM169" s="73">
        <f>_xlfn.DAYS(AK169,RESUMEN!$AN$7)</f>
        <v>-43254</v>
      </c>
      <c r="AN169" s="73"/>
      <c r="AO169" s="73" t="e">
        <f>LOOKUP(AN169,FORMULAS!$A:$A,FORMULAS!$B:$B)</f>
        <v>#N/A</v>
      </c>
      <c r="AP169" s="78"/>
      <c r="AQ169" s="78"/>
      <c r="AR169" s="73"/>
      <c r="AS169" s="73"/>
      <c r="AT169" s="73"/>
      <c r="AU169" s="73"/>
      <c r="AV169" s="73"/>
      <c r="AW169" s="73"/>
      <c r="AX169" s="73" t="e">
        <f>WEEKNUM(AW169-RESUMEN!$AZ$7)</f>
        <v>#NUM!</v>
      </c>
      <c r="AY169" s="73">
        <f>_xlfn.DAYS(AW169,RESUMEN!$AZ$7)</f>
        <v>-43261</v>
      </c>
      <c r="AZ169" s="73"/>
      <c r="BA169" s="73" t="e">
        <f>LOOKUP(AZ169,FORMULAS!$A:$A,FORMULAS!$B:$B)</f>
        <v>#N/A</v>
      </c>
      <c r="BB169" s="78"/>
      <c r="BC169" s="73"/>
      <c r="BD169" s="73"/>
      <c r="BE169" s="73"/>
      <c r="BF169" s="73"/>
      <c r="BG169" s="73"/>
      <c r="BH169" s="73"/>
      <c r="BI169" s="73"/>
      <c r="BJ169" s="73" t="e">
        <f>WEEKNUM(BI169-RESUMEN!$BL$7)</f>
        <v>#NUM!</v>
      </c>
      <c r="BK169" s="73">
        <f>_xlfn.DAYS(BI169,RESUMEN!$BL$7)</f>
        <v>-43267</v>
      </c>
      <c r="BL169" s="73"/>
      <c r="BM169" s="73" t="e">
        <f>LOOKUP(BL169,FORMULAS!$A:$A,FORMULAS!$B:$B)</f>
        <v>#N/A</v>
      </c>
      <c r="BN169" s="78"/>
      <c r="BO169" s="73"/>
      <c r="BP169" s="73"/>
      <c r="BQ169" s="73"/>
      <c r="BR169" s="73"/>
      <c r="BS169" s="73"/>
      <c r="BT169" s="73"/>
    </row>
    <row r="170" spans="1:72" x14ac:dyDescent="0.25">
      <c r="A170" s="75"/>
      <c r="B170" s="74" t="e">
        <f>WEEKNUM(A170-RESUMEN!$D$7)</f>
        <v>#NUM!</v>
      </c>
      <c r="C170" s="74">
        <f>_xlfn.DAYS(A170,RESUMEN!$D$7)</f>
        <v>-43238</v>
      </c>
      <c r="D170" s="75"/>
      <c r="E170" s="73" t="e">
        <f>LOOKUP(D170,FORMULAS!$A:$A,FORMULAS!$B:$B)</f>
        <v>#N/A</v>
      </c>
      <c r="F170" s="80"/>
      <c r="G170" s="75"/>
      <c r="H170" s="75"/>
      <c r="I170" s="73"/>
      <c r="J170" s="73"/>
      <c r="K170" s="73"/>
      <c r="L170" s="73"/>
      <c r="M170" s="73"/>
      <c r="N170" s="73" t="e">
        <f>WEEKNUM(M170-RESUMEN!$P$7)</f>
        <v>#NUM!</v>
      </c>
      <c r="O170" s="73">
        <f>_xlfn.DAYS(M170,RESUMEN!$P$7)</f>
        <v>-43242</v>
      </c>
      <c r="P170" s="73"/>
      <c r="Q170" s="73" t="e">
        <f>LOOKUP(P170,FORMULAS!$A:$A,FORMULAS!$B:$B)</f>
        <v>#N/A</v>
      </c>
      <c r="R170" s="78"/>
      <c r="S170" s="73"/>
      <c r="T170" s="73"/>
      <c r="U170" s="73"/>
      <c r="V170" s="73"/>
      <c r="W170" s="73"/>
      <c r="X170" s="73"/>
      <c r="Y170" s="73"/>
      <c r="Z170" s="73" t="e">
        <f>WEEKNUM(Y170-RESUMEN!$AB$7)</f>
        <v>#NUM!</v>
      </c>
      <c r="AA170" s="73">
        <f>_xlfn.DAYS(Y170,RESUMEN!$AB$7)</f>
        <v>-43247</v>
      </c>
      <c r="AB170" s="73"/>
      <c r="AC170" s="73" t="e">
        <f>LOOKUP(AB170,FORMULAS!$A:$A,FORMULAS!$B:$B)</f>
        <v>#N/A</v>
      </c>
      <c r="AD170" s="78"/>
      <c r="AE170" s="73"/>
      <c r="AF170" s="73"/>
      <c r="AG170" s="73"/>
      <c r="AH170" s="73"/>
      <c r="AI170" s="73"/>
      <c r="AJ170" s="73"/>
      <c r="AK170" s="73"/>
      <c r="AL170" s="73" t="e">
        <f>WEEKNUM(AK170-RESUMEN!$AN$7)</f>
        <v>#NUM!</v>
      </c>
      <c r="AM170" s="73">
        <f>_xlfn.DAYS(AK170,RESUMEN!$AN$7)</f>
        <v>-43254</v>
      </c>
      <c r="AN170" s="73"/>
      <c r="AO170" s="73" t="e">
        <f>LOOKUP(AN170,FORMULAS!$A:$A,FORMULAS!$B:$B)</f>
        <v>#N/A</v>
      </c>
      <c r="AP170" s="78"/>
      <c r="AQ170" s="78"/>
      <c r="AR170" s="73"/>
      <c r="AS170" s="73"/>
      <c r="AT170" s="73"/>
      <c r="AU170" s="73"/>
      <c r="AV170" s="73"/>
      <c r="AW170" s="73"/>
      <c r="AX170" s="73" t="e">
        <f>WEEKNUM(AW170-RESUMEN!$AZ$7)</f>
        <v>#NUM!</v>
      </c>
      <c r="AY170" s="73">
        <f>_xlfn.DAYS(AW170,RESUMEN!$AZ$7)</f>
        <v>-43261</v>
      </c>
      <c r="AZ170" s="73"/>
      <c r="BA170" s="73" t="e">
        <f>LOOKUP(AZ170,FORMULAS!$A:$A,FORMULAS!$B:$B)</f>
        <v>#N/A</v>
      </c>
      <c r="BB170" s="78"/>
      <c r="BC170" s="73"/>
      <c r="BD170" s="73"/>
      <c r="BE170" s="73"/>
      <c r="BF170" s="73"/>
      <c r="BG170" s="73"/>
      <c r="BH170" s="73"/>
      <c r="BI170" s="73"/>
      <c r="BJ170" s="73" t="e">
        <f>WEEKNUM(BI170-RESUMEN!$BL$7)</f>
        <v>#NUM!</v>
      </c>
      <c r="BK170" s="73">
        <f>_xlfn.DAYS(BI170,RESUMEN!$BL$7)</f>
        <v>-43267</v>
      </c>
      <c r="BL170" s="73"/>
      <c r="BM170" s="73" t="e">
        <f>LOOKUP(BL170,FORMULAS!$A:$A,FORMULAS!$B:$B)</f>
        <v>#N/A</v>
      </c>
      <c r="BN170" s="78"/>
      <c r="BO170" s="73"/>
      <c r="BP170" s="73"/>
      <c r="BQ170" s="73"/>
      <c r="BR170" s="73"/>
      <c r="BS170" s="73"/>
      <c r="BT170" s="73"/>
    </row>
    <row r="171" spans="1:72" x14ac:dyDescent="0.25">
      <c r="A171" s="75"/>
      <c r="B171" s="74" t="e">
        <f>WEEKNUM(A171-RESUMEN!$D$7)</f>
        <v>#NUM!</v>
      </c>
      <c r="C171" s="74">
        <f>_xlfn.DAYS(A171,RESUMEN!$D$7)</f>
        <v>-43238</v>
      </c>
      <c r="D171" s="75"/>
      <c r="E171" s="73" t="e">
        <f>LOOKUP(D171,FORMULAS!$A:$A,FORMULAS!$B:$B)</f>
        <v>#N/A</v>
      </c>
      <c r="F171" s="80"/>
      <c r="G171" s="75"/>
      <c r="H171" s="75"/>
      <c r="I171" s="73"/>
      <c r="J171" s="73"/>
      <c r="K171" s="73"/>
      <c r="L171" s="73"/>
      <c r="M171" s="73"/>
      <c r="N171" s="73" t="e">
        <f>WEEKNUM(M171-RESUMEN!$P$7)</f>
        <v>#NUM!</v>
      </c>
      <c r="O171" s="73">
        <f>_xlfn.DAYS(M171,RESUMEN!$P$7)</f>
        <v>-43242</v>
      </c>
      <c r="P171" s="73"/>
      <c r="Q171" s="73" t="e">
        <f>LOOKUP(P171,FORMULAS!$A:$A,FORMULAS!$B:$B)</f>
        <v>#N/A</v>
      </c>
      <c r="R171" s="78"/>
      <c r="S171" s="73"/>
      <c r="T171" s="73"/>
      <c r="U171" s="73"/>
      <c r="V171" s="73"/>
      <c r="W171" s="73"/>
      <c r="X171" s="73"/>
      <c r="Y171" s="73"/>
      <c r="Z171" s="73" t="e">
        <f>WEEKNUM(Y171-RESUMEN!$AB$7)</f>
        <v>#NUM!</v>
      </c>
      <c r="AA171" s="73">
        <f>_xlfn.DAYS(Y171,RESUMEN!$AB$7)</f>
        <v>-43247</v>
      </c>
      <c r="AB171" s="73"/>
      <c r="AC171" s="73" t="e">
        <f>LOOKUP(AB171,FORMULAS!$A:$A,FORMULAS!$B:$B)</f>
        <v>#N/A</v>
      </c>
      <c r="AD171" s="78"/>
      <c r="AE171" s="73"/>
      <c r="AF171" s="73"/>
      <c r="AG171" s="73"/>
      <c r="AH171" s="73"/>
      <c r="AI171" s="73"/>
      <c r="AJ171" s="73"/>
      <c r="AK171" s="73"/>
      <c r="AL171" s="73" t="e">
        <f>WEEKNUM(AK171-RESUMEN!$AN$7)</f>
        <v>#NUM!</v>
      </c>
      <c r="AM171" s="73">
        <f>_xlfn.DAYS(AK171,RESUMEN!$AN$7)</f>
        <v>-43254</v>
      </c>
      <c r="AN171" s="73"/>
      <c r="AO171" s="73" t="e">
        <f>LOOKUP(AN171,FORMULAS!$A:$A,FORMULAS!$B:$B)</f>
        <v>#N/A</v>
      </c>
      <c r="AP171" s="78"/>
      <c r="AQ171" s="78"/>
      <c r="AR171" s="73"/>
      <c r="AS171" s="73"/>
      <c r="AT171" s="73"/>
      <c r="AU171" s="73"/>
      <c r="AV171" s="73"/>
      <c r="AW171" s="73"/>
      <c r="AX171" s="73" t="e">
        <f>WEEKNUM(AW171-RESUMEN!$AZ$7)</f>
        <v>#NUM!</v>
      </c>
      <c r="AY171" s="73">
        <f>_xlfn.DAYS(AW171,RESUMEN!$AZ$7)</f>
        <v>-43261</v>
      </c>
      <c r="AZ171" s="73"/>
      <c r="BA171" s="73" t="e">
        <f>LOOKUP(AZ171,FORMULAS!$A:$A,FORMULAS!$B:$B)</f>
        <v>#N/A</v>
      </c>
      <c r="BB171" s="78"/>
      <c r="BC171" s="73"/>
      <c r="BD171" s="73"/>
      <c r="BE171" s="73"/>
      <c r="BF171" s="73"/>
      <c r="BG171" s="73"/>
      <c r="BH171" s="73"/>
      <c r="BI171" s="73"/>
      <c r="BJ171" s="73" t="e">
        <f>WEEKNUM(BI171-RESUMEN!$BL$7)</f>
        <v>#NUM!</v>
      </c>
      <c r="BK171" s="73">
        <f>_xlfn.DAYS(BI171,RESUMEN!$BL$7)</f>
        <v>-43267</v>
      </c>
      <c r="BL171" s="73"/>
      <c r="BM171" s="73" t="e">
        <f>LOOKUP(BL171,FORMULAS!$A:$A,FORMULAS!$B:$B)</f>
        <v>#N/A</v>
      </c>
      <c r="BN171" s="78"/>
      <c r="BO171" s="73"/>
      <c r="BP171" s="73"/>
      <c r="BQ171" s="73"/>
      <c r="BR171" s="73"/>
      <c r="BS171" s="73"/>
      <c r="BT171" s="73"/>
    </row>
    <row r="172" spans="1:72" x14ac:dyDescent="0.25">
      <c r="A172" s="75"/>
      <c r="B172" s="74" t="e">
        <f>WEEKNUM(A172-RESUMEN!$D$7)</f>
        <v>#NUM!</v>
      </c>
      <c r="C172" s="74">
        <f>_xlfn.DAYS(A172,RESUMEN!$D$7)</f>
        <v>-43238</v>
      </c>
      <c r="D172" s="75"/>
      <c r="E172" s="73" t="e">
        <f>LOOKUP(D172,FORMULAS!$A:$A,FORMULAS!$B:$B)</f>
        <v>#N/A</v>
      </c>
      <c r="F172" s="80"/>
      <c r="G172" s="75"/>
      <c r="H172" s="75"/>
      <c r="I172" s="73"/>
      <c r="J172" s="73"/>
      <c r="K172" s="73"/>
      <c r="L172" s="73"/>
      <c r="M172" s="73"/>
      <c r="N172" s="73" t="e">
        <f>WEEKNUM(M172-RESUMEN!$P$7)</f>
        <v>#NUM!</v>
      </c>
      <c r="O172" s="73">
        <f>_xlfn.DAYS(M172,RESUMEN!$P$7)</f>
        <v>-43242</v>
      </c>
      <c r="P172" s="73"/>
      <c r="Q172" s="73" t="e">
        <f>LOOKUP(P172,FORMULAS!$A:$A,FORMULAS!$B:$B)</f>
        <v>#N/A</v>
      </c>
      <c r="R172" s="78"/>
      <c r="S172" s="73"/>
      <c r="T172" s="73"/>
      <c r="U172" s="73"/>
      <c r="V172" s="73"/>
      <c r="W172" s="73"/>
      <c r="X172" s="73"/>
      <c r="Y172" s="73"/>
      <c r="Z172" s="73" t="e">
        <f>WEEKNUM(Y172-RESUMEN!$AB$7)</f>
        <v>#NUM!</v>
      </c>
      <c r="AA172" s="73">
        <f>_xlfn.DAYS(Y172,RESUMEN!$AB$7)</f>
        <v>-43247</v>
      </c>
      <c r="AB172" s="73"/>
      <c r="AC172" s="73" t="e">
        <f>LOOKUP(AB172,FORMULAS!$A:$A,FORMULAS!$B:$B)</f>
        <v>#N/A</v>
      </c>
      <c r="AD172" s="78"/>
      <c r="AE172" s="73"/>
      <c r="AF172" s="73"/>
      <c r="AG172" s="73"/>
      <c r="AH172" s="73"/>
      <c r="AI172" s="73"/>
      <c r="AJ172" s="73"/>
      <c r="AK172" s="73"/>
      <c r="AL172" s="73" t="e">
        <f>WEEKNUM(AK172-RESUMEN!$AN$7)</f>
        <v>#NUM!</v>
      </c>
      <c r="AM172" s="73">
        <f>_xlfn.DAYS(AK172,RESUMEN!$AN$7)</f>
        <v>-43254</v>
      </c>
      <c r="AN172" s="73"/>
      <c r="AO172" s="73" t="e">
        <f>LOOKUP(AN172,FORMULAS!$A:$A,FORMULAS!$B:$B)</f>
        <v>#N/A</v>
      </c>
      <c r="AP172" s="78"/>
      <c r="AQ172" s="78"/>
      <c r="AR172" s="73"/>
      <c r="AS172" s="73"/>
      <c r="AT172" s="73"/>
      <c r="AU172" s="73"/>
      <c r="AV172" s="73"/>
      <c r="AW172" s="73"/>
      <c r="AX172" s="73" t="e">
        <f>WEEKNUM(AW172-RESUMEN!$AZ$7)</f>
        <v>#NUM!</v>
      </c>
      <c r="AY172" s="73">
        <f>_xlfn.DAYS(AW172,RESUMEN!$AZ$7)</f>
        <v>-43261</v>
      </c>
      <c r="AZ172" s="73"/>
      <c r="BA172" s="73" t="e">
        <f>LOOKUP(AZ172,FORMULAS!$A:$A,FORMULAS!$B:$B)</f>
        <v>#N/A</v>
      </c>
      <c r="BB172" s="78"/>
      <c r="BC172" s="73"/>
      <c r="BD172" s="73"/>
      <c r="BE172" s="73"/>
      <c r="BF172" s="73"/>
      <c r="BG172" s="73"/>
      <c r="BH172" s="73"/>
      <c r="BI172" s="73"/>
      <c r="BJ172" s="73" t="e">
        <f>WEEKNUM(BI172-RESUMEN!$BL$7)</f>
        <v>#NUM!</v>
      </c>
      <c r="BK172" s="73">
        <f>_xlfn.DAYS(BI172,RESUMEN!$BL$7)</f>
        <v>-43267</v>
      </c>
      <c r="BL172" s="73"/>
      <c r="BM172" s="73" t="e">
        <f>LOOKUP(BL172,FORMULAS!$A:$A,FORMULAS!$B:$B)</f>
        <v>#N/A</v>
      </c>
      <c r="BN172" s="78"/>
      <c r="BO172" s="73"/>
      <c r="BP172" s="73"/>
      <c r="BQ172" s="73"/>
      <c r="BR172" s="73"/>
      <c r="BS172" s="73"/>
      <c r="BT172" s="73"/>
    </row>
    <row r="173" spans="1:72" x14ac:dyDescent="0.25">
      <c r="A173" s="75"/>
      <c r="B173" s="74" t="e">
        <f>WEEKNUM(A173-RESUMEN!$D$7)</f>
        <v>#NUM!</v>
      </c>
      <c r="C173" s="74">
        <f>_xlfn.DAYS(A173,RESUMEN!$D$7)</f>
        <v>-43238</v>
      </c>
      <c r="D173" s="75"/>
      <c r="E173" s="73" t="e">
        <f>LOOKUP(D173,FORMULAS!$A:$A,FORMULAS!$B:$B)</f>
        <v>#N/A</v>
      </c>
      <c r="F173" s="80"/>
      <c r="G173" s="75"/>
      <c r="H173" s="75"/>
      <c r="I173" s="73"/>
      <c r="J173" s="73"/>
      <c r="K173" s="73"/>
      <c r="L173" s="73"/>
      <c r="M173" s="73"/>
      <c r="N173" s="73" t="e">
        <f>WEEKNUM(M173-RESUMEN!$P$7)</f>
        <v>#NUM!</v>
      </c>
      <c r="O173" s="73">
        <f>_xlfn.DAYS(M173,RESUMEN!$P$7)</f>
        <v>-43242</v>
      </c>
      <c r="P173" s="73"/>
      <c r="Q173" s="73" t="e">
        <f>LOOKUP(P173,FORMULAS!$A:$A,FORMULAS!$B:$B)</f>
        <v>#N/A</v>
      </c>
      <c r="R173" s="78"/>
      <c r="S173" s="73"/>
      <c r="T173" s="73"/>
      <c r="U173" s="73"/>
      <c r="V173" s="73"/>
      <c r="W173" s="73"/>
      <c r="X173" s="73"/>
      <c r="Y173" s="73"/>
      <c r="Z173" s="73" t="e">
        <f>WEEKNUM(Y173-RESUMEN!$AB$7)</f>
        <v>#NUM!</v>
      </c>
      <c r="AA173" s="73">
        <f>_xlfn.DAYS(Y173,RESUMEN!$AB$7)</f>
        <v>-43247</v>
      </c>
      <c r="AB173" s="73"/>
      <c r="AC173" s="73" t="e">
        <f>LOOKUP(AB173,FORMULAS!$A:$A,FORMULAS!$B:$B)</f>
        <v>#N/A</v>
      </c>
      <c r="AD173" s="78"/>
      <c r="AE173" s="73"/>
      <c r="AF173" s="73"/>
      <c r="AG173" s="73"/>
      <c r="AH173" s="73"/>
      <c r="AI173" s="73"/>
      <c r="AJ173" s="73"/>
      <c r="AK173" s="73"/>
      <c r="AL173" s="73" t="e">
        <f>WEEKNUM(AK173-RESUMEN!$AN$7)</f>
        <v>#NUM!</v>
      </c>
      <c r="AM173" s="73">
        <f>_xlfn.DAYS(AK173,RESUMEN!$AN$7)</f>
        <v>-43254</v>
      </c>
      <c r="AN173" s="73"/>
      <c r="AO173" s="73" t="e">
        <f>LOOKUP(AN173,FORMULAS!$A:$A,FORMULAS!$B:$B)</f>
        <v>#N/A</v>
      </c>
      <c r="AP173" s="78"/>
      <c r="AQ173" s="78"/>
      <c r="AR173" s="73"/>
      <c r="AS173" s="73"/>
      <c r="AT173" s="73"/>
      <c r="AU173" s="73"/>
      <c r="AV173" s="73"/>
      <c r="AW173" s="73"/>
      <c r="AX173" s="73" t="e">
        <f>WEEKNUM(AW173-RESUMEN!$AZ$7)</f>
        <v>#NUM!</v>
      </c>
      <c r="AY173" s="73">
        <f>_xlfn.DAYS(AW173,RESUMEN!$AZ$7)</f>
        <v>-43261</v>
      </c>
      <c r="AZ173" s="73"/>
      <c r="BA173" s="73" t="e">
        <f>LOOKUP(AZ173,FORMULAS!$A:$A,FORMULAS!$B:$B)</f>
        <v>#N/A</v>
      </c>
      <c r="BB173" s="78"/>
      <c r="BC173" s="73"/>
      <c r="BD173" s="73"/>
      <c r="BE173" s="73"/>
      <c r="BF173" s="73"/>
      <c r="BG173" s="73"/>
      <c r="BH173" s="73"/>
      <c r="BI173" s="73"/>
      <c r="BJ173" s="73" t="e">
        <f>WEEKNUM(BI173-RESUMEN!$BL$7)</f>
        <v>#NUM!</v>
      </c>
      <c r="BK173" s="73">
        <f>_xlfn.DAYS(BI173,RESUMEN!$BL$7)</f>
        <v>-43267</v>
      </c>
      <c r="BL173" s="73"/>
      <c r="BM173" s="73" t="e">
        <f>LOOKUP(BL173,FORMULAS!$A:$A,FORMULAS!$B:$B)</f>
        <v>#N/A</v>
      </c>
      <c r="BN173" s="78"/>
      <c r="BO173" s="73"/>
      <c r="BP173" s="73"/>
      <c r="BQ173" s="73"/>
      <c r="BR173" s="73"/>
      <c r="BS173" s="73"/>
      <c r="BT173" s="73"/>
    </row>
    <row r="174" spans="1:72" x14ac:dyDescent="0.25">
      <c r="A174" s="75"/>
      <c r="B174" s="74" t="e">
        <f>WEEKNUM(A174-RESUMEN!$D$7)</f>
        <v>#NUM!</v>
      </c>
      <c r="C174" s="74">
        <f>_xlfn.DAYS(A174,RESUMEN!$D$7)</f>
        <v>-43238</v>
      </c>
      <c r="D174" s="75"/>
      <c r="E174" s="73" t="e">
        <f>LOOKUP(D174,FORMULAS!$A:$A,FORMULAS!$B:$B)</f>
        <v>#N/A</v>
      </c>
      <c r="F174" s="80"/>
      <c r="G174" s="75"/>
      <c r="H174" s="75"/>
      <c r="I174" s="73"/>
      <c r="J174" s="73"/>
      <c r="K174" s="73"/>
      <c r="L174" s="73"/>
      <c r="M174" s="73"/>
      <c r="N174" s="73" t="e">
        <f>WEEKNUM(M174-RESUMEN!$P$7)</f>
        <v>#NUM!</v>
      </c>
      <c r="O174" s="73">
        <f>_xlfn.DAYS(M174,RESUMEN!$P$7)</f>
        <v>-43242</v>
      </c>
      <c r="P174" s="73"/>
      <c r="Q174" s="73" t="e">
        <f>LOOKUP(P174,FORMULAS!$A:$A,FORMULAS!$B:$B)</f>
        <v>#N/A</v>
      </c>
      <c r="R174" s="78"/>
      <c r="S174" s="73"/>
      <c r="T174" s="73"/>
      <c r="U174" s="73"/>
      <c r="V174" s="73"/>
      <c r="W174" s="73"/>
      <c r="X174" s="73"/>
      <c r="Y174" s="73"/>
      <c r="Z174" s="73" t="e">
        <f>WEEKNUM(Y174-RESUMEN!$AB$7)</f>
        <v>#NUM!</v>
      </c>
      <c r="AA174" s="73">
        <f>_xlfn.DAYS(Y174,RESUMEN!$AB$7)</f>
        <v>-43247</v>
      </c>
      <c r="AB174" s="73"/>
      <c r="AC174" s="73" t="e">
        <f>LOOKUP(AB174,FORMULAS!$A:$A,FORMULAS!$B:$B)</f>
        <v>#N/A</v>
      </c>
      <c r="AD174" s="78"/>
      <c r="AE174" s="73"/>
      <c r="AF174" s="73"/>
      <c r="AG174" s="73"/>
      <c r="AH174" s="73"/>
      <c r="AI174" s="73"/>
      <c r="AJ174" s="73"/>
      <c r="AK174" s="73"/>
      <c r="AL174" s="73" t="e">
        <f>WEEKNUM(AK174-RESUMEN!$AN$7)</f>
        <v>#NUM!</v>
      </c>
      <c r="AM174" s="73">
        <f>_xlfn.DAYS(AK174,RESUMEN!$AN$7)</f>
        <v>-43254</v>
      </c>
      <c r="AN174" s="73"/>
      <c r="AO174" s="73" t="e">
        <f>LOOKUP(AN174,FORMULAS!$A:$A,FORMULAS!$B:$B)</f>
        <v>#N/A</v>
      </c>
      <c r="AP174" s="78"/>
      <c r="AQ174" s="78"/>
      <c r="AR174" s="73"/>
      <c r="AS174" s="73"/>
      <c r="AT174" s="73"/>
      <c r="AU174" s="73"/>
      <c r="AV174" s="73"/>
      <c r="AW174" s="73"/>
      <c r="AX174" s="73" t="e">
        <f>WEEKNUM(AW174-RESUMEN!$AZ$7)</f>
        <v>#NUM!</v>
      </c>
      <c r="AY174" s="73">
        <f>_xlfn.DAYS(AW174,RESUMEN!$AZ$7)</f>
        <v>-43261</v>
      </c>
      <c r="AZ174" s="73"/>
      <c r="BA174" s="73" t="e">
        <f>LOOKUP(AZ174,FORMULAS!$A:$A,FORMULAS!$B:$B)</f>
        <v>#N/A</v>
      </c>
      <c r="BB174" s="78"/>
      <c r="BC174" s="73"/>
      <c r="BD174" s="73"/>
      <c r="BE174" s="73"/>
      <c r="BF174" s="73"/>
      <c r="BG174" s="73"/>
      <c r="BH174" s="73"/>
      <c r="BI174" s="73"/>
      <c r="BJ174" s="73" t="e">
        <f>WEEKNUM(BI174-RESUMEN!$BL$7)</f>
        <v>#NUM!</v>
      </c>
      <c r="BK174" s="73">
        <f>_xlfn.DAYS(BI174,RESUMEN!$BL$7)</f>
        <v>-43267</v>
      </c>
      <c r="BL174" s="73"/>
      <c r="BM174" s="73" t="e">
        <f>LOOKUP(BL174,FORMULAS!$A:$A,FORMULAS!$B:$B)</f>
        <v>#N/A</v>
      </c>
      <c r="BN174" s="78"/>
      <c r="BO174" s="73"/>
      <c r="BP174" s="73"/>
      <c r="BQ174" s="73"/>
      <c r="BR174" s="73"/>
      <c r="BS174" s="73"/>
      <c r="BT174" s="73"/>
    </row>
    <row r="175" spans="1:72" x14ac:dyDescent="0.25">
      <c r="A175" s="75"/>
      <c r="B175" s="74" t="e">
        <f>WEEKNUM(A175-RESUMEN!$D$7)</f>
        <v>#NUM!</v>
      </c>
      <c r="C175" s="74">
        <f>_xlfn.DAYS(A175,RESUMEN!$D$7)</f>
        <v>-43238</v>
      </c>
      <c r="D175" s="75"/>
      <c r="E175" s="73" t="e">
        <f>LOOKUP(D175,FORMULAS!$A:$A,FORMULAS!$B:$B)</f>
        <v>#N/A</v>
      </c>
      <c r="F175" s="80"/>
      <c r="G175" s="75"/>
      <c r="H175" s="75"/>
      <c r="I175" s="73"/>
      <c r="J175" s="73"/>
      <c r="K175" s="73"/>
      <c r="L175" s="73"/>
      <c r="M175" s="73"/>
      <c r="N175" s="73" t="e">
        <f>WEEKNUM(M175-RESUMEN!$P$7)</f>
        <v>#NUM!</v>
      </c>
      <c r="O175" s="73">
        <f>_xlfn.DAYS(M175,RESUMEN!$P$7)</f>
        <v>-43242</v>
      </c>
      <c r="P175" s="73"/>
      <c r="Q175" s="73" t="e">
        <f>LOOKUP(P175,FORMULAS!$A:$A,FORMULAS!$B:$B)</f>
        <v>#N/A</v>
      </c>
      <c r="R175" s="78"/>
      <c r="S175" s="73"/>
      <c r="T175" s="73"/>
      <c r="U175" s="73"/>
      <c r="V175" s="73"/>
      <c r="W175" s="73"/>
      <c r="X175" s="73"/>
      <c r="Y175" s="73"/>
      <c r="Z175" s="73" t="e">
        <f>WEEKNUM(Y175-RESUMEN!$AB$7)</f>
        <v>#NUM!</v>
      </c>
      <c r="AA175" s="73">
        <f>_xlfn.DAYS(Y175,RESUMEN!$AB$7)</f>
        <v>-43247</v>
      </c>
      <c r="AB175" s="73"/>
      <c r="AC175" s="73" t="e">
        <f>LOOKUP(AB175,FORMULAS!$A:$A,FORMULAS!$B:$B)</f>
        <v>#N/A</v>
      </c>
      <c r="AD175" s="78"/>
      <c r="AE175" s="73"/>
      <c r="AF175" s="73"/>
      <c r="AG175" s="73"/>
      <c r="AH175" s="73"/>
      <c r="AI175" s="73"/>
      <c r="AJ175" s="73"/>
      <c r="AK175" s="73"/>
      <c r="AL175" s="73" t="e">
        <f>WEEKNUM(AK175-RESUMEN!$AN$7)</f>
        <v>#NUM!</v>
      </c>
      <c r="AM175" s="73">
        <f>_xlfn.DAYS(AK175,RESUMEN!$AN$7)</f>
        <v>-43254</v>
      </c>
      <c r="AN175" s="73"/>
      <c r="AO175" s="73" t="e">
        <f>LOOKUP(AN175,FORMULAS!$A:$A,FORMULAS!$B:$B)</f>
        <v>#N/A</v>
      </c>
      <c r="AP175" s="78"/>
      <c r="AQ175" s="78"/>
      <c r="AR175" s="73"/>
      <c r="AS175" s="73"/>
      <c r="AT175" s="73"/>
      <c r="AU175" s="73"/>
      <c r="AV175" s="73"/>
      <c r="AW175" s="73"/>
      <c r="AX175" s="73" t="e">
        <f>WEEKNUM(AW175-RESUMEN!$AZ$7)</f>
        <v>#NUM!</v>
      </c>
      <c r="AY175" s="73">
        <f>_xlfn.DAYS(AW175,RESUMEN!$AZ$7)</f>
        <v>-43261</v>
      </c>
      <c r="AZ175" s="73"/>
      <c r="BA175" s="73" t="e">
        <f>LOOKUP(AZ175,FORMULAS!$A:$A,FORMULAS!$B:$B)</f>
        <v>#N/A</v>
      </c>
      <c r="BB175" s="78"/>
      <c r="BC175" s="73"/>
      <c r="BD175" s="73"/>
      <c r="BE175" s="73"/>
      <c r="BF175" s="73"/>
      <c r="BG175" s="73"/>
      <c r="BH175" s="73"/>
      <c r="BI175" s="73"/>
      <c r="BJ175" s="73" t="e">
        <f>WEEKNUM(BI175-RESUMEN!$BL$7)</f>
        <v>#NUM!</v>
      </c>
      <c r="BK175" s="73">
        <f>_xlfn.DAYS(BI175,RESUMEN!$BL$7)</f>
        <v>-43267</v>
      </c>
      <c r="BL175" s="73"/>
      <c r="BM175" s="73" t="e">
        <f>LOOKUP(BL175,FORMULAS!$A:$A,FORMULAS!$B:$B)</f>
        <v>#N/A</v>
      </c>
      <c r="BN175" s="78"/>
      <c r="BO175" s="73"/>
      <c r="BP175" s="73"/>
      <c r="BQ175" s="73"/>
      <c r="BR175" s="73"/>
      <c r="BS175" s="73"/>
      <c r="BT175" s="73"/>
    </row>
    <row r="176" spans="1:72" x14ac:dyDescent="0.25">
      <c r="A176" s="75"/>
      <c r="B176" s="74" t="e">
        <f>WEEKNUM(A176-RESUMEN!$D$7)</f>
        <v>#NUM!</v>
      </c>
      <c r="C176" s="74">
        <f>_xlfn.DAYS(A176,RESUMEN!$D$7)</f>
        <v>-43238</v>
      </c>
      <c r="D176" s="75"/>
      <c r="E176" s="73" t="e">
        <f>LOOKUP(D176,FORMULAS!$A:$A,FORMULAS!$B:$B)</f>
        <v>#N/A</v>
      </c>
      <c r="F176" s="80"/>
      <c r="G176" s="75"/>
      <c r="H176" s="75"/>
      <c r="I176" s="73"/>
      <c r="J176" s="73"/>
      <c r="K176" s="73"/>
      <c r="L176" s="73"/>
      <c r="M176" s="73"/>
      <c r="N176" s="73" t="e">
        <f>WEEKNUM(M176-RESUMEN!$P$7)</f>
        <v>#NUM!</v>
      </c>
      <c r="O176" s="73">
        <f>_xlfn.DAYS(M176,RESUMEN!$P$7)</f>
        <v>-43242</v>
      </c>
      <c r="P176" s="73"/>
      <c r="Q176" s="73" t="e">
        <f>LOOKUP(P176,FORMULAS!$A:$A,FORMULAS!$B:$B)</f>
        <v>#N/A</v>
      </c>
      <c r="R176" s="78"/>
      <c r="S176" s="73"/>
      <c r="T176" s="73"/>
      <c r="U176" s="73"/>
      <c r="V176" s="73"/>
      <c r="W176" s="73"/>
      <c r="X176" s="73"/>
      <c r="Y176" s="73"/>
      <c r="Z176" s="73" t="e">
        <f>WEEKNUM(Y176-RESUMEN!$AB$7)</f>
        <v>#NUM!</v>
      </c>
      <c r="AA176" s="73">
        <f>_xlfn.DAYS(Y176,RESUMEN!$AB$7)</f>
        <v>-43247</v>
      </c>
      <c r="AB176" s="73"/>
      <c r="AC176" s="73" t="e">
        <f>LOOKUP(AB176,FORMULAS!$A:$A,FORMULAS!$B:$B)</f>
        <v>#N/A</v>
      </c>
      <c r="AD176" s="78"/>
      <c r="AE176" s="73"/>
      <c r="AF176" s="73"/>
      <c r="AG176" s="73"/>
      <c r="AH176" s="73"/>
      <c r="AI176" s="73"/>
      <c r="AJ176" s="73"/>
      <c r="AK176" s="73"/>
      <c r="AL176" s="73" t="e">
        <f>WEEKNUM(AK176-RESUMEN!$AN$7)</f>
        <v>#NUM!</v>
      </c>
      <c r="AM176" s="73">
        <f>_xlfn.DAYS(AK176,RESUMEN!$AN$7)</f>
        <v>-43254</v>
      </c>
      <c r="AN176" s="73"/>
      <c r="AO176" s="73" t="e">
        <f>LOOKUP(AN176,FORMULAS!$A:$A,FORMULAS!$B:$B)</f>
        <v>#N/A</v>
      </c>
      <c r="AP176" s="78"/>
      <c r="AQ176" s="78"/>
      <c r="AR176" s="73"/>
      <c r="AS176" s="73"/>
      <c r="AT176" s="73"/>
      <c r="AU176" s="73"/>
      <c r="AV176" s="73"/>
      <c r="AW176" s="73"/>
      <c r="AX176" s="73" t="e">
        <f>WEEKNUM(AW176-RESUMEN!$AZ$7)</f>
        <v>#NUM!</v>
      </c>
      <c r="AY176" s="73">
        <f>_xlfn.DAYS(AW176,RESUMEN!$AZ$7)</f>
        <v>-43261</v>
      </c>
      <c r="AZ176" s="73"/>
      <c r="BA176" s="73" t="e">
        <f>LOOKUP(AZ176,FORMULAS!$A:$A,FORMULAS!$B:$B)</f>
        <v>#N/A</v>
      </c>
      <c r="BB176" s="78"/>
      <c r="BC176" s="73"/>
      <c r="BD176" s="73"/>
      <c r="BE176" s="73"/>
      <c r="BF176" s="73"/>
      <c r="BG176" s="73"/>
      <c r="BH176" s="73"/>
      <c r="BI176" s="73"/>
      <c r="BJ176" s="73" t="e">
        <f>WEEKNUM(BI176-RESUMEN!$BL$7)</f>
        <v>#NUM!</v>
      </c>
      <c r="BK176" s="73">
        <f>_xlfn.DAYS(BI176,RESUMEN!$BL$7)</f>
        <v>-43267</v>
      </c>
      <c r="BL176" s="73"/>
      <c r="BM176" s="73" t="e">
        <f>LOOKUP(BL176,FORMULAS!$A:$A,FORMULAS!$B:$B)</f>
        <v>#N/A</v>
      </c>
      <c r="BN176" s="78"/>
      <c r="BO176" s="73"/>
      <c r="BP176" s="73"/>
      <c r="BQ176" s="73"/>
      <c r="BR176" s="73"/>
      <c r="BS176" s="73"/>
      <c r="BT176" s="73"/>
    </row>
    <row r="177" spans="1:72" x14ac:dyDescent="0.25">
      <c r="A177" s="75"/>
      <c r="B177" s="74" t="e">
        <f>WEEKNUM(A177-RESUMEN!$D$7)</f>
        <v>#NUM!</v>
      </c>
      <c r="C177" s="74">
        <f>_xlfn.DAYS(A177,RESUMEN!$D$7)</f>
        <v>-43238</v>
      </c>
      <c r="D177" s="75"/>
      <c r="E177" s="73" t="e">
        <f>LOOKUP(D177,FORMULAS!$A:$A,FORMULAS!$B:$B)</f>
        <v>#N/A</v>
      </c>
      <c r="F177" s="80"/>
      <c r="G177" s="75"/>
      <c r="H177" s="75"/>
      <c r="I177" s="73"/>
      <c r="J177" s="73"/>
      <c r="K177" s="73"/>
      <c r="L177" s="73"/>
      <c r="M177" s="73"/>
      <c r="N177" s="73" t="e">
        <f>WEEKNUM(M177-RESUMEN!$P$7)</f>
        <v>#NUM!</v>
      </c>
      <c r="O177" s="73">
        <f>_xlfn.DAYS(M177,RESUMEN!$P$7)</f>
        <v>-43242</v>
      </c>
      <c r="P177" s="73"/>
      <c r="Q177" s="73" t="e">
        <f>LOOKUP(P177,FORMULAS!$A:$A,FORMULAS!$B:$B)</f>
        <v>#N/A</v>
      </c>
      <c r="R177" s="78"/>
      <c r="S177" s="73"/>
      <c r="T177" s="73"/>
      <c r="U177" s="73"/>
      <c r="V177" s="73"/>
      <c r="W177" s="73"/>
      <c r="X177" s="73"/>
      <c r="Y177" s="73"/>
      <c r="Z177" s="73" t="e">
        <f>WEEKNUM(Y177-RESUMEN!$AB$7)</f>
        <v>#NUM!</v>
      </c>
      <c r="AA177" s="73">
        <f>_xlfn.DAYS(Y177,RESUMEN!$AB$7)</f>
        <v>-43247</v>
      </c>
      <c r="AB177" s="73"/>
      <c r="AC177" s="73" t="e">
        <f>LOOKUP(AB177,FORMULAS!$A:$A,FORMULAS!$B:$B)</f>
        <v>#N/A</v>
      </c>
      <c r="AD177" s="78"/>
      <c r="AE177" s="73"/>
      <c r="AF177" s="73"/>
      <c r="AG177" s="73"/>
      <c r="AH177" s="73"/>
      <c r="AI177" s="73"/>
      <c r="AJ177" s="73"/>
      <c r="AK177" s="73"/>
      <c r="AL177" s="73" t="e">
        <f>WEEKNUM(AK177-RESUMEN!$AN$7)</f>
        <v>#NUM!</v>
      </c>
      <c r="AM177" s="73">
        <f>_xlfn.DAYS(AK177,RESUMEN!$AN$7)</f>
        <v>-43254</v>
      </c>
      <c r="AN177" s="73"/>
      <c r="AO177" s="73" t="e">
        <f>LOOKUP(AN177,FORMULAS!$A:$A,FORMULAS!$B:$B)</f>
        <v>#N/A</v>
      </c>
      <c r="AP177" s="78"/>
      <c r="AQ177" s="78"/>
      <c r="AR177" s="73"/>
      <c r="AS177" s="73"/>
      <c r="AT177" s="73"/>
      <c r="AU177" s="73"/>
      <c r="AV177" s="73"/>
      <c r="AW177" s="73"/>
      <c r="AX177" s="73" t="e">
        <f>WEEKNUM(AW177-RESUMEN!$AZ$7)</f>
        <v>#NUM!</v>
      </c>
      <c r="AY177" s="73">
        <f>_xlfn.DAYS(AW177,RESUMEN!$AZ$7)</f>
        <v>-43261</v>
      </c>
      <c r="AZ177" s="73"/>
      <c r="BA177" s="73" t="e">
        <f>LOOKUP(AZ177,FORMULAS!$A:$A,FORMULAS!$B:$B)</f>
        <v>#N/A</v>
      </c>
      <c r="BB177" s="78"/>
      <c r="BC177" s="73"/>
      <c r="BD177" s="73"/>
      <c r="BE177" s="73"/>
      <c r="BF177" s="73"/>
      <c r="BG177" s="73"/>
      <c r="BH177" s="73"/>
      <c r="BI177" s="73"/>
      <c r="BJ177" s="73" t="e">
        <f>WEEKNUM(BI177-RESUMEN!$BL$7)</f>
        <v>#NUM!</v>
      </c>
      <c r="BK177" s="73">
        <f>_xlfn.DAYS(BI177,RESUMEN!$BL$7)</f>
        <v>-43267</v>
      </c>
      <c r="BL177" s="73"/>
      <c r="BM177" s="73" t="e">
        <f>LOOKUP(BL177,FORMULAS!$A:$A,FORMULAS!$B:$B)</f>
        <v>#N/A</v>
      </c>
      <c r="BN177" s="78"/>
      <c r="BO177" s="73"/>
      <c r="BP177" s="73"/>
      <c r="BQ177" s="73"/>
      <c r="BR177" s="73"/>
      <c r="BS177" s="73"/>
      <c r="BT177" s="73"/>
    </row>
    <row r="178" spans="1:72" x14ac:dyDescent="0.25">
      <c r="A178" s="75"/>
      <c r="B178" s="74" t="e">
        <f>WEEKNUM(A178-RESUMEN!$D$7)</f>
        <v>#NUM!</v>
      </c>
      <c r="C178" s="74">
        <f>_xlfn.DAYS(A178,RESUMEN!$D$7)</f>
        <v>-43238</v>
      </c>
      <c r="D178" s="75"/>
      <c r="E178" s="73" t="e">
        <f>LOOKUP(D178,FORMULAS!$A:$A,FORMULAS!$B:$B)</f>
        <v>#N/A</v>
      </c>
      <c r="F178" s="80"/>
      <c r="G178" s="75"/>
      <c r="H178" s="75"/>
      <c r="I178" s="73"/>
      <c r="J178" s="73"/>
      <c r="K178" s="73"/>
      <c r="L178" s="73"/>
      <c r="M178" s="73"/>
      <c r="N178" s="73" t="e">
        <f>WEEKNUM(M178-RESUMEN!$P$7)</f>
        <v>#NUM!</v>
      </c>
      <c r="O178" s="73">
        <f>_xlfn.DAYS(M178,RESUMEN!$P$7)</f>
        <v>-43242</v>
      </c>
      <c r="P178" s="73"/>
      <c r="Q178" s="73" t="e">
        <f>LOOKUP(P178,FORMULAS!$A:$A,FORMULAS!$B:$B)</f>
        <v>#N/A</v>
      </c>
      <c r="R178" s="78"/>
      <c r="S178" s="73"/>
      <c r="T178" s="73"/>
      <c r="U178" s="73"/>
      <c r="V178" s="73"/>
      <c r="W178" s="73"/>
      <c r="X178" s="73"/>
      <c r="Y178" s="73"/>
      <c r="Z178" s="73" t="e">
        <f>WEEKNUM(Y178-RESUMEN!$AB$7)</f>
        <v>#NUM!</v>
      </c>
      <c r="AA178" s="73">
        <f>_xlfn.DAYS(Y178,RESUMEN!$AB$7)</f>
        <v>-43247</v>
      </c>
      <c r="AB178" s="73"/>
      <c r="AC178" s="73" t="e">
        <f>LOOKUP(AB178,FORMULAS!$A:$A,FORMULAS!$B:$B)</f>
        <v>#N/A</v>
      </c>
      <c r="AD178" s="78"/>
      <c r="AE178" s="73"/>
      <c r="AF178" s="73"/>
      <c r="AG178" s="73"/>
      <c r="AH178" s="73"/>
      <c r="AI178" s="73"/>
      <c r="AJ178" s="73"/>
      <c r="AK178" s="73"/>
      <c r="AL178" s="73" t="e">
        <f>WEEKNUM(AK178-RESUMEN!$AN$7)</f>
        <v>#NUM!</v>
      </c>
      <c r="AM178" s="73">
        <f>_xlfn.DAYS(AK178,RESUMEN!$AN$7)</f>
        <v>-43254</v>
      </c>
      <c r="AN178" s="73"/>
      <c r="AO178" s="73" t="e">
        <f>LOOKUP(AN178,FORMULAS!$A:$A,FORMULAS!$B:$B)</f>
        <v>#N/A</v>
      </c>
      <c r="AP178" s="78"/>
      <c r="AQ178" s="78"/>
      <c r="AR178" s="73"/>
      <c r="AS178" s="73"/>
      <c r="AT178" s="73"/>
      <c r="AU178" s="73"/>
      <c r="AV178" s="73"/>
      <c r="AW178" s="73"/>
      <c r="AX178" s="73" t="e">
        <f>WEEKNUM(AW178-RESUMEN!$AZ$7)</f>
        <v>#NUM!</v>
      </c>
      <c r="AY178" s="73">
        <f>_xlfn.DAYS(AW178,RESUMEN!$AZ$7)</f>
        <v>-43261</v>
      </c>
      <c r="AZ178" s="73"/>
      <c r="BA178" s="73" t="e">
        <f>LOOKUP(AZ178,FORMULAS!$A:$A,FORMULAS!$B:$B)</f>
        <v>#N/A</v>
      </c>
      <c r="BB178" s="78"/>
      <c r="BC178" s="73"/>
      <c r="BD178" s="73"/>
      <c r="BE178" s="73"/>
      <c r="BF178" s="73"/>
      <c r="BG178" s="73"/>
      <c r="BH178" s="73"/>
      <c r="BI178" s="73"/>
      <c r="BJ178" s="73" t="e">
        <f>WEEKNUM(BI178-RESUMEN!$BL$7)</f>
        <v>#NUM!</v>
      </c>
      <c r="BK178" s="73">
        <f>_xlfn.DAYS(BI178,RESUMEN!$BL$7)</f>
        <v>-43267</v>
      </c>
      <c r="BL178" s="73"/>
      <c r="BM178" s="73" t="e">
        <f>LOOKUP(BL178,FORMULAS!$A:$A,FORMULAS!$B:$B)</f>
        <v>#N/A</v>
      </c>
      <c r="BN178" s="78"/>
      <c r="BO178" s="73"/>
      <c r="BP178" s="73"/>
      <c r="BQ178" s="73"/>
      <c r="BR178" s="73"/>
      <c r="BS178" s="73"/>
      <c r="BT178" s="73"/>
    </row>
    <row r="179" spans="1:72" x14ac:dyDescent="0.25">
      <c r="A179" s="75"/>
      <c r="B179" s="74" t="e">
        <f>WEEKNUM(A179-RESUMEN!$D$7)</f>
        <v>#NUM!</v>
      </c>
      <c r="C179" s="74">
        <f>_xlfn.DAYS(A179,RESUMEN!$D$7)</f>
        <v>-43238</v>
      </c>
      <c r="D179" s="75"/>
      <c r="E179" s="73" t="e">
        <f>LOOKUP(D179,FORMULAS!$A:$A,FORMULAS!$B:$B)</f>
        <v>#N/A</v>
      </c>
      <c r="F179" s="80"/>
      <c r="G179" s="75"/>
      <c r="H179" s="75"/>
      <c r="I179" s="73"/>
      <c r="J179" s="73"/>
      <c r="K179" s="73"/>
      <c r="L179" s="73"/>
      <c r="M179" s="73"/>
      <c r="N179" s="73" t="e">
        <f>WEEKNUM(M179-RESUMEN!$P$7)</f>
        <v>#NUM!</v>
      </c>
      <c r="O179" s="73">
        <f>_xlfn.DAYS(M179,RESUMEN!$P$7)</f>
        <v>-43242</v>
      </c>
      <c r="P179" s="73"/>
      <c r="Q179" s="73" t="e">
        <f>LOOKUP(P179,FORMULAS!$A:$A,FORMULAS!$B:$B)</f>
        <v>#N/A</v>
      </c>
      <c r="R179" s="78"/>
      <c r="S179" s="73"/>
      <c r="T179" s="73"/>
      <c r="U179" s="73"/>
      <c r="V179" s="73"/>
      <c r="W179" s="73"/>
      <c r="X179" s="73"/>
      <c r="Y179" s="73"/>
      <c r="Z179" s="73" t="e">
        <f>WEEKNUM(Y179-RESUMEN!$AB$7)</f>
        <v>#NUM!</v>
      </c>
      <c r="AA179" s="73">
        <f>_xlfn.DAYS(Y179,RESUMEN!$AB$7)</f>
        <v>-43247</v>
      </c>
      <c r="AB179" s="73"/>
      <c r="AC179" s="73" t="e">
        <f>LOOKUP(AB179,FORMULAS!$A:$A,FORMULAS!$B:$B)</f>
        <v>#N/A</v>
      </c>
      <c r="AD179" s="78"/>
      <c r="AE179" s="73"/>
      <c r="AF179" s="73"/>
      <c r="AG179" s="73"/>
      <c r="AH179" s="73"/>
      <c r="AI179" s="73"/>
      <c r="AJ179" s="73"/>
      <c r="AK179" s="73"/>
      <c r="AL179" s="73" t="e">
        <f>WEEKNUM(AK179-RESUMEN!$AN$7)</f>
        <v>#NUM!</v>
      </c>
      <c r="AM179" s="73">
        <f>_xlfn.DAYS(AK179,RESUMEN!$AN$7)</f>
        <v>-43254</v>
      </c>
      <c r="AN179" s="73"/>
      <c r="AO179" s="73" t="e">
        <f>LOOKUP(AN179,FORMULAS!$A:$A,FORMULAS!$B:$B)</f>
        <v>#N/A</v>
      </c>
      <c r="AP179" s="78"/>
      <c r="AQ179" s="78"/>
      <c r="AR179" s="73"/>
      <c r="AS179" s="73"/>
      <c r="AT179" s="73"/>
      <c r="AU179" s="73"/>
      <c r="AV179" s="73"/>
      <c r="AW179" s="73"/>
      <c r="AX179" s="73" t="e">
        <f>WEEKNUM(AW179-RESUMEN!$AZ$7)</f>
        <v>#NUM!</v>
      </c>
      <c r="AY179" s="73">
        <f>_xlfn.DAYS(AW179,RESUMEN!$AZ$7)</f>
        <v>-43261</v>
      </c>
      <c r="AZ179" s="73"/>
      <c r="BA179" s="73" t="e">
        <f>LOOKUP(AZ179,FORMULAS!$A:$A,FORMULAS!$B:$B)</f>
        <v>#N/A</v>
      </c>
      <c r="BB179" s="78"/>
      <c r="BC179" s="73"/>
      <c r="BD179" s="73"/>
      <c r="BE179" s="73"/>
      <c r="BF179" s="73"/>
      <c r="BG179" s="73"/>
      <c r="BH179" s="73"/>
      <c r="BI179" s="73"/>
      <c r="BJ179" s="73" t="e">
        <f>WEEKNUM(BI179-RESUMEN!$BL$7)</f>
        <v>#NUM!</v>
      </c>
      <c r="BK179" s="73">
        <f>_xlfn.DAYS(BI179,RESUMEN!$BL$7)</f>
        <v>-43267</v>
      </c>
      <c r="BL179" s="73"/>
      <c r="BM179" s="73" t="e">
        <f>LOOKUP(BL179,FORMULAS!$A:$A,FORMULAS!$B:$B)</f>
        <v>#N/A</v>
      </c>
      <c r="BN179" s="78"/>
      <c r="BO179" s="73"/>
      <c r="BP179" s="73"/>
      <c r="BQ179" s="73"/>
      <c r="BR179" s="73"/>
      <c r="BS179" s="73"/>
      <c r="BT179" s="73"/>
    </row>
    <row r="180" spans="1:72" x14ac:dyDescent="0.25">
      <c r="A180" s="75"/>
      <c r="B180" s="74" t="e">
        <f>WEEKNUM(A180-RESUMEN!$D$7)</f>
        <v>#NUM!</v>
      </c>
      <c r="C180" s="74">
        <f>_xlfn.DAYS(A180,RESUMEN!$D$7)</f>
        <v>-43238</v>
      </c>
      <c r="D180" s="75"/>
      <c r="E180" s="73" t="e">
        <f>LOOKUP(D180,FORMULAS!$A:$A,FORMULAS!$B:$B)</f>
        <v>#N/A</v>
      </c>
      <c r="F180" s="80"/>
      <c r="G180" s="75"/>
      <c r="H180" s="75"/>
      <c r="I180" s="73"/>
      <c r="J180" s="73"/>
      <c r="K180" s="73"/>
      <c r="L180" s="73"/>
      <c r="M180" s="73"/>
      <c r="N180" s="73" t="e">
        <f>WEEKNUM(M180-RESUMEN!$P$7)</f>
        <v>#NUM!</v>
      </c>
      <c r="O180" s="73">
        <f>_xlfn.DAYS(M180,RESUMEN!$P$7)</f>
        <v>-43242</v>
      </c>
      <c r="P180" s="73"/>
      <c r="Q180" s="73" t="e">
        <f>LOOKUP(P180,FORMULAS!$A:$A,FORMULAS!$B:$B)</f>
        <v>#N/A</v>
      </c>
      <c r="R180" s="78"/>
      <c r="S180" s="73"/>
      <c r="T180" s="73"/>
      <c r="U180" s="73"/>
      <c r="V180" s="73"/>
      <c r="W180" s="73"/>
      <c r="X180" s="73"/>
      <c r="Y180" s="73"/>
      <c r="Z180" s="73" t="e">
        <f>WEEKNUM(Y180-RESUMEN!$AB$7)</f>
        <v>#NUM!</v>
      </c>
      <c r="AA180" s="73">
        <f>_xlfn.DAYS(Y180,RESUMEN!$AB$7)</f>
        <v>-43247</v>
      </c>
      <c r="AB180" s="73"/>
      <c r="AC180" s="73" t="e">
        <f>LOOKUP(AB180,FORMULAS!$A:$A,FORMULAS!$B:$B)</f>
        <v>#N/A</v>
      </c>
      <c r="AD180" s="78"/>
      <c r="AE180" s="73"/>
      <c r="AF180" s="73"/>
      <c r="AG180" s="73"/>
      <c r="AH180" s="73"/>
      <c r="AI180" s="73"/>
      <c r="AJ180" s="73"/>
      <c r="AK180" s="73"/>
      <c r="AL180" s="73" t="e">
        <f>WEEKNUM(AK180-RESUMEN!$AN$7)</f>
        <v>#NUM!</v>
      </c>
      <c r="AM180" s="73">
        <f>_xlfn.DAYS(AK180,RESUMEN!$AN$7)</f>
        <v>-43254</v>
      </c>
      <c r="AN180" s="73"/>
      <c r="AO180" s="73" t="e">
        <f>LOOKUP(AN180,FORMULAS!$A:$A,FORMULAS!$B:$B)</f>
        <v>#N/A</v>
      </c>
      <c r="AP180" s="78"/>
      <c r="AQ180" s="78"/>
      <c r="AR180" s="73"/>
      <c r="AS180" s="73"/>
      <c r="AT180" s="73"/>
      <c r="AU180" s="73"/>
      <c r="AV180" s="73"/>
      <c r="AW180" s="73"/>
      <c r="AX180" s="73" t="e">
        <f>WEEKNUM(AW180-RESUMEN!$AZ$7)</f>
        <v>#NUM!</v>
      </c>
      <c r="AY180" s="73">
        <f>_xlfn.DAYS(AW180,RESUMEN!$AZ$7)</f>
        <v>-43261</v>
      </c>
      <c r="AZ180" s="73"/>
      <c r="BA180" s="73" t="e">
        <f>LOOKUP(AZ180,FORMULAS!$A:$A,FORMULAS!$B:$B)</f>
        <v>#N/A</v>
      </c>
      <c r="BB180" s="78"/>
      <c r="BC180" s="73"/>
      <c r="BD180" s="73"/>
      <c r="BE180" s="73"/>
      <c r="BF180" s="73"/>
      <c r="BG180" s="73"/>
      <c r="BH180" s="73"/>
      <c r="BI180" s="73"/>
      <c r="BJ180" s="73" t="e">
        <f>WEEKNUM(BI180-RESUMEN!$BL$7)</f>
        <v>#NUM!</v>
      </c>
      <c r="BK180" s="73">
        <f>_xlfn.DAYS(BI180,RESUMEN!$BL$7)</f>
        <v>-43267</v>
      </c>
      <c r="BL180" s="73"/>
      <c r="BM180" s="73" t="e">
        <f>LOOKUP(BL180,FORMULAS!$A:$A,FORMULAS!$B:$B)</f>
        <v>#N/A</v>
      </c>
      <c r="BN180" s="78"/>
      <c r="BO180" s="73"/>
      <c r="BP180" s="73"/>
      <c r="BQ180" s="73"/>
      <c r="BR180" s="73"/>
      <c r="BS180" s="73"/>
      <c r="BT180" s="73"/>
    </row>
    <row r="181" spans="1:72" x14ac:dyDescent="0.25">
      <c r="A181" s="75"/>
      <c r="B181" s="74" t="e">
        <f>WEEKNUM(A181-RESUMEN!$D$7)</f>
        <v>#NUM!</v>
      </c>
      <c r="C181" s="74">
        <f>_xlfn.DAYS(A181,RESUMEN!$D$7)</f>
        <v>-43238</v>
      </c>
      <c r="D181" s="75"/>
      <c r="E181" s="73" t="e">
        <f>LOOKUP(D181,FORMULAS!$A:$A,FORMULAS!$B:$B)</f>
        <v>#N/A</v>
      </c>
      <c r="F181" s="80"/>
      <c r="G181" s="75"/>
      <c r="H181" s="75"/>
      <c r="I181" s="73"/>
      <c r="J181" s="73"/>
      <c r="K181" s="73"/>
      <c r="L181" s="73"/>
      <c r="M181" s="73"/>
      <c r="N181" s="73" t="e">
        <f>WEEKNUM(M181-RESUMEN!$P$7)</f>
        <v>#NUM!</v>
      </c>
      <c r="O181" s="73">
        <f>_xlfn.DAYS(M181,RESUMEN!$P$7)</f>
        <v>-43242</v>
      </c>
      <c r="P181" s="73"/>
      <c r="Q181" s="73" t="e">
        <f>LOOKUP(P181,FORMULAS!$A:$A,FORMULAS!$B:$B)</f>
        <v>#N/A</v>
      </c>
      <c r="R181" s="78"/>
      <c r="S181" s="73"/>
      <c r="T181" s="73"/>
      <c r="U181" s="73"/>
      <c r="V181" s="73"/>
      <c r="W181" s="73"/>
      <c r="X181" s="73"/>
      <c r="Y181" s="73"/>
      <c r="Z181" s="73" t="e">
        <f>WEEKNUM(Y181-RESUMEN!$AB$7)</f>
        <v>#NUM!</v>
      </c>
      <c r="AA181" s="73">
        <f>_xlfn.DAYS(Y181,RESUMEN!$AB$7)</f>
        <v>-43247</v>
      </c>
      <c r="AB181" s="73"/>
      <c r="AC181" s="73" t="e">
        <f>LOOKUP(AB181,FORMULAS!$A:$A,FORMULAS!$B:$B)</f>
        <v>#N/A</v>
      </c>
      <c r="AD181" s="78"/>
      <c r="AE181" s="73"/>
      <c r="AF181" s="73"/>
      <c r="AG181" s="73"/>
      <c r="AH181" s="73"/>
      <c r="AI181" s="73"/>
      <c r="AJ181" s="73"/>
      <c r="AK181" s="73"/>
      <c r="AL181" s="73" t="e">
        <f>WEEKNUM(AK181-RESUMEN!$AN$7)</f>
        <v>#NUM!</v>
      </c>
      <c r="AM181" s="73">
        <f>_xlfn.DAYS(AK181,RESUMEN!$AN$7)</f>
        <v>-43254</v>
      </c>
      <c r="AN181" s="73"/>
      <c r="AO181" s="73" t="e">
        <f>LOOKUP(AN181,FORMULAS!$A:$A,FORMULAS!$B:$B)</f>
        <v>#N/A</v>
      </c>
      <c r="AP181" s="78"/>
      <c r="AQ181" s="78"/>
      <c r="AR181" s="73"/>
      <c r="AS181" s="73"/>
      <c r="AT181" s="73"/>
      <c r="AU181" s="73"/>
      <c r="AV181" s="73"/>
      <c r="AW181" s="73"/>
      <c r="AX181" s="73" t="e">
        <f>WEEKNUM(AW181-RESUMEN!$AZ$7)</f>
        <v>#NUM!</v>
      </c>
      <c r="AY181" s="73">
        <f>_xlfn.DAYS(AW181,RESUMEN!$AZ$7)</f>
        <v>-43261</v>
      </c>
      <c r="AZ181" s="73"/>
      <c r="BA181" s="73" t="e">
        <f>LOOKUP(AZ181,FORMULAS!$A:$A,FORMULAS!$B:$B)</f>
        <v>#N/A</v>
      </c>
      <c r="BB181" s="78"/>
      <c r="BC181" s="73"/>
      <c r="BD181" s="73"/>
      <c r="BE181" s="73"/>
      <c r="BF181" s="73"/>
      <c r="BG181" s="73"/>
      <c r="BH181" s="73"/>
      <c r="BI181" s="73"/>
      <c r="BJ181" s="73" t="e">
        <f>WEEKNUM(BI181-RESUMEN!$BL$7)</f>
        <v>#NUM!</v>
      </c>
      <c r="BK181" s="73">
        <f>_xlfn.DAYS(BI181,RESUMEN!$BL$7)</f>
        <v>-43267</v>
      </c>
      <c r="BL181" s="73"/>
      <c r="BM181" s="73" t="e">
        <f>LOOKUP(BL181,FORMULAS!$A:$A,FORMULAS!$B:$B)</f>
        <v>#N/A</v>
      </c>
      <c r="BN181" s="78"/>
      <c r="BO181" s="73"/>
      <c r="BP181" s="73"/>
      <c r="BQ181" s="73"/>
      <c r="BR181" s="73"/>
      <c r="BS181" s="73"/>
      <c r="BT181" s="73"/>
    </row>
    <row r="182" spans="1:72" x14ac:dyDescent="0.25">
      <c r="A182" s="75"/>
      <c r="B182" s="74" t="e">
        <f>WEEKNUM(A182-RESUMEN!$D$7)</f>
        <v>#NUM!</v>
      </c>
      <c r="C182" s="74">
        <f>_xlfn.DAYS(A182,RESUMEN!$D$7)</f>
        <v>-43238</v>
      </c>
      <c r="D182" s="75"/>
      <c r="E182" s="73" t="e">
        <f>LOOKUP(D182,FORMULAS!$A:$A,FORMULAS!$B:$B)</f>
        <v>#N/A</v>
      </c>
      <c r="F182" s="80"/>
      <c r="G182" s="75"/>
      <c r="H182" s="75"/>
      <c r="I182" s="73"/>
      <c r="J182" s="73"/>
      <c r="K182" s="73"/>
      <c r="L182" s="73"/>
      <c r="M182" s="73"/>
      <c r="N182" s="73" t="e">
        <f>WEEKNUM(M182-RESUMEN!$P$7)</f>
        <v>#NUM!</v>
      </c>
      <c r="O182" s="73">
        <f>_xlfn.DAYS(M182,RESUMEN!$P$7)</f>
        <v>-43242</v>
      </c>
      <c r="P182" s="73"/>
      <c r="Q182" s="73" t="e">
        <f>LOOKUP(P182,FORMULAS!$A:$A,FORMULAS!$B:$B)</f>
        <v>#N/A</v>
      </c>
      <c r="R182" s="78"/>
      <c r="S182" s="73"/>
      <c r="T182" s="73"/>
      <c r="U182" s="73"/>
      <c r="V182" s="73"/>
      <c r="W182" s="73"/>
      <c r="X182" s="73"/>
      <c r="Y182" s="73"/>
      <c r="Z182" s="73" t="e">
        <f>WEEKNUM(Y182-RESUMEN!$AB$7)</f>
        <v>#NUM!</v>
      </c>
      <c r="AA182" s="73">
        <f>_xlfn.DAYS(Y182,RESUMEN!$AB$7)</f>
        <v>-43247</v>
      </c>
      <c r="AB182" s="73"/>
      <c r="AC182" s="73" t="e">
        <f>LOOKUP(AB182,FORMULAS!$A:$A,FORMULAS!$B:$B)</f>
        <v>#N/A</v>
      </c>
      <c r="AD182" s="78"/>
      <c r="AE182" s="73"/>
      <c r="AF182" s="73"/>
      <c r="AG182" s="73"/>
      <c r="AH182" s="73"/>
      <c r="AI182" s="73"/>
      <c r="AJ182" s="73"/>
      <c r="AK182" s="73"/>
      <c r="AL182" s="73" t="e">
        <f>WEEKNUM(AK182-RESUMEN!$AN$7)</f>
        <v>#NUM!</v>
      </c>
      <c r="AM182" s="73">
        <f>_xlfn.DAYS(AK182,RESUMEN!$AN$7)</f>
        <v>-43254</v>
      </c>
      <c r="AN182" s="73"/>
      <c r="AO182" s="73" t="e">
        <f>LOOKUP(AN182,FORMULAS!$A:$A,FORMULAS!$B:$B)</f>
        <v>#N/A</v>
      </c>
      <c r="AP182" s="78"/>
      <c r="AQ182" s="78"/>
      <c r="AR182" s="73"/>
      <c r="AS182" s="73"/>
      <c r="AT182" s="73"/>
      <c r="AU182" s="73"/>
      <c r="AV182" s="73"/>
      <c r="AW182" s="73"/>
      <c r="AX182" s="73" t="e">
        <f>WEEKNUM(AW182-RESUMEN!$AZ$7)</f>
        <v>#NUM!</v>
      </c>
      <c r="AY182" s="73">
        <f>_xlfn.DAYS(AW182,RESUMEN!$AZ$7)</f>
        <v>-43261</v>
      </c>
      <c r="AZ182" s="73"/>
      <c r="BA182" s="73" t="e">
        <f>LOOKUP(AZ182,FORMULAS!$A:$A,FORMULAS!$B:$B)</f>
        <v>#N/A</v>
      </c>
      <c r="BB182" s="78"/>
      <c r="BC182" s="73"/>
      <c r="BD182" s="73"/>
      <c r="BE182" s="73"/>
      <c r="BF182" s="73"/>
      <c r="BG182" s="73"/>
      <c r="BH182" s="73"/>
      <c r="BI182" s="73"/>
      <c r="BJ182" s="73" t="e">
        <f>WEEKNUM(BI182-RESUMEN!$BL$7)</f>
        <v>#NUM!</v>
      </c>
      <c r="BK182" s="73">
        <f>_xlfn.DAYS(BI182,RESUMEN!$BL$7)</f>
        <v>-43267</v>
      </c>
      <c r="BL182" s="73"/>
      <c r="BM182" s="73" t="e">
        <f>LOOKUP(BL182,FORMULAS!$A:$A,FORMULAS!$B:$B)</f>
        <v>#N/A</v>
      </c>
      <c r="BN182" s="78"/>
      <c r="BO182" s="73"/>
      <c r="BP182" s="73"/>
      <c r="BQ182" s="73"/>
      <c r="BR182" s="73"/>
      <c r="BS182" s="73"/>
      <c r="BT182" s="73"/>
    </row>
    <row r="183" spans="1:72" x14ac:dyDescent="0.25">
      <c r="A183" s="75"/>
      <c r="B183" s="74" t="e">
        <f>WEEKNUM(A183-RESUMEN!$D$7)</f>
        <v>#NUM!</v>
      </c>
      <c r="C183" s="74">
        <f>_xlfn.DAYS(A183,RESUMEN!$D$7)</f>
        <v>-43238</v>
      </c>
      <c r="D183" s="75"/>
      <c r="E183" s="73" t="e">
        <f>LOOKUP(D183,FORMULAS!$A:$A,FORMULAS!$B:$B)</f>
        <v>#N/A</v>
      </c>
      <c r="F183" s="80"/>
      <c r="G183" s="75"/>
      <c r="H183" s="75"/>
      <c r="I183" s="73"/>
      <c r="J183" s="73"/>
      <c r="K183" s="73"/>
      <c r="L183" s="73"/>
      <c r="M183" s="73"/>
      <c r="N183" s="73" t="e">
        <f>WEEKNUM(M183-RESUMEN!$P$7)</f>
        <v>#NUM!</v>
      </c>
      <c r="O183" s="73">
        <f>_xlfn.DAYS(M183,RESUMEN!$P$7)</f>
        <v>-43242</v>
      </c>
      <c r="P183" s="73"/>
      <c r="Q183" s="73" t="e">
        <f>LOOKUP(P183,FORMULAS!$A:$A,FORMULAS!$B:$B)</f>
        <v>#N/A</v>
      </c>
      <c r="R183" s="78"/>
      <c r="S183" s="73"/>
      <c r="T183" s="73"/>
      <c r="U183" s="73"/>
      <c r="V183" s="73"/>
      <c r="W183" s="73"/>
      <c r="X183" s="73"/>
      <c r="Y183" s="73"/>
      <c r="Z183" s="73" t="e">
        <f>WEEKNUM(Y183-RESUMEN!$AB$7)</f>
        <v>#NUM!</v>
      </c>
      <c r="AA183" s="73">
        <f>_xlfn.DAYS(Y183,RESUMEN!$AB$7)</f>
        <v>-43247</v>
      </c>
      <c r="AB183" s="73"/>
      <c r="AC183" s="73" t="e">
        <f>LOOKUP(AB183,FORMULAS!$A:$A,FORMULAS!$B:$B)</f>
        <v>#N/A</v>
      </c>
      <c r="AD183" s="78"/>
      <c r="AE183" s="73"/>
      <c r="AF183" s="73"/>
      <c r="AG183" s="73"/>
      <c r="AH183" s="73"/>
      <c r="AI183" s="73"/>
      <c r="AJ183" s="73"/>
      <c r="AK183" s="73"/>
      <c r="AL183" s="73" t="e">
        <f>WEEKNUM(AK183-RESUMEN!$AN$7)</f>
        <v>#NUM!</v>
      </c>
      <c r="AM183" s="73">
        <f>_xlfn.DAYS(AK183,RESUMEN!$AN$7)</f>
        <v>-43254</v>
      </c>
      <c r="AN183" s="73"/>
      <c r="AO183" s="73" t="e">
        <f>LOOKUP(AN183,FORMULAS!$A:$A,FORMULAS!$B:$B)</f>
        <v>#N/A</v>
      </c>
      <c r="AP183" s="78"/>
      <c r="AQ183" s="78"/>
      <c r="AR183" s="73"/>
      <c r="AS183" s="73"/>
      <c r="AT183" s="73"/>
      <c r="AU183" s="73"/>
      <c r="AV183" s="73"/>
      <c r="AW183" s="73"/>
      <c r="AX183" s="73" t="e">
        <f>WEEKNUM(AW183-RESUMEN!$AZ$7)</f>
        <v>#NUM!</v>
      </c>
      <c r="AY183" s="73">
        <f>_xlfn.DAYS(AW183,RESUMEN!$AZ$7)</f>
        <v>-43261</v>
      </c>
      <c r="AZ183" s="73"/>
      <c r="BA183" s="73" t="e">
        <f>LOOKUP(AZ183,FORMULAS!$A:$A,FORMULAS!$B:$B)</f>
        <v>#N/A</v>
      </c>
      <c r="BB183" s="78"/>
      <c r="BC183" s="73"/>
      <c r="BD183" s="73"/>
      <c r="BE183" s="73"/>
      <c r="BF183" s="73"/>
      <c r="BG183" s="73"/>
      <c r="BH183" s="73"/>
      <c r="BI183" s="73"/>
      <c r="BJ183" s="73" t="e">
        <f>WEEKNUM(BI183-RESUMEN!$BL$7)</f>
        <v>#NUM!</v>
      </c>
      <c r="BK183" s="73">
        <f>_xlfn.DAYS(BI183,RESUMEN!$BL$7)</f>
        <v>-43267</v>
      </c>
      <c r="BL183" s="73"/>
      <c r="BM183" s="73" t="e">
        <f>LOOKUP(BL183,FORMULAS!$A:$A,FORMULAS!$B:$B)</f>
        <v>#N/A</v>
      </c>
      <c r="BN183" s="78"/>
      <c r="BO183" s="73"/>
      <c r="BP183" s="73"/>
      <c r="BQ183" s="73"/>
      <c r="BR183" s="73"/>
      <c r="BS183" s="73"/>
      <c r="BT183" s="73"/>
    </row>
    <row r="184" spans="1:72" x14ac:dyDescent="0.25">
      <c r="A184" s="75"/>
      <c r="B184" s="74" t="e">
        <f>WEEKNUM(A184-RESUMEN!$D$7)</f>
        <v>#NUM!</v>
      </c>
      <c r="C184" s="74">
        <f>_xlfn.DAYS(A184,RESUMEN!$D$7)</f>
        <v>-43238</v>
      </c>
      <c r="D184" s="75"/>
      <c r="E184" s="73" t="e">
        <f>LOOKUP(D184,FORMULAS!$A:$A,FORMULAS!$B:$B)</f>
        <v>#N/A</v>
      </c>
      <c r="F184" s="80"/>
      <c r="G184" s="75"/>
      <c r="H184" s="75"/>
      <c r="I184" s="73"/>
      <c r="J184" s="73"/>
      <c r="K184" s="73"/>
      <c r="L184" s="73"/>
      <c r="M184" s="73"/>
      <c r="N184" s="73" t="e">
        <f>WEEKNUM(M184-RESUMEN!$P$7)</f>
        <v>#NUM!</v>
      </c>
      <c r="O184" s="73">
        <f>_xlfn.DAYS(M184,RESUMEN!$P$7)</f>
        <v>-43242</v>
      </c>
      <c r="P184" s="73"/>
      <c r="Q184" s="73" t="e">
        <f>LOOKUP(P184,FORMULAS!$A:$A,FORMULAS!$B:$B)</f>
        <v>#N/A</v>
      </c>
      <c r="R184" s="78"/>
      <c r="S184" s="73"/>
      <c r="T184" s="73"/>
      <c r="U184" s="73"/>
      <c r="V184" s="73"/>
      <c r="W184" s="73"/>
      <c r="X184" s="73"/>
      <c r="Y184" s="73"/>
      <c r="Z184" s="73" t="e">
        <f>WEEKNUM(Y184-RESUMEN!$AB$7)</f>
        <v>#NUM!</v>
      </c>
      <c r="AA184" s="73">
        <f>_xlfn.DAYS(Y184,RESUMEN!$AB$7)</f>
        <v>-43247</v>
      </c>
      <c r="AB184" s="73"/>
      <c r="AC184" s="73" t="e">
        <f>LOOKUP(AB184,FORMULAS!$A:$A,FORMULAS!$B:$B)</f>
        <v>#N/A</v>
      </c>
      <c r="AD184" s="78"/>
      <c r="AE184" s="73"/>
      <c r="AF184" s="73"/>
      <c r="AG184" s="73"/>
      <c r="AH184" s="73"/>
      <c r="AI184" s="73"/>
      <c r="AJ184" s="73"/>
      <c r="AK184" s="73"/>
      <c r="AL184" s="73" t="e">
        <f>WEEKNUM(AK184-RESUMEN!$AN$7)</f>
        <v>#NUM!</v>
      </c>
      <c r="AM184" s="73">
        <f>_xlfn.DAYS(AK184,RESUMEN!$AN$7)</f>
        <v>-43254</v>
      </c>
      <c r="AN184" s="73"/>
      <c r="AO184" s="73" t="e">
        <f>LOOKUP(AN184,FORMULAS!$A:$A,FORMULAS!$B:$B)</f>
        <v>#N/A</v>
      </c>
      <c r="AP184" s="78"/>
      <c r="AQ184" s="78"/>
      <c r="AR184" s="73"/>
      <c r="AS184" s="73"/>
      <c r="AT184" s="73"/>
      <c r="AU184" s="73"/>
      <c r="AV184" s="73"/>
      <c r="AW184" s="73"/>
      <c r="AX184" s="73" t="e">
        <f>WEEKNUM(AW184-RESUMEN!$AZ$7)</f>
        <v>#NUM!</v>
      </c>
      <c r="AY184" s="73">
        <f>_xlfn.DAYS(AW184,RESUMEN!$AZ$7)</f>
        <v>-43261</v>
      </c>
      <c r="AZ184" s="73"/>
      <c r="BA184" s="73" t="e">
        <f>LOOKUP(AZ184,FORMULAS!$A:$A,FORMULAS!$B:$B)</f>
        <v>#N/A</v>
      </c>
      <c r="BB184" s="78"/>
      <c r="BC184" s="73"/>
      <c r="BD184" s="73"/>
      <c r="BE184" s="73"/>
      <c r="BF184" s="73"/>
      <c r="BG184" s="73"/>
      <c r="BH184" s="73"/>
      <c r="BI184" s="73"/>
      <c r="BJ184" s="73" t="e">
        <f>WEEKNUM(BI184-RESUMEN!$BL$7)</f>
        <v>#NUM!</v>
      </c>
      <c r="BK184" s="73">
        <f>_xlfn.DAYS(BI184,RESUMEN!$BL$7)</f>
        <v>-43267</v>
      </c>
      <c r="BL184" s="73"/>
      <c r="BM184" s="73" t="e">
        <f>LOOKUP(BL184,FORMULAS!$A:$A,FORMULAS!$B:$B)</f>
        <v>#N/A</v>
      </c>
      <c r="BN184" s="78"/>
      <c r="BO184" s="73"/>
      <c r="BP184" s="73"/>
      <c r="BQ184" s="73"/>
      <c r="BR184" s="73"/>
      <c r="BS184" s="73"/>
      <c r="BT184" s="73"/>
    </row>
    <row r="185" spans="1:72" x14ac:dyDescent="0.25">
      <c r="A185" s="75"/>
      <c r="B185" s="74" t="e">
        <f>WEEKNUM(A185-RESUMEN!$D$7)</f>
        <v>#NUM!</v>
      </c>
      <c r="C185" s="74">
        <f>_xlfn.DAYS(A185,RESUMEN!$D$7)</f>
        <v>-43238</v>
      </c>
      <c r="D185" s="75"/>
      <c r="E185" s="73" t="e">
        <f>LOOKUP(D185,FORMULAS!$A:$A,FORMULAS!$B:$B)</f>
        <v>#N/A</v>
      </c>
      <c r="F185" s="80"/>
      <c r="G185" s="75"/>
      <c r="H185" s="75"/>
      <c r="I185" s="73"/>
      <c r="J185" s="73"/>
      <c r="K185" s="73"/>
      <c r="L185" s="73"/>
      <c r="M185" s="73"/>
      <c r="N185" s="73" t="e">
        <f>WEEKNUM(M185-RESUMEN!$P$7)</f>
        <v>#NUM!</v>
      </c>
      <c r="O185" s="73">
        <f>_xlfn.DAYS(M185,RESUMEN!$P$7)</f>
        <v>-43242</v>
      </c>
      <c r="P185" s="73"/>
      <c r="Q185" s="73" t="e">
        <f>LOOKUP(P185,FORMULAS!$A:$A,FORMULAS!$B:$B)</f>
        <v>#N/A</v>
      </c>
      <c r="R185" s="78"/>
      <c r="S185" s="73"/>
      <c r="T185" s="73"/>
      <c r="U185" s="73"/>
      <c r="V185" s="73"/>
      <c r="W185" s="73"/>
      <c r="X185" s="73"/>
      <c r="Y185" s="73"/>
      <c r="Z185" s="73" t="e">
        <f>WEEKNUM(Y185-RESUMEN!$AB$7)</f>
        <v>#NUM!</v>
      </c>
      <c r="AA185" s="73">
        <f>_xlfn.DAYS(Y185,RESUMEN!$AB$7)</f>
        <v>-43247</v>
      </c>
      <c r="AB185" s="73"/>
      <c r="AC185" s="73" t="e">
        <f>LOOKUP(AB185,FORMULAS!$A:$A,FORMULAS!$B:$B)</f>
        <v>#N/A</v>
      </c>
      <c r="AD185" s="78"/>
      <c r="AE185" s="73"/>
      <c r="AF185" s="73"/>
      <c r="AG185" s="73"/>
      <c r="AH185" s="73"/>
      <c r="AI185" s="73"/>
      <c r="AJ185" s="73"/>
      <c r="AK185" s="73"/>
      <c r="AL185" s="73" t="e">
        <f>WEEKNUM(AK185-RESUMEN!$AN$7)</f>
        <v>#NUM!</v>
      </c>
      <c r="AM185" s="73">
        <f>_xlfn.DAYS(AK185,RESUMEN!$AN$7)</f>
        <v>-43254</v>
      </c>
      <c r="AN185" s="73"/>
      <c r="AO185" s="73" t="e">
        <f>LOOKUP(AN185,FORMULAS!$A:$A,FORMULAS!$B:$B)</f>
        <v>#N/A</v>
      </c>
      <c r="AP185" s="78"/>
      <c r="AQ185" s="78"/>
      <c r="AR185" s="73"/>
      <c r="AS185" s="73"/>
      <c r="AT185" s="73"/>
      <c r="AU185" s="73"/>
      <c r="AV185" s="73"/>
      <c r="AW185" s="73"/>
      <c r="AX185" s="73" t="e">
        <f>WEEKNUM(AW185-RESUMEN!$AZ$7)</f>
        <v>#NUM!</v>
      </c>
      <c r="AY185" s="73">
        <f>_xlfn.DAYS(AW185,RESUMEN!$AZ$7)</f>
        <v>-43261</v>
      </c>
      <c r="AZ185" s="73"/>
      <c r="BA185" s="73" t="e">
        <f>LOOKUP(AZ185,FORMULAS!$A:$A,FORMULAS!$B:$B)</f>
        <v>#N/A</v>
      </c>
      <c r="BB185" s="78"/>
      <c r="BC185" s="73"/>
      <c r="BD185" s="73"/>
      <c r="BE185" s="73"/>
      <c r="BF185" s="73"/>
      <c r="BG185" s="73"/>
      <c r="BH185" s="73"/>
      <c r="BI185" s="73"/>
      <c r="BJ185" s="73" t="e">
        <f>WEEKNUM(BI185-RESUMEN!$BL$7)</f>
        <v>#NUM!</v>
      </c>
      <c r="BK185" s="73">
        <f>_xlfn.DAYS(BI185,RESUMEN!$BL$7)</f>
        <v>-43267</v>
      </c>
      <c r="BL185" s="73"/>
      <c r="BM185" s="73" t="e">
        <f>LOOKUP(BL185,FORMULAS!$A:$A,FORMULAS!$B:$B)</f>
        <v>#N/A</v>
      </c>
      <c r="BN185" s="78"/>
      <c r="BO185" s="73"/>
      <c r="BP185" s="73"/>
      <c r="BQ185" s="73"/>
      <c r="BR185" s="73"/>
      <c r="BS185" s="73"/>
      <c r="BT185" s="73"/>
    </row>
    <row r="186" spans="1:72" x14ac:dyDescent="0.25">
      <c r="A186" s="75"/>
      <c r="B186" s="74" t="e">
        <f>WEEKNUM(A186-RESUMEN!$D$7)</f>
        <v>#NUM!</v>
      </c>
      <c r="C186" s="74">
        <f>_xlfn.DAYS(A186,RESUMEN!$D$7)</f>
        <v>-43238</v>
      </c>
      <c r="D186" s="75"/>
      <c r="E186" s="73" t="e">
        <f>LOOKUP(D186,FORMULAS!$A:$A,FORMULAS!$B:$B)</f>
        <v>#N/A</v>
      </c>
      <c r="F186" s="80"/>
      <c r="G186" s="75"/>
      <c r="H186" s="75"/>
      <c r="I186" s="73"/>
      <c r="J186" s="73"/>
      <c r="K186" s="73"/>
      <c r="L186" s="73"/>
      <c r="M186" s="73"/>
      <c r="N186" s="73" t="e">
        <f>WEEKNUM(M186-RESUMEN!$P$7)</f>
        <v>#NUM!</v>
      </c>
      <c r="O186" s="73">
        <f>_xlfn.DAYS(M186,RESUMEN!$P$7)</f>
        <v>-43242</v>
      </c>
      <c r="P186" s="73"/>
      <c r="Q186" s="73" t="e">
        <f>LOOKUP(P186,FORMULAS!$A:$A,FORMULAS!$B:$B)</f>
        <v>#N/A</v>
      </c>
      <c r="R186" s="78"/>
      <c r="S186" s="73"/>
      <c r="T186" s="73"/>
      <c r="U186" s="73"/>
      <c r="V186" s="73"/>
      <c r="W186" s="73"/>
      <c r="X186" s="73"/>
      <c r="Y186" s="73"/>
      <c r="Z186" s="73" t="e">
        <f>WEEKNUM(Y186-RESUMEN!$AB$7)</f>
        <v>#NUM!</v>
      </c>
      <c r="AA186" s="73">
        <f>_xlfn.DAYS(Y186,RESUMEN!$AB$7)</f>
        <v>-43247</v>
      </c>
      <c r="AB186" s="73"/>
      <c r="AC186" s="73" t="e">
        <f>LOOKUP(AB186,FORMULAS!$A:$A,FORMULAS!$B:$B)</f>
        <v>#N/A</v>
      </c>
      <c r="AD186" s="78"/>
      <c r="AE186" s="73"/>
      <c r="AF186" s="73"/>
      <c r="AG186" s="73"/>
      <c r="AH186" s="73"/>
      <c r="AI186" s="73"/>
      <c r="AJ186" s="73"/>
      <c r="AK186" s="73"/>
      <c r="AL186" s="73" t="e">
        <f>WEEKNUM(AK186-RESUMEN!$AN$7)</f>
        <v>#NUM!</v>
      </c>
      <c r="AM186" s="73">
        <f>_xlfn.DAYS(AK186,RESUMEN!$AN$7)</f>
        <v>-43254</v>
      </c>
      <c r="AN186" s="73"/>
      <c r="AO186" s="73" t="e">
        <f>LOOKUP(AN186,FORMULAS!$A:$A,FORMULAS!$B:$B)</f>
        <v>#N/A</v>
      </c>
      <c r="AP186" s="78"/>
      <c r="AQ186" s="78"/>
      <c r="AR186" s="73"/>
      <c r="AS186" s="73"/>
      <c r="AT186" s="73"/>
      <c r="AU186" s="73"/>
      <c r="AV186" s="73"/>
      <c r="AW186" s="73"/>
      <c r="AX186" s="73" t="e">
        <f>WEEKNUM(AW186-RESUMEN!$AZ$7)</f>
        <v>#NUM!</v>
      </c>
      <c r="AY186" s="73">
        <f>_xlfn.DAYS(AW186,RESUMEN!$AZ$7)</f>
        <v>-43261</v>
      </c>
      <c r="AZ186" s="73"/>
      <c r="BA186" s="73" t="e">
        <f>LOOKUP(AZ186,FORMULAS!$A:$A,FORMULAS!$B:$B)</f>
        <v>#N/A</v>
      </c>
      <c r="BB186" s="78"/>
      <c r="BC186" s="73"/>
      <c r="BD186" s="73"/>
      <c r="BE186" s="73"/>
      <c r="BF186" s="73"/>
      <c r="BG186" s="73"/>
      <c r="BH186" s="73"/>
      <c r="BI186" s="73"/>
      <c r="BJ186" s="73" t="e">
        <f>WEEKNUM(BI186-RESUMEN!$BL$7)</f>
        <v>#NUM!</v>
      </c>
      <c r="BK186" s="73">
        <f>_xlfn.DAYS(BI186,RESUMEN!$BL$7)</f>
        <v>-43267</v>
      </c>
      <c r="BL186" s="73"/>
      <c r="BM186" s="73" t="e">
        <f>LOOKUP(BL186,FORMULAS!$A:$A,FORMULAS!$B:$B)</f>
        <v>#N/A</v>
      </c>
      <c r="BN186" s="78"/>
      <c r="BO186" s="73"/>
      <c r="BP186" s="73"/>
      <c r="BQ186" s="73"/>
      <c r="BR186" s="73"/>
      <c r="BS186" s="73"/>
      <c r="BT186" s="73"/>
    </row>
    <row r="187" spans="1:72" x14ac:dyDescent="0.25">
      <c r="A187" s="75"/>
      <c r="B187" s="74" t="e">
        <f>WEEKNUM(A187-RESUMEN!$D$7)</f>
        <v>#NUM!</v>
      </c>
      <c r="C187" s="74">
        <f>_xlfn.DAYS(A187,RESUMEN!$D$7)</f>
        <v>-43238</v>
      </c>
      <c r="D187" s="75"/>
      <c r="E187" s="73" t="e">
        <f>LOOKUP(D187,FORMULAS!$A:$A,FORMULAS!$B:$B)</f>
        <v>#N/A</v>
      </c>
      <c r="F187" s="80"/>
      <c r="G187" s="75"/>
      <c r="H187" s="75"/>
      <c r="I187" s="73"/>
      <c r="J187" s="73"/>
      <c r="K187" s="73"/>
      <c r="L187" s="73"/>
      <c r="M187" s="73"/>
      <c r="N187" s="73" t="e">
        <f>WEEKNUM(M187-RESUMEN!$P$7)</f>
        <v>#NUM!</v>
      </c>
      <c r="O187" s="73">
        <f>_xlfn.DAYS(M187,RESUMEN!$P$7)</f>
        <v>-43242</v>
      </c>
      <c r="P187" s="73"/>
      <c r="Q187" s="73" t="e">
        <f>LOOKUP(P187,FORMULAS!$A:$A,FORMULAS!$B:$B)</f>
        <v>#N/A</v>
      </c>
      <c r="R187" s="78"/>
      <c r="S187" s="73"/>
      <c r="T187" s="73"/>
      <c r="U187" s="73"/>
      <c r="V187" s="73"/>
      <c r="W187" s="73"/>
      <c r="X187" s="73"/>
      <c r="Y187" s="73"/>
      <c r="Z187" s="73" t="e">
        <f>WEEKNUM(Y187-RESUMEN!$AB$7)</f>
        <v>#NUM!</v>
      </c>
      <c r="AA187" s="73">
        <f>_xlfn.DAYS(Y187,RESUMEN!$AB$7)</f>
        <v>-43247</v>
      </c>
      <c r="AB187" s="73"/>
      <c r="AC187" s="73" t="e">
        <f>LOOKUP(AB187,FORMULAS!$A:$A,FORMULAS!$B:$B)</f>
        <v>#N/A</v>
      </c>
      <c r="AD187" s="78"/>
      <c r="AE187" s="73"/>
      <c r="AF187" s="73"/>
      <c r="AG187" s="73"/>
      <c r="AH187" s="73"/>
      <c r="AI187" s="73"/>
      <c r="AJ187" s="73"/>
      <c r="AK187" s="73"/>
      <c r="AL187" s="73" t="e">
        <f>WEEKNUM(AK187-RESUMEN!$AN$7)</f>
        <v>#NUM!</v>
      </c>
      <c r="AM187" s="73">
        <f>_xlfn.DAYS(AK187,RESUMEN!$AN$7)</f>
        <v>-43254</v>
      </c>
      <c r="AN187" s="73"/>
      <c r="AO187" s="73" t="e">
        <f>LOOKUP(AN187,FORMULAS!$A:$A,FORMULAS!$B:$B)</f>
        <v>#N/A</v>
      </c>
      <c r="AP187" s="78"/>
      <c r="AQ187" s="78"/>
      <c r="AR187" s="73"/>
      <c r="AS187" s="73"/>
      <c r="AT187" s="73"/>
      <c r="AU187" s="73"/>
      <c r="AV187" s="73"/>
      <c r="AW187" s="73"/>
      <c r="AX187" s="73" t="e">
        <f>WEEKNUM(AW187-RESUMEN!$AZ$7)</f>
        <v>#NUM!</v>
      </c>
      <c r="AY187" s="73">
        <f>_xlfn.DAYS(AW187,RESUMEN!$AZ$7)</f>
        <v>-43261</v>
      </c>
      <c r="AZ187" s="73"/>
      <c r="BA187" s="73" t="e">
        <f>LOOKUP(AZ187,FORMULAS!$A:$A,FORMULAS!$B:$B)</f>
        <v>#N/A</v>
      </c>
      <c r="BB187" s="78"/>
      <c r="BC187" s="73"/>
      <c r="BD187" s="73"/>
      <c r="BE187" s="73"/>
      <c r="BF187" s="73"/>
      <c r="BG187" s="73"/>
      <c r="BH187" s="73"/>
      <c r="BI187" s="73"/>
      <c r="BJ187" s="73" t="e">
        <f>WEEKNUM(BI187-RESUMEN!$BL$7)</f>
        <v>#NUM!</v>
      </c>
      <c r="BK187" s="73">
        <f>_xlfn.DAYS(BI187,RESUMEN!$BL$7)</f>
        <v>-43267</v>
      </c>
      <c r="BL187" s="73"/>
      <c r="BM187" s="73" t="e">
        <f>LOOKUP(BL187,FORMULAS!$A:$A,FORMULAS!$B:$B)</f>
        <v>#N/A</v>
      </c>
      <c r="BN187" s="78"/>
      <c r="BO187" s="73"/>
      <c r="BP187" s="73"/>
      <c r="BQ187" s="73"/>
      <c r="BR187" s="73"/>
      <c r="BS187" s="73"/>
      <c r="BT187" s="73"/>
    </row>
    <row r="188" spans="1:72" x14ac:dyDescent="0.25">
      <c r="A188" s="75"/>
      <c r="B188" s="74" t="e">
        <f>WEEKNUM(A188-RESUMEN!$D$7)</f>
        <v>#NUM!</v>
      </c>
      <c r="C188" s="74">
        <f>_xlfn.DAYS(A188,RESUMEN!$D$7)</f>
        <v>-43238</v>
      </c>
      <c r="D188" s="75"/>
      <c r="E188" s="73" t="e">
        <f>LOOKUP(D188,FORMULAS!$A:$A,FORMULAS!$B:$B)</f>
        <v>#N/A</v>
      </c>
      <c r="F188" s="80"/>
      <c r="G188" s="75"/>
      <c r="H188" s="75"/>
      <c r="I188" s="73"/>
      <c r="J188" s="73"/>
      <c r="K188" s="73"/>
      <c r="L188" s="73"/>
      <c r="M188" s="73"/>
      <c r="N188" s="73" t="e">
        <f>WEEKNUM(M188-RESUMEN!$P$7)</f>
        <v>#NUM!</v>
      </c>
      <c r="O188" s="73">
        <f>_xlfn.DAYS(M188,RESUMEN!$P$7)</f>
        <v>-43242</v>
      </c>
      <c r="P188" s="73"/>
      <c r="Q188" s="73" t="e">
        <f>LOOKUP(P188,FORMULAS!$A:$A,FORMULAS!$B:$B)</f>
        <v>#N/A</v>
      </c>
      <c r="R188" s="78"/>
      <c r="S188" s="73"/>
      <c r="T188" s="73"/>
      <c r="U188" s="73"/>
      <c r="V188" s="73"/>
      <c r="W188" s="73"/>
      <c r="X188" s="73"/>
      <c r="Y188" s="73"/>
      <c r="Z188" s="73" t="e">
        <f>WEEKNUM(Y188-RESUMEN!$AB$7)</f>
        <v>#NUM!</v>
      </c>
      <c r="AA188" s="73">
        <f>_xlfn.DAYS(Y188,RESUMEN!$AB$7)</f>
        <v>-43247</v>
      </c>
      <c r="AB188" s="73"/>
      <c r="AC188" s="73" t="e">
        <f>LOOKUP(AB188,FORMULAS!$A:$A,FORMULAS!$B:$B)</f>
        <v>#N/A</v>
      </c>
      <c r="AD188" s="78"/>
      <c r="AE188" s="73"/>
      <c r="AF188" s="73"/>
      <c r="AG188" s="73"/>
      <c r="AH188" s="73"/>
      <c r="AI188" s="73"/>
      <c r="AJ188" s="73"/>
      <c r="AK188" s="73"/>
      <c r="AL188" s="73" t="e">
        <f>WEEKNUM(AK188-RESUMEN!$AN$7)</f>
        <v>#NUM!</v>
      </c>
      <c r="AM188" s="73">
        <f>_xlfn.DAYS(AK188,RESUMEN!$AN$7)</f>
        <v>-43254</v>
      </c>
      <c r="AN188" s="73"/>
      <c r="AO188" s="73" t="e">
        <f>LOOKUP(AN188,FORMULAS!$A:$A,FORMULAS!$B:$B)</f>
        <v>#N/A</v>
      </c>
      <c r="AP188" s="78"/>
      <c r="AQ188" s="78"/>
      <c r="AR188" s="73"/>
      <c r="AS188" s="73"/>
      <c r="AT188" s="73"/>
      <c r="AU188" s="73"/>
      <c r="AV188" s="73"/>
      <c r="AW188" s="73"/>
      <c r="AX188" s="73" t="e">
        <f>WEEKNUM(AW188-RESUMEN!$AZ$7)</f>
        <v>#NUM!</v>
      </c>
      <c r="AY188" s="73">
        <f>_xlfn.DAYS(AW188,RESUMEN!$AZ$7)</f>
        <v>-43261</v>
      </c>
      <c r="AZ188" s="73"/>
      <c r="BA188" s="73" t="e">
        <f>LOOKUP(AZ188,FORMULAS!$A:$A,FORMULAS!$B:$B)</f>
        <v>#N/A</v>
      </c>
      <c r="BB188" s="78"/>
      <c r="BC188" s="73"/>
      <c r="BD188" s="73"/>
      <c r="BE188" s="73"/>
      <c r="BF188" s="73"/>
      <c r="BG188" s="73"/>
      <c r="BH188" s="73"/>
      <c r="BI188" s="73"/>
      <c r="BJ188" s="73" t="e">
        <f>WEEKNUM(BI188-RESUMEN!$BL$7)</f>
        <v>#NUM!</v>
      </c>
      <c r="BK188" s="73">
        <f>_xlfn.DAYS(BI188,RESUMEN!$BL$7)</f>
        <v>-43267</v>
      </c>
      <c r="BL188" s="73"/>
      <c r="BM188" s="73" t="e">
        <f>LOOKUP(BL188,FORMULAS!$A:$A,FORMULAS!$B:$B)</f>
        <v>#N/A</v>
      </c>
      <c r="BN188" s="78"/>
      <c r="BO188" s="73"/>
      <c r="BP188" s="73"/>
      <c r="BQ188" s="73"/>
      <c r="BR188" s="73"/>
      <c r="BS188" s="73"/>
      <c r="BT188" s="73"/>
    </row>
    <row r="189" spans="1:72" x14ac:dyDescent="0.25">
      <c r="A189" s="75"/>
      <c r="B189" s="74" t="e">
        <f>WEEKNUM(A189-RESUMEN!$D$7)</f>
        <v>#NUM!</v>
      </c>
      <c r="C189" s="74">
        <f>_xlfn.DAYS(A189,RESUMEN!$D$7)</f>
        <v>-43238</v>
      </c>
      <c r="D189" s="75"/>
      <c r="E189" s="73" t="e">
        <f>LOOKUP(D189,FORMULAS!$A:$A,FORMULAS!$B:$B)</f>
        <v>#N/A</v>
      </c>
      <c r="F189" s="80"/>
      <c r="G189" s="75"/>
      <c r="H189" s="75"/>
      <c r="I189" s="73"/>
      <c r="J189" s="73"/>
      <c r="K189" s="73"/>
      <c r="L189" s="73"/>
      <c r="M189" s="73"/>
      <c r="N189" s="73" t="e">
        <f>WEEKNUM(M189-RESUMEN!$P$7)</f>
        <v>#NUM!</v>
      </c>
      <c r="O189" s="73">
        <f>_xlfn.DAYS(M189,RESUMEN!$P$7)</f>
        <v>-43242</v>
      </c>
      <c r="P189" s="73"/>
      <c r="Q189" s="73" t="e">
        <f>LOOKUP(P189,FORMULAS!$A:$A,FORMULAS!$B:$B)</f>
        <v>#N/A</v>
      </c>
      <c r="R189" s="78"/>
      <c r="S189" s="73"/>
      <c r="T189" s="73"/>
      <c r="U189" s="73"/>
      <c r="V189" s="73"/>
      <c r="W189" s="73"/>
      <c r="X189" s="73"/>
      <c r="Y189" s="73"/>
      <c r="Z189" s="73" t="e">
        <f>WEEKNUM(Y189-RESUMEN!$AB$7)</f>
        <v>#NUM!</v>
      </c>
      <c r="AA189" s="73">
        <f>_xlfn.DAYS(Y189,RESUMEN!$AB$7)</f>
        <v>-43247</v>
      </c>
      <c r="AB189" s="73"/>
      <c r="AC189" s="73" t="e">
        <f>LOOKUP(AB189,FORMULAS!$A:$A,FORMULAS!$B:$B)</f>
        <v>#N/A</v>
      </c>
      <c r="AD189" s="78"/>
      <c r="AE189" s="73"/>
      <c r="AF189" s="73"/>
      <c r="AG189" s="73"/>
      <c r="AH189" s="73"/>
      <c r="AI189" s="73"/>
      <c r="AJ189" s="73"/>
      <c r="AK189" s="73"/>
      <c r="AL189" s="73" t="e">
        <f>WEEKNUM(AK189-RESUMEN!$AN$7)</f>
        <v>#NUM!</v>
      </c>
      <c r="AM189" s="73">
        <f>_xlfn.DAYS(AK189,RESUMEN!$AN$7)</f>
        <v>-43254</v>
      </c>
      <c r="AN189" s="73"/>
      <c r="AO189" s="73" t="e">
        <f>LOOKUP(AN189,FORMULAS!$A:$A,FORMULAS!$B:$B)</f>
        <v>#N/A</v>
      </c>
      <c r="AP189" s="78"/>
      <c r="AQ189" s="78"/>
      <c r="AR189" s="73"/>
      <c r="AS189" s="73"/>
      <c r="AT189" s="73"/>
      <c r="AU189" s="73"/>
      <c r="AV189" s="73"/>
      <c r="AW189" s="73"/>
      <c r="AX189" s="73" t="e">
        <f>WEEKNUM(AW189-RESUMEN!$AZ$7)</f>
        <v>#NUM!</v>
      </c>
      <c r="AY189" s="73">
        <f>_xlfn.DAYS(AW189,RESUMEN!$AZ$7)</f>
        <v>-43261</v>
      </c>
      <c r="AZ189" s="73"/>
      <c r="BA189" s="73" t="e">
        <f>LOOKUP(AZ189,FORMULAS!$A:$A,FORMULAS!$B:$B)</f>
        <v>#N/A</v>
      </c>
      <c r="BB189" s="78"/>
      <c r="BC189" s="73"/>
      <c r="BD189" s="73"/>
      <c r="BE189" s="73"/>
      <c r="BF189" s="73"/>
      <c r="BG189" s="73"/>
      <c r="BH189" s="73"/>
      <c r="BI189" s="73"/>
      <c r="BJ189" s="73" t="e">
        <f>WEEKNUM(BI189-RESUMEN!$BL$7)</f>
        <v>#NUM!</v>
      </c>
      <c r="BK189" s="73">
        <f>_xlfn.DAYS(BI189,RESUMEN!$BL$7)</f>
        <v>-43267</v>
      </c>
      <c r="BL189" s="73"/>
      <c r="BM189" s="73" t="e">
        <f>LOOKUP(BL189,FORMULAS!$A:$A,FORMULAS!$B:$B)</f>
        <v>#N/A</v>
      </c>
      <c r="BN189" s="78"/>
      <c r="BO189" s="73"/>
      <c r="BP189" s="73"/>
      <c r="BQ189" s="73"/>
      <c r="BR189" s="73"/>
      <c r="BS189" s="73"/>
      <c r="BT189" s="73"/>
    </row>
    <row r="190" spans="1:72" x14ac:dyDescent="0.25">
      <c r="A190" s="75"/>
      <c r="B190" s="74" t="e">
        <f>WEEKNUM(A190-RESUMEN!$D$7)</f>
        <v>#NUM!</v>
      </c>
      <c r="C190" s="74">
        <f>_xlfn.DAYS(A190,RESUMEN!$D$7)</f>
        <v>-43238</v>
      </c>
      <c r="D190" s="75"/>
      <c r="E190" s="73" t="e">
        <f>LOOKUP(D190,FORMULAS!$A:$A,FORMULAS!$B:$B)</f>
        <v>#N/A</v>
      </c>
      <c r="F190" s="80"/>
      <c r="G190" s="75"/>
      <c r="H190" s="75"/>
      <c r="I190" s="73"/>
      <c r="J190" s="73"/>
      <c r="K190" s="73"/>
      <c r="L190" s="73"/>
      <c r="M190" s="73"/>
      <c r="N190" s="73" t="e">
        <f>WEEKNUM(M190-RESUMEN!$P$7)</f>
        <v>#NUM!</v>
      </c>
      <c r="O190" s="73">
        <f>_xlfn.DAYS(M190,RESUMEN!$P$7)</f>
        <v>-43242</v>
      </c>
      <c r="P190" s="73"/>
      <c r="Q190" s="73" t="e">
        <f>LOOKUP(P190,FORMULAS!$A:$A,FORMULAS!$B:$B)</f>
        <v>#N/A</v>
      </c>
      <c r="R190" s="78"/>
      <c r="S190" s="73"/>
      <c r="T190" s="73"/>
      <c r="U190" s="73"/>
      <c r="V190" s="73"/>
      <c r="W190" s="73"/>
      <c r="X190" s="73"/>
      <c r="Y190" s="73"/>
      <c r="Z190" s="73" t="e">
        <f>WEEKNUM(Y190-RESUMEN!$AB$7)</f>
        <v>#NUM!</v>
      </c>
      <c r="AA190" s="73">
        <f>_xlfn.DAYS(Y190,RESUMEN!$AB$7)</f>
        <v>-43247</v>
      </c>
      <c r="AB190" s="73"/>
      <c r="AC190" s="73" t="e">
        <f>LOOKUP(AB190,FORMULAS!$A:$A,FORMULAS!$B:$B)</f>
        <v>#N/A</v>
      </c>
      <c r="AD190" s="78"/>
      <c r="AE190" s="73"/>
      <c r="AF190" s="73"/>
      <c r="AG190" s="73"/>
      <c r="AH190" s="73"/>
      <c r="AI190" s="73"/>
      <c r="AJ190" s="73"/>
      <c r="AK190" s="73"/>
      <c r="AL190" s="73" t="e">
        <f>WEEKNUM(AK190-RESUMEN!$AN$7)</f>
        <v>#NUM!</v>
      </c>
      <c r="AM190" s="73">
        <f>_xlfn.DAYS(AK190,RESUMEN!$AN$7)</f>
        <v>-43254</v>
      </c>
      <c r="AN190" s="73"/>
      <c r="AO190" s="73" t="e">
        <f>LOOKUP(AN190,FORMULAS!$A:$A,FORMULAS!$B:$B)</f>
        <v>#N/A</v>
      </c>
      <c r="AP190" s="78"/>
      <c r="AQ190" s="78"/>
      <c r="AR190" s="73"/>
      <c r="AS190" s="73"/>
      <c r="AT190" s="73"/>
      <c r="AU190" s="73"/>
      <c r="AV190" s="73"/>
      <c r="AW190" s="73"/>
      <c r="AX190" s="73" t="e">
        <f>WEEKNUM(AW190-RESUMEN!$AZ$7)</f>
        <v>#NUM!</v>
      </c>
      <c r="AY190" s="73">
        <f>_xlfn.DAYS(AW190,RESUMEN!$AZ$7)</f>
        <v>-43261</v>
      </c>
      <c r="AZ190" s="73"/>
      <c r="BA190" s="73" t="e">
        <f>LOOKUP(AZ190,FORMULAS!$A:$A,FORMULAS!$B:$B)</f>
        <v>#N/A</v>
      </c>
      <c r="BB190" s="78"/>
      <c r="BC190" s="73"/>
      <c r="BD190" s="73"/>
      <c r="BE190" s="73"/>
      <c r="BF190" s="73"/>
      <c r="BG190" s="73"/>
      <c r="BH190" s="73"/>
      <c r="BI190" s="73"/>
      <c r="BJ190" s="73" t="e">
        <f>WEEKNUM(BI190-RESUMEN!$BL$7)</f>
        <v>#NUM!</v>
      </c>
      <c r="BK190" s="73">
        <f>_xlfn.DAYS(BI190,RESUMEN!$BL$7)</f>
        <v>-43267</v>
      </c>
      <c r="BL190" s="73"/>
      <c r="BM190" s="73" t="e">
        <f>LOOKUP(BL190,FORMULAS!$A:$A,FORMULAS!$B:$B)</f>
        <v>#N/A</v>
      </c>
      <c r="BN190" s="78"/>
      <c r="BO190" s="73"/>
      <c r="BP190" s="73"/>
      <c r="BQ190" s="73"/>
      <c r="BR190" s="73"/>
      <c r="BS190" s="73"/>
      <c r="BT190" s="73"/>
    </row>
    <row r="191" spans="1:72" x14ac:dyDescent="0.25">
      <c r="A191" s="75"/>
      <c r="B191" s="74" t="e">
        <f>WEEKNUM(A191-RESUMEN!$D$7)</f>
        <v>#NUM!</v>
      </c>
      <c r="C191" s="74">
        <f>_xlfn.DAYS(A191,RESUMEN!$D$7)</f>
        <v>-43238</v>
      </c>
      <c r="D191" s="75"/>
      <c r="E191" s="73" t="e">
        <f>LOOKUP(D191,FORMULAS!$A:$A,FORMULAS!$B:$B)</f>
        <v>#N/A</v>
      </c>
      <c r="F191" s="80"/>
      <c r="G191" s="75"/>
      <c r="H191" s="75"/>
      <c r="I191" s="73"/>
      <c r="J191" s="73"/>
      <c r="K191" s="73"/>
      <c r="L191" s="73"/>
      <c r="M191" s="73"/>
      <c r="N191" s="73" t="e">
        <f>WEEKNUM(M191-RESUMEN!$P$7)</f>
        <v>#NUM!</v>
      </c>
      <c r="O191" s="73">
        <f>_xlfn.DAYS(M191,RESUMEN!$P$7)</f>
        <v>-43242</v>
      </c>
      <c r="P191" s="73"/>
      <c r="Q191" s="73" t="e">
        <f>LOOKUP(P191,FORMULAS!$A:$A,FORMULAS!$B:$B)</f>
        <v>#N/A</v>
      </c>
      <c r="R191" s="78"/>
      <c r="S191" s="73"/>
      <c r="T191" s="73"/>
      <c r="U191" s="73"/>
      <c r="V191" s="73"/>
      <c r="W191" s="73"/>
      <c r="X191" s="73"/>
      <c r="Y191" s="73"/>
      <c r="Z191" s="73" t="e">
        <f>WEEKNUM(Y191-RESUMEN!$AB$7)</f>
        <v>#NUM!</v>
      </c>
      <c r="AA191" s="73">
        <f>_xlfn.DAYS(Y191,RESUMEN!$AB$7)</f>
        <v>-43247</v>
      </c>
      <c r="AB191" s="73"/>
      <c r="AC191" s="73" t="e">
        <f>LOOKUP(AB191,FORMULAS!$A:$A,FORMULAS!$B:$B)</f>
        <v>#N/A</v>
      </c>
      <c r="AD191" s="78"/>
      <c r="AE191" s="73"/>
      <c r="AF191" s="73"/>
      <c r="AG191" s="73"/>
      <c r="AH191" s="73"/>
      <c r="AI191" s="73"/>
      <c r="AJ191" s="73"/>
      <c r="AK191" s="73"/>
      <c r="AL191" s="73" t="e">
        <f>WEEKNUM(AK191-RESUMEN!$AN$7)</f>
        <v>#NUM!</v>
      </c>
      <c r="AM191" s="73">
        <f>_xlfn.DAYS(AK191,RESUMEN!$AN$7)</f>
        <v>-43254</v>
      </c>
      <c r="AN191" s="73"/>
      <c r="AO191" s="73" t="e">
        <f>LOOKUP(AN191,FORMULAS!$A:$A,FORMULAS!$B:$B)</f>
        <v>#N/A</v>
      </c>
      <c r="AP191" s="78"/>
      <c r="AQ191" s="78"/>
      <c r="AR191" s="73"/>
      <c r="AS191" s="73"/>
      <c r="AT191" s="73"/>
      <c r="AU191" s="73"/>
      <c r="AV191" s="73"/>
      <c r="AW191" s="73"/>
      <c r="AX191" s="73" t="e">
        <f>WEEKNUM(AW191-RESUMEN!$AZ$7)</f>
        <v>#NUM!</v>
      </c>
      <c r="AY191" s="73">
        <f>_xlfn.DAYS(AW191,RESUMEN!$AZ$7)</f>
        <v>-43261</v>
      </c>
      <c r="AZ191" s="73"/>
      <c r="BA191" s="73" t="e">
        <f>LOOKUP(AZ191,FORMULAS!$A:$A,FORMULAS!$B:$B)</f>
        <v>#N/A</v>
      </c>
      <c r="BB191" s="78"/>
      <c r="BC191" s="73"/>
      <c r="BD191" s="73"/>
      <c r="BE191" s="73"/>
      <c r="BF191" s="73"/>
      <c r="BG191" s="73"/>
      <c r="BH191" s="73"/>
      <c r="BI191" s="73"/>
      <c r="BJ191" s="73" t="e">
        <f>WEEKNUM(BI191-RESUMEN!$BL$7)</f>
        <v>#NUM!</v>
      </c>
      <c r="BK191" s="73">
        <f>_xlfn.DAYS(BI191,RESUMEN!$BL$7)</f>
        <v>-43267</v>
      </c>
      <c r="BL191" s="73"/>
      <c r="BM191" s="73" t="e">
        <f>LOOKUP(BL191,FORMULAS!$A:$A,FORMULAS!$B:$B)</f>
        <v>#N/A</v>
      </c>
      <c r="BN191" s="78"/>
      <c r="BO191" s="73"/>
      <c r="BP191" s="73"/>
      <c r="BQ191" s="73"/>
      <c r="BR191" s="73"/>
      <c r="BS191" s="73"/>
      <c r="BT191" s="73"/>
    </row>
    <row r="192" spans="1:72" x14ac:dyDescent="0.25">
      <c r="A192" s="75"/>
      <c r="B192" s="74" t="e">
        <f>WEEKNUM(A192-RESUMEN!$D$7)</f>
        <v>#NUM!</v>
      </c>
      <c r="C192" s="74">
        <f>_xlfn.DAYS(A192,RESUMEN!$D$7)</f>
        <v>-43238</v>
      </c>
      <c r="D192" s="75"/>
      <c r="E192" s="73" t="e">
        <f>LOOKUP(D192,FORMULAS!$A:$A,FORMULAS!$B:$B)</f>
        <v>#N/A</v>
      </c>
      <c r="F192" s="80"/>
      <c r="G192" s="75"/>
      <c r="H192" s="75"/>
      <c r="I192" s="73"/>
      <c r="J192" s="73"/>
      <c r="K192" s="73"/>
      <c r="L192" s="73"/>
      <c r="M192" s="73"/>
      <c r="N192" s="73" t="e">
        <f>WEEKNUM(M192-RESUMEN!$P$7)</f>
        <v>#NUM!</v>
      </c>
      <c r="O192" s="73">
        <f>_xlfn.DAYS(M192,RESUMEN!$P$7)</f>
        <v>-43242</v>
      </c>
      <c r="P192" s="73"/>
      <c r="Q192" s="73" t="e">
        <f>LOOKUP(P192,FORMULAS!$A:$A,FORMULAS!$B:$B)</f>
        <v>#N/A</v>
      </c>
      <c r="R192" s="78"/>
      <c r="S192" s="73"/>
      <c r="T192" s="73"/>
      <c r="U192" s="73"/>
      <c r="V192" s="73"/>
      <c r="W192" s="73"/>
      <c r="X192" s="73"/>
      <c r="Y192" s="73"/>
      <c r="Z192" s="73" t="e">
        <f>WEEKNUM(Y192-RESUMEN!$AB$7)</f>
        <v>#NUM!</v>
      </c>
      <c r="AA192" s="73">
        <f>_xlfn.DAYS(Y192,RESUMEN!$AB$7)</f>
        <v>-43247</v>
      </c>
      <c r="AB192" s="73"/>
      <c r="AC192" s="73" t="e">
        <f>LOOKUP(AB192,FORMULAS!$A:$A,FORMULAS!$B:$B)</f>
        <v>#N/A</v>
      </c>
      <c r="AD192" s="78"/>
      <c r="AE192" s="73"/>
      <c r="AF192" s="73"/>
      <c r="AG192" s="73"/>
      <c r="AH192" s="73"/>
      <c r="AI192" s="73"/>
      <c r="AJ192" s="73"/>
      <c r="AK192" s="73"/>
      <c r="AL192" s="73" t="e">
        <f>WEEKNUM(AK192-RESUMEN!$AN$7)</f>
        <v>#NUM!</v>
      </c>
      <c r="AM192" s="73">
        <f>_xlfn.DAYS(AK192,RESUMEN!$AN$7)</f>
        <v>-43254</v>
      </c>
      <c r="AN192" s="73"/>
      <c r="AO192" s="73" t="e">
        <f>LOOKUP(AN192,FORMULAS!$A:$A,FORMULAS!$B:$B)</f>
        <v>#N/A</v>
      </c>
      <c r="AP192" s="78"/>
      <c r="AQ192" s="78"/>
      <c r="AR192" s="73"/>
      <c r="AS192" s="73"/>
      <c r="AT192" s="73"/>
      <c r="AU192" s="73"/>
      <c r="AV192" s="73"/>
      <c r="AW192" s="73"/>
      <c r="AX192" s="73" t="e">
        <f>WEEKNUM(AW192-RESUMEN!$AZ$7)</f>
        <v>#NUM!</v>
      </c>
      <c r="AY192" s="73">
        <f>_xlfn.DAYS(AW192,RESUMEN!$AZ$7)</f>
        <v>-43261</v>
      </c>
      <c r="AZ192" s="73"/>
      <c r="BA192" s="73" t="e">
        <f>LOOKUP(AZ192,FORMULAS!$A:$A,FORMULAS!$B:$B)</f>
        <v>#N/A</v>
      </c>
      <c r="BB192" s="78"/>
      <c r="BC192" s="73"/>
      <c r="BD192" s="73"/>
      <c r="BE192" s="73"/>
      <c r="BF192" s="73"/>
      <c r="BG192" s="73"/>
      <c r="BH192" s="73"/>
      <c r="BI192" s="73"/>
      <c r="BJ192" s="73" t="e">
        <f>WEEKNUM(BI192-RESUMEN!$BL$7)</f>
        <v>#NUM!</v>
      </c>
      <c r="BK192" s="73">
        <f>_xlfn.DAYS(BI192,RESUMEN!$BL$7)</f>
        <v>-43267</v>
      </c>
      <c r="BL192" s="73"/>
      <c r="BM192" s="73" t="e">
        <f>LOOKUP(BL192,FORMULAS!$A:$A,FORMULAS!$B:$B)</f>
        <v>#N/A</v>
      </c>
      <c r="BN192" s="78"/>
      <c r="BO192" s="73"/>
      <c r="BP192" s="73"/>
      <c r="BQ192" s="73"/>
      <c r="BR192" s="73"/>
      <c r="BS192" s="73"/>
      <c r="BT192" s="73"/>
    </row>
    <row r="193" spans="1:72" x14ac:dyDescent="0.25">
      <c r="A193" s="75"/>
      <c r="B193" s="74" t="e">
        <f>WEEKNUM(A193-RESUMEN!$D$7)</f>
        <v>#NUM!</v>
      </c>
      <c r="C193" s="74">
        <f>_xlfn.DAYS(A193,RESUMEN!$D$7)</f>
        <v>-43238</v>
      </c>
      <c r="D193" s="75"/>
      <c r="E193" s="73" t="e">
        <f>LOOKUP(D193,FORMULAS!$A:$A,FORMULAS!$B:$B)</f>
        <v>#N/A</v>
      </c>
      <c r="F193" s="80"/>
      <c r="G193" s="75"/>
      <c r="H193" s="75"/>
      <c r="I193" s="73"/>
      <c r="J193" s="73"/>
      <c r="K193" s="73"/>
      <c r="L193" s="73"/>
      <c r="M193" s="73"/>
      <c r="N193" s="73" t="e">
        <f>WEEKNUM(M193-RESUMEN!$P$7)</f>
        <v>#NUM!</v>
      </c>
      <c r="O193" s="73">
        <f>_xlfn.DAYS(M193,RESUMEN!$P$7)</f>
        <v>-43242</v>
      </c>
      <c r="P193" s="73"/>
      <c r="Q193" s="73" t="e">
        <f>LOOKUP(P193,FORMULAS!$A:$A,FORMULAS!$B:$B)</f>
        <v>#N/A</v>
      </c>
      <c r="R193" s="78"/>
      <c r="S193" s="73"/>
      <c r="T193" s="73"/>
      <c r="U193" s="73"/>
      <c r="V193" s="73"/>
      <c r="W193" s="73"/>
      <c r="X193" s="73"/>
      <c r="Y193" s="73"/>
      <c r="Z193" s="73" t="e">
        <f>WEEKNUM(Y193-RESUMEN!$AB$7)</f>
        <v>#NUM!</v>
      </c>
      <c r="AA193" s="73">
        <f>_xlfn.DAYS(Y193,RESUMEN!$AB$7)</f>
        <v>-43247</v>
      </c>
      <c r="AB193" s="73"/>
      <c r="AC193" s="73" t="e">
        <f>LOOKUP(AB193,FORMULAS!$A:$A,FORMULAS!$B:$B)</f>
        <v>#N/A</v>
      </c>
      <c r="AD193" s="78"/>
      <c r="AE193" s="73"/>
      <c r="AF193" s="73"/>
      <c r="AG193" s="73"/>
      <c r="AH193" s="73"/>
      <c r="AI193" s="73"/>
      <c r="AJ193" s="73"/>
      <c r="AK193" s="73"/>
      <c r="AL193" s="73" t="e">
        <f>WEEKNUM(AK193-RESUMEN!$AN$7)</f>
        <v>#NUM!</v>
      </c>
      <c r="AM193" s="73">
        <f>_xlfn.DAYS(AK193,RESUMEN!$AN$7)</f>
        <v>-43254</v>
      </c>
      <c r="AN193" s="73"/>
      <c r="AO193" s="73" t="e">
        <f>LOOKUP(AN193,FORMULAS!$A:$A,FORMULAS!$B:$B)</f>
        <v>#N/A</v>
      </c>
      <c r="AP193" s="78"/>
      <c r="AQ193" s="78"/>
      <c r="AR193" s="73"/>
      <c r="AS193" s="73"/>
      <c r="AT193" s="73"/>
      <c r="AU193" s="73"/>
      <c r="AV193" s="73"/>
      <c r="AW193" s="73"/>
      <c r="AX193" s="73" t="e">
        <f>WEEKNUM(AW193-RESUMEN!$AZ$7)</f>
        <v>#NUM!</v>
      </c>
      <c r="AY193" s="73">
        <f>_xlfn.DAYS(AW193,RESUMEN!$AZ$7)</f>
        <v>-43261</v>
      </c>
      <c r="AZ193" s="73"/>
      <c r="BA193" s="73" t="e">
        <f>LOOKUP(AZ193,FORMULAS!$A:$A,FORMULAS!$B:$B)</f>
        <v>#N/A</v>
      </c>
      <c r="BB193" s="78"/>
      <c r="BC193" s="73"/>
      <c r="BD193" s="73"/>
      <c r="BE193" s="73"/>
      <c r="BF193" s="73"/>
      <c r="BG193" s="73"/>
      <c r="BH193" s="73"/>
      <c r="BI193" s="73"/>
      <c r="BJ193" s="73" t="e">
        <f>WEEKNUM(BI193-RESUMEN!$BL$7)</f>
        <v>#NUM!</v>
      </c>
      <c r="BK193" s="73">
        <f>_xlfn.DAYS(BI193,RESUMEN!$BL$7)</f>
        <v>-43267</v>
      </c>
      <c r="BL193" s="73"/>
      <c r="BM193" s="73" t="e">
        <f>LOOKUP(BL193,FORMULAS!$A:$A,FORMULAS!$B:$B)</f>
        <v>#N/A</v>
      </c>
      <c r="BN193" s="78"/>
      <c r="BO193" s="73"/>
      <c r="BP193" s="73"/>
      <c r="BQ193" s="73"/>
      <c r="BR193" s="73"/>
      <c r="BS193" s="73"/>
      <c r="BT193" s="73"/>
    </row>
    <row r="194" spans="1:72" x14ac:dyDescent="0.25">
      <c r="A194" s="75"/>
      <c r="B194" s="74" t="e">
        <f>WEEKNUM(A194-RESUMEN!$D$7)</f>
        <v>#NUM!</v>
      </c>
      <c r="C194" s="74">
        <f>_xlfn.DAYS(A194,RESUMEN!$D$7)</f>
        <v>-43238</v>
      </c>
      <c r="D194" s="75"/>
      <c r="E194" s="73" t="e">
        <f>LOOKUP(D194,FORMULAS!$A:$A,FORMULAS!$B:$B)</f>
        <v>#N/A</v>
      </c>
      <c r="F194" s="80"/>
      <c r="G194" s="75"/>
      <c r="H194" s="75"/>
      <c r="I194" s="73"/>
      <c r="J194" s="73"/>
      <c r="K194" s="73"/>
      <c r="L194" s="73"/>
      <c r="M194" s="73"/>
      <c r="N194" s="73" t="e">
        <f>WEEKNUM(M194-RESUMEN!$P$7)</f>
        <v>#NUM!</v>
      </c>
      <c r="O194" s="73">
        <f>_xlfn.DAYS(M194,RESUMEN!$P$7)</f>
        <v>-43242</v>
      </c>
      <c r="P194" s="73"/>
      <c r="Q194" s="73" t="e">
        <f>LOOKUP(P194,FORMULAS!$A:$A,FORMULAS!$B:$B)</f>
        <v>#N/A</v>
      </c>
      <c r="R194" s="78"/>
      <c r="S194" s="73"/>
      <c r="T194" s="73"/>
      <c r="U194" s="73"/>
      <c r="V194" s="73"/>
      <c r="W194" s="73"/>
      <c r="X194" s="73"/>
      <c r="Y194" s="73"/>
      <c r="Z194" s="73" t="e">
        <f>WEEKNUM(Y194-RESUMEN!$AB$7)</f>
        <v>#NUM!</v>
      </c>
      <c r="AA194" s="73">
        <f>_xlfn.DAYS(Y194,RESUMEN!$AB$7)</f>
        <v>-43247</v>
      </c>
      <c r="AB194" s="73"/>
      <c r="AC194" s="73" t="e">
        <f>LOOKUP(AB194,FORMULAS!$A:$A,FORMULAS!$B:$B)</f>
        <v>#N/A</v>
      </c>
      <c r="AD194" s="78"/>
      <c r="AE194" s="73"/>
      <c r="AF194" s="73"/>
      <c r="AG194" s="73"/>
      <c r="AH194" s="73"/>
      <c r="AI194" s="73"/>
      <c r="AJ194" s="73"/>
      <c r="AK194" s="73"/>
      <c r="AL194" s="73" t="e">
        <f>WEEKNUM(AK194-RESUMEN!$AN$7)</f>
        <v>#NUM!</v>
      </c>
      <c r="AM194" s="73">
        <f>_xlfn.DAYS(AK194,RESUMEN!$AN$7)</f>
        <v>-43254</v>
      </c>
      <c r="AN194" s="73"/>
      <c r="AO194" s="73" t="e">
        <f>LOOKUP(AN194,FORMULAS!$A:$A,FORMULAS!$B:$B)</f>
        <v>#N/A</v>
      </c>
      <c r="AP194" s="78"/>
      <c r="AQ194" s="78"/>
      <c r="AR194" s="73"/>
      <c r="AS194" s="73"/>
      <c r="AT194" s="73"/>
      <c r="AU194" s="73"/>
      <c r="AV194" s="73"/>
      <c r="AW194" s="73"/>
      <c r="AX194" s="73" t="e">
        <f>WEEKNUM(AW194-RESUMEN!$AZ$7)</f>
        <v>#NUM!</v>
      </c>
      <c r="AY194" s="73">
        <f>_xlfn.DAYS(AW194,RESUMEN!$AZ$7)</f>
        <v>-43261</v>
      </c>
      <c r="AZ194" s="73"/>
      <c r="BA194" s="73" t="e">
        <f>LOOKUP(AZ194,FORMULAS!$A:$A,FORMULAS!$B:$B)</f>
        <v>#N/A</v>
      </c>
      <c r="BB194" s="78"/>
      <c r="BC194" s="73"/>
      <c r="BD194" s="73"/>
      <c r="BE194" s="73"/>
      <c r="BF194" s="73"/>
      <c r="BG194" s="73"/>
      <c r="BH194" s="73"/>
      <c r="BI194" s="73"/>
      <c r="BJ194" s="73" t="e">
        <f>WEEKNUM(BI194-RESUMEN!$BL$7)</f>
        <v>#NUM!</v>
      </c>
      <c r="BK194" s="73">
        <f>_xlfn.DAYS(BI194,RESUMEN!$BL$7)</f>
        <v>-43267</v>
      </c>
      <c r="BL194" s="73"/>
      <c r="BM194" s="73" t="e">
        <f>LOOKUP(BL194,FORMULAS!$A:$A,FORMULAS!$B:$B)</f>
        <v>#N/A</v>
      </c>
      <c r="BN194" s="78"/>
      <c r="BO194" s="73"/>
      <c r="BP194" s="73"/>
      <c r="BQ194" s="73"/>
      <c r="BR194" s="73"/>
      <c r="BS194" s="73"/>
      <c r="BT194" s="73"/>
    </row>
    <row r="195" spans="1:72" x14ac:dyDescent="0.25">
      <c r="A195" s="75"/>
      <c r="B195" s="74" t="e">
        <f>WEEKNUM(A195-RESUMEN!$D$7)</f>
        <v>#NUM!</v>
      </c>
      <c r="C195" s="74">
        <f>_xlfn.DAYS(A195,RESUMEN!$D$7)</f>
        <v>-43238</v>
      </c>
      <c r="D195" s="75"/>
      <c r="E195" s="73" t="e">
        <f>LOOKUP(D195,FORMULAS!$A:$A,FORMULAS!$B:$B)</f>
        <v>#N/A</v>
      </c>
      <c r="F195" s="80"/>
      <c r="G195" s="75"/>
      <c r="H195" s="75"/>
      <c r="I195" s="73"/>
      <c r="J195" s="73"/>
      <c r="K195" s="73"/>
      <c r="L195" s="73"/>
      <c r="M195" s="73"/>
      <c r="N195" s="73" t="e">
        <f>WEEKNUM(M195-RESUMEN!$P$7)</f>
        <v>#NUM!</v>
      </c>
      <c r="O195" s="73">
        <f>_xlfn.DAYS(M195,RESUMEN!$P$7)</f>
        <v>-43242</v>
      </c>
      <c r="P195" s="73"/>
      <c r="Q195" s="73" t="e">
        <f>LOOKUP(P195,FORMULAS!$A:$A,FORMULAS!$B:$B)</f>
        <v>#N/A</v>
      </c>
      <c r="R195" s="78"/>
      <c r="S195" s="73"/>
      <c r="T195" s="73"/>
      <c r="U195" s="73"/>
      <c r="V195" s="73"/>
      <c r="W195" s="73"/>
      <c r="X195" s="73"/>
      <c r="Y195" s="73"/>
      <c r="Z195" s="73" t="e">
        <f>WEEKNUM(Y195-RESUMEN!$AB$7)</f>
        <v>#NUM!</v>
      </c>
      <c r="AA195" s="73">
        <f>_xlfn.DAYS(Y195,RESUMEN!$AB$7)</f>
        <v>-43247</v>
      </c>
      <c r="AB195" s="73"/>
      <c r="AC195" s="73" t="e">
        <f>LOOKUP(AB195,FORMULAS!$A:$A,FORMULAS!$B:$B)</f>
        <v>#N/A</v>
      </c>
      <c r="AD195" s="78"/>
      <c r="AE195" s="73"/>
      <c r="AF195" s="73"/>
      <c r="AG195" s="73"/>
      <c r="AH195" s="73"/>
      <c r="AI195" s="73"/>
      <c r="AJ195" s="73"/>
      <c r="AK195" s="73"/>
      <c r="AL195" s="73" t="e">
        <f>WEEKNUM(AK195-RESUMEN!$AN$7)</f>
        <v>#NUM!</v>
      </c>
      <c r="AM195" s="73">
        <f>_xlfn.DAYS(AK195,RESUMEN!$AN$7)</f>
        <v>-43254</v>
      </c>
      <c r="AN195" s="73"/>
      <c r="AO195" s="73" t="e">
        <f>LOOKUP(AN195,FORMULAS!$A:$A,FORMULAS!$B:$B)</f>
        <v>#N/A</v>
      </c>
      <c r="AP195" s="78"/>
      <c r="AQ195" s="78"/>
      <c r="AR195" s="73"/>
      <c r="AS195" s="73"/>
      <c r="AT195" s="73"/>
      <c r="AU195" s="73"/>
      <c r="AV195" s="73"/>
      <c r="AW195" s="73"/>
      <c r="AX195" s="73" t="e">
        <f>WEEKNUM(AW195-RESUMEN!$AZ$7)</f>
        <v>#NUM!</v>
      </c>
      <c r="AY195" s="73">
        <f>_xlfn.DAYS(AW195,RESUMEN!$AZ$7)</f>
        <v>-43261</v>
      </c>
      <c r="AZ195" s="73"/>
      <c r="BA195" s="73" t="e">
        <f>LOOKUP(AZ195,FORMULAS!$A:$A,FORMULAS!$B:$B)</f>
        <v>#N/A</v>
      </c>
      <c r="BB195" s="78"/>
      <c r="BC195" s="73"/>
      <c r="BD195" s="73"/>
      <c r="BE195" s="73"/>
      <c r="BF195" s="73"/>
      <c r="BG195" s="73"/>
      <c r="BH195" s="73"/>
      <c r="BI195" s="73"/>
      <c r="BJ195" s="73" t="e">
        <f>WEEKNUM(BI195-RESUMEN!$BL$7)</f>
        <v>#NUM!</v>
      </c>
      <c r="BK195" s="73">
        <f>_xlfn.DAYS(BI195,RESUMEN!$BL$7)</f>
        <v>-43267</v>
      </c>
      <c r="BL195" s="73"/>
      <c r="BM195" s="73" t="e">
        <f>LOOKUP(BL195,FORMULAS!$A:$A,FORMULAS!$B:$B)</f>
        <v>#N/A</v>
      </c>
      <c r="BN195" s="78"/>
      <c r="BO195" s="73"/>
      <c r="BP195" s="73"/>
      <c r="BQ195" s="73"/>
      <c r="BR195" s="73"/>
      <c r="BS195" s="73"/>
      <c r="BT195" s="73"/>
    </row>
    <row r="196" spans="1:72" x14ac:dyDescent="0.25">
      <c r="A196" s="75"/>
      <c r="B196" s="74" t="e">
        <f>WEEKNUM(A196-RESUMEN!$D$7)</f>
        <v>#NUM!</v>
      </c>
      <c r="C196" s="74">
        <f>_xlfn.DAYS(A196,RESUMEN!$D$7)</f>
        <v>-43238</v>
      </c>
      <c r="D196" s="75"/>
      <c r="E196" s="73" t="e">
        <f>LOOKUP(D196,FORMULAS!$A:$A,FORMULAS!$B:$B)</f>
        <v>#N/A</v>
      </c>
      <c r="F196" s="80"/>
      <c r="G196" s="75"/>
      <c r="H196" s="75"/>
      <c r="I196" s="73"/>
      <c r="J196" s="73"/>
      <c r="K196" s="73"/>
      <c r="L196" s="73"/>
      <c r="M196" s="73"/>
      <c r="N196" s="73" t="e">
        <f>WEEKNUM(M196-RESUMEN!$P$7)</f>
        <v>#NUM!</v>
      </c>
      <c r="O196" s="73">
        <f>_xlfn.DAYS(M196,RESUMEN!$P$7)</f>
        <v>-43242</v>
      </c>
      <c r="P196" s="73"/>
      <c r="Q196" s="73" t="e">
        <f>LOOKUP(P196,FORMULAS!$A:$A,FORMULAS!$B:$B)</f>
        <v>#N/A</v>
      </c>
      <c r="R196" s="78"/>
      <c r="S196" s="73"/>
      <c r="T196" s="73"/>
      <c r="U196" s="73"/>
      <c r="V196" s="73"/>
      <c r="W196" s="73"/>
      <c r="X196" s="73"/>
      <c r="Y196" s="73"/>
      <c r="Z196" s="73" t="e">
        <f>WEEKNUM(Y196-RESUMEN!$AB$7)</f>
        <v>#NUM!</v>
      </c>
      <c r="AA196" s="73">
        <f>_xlfn.DAYS(Y196,RESUMEN!$AB$7)</f>
        <v>-43247</v>
      </c>
      <c r="AB196" s="73"/>
      <c r="AC196" s="73" t="e">
        <f>LOOKUP(AB196,FORMULAS!$A:$A,FORMULAS!$B:$B)</f>
        <v>#N/A</v>
      </c>
      <c r="AD196" s="78"/>
      <c r="AE196" s="73"/>
      <c r="AF196" s="73"/>
      <c r="AG196" s="73"/>
      <c r="AH196" s="73"/>
      <c r="AI196" s="73"/>
      <c r="AJ196" s="73"/>
      <c r="AK196" s="73"/>
      <c r="AL196" s="73" t="e">
        <f>WEEKNUM(AK196-RESUMEN!$AN$7)</f>
        <v>#NUM!</v>
      </c>
      <c r="AM196" s="73">
        <f>_xlfn.DAYS(AK196,RESUMEN!$AN$7)</f>
        <v>-43254</v>
      </c>
      <c r="AN196" s="73"/>
      <c r="AO196" s="73" t="e">
        <f>LOOKUP(AN196,FORMULAS!$A:$A,FORMULAS!$B:$B)</f>
        <v>#N/A</v>
      </c>
      <c r="AP196" s="78"/>
      <c r="AQ196" s="78"/>
      <c r="AR196" s="73"/>
      <c r="AS196" s="73"/>
      <c r="AT196" s="73"/>
      <c r="AU196" s="73"/>
      <c r="AV196" s="73"/>
      <c r="AW196" s="73"/>
      <c r="AX196" s="73" t="e">
        <f>WEEKNUM(AW196-RESUMEN!$AZ$7)</f>
        <v>#NUM!</v>
      </c>
      <c r="AY196" s="73">
        <f>_xlfn.DAYS(AW196,RESUMEN!$AZ$7)</f>
        <v>-43261</v>
      </c>
      <c r="AZ196" s="73"/>
      <c r="BA196" s="73" t="e">
        <f>LOOKUP(AZ196,FORMULAS!$A:$A,FORMULAS!$B:$B)</f>
        <v>#N/A</v>
      </c>
      <c r="BB196" s="78"/>
      <c r="BC196" s="73"/>
      <c r="BD196" s="73"/>
      <c r="BE196" s="73"/>
      <c r="BF196" s="73"/>
      <c r="BG196" s="73"/>
      <c r="BH196" s="73"/>
      <c r="BI196" s="73"/>
      <c r="BJ196" s="73" t="e">
        <f>WEEKNUM(BI196-RESUMEN!$BL$7)</f>
        <v>#NUM!</v>
      </c>
      <c r="BK196" s="73">
        <f>_xlfn.DAYS(BI196,RESUMEN!$BL$7)</f>
        <v>-43267</v>
      </c>
      <c r="BL196" s="73"/>
      <c r="BM196" s="73" t="e">
        <f>LOOKUP(BL196,FORMULAS!$A:$A,FORMULAS!$B:$B)</f>
        <v>#N/A</v>
      </c>
      <c r="BN196" s="78"/>
      <c r="BO196" s="73"/>
      <c r="BP196" s="73"/>
      <c r="BQ196" s="73"/>
      <c r="BR196" s="73"/>
      <c r="BS196" s="73"/>
      <c r="BT196" s="73"/>
    </row>
    <row r="197" spans="1:72" x14ac:dyDescent="0.25">
      <c r="A197" s="75"/>
      <c r="B197" s="74" t="e">
        <f>WEEKNUM(A197-RESUMEN!$D$7)</f>
        <v>#NUM!</v>
      </c>
      <c r="C197" s="74">
        <f>_xlfn.DAYS(A197,RESUMEN!$D$7)</f>
        <v>-43238</v>
      </c>
      <c r="D197" s="75"/>
      <c r="E197" s="73" t="e">
        <f>LOOKUP(D197,FORMULAS!$A:$A,FORMULAS!$B:$B)</f>
        <v>#N/A</v>
      </c>
      <c r="F197" s="80"/>
      <c r="G197" s="75"/>
      <c r="H197" s="75"/>
      <c r="I197" s="73"/>
      <c r="J197" s="73"/>
      <c r="K197" s="73"/>
      <c r="L197" s="73"/>
      <c r="M197" s="73"/>
      <c r="N197" s="73" t="e">
        <f>WEEKNUM(M197-RESUMEN!$P$7)</f>
        <v>#NUM!</v>
      </c>
      <c r="O197" s="73">
        <f>_xlfn.DAYS(M197,RESUMEN!$P$7)</f>
        <v>-43242</v>
      </c>
      <c r="P197" s="73"/>
      <c r="Q197" s="73" t="e">
        <f>LOOKUP(P197,FORMULAS!$A:$A,FORMULAS!$B:$B)</f>
        <v>#N/A</v>
      </c>
      <c r="R197" s="78"/>
      <c r="S197" s="73"/>
      <c r="T197" s="73"/>
      <c r="U197" s="73"/>
      <c r="V197" s="73"/>
      <c r="W197" s="73"/>
      <c r="X197" s="73"/>
      <c r="Y197" s="73"/>
      <c r="Z197" s="73" t="e">
        <f>WEEKNUM(Y197-RESUMEN!$AB$7)</f>
        <v>#NUM!</v>
      </c>
      <c r="AA197" s="73">
        <f>_xlfn.DAYS(Y197,RESUMEN!$AB$7)</f>
        <v>-43247</v>
      </c>
      <c r="AB197" s="73"/>
      <c r="AC197" s="73" t="e">
        <f>LOOKUP(AB197,FORMULAS!$A:$A,FORMULAS!$B:$B)</f>
        <v>#N/A</v>
      </c>
      <c r="AD197" s="78"/>
      <c r="AE197" s="73"/>
      <c r="AF197" s="73"/>
      <c r="AG197" s="73"/>
      <c r="AH197" s="73"/>
      <c r="AI197" s="73"/>
      <c r="AJ197" s="73"/>
      <c r="AK197" s="73"/>
      <c r="AL197" s="73" t="e">
        <f>WEEKNUM(AK197-RESUMEN!$AN$7)</f>
        <v>#NUM!</v>
      </c>
      <c r="AM197" s="73">
        <f>_xlfn.DAYS(AK197,RESUMEN!$AN$7)</f>
        <v>-43254</v>
      </c>
      <c r="AN197" s="73"/>
      <c r="AO197" s="73" t="e">
        <f>LOOKUP(AN197,FORMULAS!$A:$A,FORMULAS!$B:$B)</f>
        <v>#N/A</v>
      </c>
      <c r="AP197" s="78"/>
      <c r="AQ197" s="78"/>
      <c r="AR197" s="73"/>
      <c r="AS197" s="73"/>
      <c r="AT197" s="73"/>
      <c r="AU197" s="73"/>
      <c r="AV197" s="73"/>
      <c r="AW197" s="73"/>
      <c r="AX197" s="73" t="e">
        <f>WEEKNUM(AW197-RESUMEN!$AZ$7)</f>
        <v>#NUM!</v>
      </c>
      <c r="AY197" s="73">
        <f>_xlfn.DAYS(AW197,RESUMEN!$AZ$7)</f>
        <v>-43261</v>
      </c>
      <c r="AZ197" s="73"/>
      <c r="BA197" s="73" t="e">
        <f>LOOKUP(AZ197,FORMULAS!$A:$A,FORMULAS!$B:$B)</f>
        <v>#N/A</v>
      </c>
      <c r="BB197" s="78"/>
      <c r="BC197" s="73"/>
      <c r="BD197" s="73"/>
      <c r="BE197" s="73"/>
      <c r="BF197" s="73"/>
      <c r="BG197" s="73"/>
      <c r="BH197" s="73"/>
      <c r="BI197" s="73"/>
      <c r="BJ197" s="73" t="e">
        <f>WEEKNUM(BI197-RESUMEN!$BL$7)</f>
        <v>#NUM!</v>
      </c>
      <c r="BK197" s="73">
        <f>_xlfn.DAYS(BI197,RESUMEN!$BL$7)</f>
        <v>-43267</v>
      </c>
      <c r="BL197" s="73"/>
      <c r="BM197" s="73" t="e">
        <f>LOOKUP(BL197,FORMULAS!$A:$A,FORMULAS!$B:$B)</f>
        <v>#N/A</v>
      </c>
      <c r="BN197" s="78"/>
      <c r="BO197" s="73"/>
      <c r="BP197" s="73"/>
      <c r="BQ197" s="73"/>
      <c r="BR197" s="73"/>
      <c r="BS197" s="73"/>
      <c r="BT197" s="73"/>
    </row>
    <row r="198" spans="1:72" x14ac:dyDescent="0.25">
      <c r="A198" s="75"/>
      <c r="B198" s="74" t="e">
        <f>WEEKNUM(A198-RESUMEN!$D$7)</f>
        <v>#NUM!</v>
      </c>
      <c r="C198" s="74">
        <f>_xlfn.DAYS(A198,RESUMEN!$D$7)</f>
        <v>-43238</v>
      </c>
      <c r="D198" s="75"/>
      <c r="E198" s="73" t="e">
        <f>LOOKUP(D198,FORMULAS!$A:$A,FORMULAS!$B:$B)</f>
        <v>#N/A</v>
      </c>
      <c r="F198" s="80"/>
      <c r="G198" s="75"/>
      <c r="H198" s="75"/>
      <c r="I198" s="73"/>
      <c r="J198" s="73"/>
      <c r="K198" s="73"/>
      <c r="L198" s="73"/>
      <c r="M198" s="73"/>
      <c r="N198" s="73" t="e">
        <f>WEEKNUM(M198-RESUMEN!$P$7)</f>
        <v>#NUM!</v>
      </c>
      <c r="O198" s="73">
        <f>_xlfn.DAYS(M198,RESUMEN!$P$7)</f>
        <v>-43242</v>
      </c>
      <c r="P198" s="73"/>
      <c r="Q198" s="73" t="e">
        <f>LOOKUP(P198,FORMULAS!$A:$A,FORMULAS!$B:$B)</f>
        <v>#N/A</v>
      </c>
      <c r="R198" s="78"/>
      <c r="S198" s="73"/>
      <c r="T198" s="73"/>
      <c r="U198" s="73"/>
      <c r="V198" s="73"/>
      <c r="W198" s="73"/>
      <c r="X198" s="73"/>
      <c r="Y198" s="73"/>
      <c r="Z198" s="73" t="e">
        <f>WEEKNUM(Y198-RESUMEN!$AB$7)</f>
        <v>#NUM!</v>
      </c>
      <c r="AA198" s="73">
        <f>_xlfn.DAYS(Y198,RESUMEN!$AB$7)</f>
        <v>-43247</v>
      </c>
      <c r="AB198" s="73"/>
      <c r="AC198" s="73" t="e">
        <f>LOOKUP(AB198,FORMULAS!$A:$A,FORMULAS!$B:$B)</f>
        <v>#N/A</v>
      </c>
      <c r="AD198" s="78"/>
      <c r="AE198" s="73"/>
      <c r="AF198" s="73"/>
      <c r="AG198" s="73"/>
      <c r="AH198" s="73"/>
      <c r="AI198" s="73"/>
      <c r="AJ198" s="73"/>
      <c r="AK198" s="73"/>
      <c r="AL198" s="73" t="e">
        <f>WEEKNUM(AK198-RESUMEN!$AN$7)</f>
        <v>#NUM!</v>
      </c>
      <c r="AM198" s="73">
        <f>_xlfn.DAYS(AK198,RESUMEN!$AN$7)</f>
        <v>-43254</v>
      </c>
      <c r="AN198" s="73"/>
      <c r="AO198" s="73" t="e">
        <f>LOOKUP(AN198,FORMULAS!$A:$A,FORMULAS!$B:$B)</f>
        <v>#N/A</v>
      </c>
      <c r="AP198" s="78"/>
      <c r="AQ198" s="78"/>
      <c r="AR198" s="73"/>
      <c r="AS198" s="73"/>
      <c r="AT198" s="73"/>
      <c r="AU198" s="73"/>
      <c r="AV198" s="73"/>
      <c r="AW198" s="73"/>
      <c r="AX198" s="73" t="e">
        <f>WEEKNUM(AW198-RESUMEN!$AZ$7)</f>
        <v>#NUM!</v>
      </c>
      <c r="AY198" s="73">
        <f>_xlfn.DAYS(AW198,RESUMEN!$AZ$7)</f>
        <v>-43261</v>
      </c>
      <c r="AZ198" s="73"/>
      <c r="BA198" s="73" t="e">
        <f>LOOKUP(AZ198,FORMULAS!$A:$A,FORMULAS!$B:$B)</f>
        <v>#N/A</v>
      </c>
      <c r="BB198" s="78"/>
      <c r="BC198" s="73"/>
      <c r="BD198" s="73"/>
      <c r="BE198" s="73"/>
      <c r="BF198" s="73"/>
      <c r="BG198" s="73"/>
      <c r="BH198" s="73"/>
      <c r="BI198" s="73"/>
      <c r="BJ198" s="73" t="e">
        <f>WEEKNUM(BI198-RESUMEN!$BL$7)</f>
        <v>#NUM!</v>
      </c>
      <c r="BK198" s="73">
        <f>_xlfn.DAYS(BI198,RESUMEN!$BL$7)</f>
        <v>-43267</v>
      </c>
      <c r="BL198" s="73"/>
      <c r="BM198" s="73" t="e">
        <f>LOOKUP(BL198,FORMULAS!$A:$A,FORMULAS!$B:$B)</f>
        <v>#N/A</v>
      </c>
      <c r="BN198" s="78"/>
      <c r="BO198" s="73"/>
      <c r="BP198" s="73"/>
      <c r="BQ198" s="73"/>
      <c r="BR198" s="73"/>
      <c r="BS198" s="73"/>
      <c r="BT198" s="73"/>
    </row>
    <row r="199" spans="1:72" x14ac:dyDescent="0.25">
      <c r="A199" s="75"/>
      <c r="B199" s="74" t="e">
        <f>WEEKNUM(A199-RESUMEN!$D$7)</f>
        <v>#NUM!</v>
      </c>
      <c r="C199" s="74">
        <f>_xlfn.DAYS(A199,RESUMEN!$D$7)</f>
        <v>-43238</v>
      </c>
      <c r="D199" s="75"/>
      <c r="E199" s="73" t="e">
        <f>LOOKUP(D199,FORMULAS!$A:$A,FORMULAS!$B:$B)</f>
        <v>#N/A</v>
      </c>
      <c r="F199" s="80"/>
      <c r="G199" s="75"/>
      <c r="H199" s="75"/>
      <c r="I199" s="73"/>
      <c r="J199" s="73"/>
      <c r="K199" s="73"/>
      <c r="L199" s="73"/>
      <c r="M199" s="73"/>
      <c r="N199" s="73" t="e">
        <f>WEEKNUM(M199-RESUMEN!$P$7)</f>
        <v>#NUM!</v>
      </c>
      <c r="O199" s="73">
        <f>_xlfn.DAYS(M199,RESUMEN!$P$7)</f>
        <v>-43242</v>
      </c>
      <c r="P199" s="73"/>
      <c r="Q199" s="73" t="e">
        <f>LOOKUP(P199,FORMULAS!$A:$A,FORMULAS!$B:$B)</f>
        <v>#N/A</v>
      </c>
      <c r="R199" s="78"/>
      <c r="S199" s="73"/>
      <c r="T199" s="73"/>
      <c r="U199" s="73"/>
      <c r="V199" s="73"/>
      <c r="W199" s="73"/>
      <c r="X199" s="73"/>
      <c r="Y199" s="73"/>
      <c r="Z199" s="73" t="e">
        <f>WEEKNUM(Y199-RESUMEN!$AB$7)</f>
        <v>#NUM!</v>
      </c>
      <c r="AA199" s="73">
        <f>_xlfn.DAYS(Y199,RESUMEN!$AB$7)</f>
        <v>-43247</v>
      </c>
      <c r="AB199" s="73"/>
      <c r="AC199" s="73" t="e">
        <f>LOOKUP(AB199,FORMULAS!$A:$A,FORMULAS!$B:$B)</f>
        <v>#N/A</v>
      </c>
      <c r="AD199" s="78"/>
      <c r="AE199" s="73"/>
      <c r="AF199" s="73"/>
      <c r="AG199" s="73"/>
      <c r="AH199" s="73"/>
      <c r="AI199" s="73"/>
      <c r="AJ199" s="73"/>
      <c r="AK199" s="73"/>
      <c r="AL199" s="73" t="e">
        <f>WEEKNUM(AK199-RESUMEN!$AN$7)</f>
        <v>#NUM!</v>
      </c>
      <c r="AM199" s="73">
        <f>_xlfn.DAYS(AK199,RESUMEN!$AN$7)</f>
        <v>-43254</v>
      </c>
      <c r="AN199" s="73"/>
      <c r="AO199" s="73" t="e">
        <f>LOOKUP(AN199,FORMULAS!$A:$A,FORMULAS!$B:$B)</f>
        <v>#N/A</v>
      </c>
      <c r="AP199" s="78"/>
      <c r="AQ199" s="78"/>
      <c r="AR199" s="73"/>
      <c r="AS199" s="73"/>
      <c r="AT199" s="73"/>
      <c r="AU199" s="73"/>
      <c r="AV199" s="73"/>
      <c r="AW199" s="73"/>
      <c r="AX199" s="73" t="e">
        <f>WEEKNUM(AW199-RESUMEN!$AZ$7)</f>
        <v>#NUM!</v>
      </c>
      <c r="AY199" s="73">
        <f>_xlfn.DAYS(AW199,RESUMEN!$AZ$7)</f>
        <v>-43261</v>
      </c>
      <c r="AZ199" s="73"/>
      <c r="BA199" s="73" t="e">
        <f>LOOKUP(AZ199,FORMULAS!$A:$A,FORMULAS!$B:$B)</f>
        <v>#N/A</v>
      </c>
      <c r="BB199" s="78"/>
      <c r="BC199" s="73"/>
      <c r="BD199" s="73"/>
      <c r="BE199" s="73"/>
      <c r="BF199" s="73"/>
      <c r="BG199" s="73"/>
      <c r="BH199" s="73"/>
      <c r="BI199" s="73"/>
      <c r="BJ199" s="73" t="e">
        <f>WEEKNUM(BI199-RESUMEN!$BL$7)</f>
        <v>#NUM!</v>
      </c>
      <c r="BK199" s="73">
        <f>_xlfn.DAYS(BI199,RESUMEN!$BL$7)</f>
        <v>-43267</v>
      </c>
      <c r="BL199" s="73"/>
      <c r="BM199" s="73" t="e">
        <f>LOOKUP(BL199,FORMULAS!$A:$A,FORMULAS!$B:$B)</f>
        <v>#N/A</v>
      </c>
      <c r="BN199" s="78"/>
      <c r="BO199" s="73"/>
      <c r="BP199" s="73"/>
      <c r="BQ199" s="73"/>
      <c r="BR199" s="73"/>
      <c r="BS199" s="73"/>
      <c r="BT199" s="73"/>
    </row>
    <row r="200" spans="1:72" x14ac:dyDescent="0.25">
      <c r="A200" s="75"/>
      <c r="B200" s="74" t="e">
        <f>WEEKNUM(A200-RESUMEN!$D$7)</f>
        <v>#NUM!</v>
      </c>
      <c r="C200" s="74">
        <f>_xlfn.DAYS(A200,RESUMEN!$D$7)</f>
        <v>-43238</v>
      </c>
      <c r="D200" s="75"/>
      <c r="E200" s="73" t="e">
        <f>LOOKUP(D200,FORMULAS!$A:$A,FORMULAS!$B:$B)</f>
        <v>#N/A</v>
      </c>
      <c r="F200" s="80"/>
      <c r="G200" s="75"/>
      <c r="H200" s="75"/>
      <c r="I200" s="73"/>
      <c r="J200" s="73"/>
      <c r="K200" s="73"/>
      <c r="L200" s="73"/>
      <c r="M200" s="73"/>
      <c r="N200" s="73" t="e">
        <f>WEEKNUM(M200-RESUMEN!$P$7)</f>
        <v>#NUM!</v>
      </c>
      <c r="O200" s="73">
        <f>_xlfn.DAYS(M200,RESUMEN!$P$7)</f>
        <v>-43242</v>
      </c>
      <c r="P200" s="73"/>
      <c r="Q200" s="73" t="e">
        <f>LOOKUP(P200,FORMULAS!$A:$A,FORMULAS!$B:$B)</f>
        <v>#N/A</v>
      </c>
      <c r="R200" s="78"/>
      <c r="S200" s="73"/>
      <c r="T200" s="73"/>
      <c r="U200" s="73"/>
      <c r="V200" s="73"/>
      <c r="W200" s="73"/>
      <c r="X200" s="73"/>
      <c r="Y200" s="73"/>
      <c r="Z200" s="73" t="e">
        <f>WEEKNUM(Y200-RESUMEN!$AB$7)</f>
        <v>#NUM!</v>
      </c>
      <c r="AA200" s="73">
        <f>_xlfn.DAYS(Y200,RESUMEN!$AB$7)</f>
        <v>-43247</v>
      </c>
      <c r="AB200" s="73"/>
      <c r="AC200" s="73" t="e">
        <f>LOOKUP(AB200,FORMULAS!$A:$A,FORMULAS!$B:$B)</f>
        <v>#N/A</v>
      </c>
      <c r="AD200" s="78"/>
      <c r="AE200" s="73"/>
      <c r="AF200" s="73"/>
      <c r="AG200" s="73"/>
      <c r="AH200" s="73"/>
      <c r="AI200" s="73"/>
      <c r="AJ200" s="73"/>
      <c r="AK200" s="73"/>
      <c r="AL200" s="73" t="e">
        <f>WEEKNUM(AK200-RESUMEN!$AN$7)</f>
        <v>#NUM!</v>
      </c>
      <c r="AM200" s="73">
        <f>_xlfn.DAYS(AK200,RESUMEN!$AN$7)</f>
        <v>-43254</v>
      </c>
      <c r="AN200" s="73"/>
      <c r="AO200" s="73" t="e">
        <f>LOOKUP(AN200,FORMULAS!$A:$A,FORMULAS!$B:$B)</f>
        <v>#N/A</v>
      </c>
      <c r="AP200" s="78"/>
      <c r="AQ200" s="78"/>
      <c r="AR200" s="73"/>
      <c r="AS200" s="73"/>
      <c r="AT200" s="73"/>
      <c r="AU200" s="73"/>
      <c r="AV200" s="73"/>
      <c r="AW200" s="73"/>
      <c r="AX200" s="73" t="e">
        <f>WEEKNUM(AW200-RESUMEN!$AZ$7)</f>
        <v>#NUM!</v>
      </c>
      <c r="AY200" s="73">
        <f>_xlfn.DAYS(AW200,RESUMEN!$AZ$7)</f>
        <v>-43261</v>
      </c>
      <c r="AZ200" s="73"/>
      <c r="BA200" s="73" t="e">
        <f>LOOKUP(AZ200,FORMULAS!$A:$A,FORMULAS!$B:$B)</f>
        <v>#N/A</v>
      </c>
      <c r="BB200" s="78"/>
      <c r="BC200" s="73"/>
      <c r="BD200" s="73"/>
      <c r="BE200" s="73"/>
      <c r="BF200" s="73"/>
      <c r="BG200" s="73"/>
      <c r="BH200" s="73"/>
      <c r="BI200" s="73"/>
      <c r="BJ200" s="73" t="e">
        <f>WEEKNUM(BI200-RESUMEN!$BL$7)</f>
        <v>#NUM!</v>
      </c>
      <c r="BK200" s="73">
        <f>_xlfn.DAYS(BI200,RESUMEN!$BL$7)</f>
        <v>-43267</v>
      </c>
      <c r="BL200" s="73"/>
      <c r="BM200" s="73" t="e">
        <f>LOOKUP(BL200,FORMULAS!$A:$A,FORMULAS!$B:$B)</f>
        <v>#N/A</v>
      </c>
      <c r="BN200" s="78"/>
      <c r="BO200" s="73"/>
      <c r="BP200" s="73"/>
      <c r="BQ200" s="73"/>
      <c r="BR200" s="73"/>
      <c r="BS200" s="73"/>
      <c r="BT200" s="73"/>
    </row>
    <row r="201" spans="1:72" x14ac:dyDescent="0.25">
      <c r="A201" s="75"/>
      <c r="B201" s="74" t="e">
        <f>WEEKNUM(A201-RESUMEN!$D$7)</f>
        <v>#NUM!</v>
      </c>
      <c r="C201" s="74">
        <f>_xlfn.DAYS(A201,RESUMEN!$D$7)</f>
        <v>-43238</v>
      </c>
      <c r="D201" s="75"/>
      <c r="E201" s="73" t="e">
        <f>LOOKUP(D201,FORMULAS!$A:$A,FORMULAS!$B:$B)</f>
        <v>#N/A</v>
      </c>
      <c r="F201" s="80"/>
      <c r="G201" s="75"/>
      <c r="H201" s="75"/>
      <c r="I201" s="73"/>
      <c r="J201" s="73"/>
      <c r="K201" s="73"/>
      <c r="L201" s="73"/>
      <c r="M201" s="73"/>
      <c r="N201" s="73" t="e">
        <f>WEEKNUM(M201-RESUMEN!$P$7)</f>
        <v>#NUM!</v>
      </c>
      <c r="O201" s="73">
        <f>_xlfn.DAYS(M201,RESUMEN!$P$7)</f>
        <v>-43242</v>
      </c>
      <c r="P201" s="73"/>
      <c r="Q201" s="73" t="e">
        <f>LOOKUP(P201,FORMULAS!$A:$A,FORMULAS!$B:$B)</f>
        <v>#N/A</v>
      </c>
      <c r="R201" s="78"/>
      <c r="S201" s="73"/>
      <c r="T201" s="73"/>
      <c r="U201" s="73"/>
      <c r="V201" s="73"/>
      <c r="W201" s="73"/>
      <c r="X201" s="73"/>
      <c r="Y201" s="73"/>
      <c r="Z201" s="73" t="e">
        <f>WEEKNUM(Y201-RESUMEN!$AB$7)</f>
        <v>#NUM!</v>
      </c>
      <c r="AA201" s="73">
        <f>_xlfn.DAYS(Y201,RESUMEN!$AB$7)</f>
        <v>-43247</v>
      </c>
      <c r="AB201" s="73"/>
      <c r="AC201" s="73" t="e">
        <f>LOOKUP(AB201,FORMULAS!$A:$A,FORMULAS!$B:$B)</f>
        <v>#N/A</v>
      </c>
      <c r="AD201" s="78"/>
      <c r="AE201" s="73"/>
      <c r="AF201" s="73"/>
      <c r="AG201" s="73"/>
      <c r="AH201" s="73"/>
      <c r="AI201" s="73"/>
      <c r="AJ201" s="73"/>
      <c r="AK201" s="73"/>
      <c r="AL201" s="73" t="e">
        <f>WEEKNUM(AK201-RESUMEN!$AN$7)</f>
        <v>#NUM!</v>
      </c>
      <c r="AM201" s="73">
        <f>_xlfn.DAYS(AK201,RESUMEN!$AN$7)</f>
        <v>-43254</v>
      </c>
      <c r="AN201" s="73"/>
      <c r="AO201" s="73" t="e">
        <f>LOOKUP(AN201,FORMULAS!$A:$A,FORMULAS!$B:$B)</f>
        <v>#N/A</v>
      </c>
      <c r="AP201" s="78"/>
      <c r="AQ201" s="78"/>
      <c r="AR201" s="73"/>
      <c r="AS201" s="73"/>
      <c r="AT201" s="73"/>
      <c r="AU201" s="73"/>
      <c r="AV201" s="73"/>
      <c r="AW201" s="73"/>
      <c r="AX201" s="73" t="e">
        <f>WEEKNUM(AW201-RESUMEN!$AZ$7)</f>
        <v>#NUM!</v>
      </c>
      <c r="AY201" s="73">
        <f>_xlfn.DAYS(AW201,RESUMEN!$AZ$7)</f>
        <v>-43261</v>
      </c>
      <c r="AZ201" s="73"/>
      <c r="BA201" s="73" t="e">
        <f>LOOKUP(AZ201,FORMULAS!$A:$A,FORMULAS!$B:$B)</f>
        <v>#N/A</v>
      </c>
      <c r="BB201" s="78"/>
      <c r="BC201" s="73"/>
      <c r="BD201" s="73"/>
      <c r="BE201" s="73"/>
      <c r="BF201" s="73"/>
      <c r="BG201" s="73"/>
      <c r="BH201" s="73"/>
      <c r="BI201" s="73"/>
      <c r="BJ201" s="73" t="e">
        <f>WEEKNUM(BI201-RESUMEN!$BL$7)</f>
        <v>#NUM!</v>
      </c>
      <c r="BK201" s="73">
        <f>_xlfn.DAYS(BI201,RESUMEN!$BL$7)</f>
        <v>-43267</v>
      </c>
      <c r="BL201" s="73"/>
      <c r="BM201" s="73" t="e">
        <f>LOOKUP(BL201,FORMULAS!$A:$A,FORMULAS!$B:$B)</f>
        <v>#N/A</v>
      </c>
      <c r="BN201" s="78"/>
      <c r="BO201" s="73"/>
      <c r="BP201" s="73"/>
      <c r="BQ201" s="73"/>
      <c r="BR201" s="73"/>
      <c r="BS201" s="73"/>
      <c r="BT201" s="73"/>
    </row>
    <row r="202" spans="1:72" x14ac:dyDescent="0.25">
      <c r="A202" s="75"/>
      <c r="B202" s="74" t="e">
        <f>WEEKNUM(A202-RESUMEN!$D$7)</f>
        <v>#NUM!</v>
      </c>
      <c r="C202" s="74">
        <f>_xlfn.DAYS(A202,RESUMEN!$D$7)</f>
        <v>-43238</v>
      </c>
      <c r="D202" s="75"/>
      <c r="E202" s="73" t="e">
        <f>LOOKUP(D202,FORMULAS!$A:$A,FORMULAS!$B:$B)</f>
        <v>#N/A</v>
      </c>
      <c r="F202" s="80"/>
      <c r="G202" s="75"/>
      <c r="H202" s="75"/>
      <c r="I202" s="73"/>
      <c r="J202" s="73"/>
      <c r="K202" s="73"/>
      <c r="L202" s="73"/>
      <c r="M202" s="73"/>
      <c r="N202" s="73" t="e">
        <f>WEEKNUM(M202-RESUMEN!$P$7)</f>
        <v>#NUM!</v>
      </c>
      <c r="O202" s="73">
        <f>_xlfn.DAYS(M202,RESUMEN!$P$7)</f>
        <v>-43242</v>
      </c>
      <c r="P202" s="73"/>
      <c r="Q202" s="73" t="e">
        <f>LOOKUP(P202,FORMULAS!$A:$A,FORMULAS!$B:$B)</f>
        <v>#N/A</v>
      </c>
      <c r="R202" s="78"/>
      <c r="S202" s="73"/>
      <c r="T202" s="73"/>
      <c r="U202" s="73"/>
      <c r="V202" s="73"/>
      <c r="W202" s="73"/>
      <c r="X202" s="73"/>
      <c r="Y202" s="73"/>
      <c r="Z202" s="73" t="e">
        <f>WEEKNUM(Y202-RESUMEN!$AB$7)</f>
        <v>#NUM!</v>
      </c>
      <c r="AA202" s="73">
        <f>_xlfn.DAYS(Y202,RESUMEN!$AB$7)</f>
        <v>-43247</v>
      </c>
      <c r="AB202" s="73"/>
      <c r="AC202" s="73" t="e">
        <f>LOOKUP(AB202,FORMULAS!$A:$A,FORMULAS!$B:$B)</f>
        <v>#N/A</v>
      </c>
      <c r="AD202" s="78"/>
      <c r="AE202" s="73"/>
      <c r="AF202" s="73"/>
      <c r="AG202" s="73"/>
      <c r="AH202" s="73"/>
      <c r="AI202" s="73"/>
      <c r="AJ202" s="73"/>
      <c r="AK202" s="73"/>
      <c r="AL202" s="73" t="e">
        <f>WEEKNUM(AK202-RESUMEN!$AN$7)</f>
        <v>#NUM!</v>
      </c>
      <c r="AM202" s="73">
        <f>_xlfn.DAYS(AK202,RESUMEN!$AN$7)</f>
        <v>-43254</v>
      </c>
      <c r="AN202" s="73"/>
      <c r="AO202" s="73" t="e">
        <f>LOOKUP(AN202,FORMULAS!$A:$A,FORMULAS!$B:$B)</f>
        <v>#N/A</v>
      </c>
      <c r="AP202" s="78"/>
      <c r="AQ202" s="78"/>
      <c r="AR202" s="73"/>
      <c r="AS202" s="73"/>
      <c r="AT202" s="73"/>
      <c r="AU202" s="73"/>
      <c r="AV202" s="73"/>
      <c r="AW202" s="73"/>
      <c r="AX202" s="73" t="e">
        <f>WEEKNUM(AW202-RESUMEN!$AZ$7)</f>
        <v>#NUM!</v>
      </c>
      <c r="AY202" s="73">
        <f>_xlfn.DAYS(AW202,RESUMEN!$AZ$7)</f>
        <v>-43261</v>
      </c>
      <c r="AZ202" s="73"/>
      <c r="BA202" s="73" t="e">
        <f>LOOKUP(AZ202,FORMULAS!$A:$A,FORMULAS!$B:$B)</f>
        <v>#N/A</v>
      </c>
      <c r="BB202" s="78"/>
      <c r="BC202" s="73"/>
      <c r="BD202" s="73"/>
      <c r="BE202" s="73"/>
      <c r="BF202" s="73"/>
      <c r="BG202" s="73"/>
      <c r="BH202" s="73"/>
      <c r="BI202" s="73"/>
      <c r="BJ202" s="73" t="e">
        <f>WEEKNUM(BI202-RESUMEN!$BL$7)</f>
        <v>#NUM!</v>
      </c>
      <c r="BK202" s="73">
        <f>_xlfn.DAYS(BI202,RESUMEN!$BL$7)</f>
        <v>-43267</v>
      </c>
      <c r="BL202" s="73"/>
      <c r="BM202" s="73" t="e">
        <f>LOOKUP(BL202,FORMULAS!$A:$A,FORMULAS!$B:$B)</f>
        <v>#N/A</v>
      </c>
      <c r="BN202" s="78"/>
      <c r="BO202" s="73"/>
      <c r="BP202" s="73"/>
      <c r="BQ202" s="73"/>
      <c r="BR202" s="73"/>
      <c r="BS202" s="73"/>
      <c r="BT202" s="73"/>
    </row>
    <row r="203" spans="1:72" x14ac:dyDescent="0.25">
      <c r="A203" s="75"/>
      <c r="B203" s="74" t="e">
        <f>WEEKNUM(A203-RESUMEN!$D$7)</f>
        <v>#NUM!</v>
      </c>
      <c r="C203" s="74">
        <f>_xlfn.DAYS(A203,RESUMEN!$D$7)</f>
        <v>-43238</v>
      </c>
      <c r="D203" s="75"/>
      <c r="E203" s="73" t="e">
        <f>LOOKUP(D203,FORMULAS!$A:$A,FORMULAS!$B:$B)</f>
        <v>#N/A</v>
      </c>
      <c r="F203" s="80"/>
      <c r="G203" s="75"/>
      <c r="H203" s="75"/>
      <c r="I203" s="73"/>
      <c r="J203" s="73"/>
      <c r="K203" s="73"/>
      <c r="L203" s="73"/>
      <c r="M203" s="73"/>
      <c r="N203" s="73" t="e">
        <f>WEEKNUM(M203-RESUMEN!$P$7)</f>
        <v>#NUM!</v>
      </c>
      <c r="O203" s="73">
        <f>_xlfn.DAYS(M203,RESUMEN!$P$7)</f>
        <v>-43242</v>
      </c>
      <c r="P203" s="73"/>
      <c r="Q203" s="73" t="e">
        <f>LOOKUP(P203,FORMULAS!$A:$A,FORMULAS!$B:$B)</f>
        <v>#N/A</v>
      </c>
      <c r="R203" s="78"/>
      <c r="S203" s="73"/>
      <c r="T203" s="73"/>
      <c r="U203" s="73"/>
      <c r="V203" s="73"/>
      <c r="W203" s="73"/>
      <c r="X203" s="73"/>
      <c r="Y203" s="73"/>
      <c r="Z203" s="73" t="e">
        <f>WEEKNUM(Y203-RESUMEN!$AB$7)</f>
        <v>#NUM!</v>
      </c>
      <c r="AA203" s="73">
        <f>_xlfn.DAYS(Y203,RESUMEN!$AB$7)</f>
        <v>-43247</v>
      </c>
      <c r="AB203" s="73"/>
      <c r="AC203" s="73" t="e">
        <f>LOOKUP(AB203,FORMULAS!$A:$A,FORMULAS!$B:$B)</f>
        <v>#N/A</v>
      </c>
      <c r="AD203" s="78"/>
      <c r="AE203" s="73"/>
      <c r="AF203" s="73"/>
      <c r="AG203" s="73"/>
      <c r="AH203" s="73"/>
      <c r="AI203" s="73"/>
      <c r="AJ203" s="73"/>
      <c r="AK203" s="73"/>
      <c r="AL203" s="73" t="e">
        <f>WEEKNUM(AK203-RESUMEN!$AN$7)</f>
        <v>#NUM!</v>
      </c>
      <c r="AM203" s="73">
        <f>_xlfn.DAYS(AK203,RESUMEN!$AN$7)</f>
        <v>-43254</v>
      </c>
      <c r="AN203" s="73"/>
      <c r="AO203" s="73" t="e">
        <f>LOOKUP(AN203,FORMULAS!$A:$A,FORMULAS!$B:$B)</f>
        <v>#N/A</v>
      </c>
      <c r="AP203" s="78"/>
      <c r="AQ203" s="78"/>
      <c r="AR203" s="73"/>
      <c r="AS203" s="73"/>
      <c r="AT203" s="73"/>
      <c r="AU203" s="73"/>
      <c r="AV203" s="73"/>
      <c r="AW203" s="73"/>
      <c r="AX203" s="73" t="e">
        <f>WEEKNUM(AW203-RESUMEN!$AZ$7)</f>
        <v>#NUM!</v>
      </c>
      <c r="AY203" s="73">
        <f>_xlfn.DAYS(AW203,RESUMEN!$AZ$7)</f>
        <v>-43261</v>
      </c>
      <c r="AZ203" s="73"/>
      <c r="BA203" s="73" t="e">
        <f>LOOKUP(AZ203,FORMULAS!$A:$A,FORMULAS!$B:$B)</f>
        <v>#N/A</v>
      </c>
      <c r="BB203" s="78"/>
      <c r="BC203" s="73"/>
      <c r="BD203" s="73"/>
      <c r="BE203" s="73"/>
      <c r="BF203" s="73"/>
      <c r="BG203" s="73"/>
      <c r="BH203" s="73"/>
      <c r="BI203" s="73"/>
      <c r="BJ203" s="73" t="e">
        <f>WEEKNUM(BI203-RESUMEN!$BL$7)</f>
        <v>#NUM!</v>
      </c>
      <c r="BK203" s="73">
        <f>_xlfn.DAYS(BI203,RESUMEN!$BL$7)</f>
        <v>-43267</v>
      </c>
      <c r="BL203" s="73"/>
      <c r="BM203" s="73" t="e">
        <f>LOOKUP(BL203,FORMULAS!$A:$A,FORMULAS!$B:$B)</f>
        <v>#N/A</v>
      </c>
      <c r="BN203" s="78"/>
      <c r="BO203" s="73"/>
      <c r="BP203" s="73"/>
      <c r="BQ203" s="73"/>
      <c r="BR203" s="73"/>
      <c r="BS203" s="73"/>
      <c r="BT203" s="73"/>
    </row>
    <row r="204" spans="1:72" x14ac:dyDescent="0.25">
      <c r="A204" s="75"/>
      <c r="B204" s="74" t="e">
        <f>WEEKNUM(A204-RESUMEN!$D$7)</f>
        <v>#NUM!</v>
      </c>
      <c r="C204" s="74">
        <f>_xlfn.DAYS(A204,RESUMEN!$D$7)</f>
        <v>-43238</v>
      </c>
      <c r="D204" s="75"/>
      <c r="E204" s="73" t="e">
        <f>LOOKUP(D204,FORMULAS!$A:$A,FORMULAS!$B:$B)</f>
        <v>#N/A</v>
      </c>
      <c r="F204" s="80"/>
      <c r="G204" s="75"/>
      <c r="H204" s="75"/>
      <c r="I204" s="73"/>
      <c r="J204" s="73"/>
      <c r="K204" s="73"/>
      <c r="L204" s="73"/>
      <c r="M204" s="73"/>
      <c r="N204" s="73" t="e">
        <f>WEEKNUM(M204-RESUMEN!$P$7)</f>
        <v>#NUM!</v>
      </c>
      <c r="O204" s="73">
        <f>_xlfn.DAYS(M204,RESUMEN!$P$7)</f>
        <v>-43242</v>
      </c>
      <c r="P204" s="73"/>
      <c r="Q204" s="73" t="e">
        <f>LOOKUP(P204,FORMULAS!$A:$A,FORMULAS!$B:$B)</f>
        <v>#N/A</v>
      </c>
      <c r="R204" s="78"/>
      <c r="S204" s="73"/>
      <c r="T204" s="73"/>
      <c r="U204" s="73"/>
      <c r="V204" s="73"/>
      <c r="W204" s="73"/>
      <c r="X204" s="73"/>
      <c r="Y204" s="73"/>
      <c r="Z204" s="73" t="e">
        <f>WEEKNUM(Y204-RESUMEN!$AB$7)</f>
        <v>#NUM!</v>
      </c>
      <c r="AA204" s="73">
        <f>_xlfn.DAYS(Y204,RESUMEN!$AB$7)</f>
        <v>-43247</v>
      </c>
      <c r="AB204" s="73"/>
      <c r="AC204" s="73" t="e">
        <f>LOOKUP(AB204,FORMULAS!$A:$A,FORMULAS!$B:$B)</f>
        <v>#N/A</v>
      </c>
      <c r="AD204" s="78"/>
      <c r="AE204" s="73"/>
      <c r="AF204" s="73"/>
      <c r="AG204" s="73"/>
      <c r="AH204" s="73"/>
      <c r="AI204" s="73"/>
      <c r="AJ204" s="73"/>
      <c r="AK204" s="73"/>
      <c r="AL204" s="73" t="e">
        <f>WEEKNUM(AK204-RESUMEN!$AN$7)</f>
        <v>#NUM!</v>
      </c>
      <c r="AM204" s="73">
        <f>_xlfn.DAYS(AK204,RESUMEN!$AN$7)</f>
        <v>-43254</v>
      </c>
      <c r="AN204" s="73"/>
      <c r="AO204" s="73" t="e">
        <f>LOOKUP(AN204,FORMULAS!$A:$A,FORMULAS!$B:$B)</f>
        <v>#N/A</v>
      </c>
      <c r="AP204" s="78"/>
      <c r="AQ204" s="78"/>
      <c r="AR204" s="73"/>
      <c r="AS204" s="73"/>
      <c r="AT204" s="73"/>
      <c r="AU204" s="73"/>
      <c r="AV204" s="73"/>
      <c r="AW204" s="73"/>
      <c r="AX204" s="73" t="e">
        <f>WEEKNUM(AW204-RESUMEN!$AZ$7)</f>
        <v>#NUM!</v>
      </c>
      <c r="AY204" s="73">
        <f>_xlfn.DAYS(AW204,RESUMEN!$AZ$7)</f>
        <v>-43261</v>
      </c>
      <c r="AZ204" s="73"/>
      <c r="BA204" s="73" t="e">
        <f>LOOKUP(AZ204,FORMULAS!$A:$A,FORMULAS!$B:$B)</f>
        <v>#N/A</v>
      </c>
      <c r="BB204" s="78"/>
      <c r="BC204" s="73"/>
      <c r="BD204" s="73"/>
      <c r="BE204" s="73"/>
      <c r="BF204" s="73"/>
      <c r="BG204" s="73"/>
      <c r="BH204" s="73"/>
      <c r="BI204" s="73"/>
      <c r="BJ204" s="73" t="e">
        <f>WEEKNUM(BI204-RESUMEN!$BL$7)</f>
        <v>#NUM!</v>
      </c>
      <c r="BK204" s="73">
        <f>_xlfn.DAYS(BI204,RESUMEN!$BL$7)</f>
        <v>-43267</v>
      </c>
      <c r="BL204" s="73"/>
      <c r="BM204" s="73" t="e">
        <f>LOOKUP(BL204,FORMULAS!$A:$A,FORMULAS!$B:$B)</f>
        <v>#N/A</v>
      </c>
      <c r="BN204" s="78"/>
      <c r="BO204" s="73"/>
      <c r="BP204" s="73"/>
      <c r="BQ204" s="73"/>
      <c r="BR204" s="73"/>
      <c r="BS204" s="73"/>
      <c r="BT204" s="73"/>
    </row>
    <row r="205" spans="1:72" x14ac:dyDescent="0.25">
      <c r="A205" s="75"/>
      <c r="B205" s="74" t="e">
        <f>WEEKNUM(A205-RESUMEN!$D$7)</f>
        <v>#NUM!</v>
      </c>
      <c r="C205" s="74">
        <f>_xlfn.DAYS(A205,RESUMEN!$D$7)</f>
        <v>-43238</v>
      </c>
      <c r="D205" s="75"/>
      <c r="E205" s="73" t="e">
        <f>LOOKUP(D205,FORMULAS!$A:$A,FORMULAS!$B:$B)</f>
        <v>#N/A</v>
      </c>
      <c r="F205" s="80"/>
      <c r="G205" s="75"/>
      <c r="H205" s="75"/>
      <c r="I205" s="73"/>
      <c r="J205" s="73"/>
      <c r="K205" s="73"/>
      <c r="L205" s="73"/>
      <c r="M205" s="73"/>
      <c r="N205" s="73" t="e">
        <f>WEEKNUM(M205-RESUMEN!$P$7)</f>
        <v>#NUM!</v>
      </c>
      <c r="O205" s="73">
        <f>_xlfn.DAYS(M205,RESUMEN!$P$7)</f>
        <v>-43242</v>
      </c>
      <c r="P205" s="73"/>
      <c r="Q205" s="73" t="e">
        <f>LOOKUP(P205,FORMULAS!$A:$A,FORMULAS!$B:$B)</f>
        <v>#N/A</v>
      </c>
      <c r="R205" s="78"/>
      <c r="S205" s="73"/>
      <c r="T205" s="73"/>
      <c r="U205" s="73"/>
      <c r="V205" s="73"/>
      <c r="W205" s="73"/>
      <c r="X205" s="73"/>
      <c r="Y205" s="73"/>
      <c r="Z205" s="73" t="e">
        <f>WEEKNUM(Y205-RESUMEN!$AB$7)</f>
        <v>#NUM!</v>
      </c>
      <c r="AA205" s="73">
        <f>_xlfn.DAYS(Y205,RESUMEN!$AB$7)</f>
        <v>-43247</v>
      </c>
      <c r="AB205" s="73"/>
      <c r="AC205" s="73" t="e">
        <f>LOOKUP(AB205,FORMULAS!$A:$A,FORMULAS!$B:$B)</f>
        <v>#N/A</v>
      </c>
      <c r="AD205" s="78"/>
      <c r="AE205" s="73"/>
      <c r="AF205" s="73"/>
      <c r="AG205" s="73"/>
      <c r="AH205" s="73"/>
      <c r="AI205" s="73"/>
      <c r="AJ205" s="73"/>
      <c r="AK205" s="73"/>
      <c r="AL205" s="73" t="e">
        <f>WEEKNUM(AK205-RESUMEN!$AN$7)</f>
        <v>#NUM!</v>
      </c>
      <c r="AM205" s="73">
        <f>_xlfn.DAYS(AK205,RESUMEN!$AN$7)</f>
        <v>-43254</v>
      </c>
      <c r="AN205" s="73"/>
      <c r="AO205" s="73" t="e">
        <f>LOOKUP(AN205,FORMULAS!$A:$A,FORMULAS!$B:$B)</f>
        <v>#N/A</v>
      </c>
      <c r="AP205" s="78"/>
      <c r="AQ205" s="78"/>
      <c r="AR205" s="73"/>
      <c r="AS205" s="73"/>
      <c r="AT205" s="73"/>
      <c r="AU205" s="73"/>
      <c r="AV205" s="73"/>
      <c r="AW205" s="73"/>
      <c r="AX205" s="73" t="e">
        <f>WEEKNUM(AW205-RESUMEN!$AZ$7)</f>
        <v>#NUM!</v>
      </c>
      <c r="AY205" s="73">
        <f>_xlfn.DAYS(AW205,RESUMEN!$AZ$7)</f>
        <v>-43261</v>
      </c>
      <c r="AZ205" s="73"/>
      <c r="BA205" s="73" t="e">
        <f>LOOKUP(AZ205,FORMULAS!$A:$A,FORMULAS!$B:$B)</f>
        <v>#N/A</v>
      </c>
      <c r="BB205" s="78"/>
      <c r="BC205" s="73"/>
      <c r="BD205" s="73"/>
      <c r="BE205" s="73"/>
      <c r="BF205" s="73"/>
      <c r="BG205" s="73"/>
      <c r="BH205" s="73"/>
      <c r="BI205" s="73"/>
      <c r="BJ205" s="73" t="e">
        <f>WEEKNUM(BI205-RESUMEN!$BL$7)</f>
        <v>#NUM!</v>
      </c>
      <c r="BK205" s="73">
        <f>_xlfn.DAYS(BI205,RESUMEN!$BL$7)</f>
        <v>-43267</v>
      </c>
      <c r="BL205" s="73"/>
      <c r="BM205" s="73" t="e">
        <f>LOOKUP(BL205,FORMULAS!$A:$A,FORMULAS!$B:$B)</f>
        <v>#N/A</v>
      </c>
      <c r="BN205" s="78"/>
      <c r="BO205" s="73"/>
      <c r="BP205" s="73"/>
      <c r="BQ205" s="73"/>
      <c r="BR205" s="73"/>
      <c r="BS205" s="73"/>
      <c r="BT205" s="73"/>
    </row>
    <row r="206" spans="1:72" x14ac:dyDescent="0.25">
      <c r="A206" s="75"/>
      <c r="B206" s="74" t="e">
        <f>WEEKNUM(A206-RESUMEN!$D$7)</f>
        <v>#NUM!</v>
      </c>
      <c r="C206" s="74">
        <f>_xlfn.DAYS(A206,RESUMEN!$D$7)</f>
        <v>-43238</v>
      </c>
      <c r="D206" s="75"/>
      <c r="E206" s="73" t="e">
        <f>LOOKUP(D206,FORMULAS!$A:$A,FORMULAS!$B:$B)</f>
        <v>#N/A</v>
      </c>
      <c r="F206" s="80"/>
      <c r="G206" s="75"/>
      <c r="H206" s="75"/>
      <c r="I206" s="73"/>
      <c r="J206" s="73"/>
      <c r="K206" s="73"/>
      <c r="L206" s="73"/>
      <c r="M206" s="73"/>
      <c r="N206" s="73" t="e">
        <f>WEEKNUM(M206-RESUMEN!$P$7)</f>
        <v>#NUM!</v>
      </c>
      <c r="O206" s="73">
        <f>_xlfn.DAYS(M206,RESUMEN!$P$7)</f>
        <v>-43242</v>
      </c>
      <c r="P206" s="73"/>
      <c r="Q206" s="73" t="e">
        <f>LOOKUP(P206,FORMULAS!$A:$A,FORMULAS!$B:$B)</f>
        <v>#N/A</v>
      </c>
      <c r="R206" s="78"/>
      <c r="S206" s="73"/>
      <c r="T206" s="73"/>
      <c r="U206" s="73"/>
      <c r="V206" s="73"/>
      <c r="W206" s="73"/>
      <c r="X206" s="73"/>
      <c r="Y206" s="73"/>
      <c r="Z206" s="73" t="e">
        <f>WEEKNUM(Y206-RESUMEN!$AB$7)</f>
        <v>#NUM!</v>
      </c>
      <c r="AA206" s="73">
        <f>_xlfn.DAYS(Y206,RESUMEN!$AB$7)</f>
        <v>-43247</v>
      </c>
      <c r="AB206" s="73"/>
      <c r="AC206" s="73" t="e">
        <f>LOOKUP(AB206,FORMULAS!$A:$A,FORMULAS!$B:$B)</f>
        <v>#N/A</v>
      </c>
      <c r="AD206" s="78"/>
      <c r="AE206" s="73"/>
      <c r="AF206" s="73"/>
      <c r="AG206" s="73"/>
      <c r="AH206" s="73"/>
      <c r="AI206" s="73"/>
      <c r="AJ206" s="73"/>
      <c r="AK206" s="73"/>
      <c r="AL206" s="73" t="e">
        <f>WEEKNUM(AK206-RESUMEN!$AN$7)</f>
        <v>#NUM!</v>
      </c>
      <c r="AM206" s="73">
        <f>_xlfn.DAYS(AK206,RESUMEN!$AN$7)</f>
        <v>-43254</v>
      </c>
      <c r="AN206" s="73"/>
      <c r="AO206" s="73" t="e">
        <f>LOOKUP(AN206,FORMULAS!$A:$A,FORMULAS!$B:$B)</f>
        <v>#N/A</v>
      </c>
      <c r="AP206" s="78"/>
      <c r="AQ206" s="78"/>
      <c r="AR206" s="73"/>
      <c r="AS206" s="73"/>
      <c r="AT206" s="73"/>
      <c r="AU206" s="73"/>
      <c r="AV206" s="73"/>
      <c r="AW206" s="73"/>
      <c r="AX206" s="73" t="e">
        <f>WEEKNUM(AW206-RESUMEN!$AZ$7)</f>
        <v>#NUM!</v>
      </c>
      <c r="AY206" s="73">
        <f>_xlfn.DAYS(AW206,RESUMEN!$AZ$7)</f>
        <v>-43261</v>
      </c>
      <c r="AZ206" s="73"/>
      <c r="BA206" s="73" t="e">
        <f>LOOKUP(AZ206,FORMULAS!$A:$A,FORMULAS!$B:$B)</f>
        <v>#N/A</v>
      </c>
      <c r="BB206" s="78"/>
      <c r="BC206" s="73"/>
      <c r="BD206" s="73"/>
      <c r="BE206" s="73"/>
      <c r="BF206" s="73"/>
      <c r="BG206" s="73"/>
      <c r="BH206" s="73"/>
      <c r="BI206" s="73"/>
      <c r="BJ206" s="73" t="e">
        <f>WEEKNUM(BI206-RESUMEN!$BL$7)</f>
        <v>#NUM!</v>
      </c>
      <c r="BK206" s="73">
        <f>_xlfn.DAYS(BI206,RESUMEN!$BL$7)</f>
        <v>-43267</v>
      </c>
      <c r="BL206" s="73"/>
      <c r="BM206" s="73" t="e">
        <f>LOOKUP(BL206,FORMULAS!$A:$A,FORMULAS!$B:$B)</f>
        <v>#N/A</v>
      </c>
      <c r="BN206" s="78"/>
      <c r="BO206" s="73"/>
      <c r="BP206" s="73"/>
      <c r="BQ206" s="73"/>
      <c r="BR206" s="73"/>
      <c r="BS206" s="73"/>
      <c r="BT206" s="73"/>
    </row>
    <row r="207" spans="1:72" x14ac:dyDescent="0.25">
      <c r="A207" s="75"/>
      <c r="B207" s="74" t="e">
        <f>WEEKNUM(A207-RESUMEN!$D$7)</f>
        <v>#NUM!</v>
      </c>
      <c r="C207" s="74">
        <f>_xlfn.DAYS(A207,RESUMEN!$D$7)</f>
        <v>-43238</v>
      </c>
      <c r="D207" s="75"/>
      <c r="E207" s="73" t="e">
        <f>LOOKUP(D207,FORMULAS!$A:$A,FORMULAS!$B:$B)</f>
        <v>#N/A</v>
      </c>
      <c r="F207" s="80"/>
      <c r="G207" s="75"/>
      <c r="H207" s="75"/>
      <c r="I207" s="73"/>
      <c r="J207" s="73"/>
      <c r="K207" s="73"/>
      <c r="L207" s="73"/>
      <c r="M207" s="73"/>
      <c r="N207" s="73" t="e">
        <f>WEEKNUM(M207-RESUMEN!$P$7)</f>
        <v>#NUM!</v>
      </c>
      <c r="O207" s="73">
        <f>_xlfn.DAYS(M207,RESUMEN!$P$7)</f>
        <v>-43242</v>
      </c>
      <c r="P207" s="73"/>
      <c r="Q207" s="73" t="e">
        <f>LOOKUP(P207,FORMULAS!$A:$A,FORMULAS!$B:$B)</f>
        <v>#N/A</v>
      </c>
      <c r="R207" s="78"/>
      <c r="S207" s="73"/>
      <c r="T207" s="73"/>
      <c r="U207" s="73"/>
      <c r="V207" s="73"/>
      <c r="W207" s="73"/>
      <c r="X207" s="73"/>
      <c r="Y207" s="73"/>
      <c r="Z207" s="73" t="e">
        <f>WEEKNUM(Y207-RESUMEN!$AB$7)</f>
        <v>#NUM!</v>
      </c>
      <c r="AA207" s="73">
        <f>_xlfn.DAYS(Y207,RESUMEN!$AB$7)</f>
        <v>-43247</v>
      </c>
      <c r="AB207" s="73"/>
      <c r="AC207" s="73" t="e">
        <f>LOOKUP(AB207,FORMULAS!$A:$A,FORMULAS!$B:$B)</f>
        <v>#N/A</v>
      </c>
      <c r="AD207" s="78"/>
      <c r="AE207" s="73"/>
      <c r="AF207" s="73"/>
      <c r="AG207" s="73"/>
      <c r="AH207" s="73"/>
      <c r="AI207" s="73"/>
      <c r="AJ207" s="73"/>
      <c r="AK207" s="73"/>
      <c r="AL207" s="73" t="e">
        <f>WEEKNUM(AK207-RESUMEN!$AN$7)</f>
        <v>#NUM!</v>
      </c>
      <c r="AM207" s="73">
        <f>_xlfn.DAYS(AK207,RESUMEN!$AN$7)</f>
        <v>-43254</v>
      </c>
      <c r="AN207" s="73"/>
      <c r="AO207" s="73" t="e">
        <f>LOOKUP(AN207,FORMULAS!$A:$A,FORMULAS!$B:$B)</f>
        <v>#N/A</v>
      </c>
      <c r="AP207" s="78"/>
      <c r="AQ207" s="78"/>
      <c r="AR207" s="73"/>
      <c r="AS207" s="73"/>
      <c r="AT207" s="73"/>
      <c r="AU207" s="73"/>
      <c r="AV207" s="73"/>
      <c r="AW207" s="73"/>
      <c r="AX207" s="73" t="e">
        <f>WEEKNUM(AW207-RESUMEN!$AZ$7)</f>
        <v>#NUM!</v>
      </c>
      <c r="AY207" s="73">
        <f>_xlfn.DAYS(AW207,RESUMEN!$AZ$7)</f>
        <v>-43261</v>
      </c>
      <c r="AZ207" s="73"/>
      <c r="BA207" s="73" t="e">
        <f>LOOKUP(AZ207,FORMULAS!$A:$A,FORMULAS!$B:$B)</f>
        <v>#N/A</v>
      </c>
      <c r="BB207" s="78"/>
      <c r="BC207" s="73"/>
      <c r="BD207" s="73"/>
      <c r="BE207" s="73"/>
      <c r="BF207" s="73"/>
      <c r="BG207" s="73"/>
      <c r="BH207" s="73"/>
      <c r="BI207" s="73"/>
      <c r="BJ207" s="73" t="e">
        <f>WEEKNUM(BI207-RESUMEN!$BL$7)</f>
        <v>#NUM!</v>
      </c>
      <c r="BK207" s="73">
        <f>_xlfn.DAYS(BI207,RESUMEN!$BL$7)</f>
        <v>-43267</v>
      </c>
      <c r="BL207" s="73"/>
      <c r="BM207" s="73" t="e">
        <f>LOOKUP(BL207,FORMULAS!$A:$A,FORMULAS!$B:$B)</f>
        <v>#N/A</v>
      </c>
      <c r="BN207" s="78"/>
      <c r="BO207" s="73"/>
      <c r="BP207" s="73"/>
      <c r="BQ207" s="73"/>
      <c r="BR207" s="73"/>
      <c r="BS207" s="73"/>
      <c r="BT207" s="73"/>
    </row>
    <row r="208" spans="1:72" x14ac:dyDescent="0.25">
      <c r="A208" s="75"/>
      <c r="B208" s="74" t="e">
        <f>WEEKNUM(A208-RESUMEN!$D$7)</f>
        <v>#NUM!</v>
      </c>
      <c r="C208" s="74">
        <f>_xlfn.DAYS(A208,RESUMEN!$D$7)</f>
        <v>-43238</v>
      </c>
      <c r="D208" s="75"/>
      <c r="E208" s="73" t="e">
        <f>LOOKUP(D208,FORMULAS!$A:$A,FORMULAS!$B:$B)</f>
        <v>#N/A</v>
      </c>
      <c r="F208" s="80"/>
      <c r="G208" s="75"/>
      <c r="H208" s="75"/>
      <c r="I208" s="73"/>
      <c r="J208" s="73"/>
      <c r="K208" s="73"/>
      <c r="L208" s="73"/>
      <c r="M208" s="73"/>
      <c r="N208" s="73" t="e">
        <f>WEEKNUM(M208-RESUMEN!$P$7)</f>
        <v>#NUM!</v>
      </c>
      <c r="O208" s="73">
        <f>_xlfn.DAYS(M208,RESUMEN!$P$7)</f>
        <v>-43242</v>
      </c>
      <c r="P208" s="73"/>
      <c r="Q208" s="73" t="e">
        <f>LOOKUP(P208,FORMULAS!$A:$A,FORMULAS!$B:$B)</f>
        <v>#N/A</v>
      </c>
      <c r="R208" s="78"/>
      <c r="S208" s="73"/>
      <c r="T208" s="73"/>
      <c r="U208" s="73"/>
      <c r="V208" s="73"/>
      <c r="W208" s="73"/>
      <c r="X208" s="73"/>
      <c r="Y208" s="73"/>
      <c r="Z208" s="73" t="e">
        <f>WEEKNUM(Y208-RESUMEN!$AB$7)</f>
        <v>#NUM!</v>
      </c>
      <c r="AA208" s="73">
        <f>_xlfn.DAYS(Y208,RESUMEN!$AB$7)</f>
        <v>-43247</v>
      </c>
      <c r="AB208" s="73"/>
      <c r="AC208" s="73" t="e">
        <f>LOOKUP(AB208,FORMULAS!$A:$A,FORMULAS!$B:$B)</f>
        <v>#N/A</v>
      </c>
      <c r="AD208" s="78"/>
      <c r="AE208" s="73"/>
      <c r="AF208" s="73"/>
      <c r="AG208" s="73"/>
      <c r="AH208" s="73"/>
      <c r="AI208" s="73"/>
      <c r="AJ208" s="73"/>
      <c r="AK208" s="73"/>
      <c r="AL208" s="73" t="e">
        <f>WEEKNUM(AK208-RESUMEN!$AN$7)</f>
        <v>#NUM!</v>
      </c>
      <c r="AM208" s="73">
        <f>_xlfn.DAYS(AK208,RESUMEN!$AN$7)</f>
        <v>-43254</v>
      </c>
      <c r="AN208" s="73"/>
      <c r="AO208" s="73" t="e">
        <f>LOOKUP(AN208,FORMULAS!$A:$A,FORMULAS!$B:$B)</f>
        <v>#N/A</v>
      </c>
      <c r="AP208" s="78"/>
      <c r="AQ208" s="78"/>
      <c r="AR208" s="73"/>
      <c r="AS208" s="73"/>
      <c r="AT208" s="73"/>
      <c r="AU208" s="73"/>
      <c r="AV208" s="73"/>
      <c r="AW208" s="73"/>
      <c r="AX208" s="73" t="e">
        <f>WEEKNUM(AW208-RESUMEN!$AZ$7)</f>
        <v>#NUM!</v>
      </c>
      <c r="AY208" s="73">
        <f>_xlfn.DAYS(AW208,RESUMEN!$AZ$7)</f>
        <v>-43261</v>
      </c>
      <c r="AZ208" s="73"/>
      <c r="BA208" s="73" t="e">
        <f>LOOKUP(AZ208,FORMULAS!$A:$A,FORMULAS!$B:$B)</f>
        <v>#N/A</v>
      </c>
      <c r="BB208" s="78"/>
      <c r="BC208" s="73"/>
      <c r="BD208" s="73"/>
      <c r="BE208" s="73"/>
      <c r="BF208" s="73"/>
      <c r="BG208" s="73"/>
      <c r="BH208" s="73"/>
      <c r="BI208" s="73"/>
      <c r="BJ208" s="73" t="e">
        <f>WEEKNUM(BI208-RESUMEN!$BL$7)</f>
        <v>#NUM!</v>
      </c>
      <c r="BK208" s="73">
        <f>_xlfn.DAYS(BI208,RESUMEN!$BL$7)</f>
        <v>-43267</v>
      </c>
      <c r="BL208" s="73"/>
      <c r="BM208" s="73" t="e">
        <f>LOOKUP(BL208,FORMULAS!$A:$A,FORMULAS!$B:$B)</f>
        <v>#N/A</v>
      </c>
      <c r="BN208" s="78"/>
      <c r="BO208" s="73"/>
      <c r="BP208" s="73"/>
      <c r="BQ208" s="73"/>
      <c r="BR208" s="73"/>
      <c r="BS208" s="73"/>
      <c r="BT208" s="73"/>
    </row>
    <row r="209" spans="1:72" x14ac:dyDescent="0.25">
      <c r="A209" s="75"/>
      <c r="B209" s="74" t="e">
        <f>WEEKNUM(A209-RESUMEN!$D$7)</f>
        <v>#NUM!</v>
      </c>
      <c r="C209" s="74">
        <f>_xlfn.DAYS(A209,RESUMEN!$D$7)</f>
        <v>-43238</v>
      </c>
      <c r="D209" s="75"/>
      <c r="E209" s="73" t="e">
        <f>LOOKUP(D209,FORMULAS!$A:$A,FORMULAS!$B:$B)</f>
        <v>#N/A</v>
      </c>
      <c r="F209" s="80"/>
      <c r="G209" s="75"/>
      <c r="H209" s="75"/>
      <c r="I209" s="73"/>
      <c r="J209" s="73"/>
      <c r="K209" s="73"/>
      <c r="L209" s="73"/>
      <c r="M209" s="73"/>
      <c r="N209" s="73" t="e">
        <f>WEEKNUM(M209-RESUMEN!$P$7)</f>
        <v>#NUM!</v>
      </c>
      <c r="O209" s="73">
        <f>_xlfn.DAYS(M209,RESUMEN!$P$7)</f>
        <v>-43242</v>
      </c>
      <c r="P209" s="73"/>
      <c r="Q209" s="73" t="e">
        <f>LOOKUP(P209,FORMULAS!$A:$A,FORMULAS!$B:$B)</f>
        <v>#N/A</v>
      </c>
      <c r="R209" s="78"/>
      <c r="S209" s="73"/>
      <c r="T209" s="73"/>
      <c r="U209" s="73"/>
      <c r="V209" s="73"/>
      <c r="W209" s="73"/>
      <c r="X209" s="73"/>
      <c r="Y209" s="73"/>
      <c r="Z209" s="73" t="e">
        <f>WEEKNUM(Y209-RESUMEN!$AB$7)</f>
        <v>#NUM!</v>
      </c>
      <c r="AA209" s="73">
        <f>_xlfn.DAYS(Y209,RESUMEN!$AB$7)</f>
        <v>-43247</v>
      </c>
      <c r="AB209" s="73"/>
      <c r="AC209" s="73" t="e">
        <f>LOOKUP(AB209,FORMULAS!$A:$A,FORMULAS!$B:$B)</f>
        <v>#N/A</v>
      </c>
      <c r="AD209" s="78"/>
      <c r="AE209" s="73"/>
      <c r="AF209" s="73"/>
      <c r="AG209" s="73"/>
      <c r="AH209" s="73"/>
      <c r="AI209" s="73"/>
      <c r="AJ209" s="73"/>
      <c r="AK209" s="73"/>
      <c r="AL209" s="73" t="e">
        <f>WEEKNUM(AK209-RESUMEN!$AN$7)</f>
        <v>#NUM!</v>
      </c>
      <c r="AM209" s="73">
        <f>_xlfn.DAYS(AK209,RESUMEN!$AN$7)</f>
        <v>-43254</v>
      </c>
      <c r="AN209" s="73"/>
      <c r="AO209" s="73" t="e">
        <f>LOOKUP(AN209,FORMULAS!$A:$A,FORMULAS!$B:$B)</f>
        <v>#N/A</v>
      </c>
      <c r="AP209" s="78"/>
      <c r="AQ209" s="78"/>
      <c r="AR209" s="73"/>
      <c r="AS209" s="73"/>
      <c r="AT209" s="73"/>
      <c r="AU209" s="73"/>
      <c r="AV209" s="73"/>
      <c r="AW209" s="73"/>
      <c r="AX209" s="73" t="e">
        <f>WEEKNUM(AW209-RESUMEN!$AZ$7)</f>
        <v>#NUM!</v>
      </c>
      <c r="AY209" s="73">
        <f>_xlfn.DAYS(AW209,RESUMEN!$AZ$7)</f>
        <v>-43261</v>
      </c>
      <c r="AZ209" s="73"/>
      <c r="BA209" s="73" t="e">
        <f>LOOKUP(AZ209,FORMULAS!$A:$A,FORMULAS!$B:$B)</f>
        <v>#N/A</v>
      </c>
      <c r="BB209" s="78"/>
      <c r="BC209" s="73"/>
      <c r="BD209" s="73"/>
      <c r="BE209" s="73"/>
      <c r="BF209" s="73"/>
      <c r="BG209" s="73"/>
      <c r="BH209" s="73"/>
      <c r="BI209" s="73"/>
      <c r="BJ209" s="73" t="e">
        <f>WEEKNUM(BI209-RESUMEN!$BL$7)</f>
        <v>#NUM!</v>
      </c>
      <c r="BK209" s="73">
        <f>_xlfn.DAYS(BI209,RESUMEN!$BL$7)</f>
        <v>-43267</v>
      </c>
      <c r="BL209" s="73"/>
      <c r="BM209" s="73" t="e">
        <f>LOOKUP(BL209,FORMULAS!$A:$A,FORMULAS!$B:$B)</f>
        <v>#N/A</v>
      </c>
      <c r="BN209" s="78"/>
      <c r="BO209" s="73"/>
      <c r="BP209" s="73"/>
      <c r="BQ209" s="73"/>
      <c r="BR209" s="73"/>
      <c r="BS209" s="73"/>
      <c r="BT209" s="73"/>
    </row>
    <row r="210" spans="1:72" x14ac:dyDescent="0.25">
      <c r="A210" s="75"/>
      <c r="B210" s="74" t="e">
        <f>WEEKNUM(A210-RESUMEN!$D$7)</f>
        <v>#NUM!</v>
      </c>
      <c r="C210" s="74">
        <f>_xlfn.DAYS(A210,RESUMEN!$D$7)</f>
        <v>-43238</v>
      </c>
      <c r="D210" s="75"/>
      <c r="E210" s="73" t="e">
        <f>LOOKUP(D210,FORMULAS!$A:$A,FORMULAS!$B:$B)</f>
        <v>#N/A</v>
      </c>
      <c r="F210" s="80"/>
      <c r="G210" s="75"/>
      <c r="H210" s="75"/>
      <c r="I210" s="73"/>
      <c r="J210" s="73"/>
      <c r="K210" s="73"/>
      <c r="L210" s="73"/>
      <c r="M210" s="73"/>
      <c r="N210" s="73" t="e">
        <f>WEEKNUM(M210-RESUMEN!$P$7)</f>
        <v>#NUM!</v>
      </c>
      <c r="O210" s="73">
        <f>_xlfn.DAYS(M210,RESUMEN!$P$7)</f>
        <v>-43242</v>
      </c>
      <c r="P210" s="73"/>
      <c r="Q210" s="73" t="e">
        <f>LOOKUP(P210,FORMULAS!$A:$A,FORMULAS!$B:$B)</f>
        <v>#N/A</v>
      </c>
      <c r="R210" s="78"/>
      <c r="S210" s="73"/>
      <c r="T210" s="73"/>
      <c r="U210" s="73"/>
      <c r="V210" s="73"/>
      <c r="W210" s="73"/>
      <c r="X210" s="73"/>
      <c r="Y210" s="73"/>
      <c r="Z210" s="73" t="e">
        <f>WEEKNUM(Y210-RESUMEN!$AB$7)</f>
        <v>#NUM!</v>
      </c>
      <c r="AA210" s="73">
        <f>_xlfn.DAYS(Y210,RESUMEN!$AB$7)</f>
        <v>-43247</v>
      </c>
      <c r="AB210" s="73"/>
      <c r="AC210" s="73" t="e">
        <f>LOOKUP(AB210,FORMULAS!$A:$A,FORMULAS!$B:$B)</f>
        <v>#N/A</v>
      </c>
      <c r="AD210" s="78"/>
      <c r="AE210" s="73"/>
      <c r="AF210" s="73"/>
      <c r="AG210" s="73"/>
      <c r="AH210" s="73"/>
      <c r="AI210" s="73"/>
      <c r="AJ210" s="73"/>
      <c r="AK210" s="73"/>
      <c r="AL210" s="73" t="e">
        <f>WEEKNUM(AK210-RESUMEN!$AN$7)</f>
        <v>#NUM!</v>
      </c>
      <c r="AM210" s="73">
        <f>_xlfn.DAYS(AK210,RESUMEN!$AN$7)</f>
        <v>-43254</v>
      </c>
      <c r="AN210" s="73"/>
      <c r="AO210" s="73" t="e">
        <f>LOOKUP(AN210,FORMULAS!$A:$A,FORMULAS!$B:$B)</f>
        <v>#N/A</v>
      </c>
      <c r="AP210" s="78"/>
      <c r="AQ210" s="78"/>
      <c r="AR210" s="73"/>
      <c r="AS210" s="73"/>
      <c r="AT210" s="73"/>
      <c r="AU210" s="73"/>
      <c r="AV210" s="73"/>
      <c r="AW210" s="73"/>
      <c r="AX210" s="73" t="e">
        <f>WEEKNUM(AW210-RESUMEN!$AZ$7)</f>
        <v>#NUM!</v>
      </c>
      <c r="AY210" s="73">
        <f>_xlfn.DAYS(AW210,RESUMEN!$AZ$7)</f>
        <v>-43261</v>
      </c>
      <c r="AZ210" s="73"/>
      <c r="BA210" s="73" t="e">
        <f>LOOKUP(AZ210,FORMULAS!$A:$A,FORMULAS!$B:$B)</f>
        <v>#N/A</v>
      </c>
      <c r="BB210" s="78"/>
      <c r="BC210" s="73"/>
      <c r="BD210" s="73"/>
      <c r="BE210" s="73"/>
      <c r="BF210" s="73"/>
      <c r="BG210" s="73"/>
      <c r="BH210" s="73"/>
      <c r="BI210" s="73"/>
      <c r="BJ210" s="73" t="e">
        <f>WEEKNUM(BI210-RESUMEN!$BL$7)</f>
        <v>#NUM!</v>
      </c>
      <c r="BK210" s="73">
        <f>_xlfn.DAYS(BI210,RESUMEN!$BL$7)</f>
        <v>-43267</v>
      </c>
      <c r="BL210" s="73"/>
      <c r="BM210" s="73" t="e">
        <f>LOOKUP(BL210,FORMULAS!$A:$A,FORMULAS!$B:$B)</f>
        <v>#N/A</v>
      </c>
      <c r="BN210" s="78"/>
      <c r="BO210" s="73"/>
      <c r="BP210" s="73"/>
      <c r="BQ210" s="73"/>
      <c r="BR210" s="73"/>
      <c r="BS210" s="73"/>
      <c r="BT210" s="73"/>
    </row>
    <row r="211" spans="1:72" x14ac:dyDescent="0.25">
      <c r="A211" s="75"/>
      <c r="B211" s="74" t="e">
        <f>WEEKNUM(A211-RESUMEN!$D$7)</f>
        <v>#NUM!</v>
      </c>
      <c r="C211" s="74">
        <f>_xlfn.DAYS(A211,RESUMEN!$D$7)</f>
        <v>-43238</v>
      </c>
      <c r="D211" s="75"/>
      <c r="E211" s="73" t="e">
        <f>LOOKUP(D211,FORMULAS!$A:$A,FORMULAS!$B:$B)</f>
        <v>#N/A</v>
      </c>
      <c r="F211" s="80"/>
      <c r="G211" s="75"/>
      <c r="H211" s="75"/>
      <c r="I211" s="73"/>
      <c r="J211" s="73"/>
      <c r="K211" s="73"/>
      <c r="L211" s="73"/>
      <c r="M211" s="73"/>
      <c r="N211" s="73" t="e">
        <f>WEEKNUM(M211-RESUMEN!$P$7)</f>
        <v>#NUM!</v>
      </c>
      <c r="O211" s="73">
        <f>_xlfn.DAYS(M211,RESUMEN!$P$7)</f>
        <v>-43242</v>
      </c>
      <c r="P211" s="73"/>
      <c r="Q211" s="73" t="e">
        <f>LOOKUP(P211,FORMULAS!$A:$A,FORMULAS!$B:$B)</f>
        <v>#N/A</v>
      </c>
      <c r="R211" s="78"/>
      <c r="S211" s="73"/>
      <c r="T211" s="73"/>
      <c r="U211" s="73"/>
      <c r="V211" s="73"/>
      <c r="W211" s="73"/>
      <c r="X211" s="73"/>
      <c r="Y211" s="73"/>
      <c r="Z211" s="73" t="e">
        <f>WEEKNUM(Y211-RESUMEN!$AB$7)</f>
        <v>#NUM!</v>
      </c>
      <c r="AA211" s="73">
        <f>_xlfn.DAYS(Y211,RESUMEN!$AB$7)</f>
        <v>-43247</v>
      </c>
      <c r="AB211" s="73"/>
      <c r="AC211" s="73" t="e">
        <f>LOOKUP(AB211,FORMULAS!$A:$A,FORMULAS!$B:$B)</f>
        <v>#N/A</v>
      </c>
      <c r="AD211" s="78"/>
      <c r="AE211" s="73"/>
      <c r="AF211" s="73"/>
      <c r="AG211" s="73"/>
      <c r="AH211" s="73"/>
      <c r="AI211" s="73"/>
      <c r="AJ211" s="73"/>
      <c r="AK211" s="73"/>
      <c r="AL211" s="73" t="e">
        <f>WEEKNUM(AK211-RESUMEN!$AN$7)</f>
        <v>#NUM!</v>
      </c>
      <c r="AM211" s="73">
        <f>_xlfn.DAYS(AK211,RESUMEN!$AN$7)</f>
        <v>-43254</v>
      </c>
      <c r="AN211" s="73"/>
      <c r="AO211" s="73" t="e">
        <f>LOOKUP(AN211,FORMULAS!$A:$A,FORMULAS!$B:$B)</f>
        <v>#N/A</v>
      </c>
      <c r="AP211" s="78"/>
      <c r="AQ211" s="78"/>
      <c r="AR211" s="73"/>
      <c r="AS211" s="73"/>
      <c r="AT211" s="73"/>
      <c r="AU211" s="73"/>
      <c r="AV211" s="73"/>
      <c r="AW211" s="73"/>
      <c r="AX211" s="73" t="e">
        <f>WEEKNUM(AW211-RESUMEN!$AZ$7)</f>
        <v>#NUM!</v>
      </c>
      <c r="AY211" s="73">
        <f>_xlfn.DAYS(AW211,RESUMEN!$AZ$7)</f>
        <v>-43261</v>
      </c>
      <c r="AZ211" s="73"/>
      <c r="BA211" s="73" t="e">
        <f>LOOKUP(AZ211,FORMULAS!$A:$A,FORMULAS!$B:$B)</f>
        <v>#N/A</v>
      </c>
      <c r="BB211" s="78"/>
      <c r="BC211" s="73"/>
      <c r="BD211" s="73"/>
      <c r="BE211" s="73"/>
      <c r="BF211" s="73"/>
      <c r="BG211" s="73"/>
      <c r="BH211" s="73"/>
      <c r="BI211" s="73"/>
      <c r="BJ211" s="73" t="e">
        <f>WEEKNUM(BI211-RESUMEN!$BL$7)</f>
        <v>#NUM!</v>
      </c>
      <c r="BK211" s="73">
        <f>_xlfn.DAYS(BI211,RESUMEN!$BL$7)</f>
        <v>-43267</v>
      </c>
      <c r="BL211" s="73"/>
      <c r="BM211" s="73" t="e">
        <f>LOOKUP(BL211,FORMULAS!$A:$A,FORMULAS!$B:$B)</f>
        <v>#N/A</v>
      </c>
      <c r="BN211" s="78"/>
      <c r="BO211" s="73"/>
      <c r="BP211" s="73"/>
      <c r="BQ211" s="73"/>
      <c r="BR211" s="73"/>
      <c r="BS211" s="73"/>
      <c r="BT211" s="73"/>
    </row>
    <row r="212" spans="1:72" x14ac:dyDescent="0.25">
      <c r="A212" s="75"/>
      <c r="B212" s="74" t="e">
        <f>WEEKNUM(A212-RESUMEN!$D$7)</f>
        <v>#NUM!</v>
      </c>
      <c r="C212" s="74">
        <f>_xlfn.DAYS(A212,RESUMEN!$D$7)</f>
        <v>-43238</v>
      </c>
      <c r="D212" s="75"/>
      <c r="E212" s="73" t="e">
        <f>LOOKUP(D212,FORMULAS!$A:$A,FORMULAS!$B:$B)</f>
        <v>#N/A</v>
      </c>
      <c r="F212" s="80"/>
      <c r="G212" s="75"/>
      <c r="H212" s="75"/>
      <c r="I212" s="73"/>
      <c r="J212" s="73"/>
      <c r="K212" s="73"/>
      <c r="L212" s="73"/>
      <c r="M212" s="73"/>
      <c r="N212" s="73" t="e">
        <f>WEEKNUM(M212-RESUMEN!$P$7)</f>
        <v>#NUM!</v>
      </c>
      <c r="O212" s="73">
        <f>_xlfn.DAYS(M212,RESUMEN!$P$7)</f>
        <v>-43242</v>
      </c>
      <c r="P212" s="73"/>
      <c r="Q212" s="73" t="e">
        <f>LOOKUP(P212,FORMULAS!$A:$A,FORMULAS!$B:$B)</f>
        <v>#N/A</v>
      </c>
      <c r="R212" s="78"/>
      <c r="S212" s="73"/>
      <c r="T212" s="73"/>
      <c r="U212" s="73"/>
      <c r="V212" s="73"/>
      <c r="W212" s="73"/>
      <c r="X212" s="73"/>
      <c r="Y212" s="73"/>
      <c r="Z212" s="73" t="e">
        <f>WEEKNUM(Y212-RESUMEN!$AB$7)</f>
        <v>#NUM!</v>
      </c>
      <c r="AA212" s="73">
        <f>_xlfn.DAYS(Y212,RESUMEN!$AB$7)</f>
        <v>-43247</v>
      </c>
      <c r="AB212" s="73"/>
      <c r="AC212" s="73" t="e">
        <f>LOOKUP(AB212,FORMULAS!$A:$A,FORMULAS!$B:$B)</f>
        <v>#N/A</v>
      </c>
      <c r="AD212" s="78"/>
      <c r="AE212" s="73"/>
      <c r="AF212" s="73"/>
      <c r="AG212" s="73"/>
      <c r="AH212" s="73"/>
      <c r="AI212" s="73"/>
      <c r="AJ212" s="73"/>
      <c r="AK212" s="73"/>
      <c r="AL212" s="73" t="e">
        <f>WEEKNUM(AK212-RESUMEN!$AN$7)</f>
        <v>#NUM!</v>
      </c>
      <c r="AM212" s="73">
        <f>_xlfn.DAYS(AK212,RESUMEN!$AN$7)</f>
        <v>-43254</v>
      </c>
      <c r="AN212" s="73"/>
      <c r="AO212" s="73" t="e">
        <f>LOOKUP(AN212,FORMULAS!$A:$A,FORMULAS!$B:$B)</f>
        <v>#N/A</v>
      </c>
      <c r="AP212" s="78"/>
      <c r="AQ212" s="78"/>
      <c r="AR212" s="73"/>
      <c r="AS212" s="73"/>
      <c r="AT212" s="73"/>
      <c r="AU212" s="73"/>
      <c r="AV212" s="73"/>
      <c r="AW212" s="73"/>
      <c r="AX212" s="73" t="e">
        <f>WEEKNUM(AW212-RESUMEN!$AZ$7)</f>
        <v>#NUM!</v>
      </c>
      <c r="AY212" s="73">
        <f>_xlfn.DAYS(AW212,RESUMEN!$AZ$7)</f>
        <v>-43261</v>
      </c>
      <c r="AZ212" s="73"/>
      <c r="BA212" s="73" t="e">
        <f>LOOKUP(AZ212,FORMULAS!$A:$A,FORMULAS!$B:$B)</f>
        <v>#N/A</v>
      </c>
      <c r="BB212" s="78"/>
      <c r="BC212" s="73"/>
      <c r="BD212" s="73"/>
      <c r="BE212" s="73"/>
      <c r="BF212" s="73"/>
      <c r="BG212" s="73"/>
      <c r="BH212" s="73"/>
      <c r="BI212" s="73"/>
      <c r="BJ212" s="73" t="e">
        <f>WEEKNUM(BI212-RESUMEN!$BL$7)</f>
        <v>#NUM!</v>
      </c>
      <c r="BK212" s="73">
        <f>_xlfn.DAYS(BI212,RESUMEN!$BL$7)</f>
        <v>-43267</v>
      </c>
      <c r="BL212" s="73"/>
      <c r="BM212" s="73" t="e">
        <f>LOOKUP(BL212,FORMULAS!$A:$A,FORMULAS!$B:$B)</f>
        <v>#N/A</v>
      </c>
      <c r="BN212" s="78"/>
      <c r="BO212" s="73"/>
      <c r="BP212" s="73"/>
      <c r="BQ212" s="73"/>
      <c r="BR212" s="73"/>
      <c r="BS212" s="73"/>
      <c r="BT212" s="73"/>
    </row>
    <row r="213" spans="1:72" x14ac:dyDescent="0.25">
      <c r="A213" s="75"/>
      <c r="B213" s="74" t="e">
        <f>WEEKNUM(A213-RESUMEN!$D$7)</f>
        <v>#NUM!</v>
      </c>
      <c r="C213" s="74">
        <f>_xlfn.DAYS(A213,RESUMEN!$D$7)</f>
        <v>-43238</v>
      </c>
      <c r="D213" s="75"/>
      <c r="E213" s="73" t="e">
        <f>LOOKUP(D213,FORMULAS!$A:$A,FORMULAS!$B:$B)</f>
        <v>#N/A</v>
      </c>
      <c r="F213" s="80"/>
      <c r="G213" s="75"/>
      <c r="H213" s="75"/>
      <c r="I213" s="73"/>
      <c r="J213" s="73"/>
      <c r="K213" s="73"/>
      <c r="L213" s="73"/>
      <c r="M213" s="73"/>
      <c r="N213" s="73" t="e">
        <f>WEEKNUM(M213-RESUMEN!$P$7)</f>
        <v>#NUM!</v>
      </c>
      <c r="O213" s="73">
        <f>_xlfn.DAYS(M213,RESUMEN!$P$7)</f>
        <v>-43242</v>
      </c>
      <c r="P213" s="73"/>
      <c r="Q213" s="73" t="e">
        <f>LOOKUP(P213,FORMULAS!$A:$A,FORMULAS!$B:$B)</f>
        <v>#N/A</v>
      </c>
      <c r="R213" s="78"/>
      <c r="S213" s="73"/>
      <c r="T213" s="73"/>
      <c r="U213" s="73"/>
      <c r="V213" s="73"/>
      <c r="W213" s="73"/>
      <c r="X213" s="73"/>
      <c r="Y213" s="73"/>
      <c r="Z213" s="73" t="e">
        <f>WEEKNUM(Y213-RESUMEN!$AB$7)</f>
        <v>#NUM!</v>
      </c>
      <c r="AA213" s="73">
        <f>_xlfn.DAYS(Y213,RESUMEN!$AB$7)</f>
        <v>-43247</v>
      </c>
      <c r="AB213" s="73"/>
      <c r="AC213" s="73" t="e">
        <f>LOOKUP(AB213,FORMULAS!$A:$A,FORMULAS!$B:$B)</f>
        <v>#N/A</v>
      </c>
      <c r="AD213" s="78"/>
      <c r="AE213" s="73"/>
      <c r="AF213" s="73"/>
      <c r="AG213" s="73"/>
      <c r="AH213" s="73"/>
      <c r="AI213" s="73"/>
      <c r="AJ213" s="73"/>
      <c r="AK213" s="73"/>
      <c r="AL213" s="73" t="e">
        <f>WEEKNUM(AK213-RESUMEN!$AN$7)</f>
        <v>#NUM!</v>
      </c>
      <c r="AM213" s="73">
        <f>_xlfn.DAYS(AK213,RESUMEN!$AN$7)</f>
        <v>-43254</v>
      </c>
      <c r="AN213" s="73"/>
      <c r="AO213" s="73" t="e">
        <f>LOOKUP(AN213,FORMULAS!$A:$A,FORMULAS!$B:$B)</f>
        <v>#N/A</v>
      </c>
      <c r="AP213" s="78"/>
      <c r="AQ213" s="78"/>
      <c r="AR213" s="73"/>
      <c r="AS213" s="73"/>
      <c r="AT213" s="73"/>
      <c r="AU213" s="73"/>
      <c r="AV213" s="73"/>
      <c r="AW213" s="73"/>
      <c r="AX213" s="73" t="e">
        <f>WEEKNUM(AW213-RESUMEN!$AZ$7)</f>
        <v>#NUM!</v>
      </c>
      <c r="AY213" s="73">
        <f>_xlfn.DAYS(AW213,RESUMEN!$AZ$7)</f>
        <v>-43261</v>
      </c>
      <c r="AZ213" s="73"/>
      <c r="BA213" s="73" t="e">
        <f>LOOKUP(AZ213,FORMULAS!$A:$A,FORMULAS!$B:$B)</f>
        <v>#N/A</v>
      </c>
      <c r="BB213" s="78"/>
      <c r="BC213" s="73"/>
      <c r="BD213" s="73"/>
      <c r="BE213" s="73"/>
      <c r="BF213" s="73"/>
      <c r="BG213" s="73"/>
      <c r="BH213" s="73"/>
      <c r="BI213" s="73"/>
      <c r="BJ213" s="73" t="e">
        <f>WEEKNUM(BI213-RESUMEN!$BL$7)</f>
        <v>#NUM!</v>
      </c>
      <c r="BK213" s="73">
        <f>_xlfn.DAYS(BI213,RESUMEN!$BL$7)</f>
        <v>-43267</v>
      </c>
      <c r="BL213" s="73"/>
      <c r="BM213" s="73" t="e">
        <f>LOOKUP(BL213,FORMULAS!$A:$A,FORMULAS!$B:$B)</f>
        <v>#N/A</v>
      </c>
      <c r="BN213" s="78"/>
      <c r="BO213" s="73"/>
      <c r="BP213" s="73"/>
      <c r="BQ213" s="73"/>
      <c r="BR213" s="73"/>
      <c r="BS213" s="73"/>
      <c r="BT213" s="73"/>
    </row>
    <row r="214" spans="1:72" x14ac:dyDescent="0.25">
      <c r="A214" s="75"/>
      <c r="B214" s="74" t="e">
        <f>WEEKNUM(A214-RESUMEN!$D$7)</f>
        <v>#NUM!</v>
      </c>
      <c r="C214" s="74">
        <f>_xlfn.DAYS(A214,RESUMEN!$D$7)</f>
        <v>-43238</v>
      </c>
      <c r="D214" s="75"/>
      <c r="E214" s="73" t="e">
        <f>LOOKUP(D214,FORMULAS!$A:$A,FORMULAS!$B:$B)</f>
        <v>#N/A</v>
      </c>
      <c r="F214" s="80"/>
      <c r="G214" s="75"/>
      <c r="H214" s="75"/>
      <c r="I214" s="73"/>
      <c r="J214" s="73"/>
      <c r="K214" s="73"/>
      <c r="L214" s="73"/>
      <c r="M214" s="73"/>
      <c r="N214" s="73" t="e">
        <f>WEEKNUM(M214-RESUMEN!$P$7)</f>
        <v>#NUM!</v>
      </c>
      <c r="O214" s="73">
        <f>_xlfn.DAYS(M214,RESUMEN!$P$7)</f>
        <v>-43242</v>
      </c>
      <c r="P214" s="73"/>
      <c r="Q214" s="73" t="e">
        <f>LOOKUP(P214,FORMULAS!$A:$A,FORMULAS!$B:$B)</f>
        <v>#N/A</v>
      </c>
      <c r="R214" s="78"/>
      <c r="S214" s="73"/>
      <c r="T214" s="73"/>
      <c r="U214" s="73"/>
      <c r="V214" s="73"/>
      <c r="W214" s="73"/>
      <c r="X214" s="73"/>
      <c r="Y214" s="73"/>
      <c r="Z214" s="73" t="e">
        <f>WEEKNUM(Y214-RESUMEN!$AB$7)</f>
        <v>#NUM!</v>
      </c>
      <c r="AA214" s="73">
        <f>_xlfn.DAYS(Y214,RESUMEN!$AB$7)</f>
        <v>-43247</v>
      </c>
      <c r="AB214" s="73"/>
      <c r="AC214" s="73" t="e">
        <f>LOOKUP(AB214,FORMULAS!$A:$A,FORMULAS!$B:$B)</f>
        <v>#N/A</v>
      </c>
      <c r="AD214" s="78"/>
      <c r="AE214" s="73"/>
      <c r="AF214" s="73"/>
      <c r="AG214" s="73"/>
      <c r="AH214" s="73"/>
      <c r="AI214" s="73"/>
      <c r="AJ214" s="73"/>
      <c r="AK214" s="73"/>
      <c r="AL214" s="73" t="e">
        <f>WEEKNUM(AK214-RESUMEN!$AN$7)</f>
        <v>#NUM!</v>
      </c>
      <c r="AM214" s="73">
        <f>_xlfn.DAYS(AK214,RESUMEN!$AN$7)</f>
        <v>-43254</v>
      </c>
      <c r="AN214" s="73"/>
      <c r="AO214" s="73" t="e">
        <f>LOOKUP(AN214,FORMULAS!$A:$A,FORMULAS!$B:$B)</f>
        <v>#N/A</v>
      </c>
      <c r="AP214" s="78"/>
      <c r="AQ214" s="78"/>
      <c r="AR214" s="73"/>
      <c r="AS214" s="73"/>
      <c r="AT214" s="73"/>
      <c r="AU214" s="73"/>
      <c r="AV214" s="73"/>
      <c r="AW214" s="73"/>
      <c r="AX214" s="73" t="e">
        <f>WEEKNUM(AW214-RESUMEN!$AZ$7)</f>
        <v>#NUM!</v>
      </c>
      <c r="AY214" s="73">
        <f>_xlfn.DAYS(AW214,RESUMEN!$AZ$7)</f>
        <v>-43261</v>
      </c>
      <c r="AZ214" s="73"/>
      <c r="BA214" s="73" t="e">
        <f>LOOKUP(AZ214,FORMULAS!$A:$A,FORMULAS!$B:$B)</f>
        <v>#N/A</v>
      </c>
      <c r="BB214" s="78"/>
      <c r="BC214" s="73"/>
      <c r="BD214" s="73"/>
      <c r="BE214" s="73"/>
      <c r="BF214" s="73"/>
      <c r="BG214" s="73"/>
      <c r="BH214" s="73"/>
      <c r="BI214" s="73"/>
      <c r="BJ214" s="73" t="e">
        <f>WEEKNUM(BI214-RESUMEN!$BL$7)</f>
        <v>#NUM!</v>
      </c>
      <c r="BK214" s="73">
        <f>_xlfn.DAYS(BI214,RESUMEN!$BL$7)</f>
        <v>-43267</v>
      </c>
      <c r="BL214" s="73"/>
      <c r="BM214" s="73" t="e">
        <f>LOOKUP(BL214,FORMULAS!$A:$A,FORMULAS!$B:$B)</f>
        <v>#N/A</v>
      </c>
      <c r="BN214" s="78"/>
      <c r="BO214" s="73"/>
      <c r="BP214" s="73"/>
      <c r="BQ214" s="73"/>
      <c r="BR214" s="73"/>
      <c r="BS214" s="73"/>
      <c r="BT214" s="73"/>
    </row>
    <row r="215" spans="1:72" x14ac:dyDescent="0.25">
      <c r="A215" s="75"/>
      <c r="B215" s="74" t="e">
        <f>WEEKNUM(A215-RESUMEN!$D$7)</f>
        <v>#NUM!</v>
      </c>
      <c r="C215" s="74">
        <f>_xlfn.DAYS(A215,RESUMEN!$D$7)</f>
        <v>-43238</v>
      </c>
      <c r="D215" s="75"/>
      <c r="E215" s="73" t="e">
        <f>LOOKUP(D215,FORMULAS!$A:$A,FORMULAS!$B:$B)</f>
        <v>#N/A</v>
      </c>
      <c r="F215" s="80"/>
      <c r="G215" s="75"/>
      <c r="H215" s="75"/>
      <c r="I215" s="73"/>
      <c r="J215" s="73"/>
      <c r="K215" s="73"/>
      <c r="L215" s="73"/>
      <c r="M215" s="73"/>
      <c r="N215" s="73" t="e">
        <f>WEEKNUM(M215-RESUMEN!$P$7)</f>
        <v>#NUM!</v>
      </c>
      <c r="O215" s="73">
        <f>_xlfn.DAYS(M215,RESUMEN!$P$7)</f>
        <v>-43242</v>
      </c>
      <c r="P215" s="73"/>
      <c r="Q215" s="73" t="e">
        <f>LOOKUP(P215,FORMULAS!$A:$A,FORMULAS!$B:$B)</f>
        <v>#N/A</v>
      </c>
      <c r="R215" s="78"/>
      <c r="S215" s="73"/>
      <c r="T215" s="73"/>
      <c r="U215" s="73"/>
      <c r="V215" s="73"/>
      <c r="W215" s="73"/>
      <c r="X215" s="73"/>
      <c r="Y215" s="73"/>
      <c r="Z215" s="73" t="e">
        <f>WEEKNUM(Y215-RESUMEN!$AB$7)</f>
        <v>#NUM!</v>
      </c>
      <c r="AA215" s="73">
        <f>_xlfn.DAYS(Y215,RESUMEN!$AB$7)</f>
        <v>-43247</v>
      </c>
      <c r="AB215" s="73"/>
      <c r="AC215" s="73" t="e">
        <f>LOOKUP(AB215,FORMULAS!$A:$A,FORMULAS!$B:$B)</f>
        <v>#N/A</v>
      </c>
      <c r="AD215" s="78"/>
      <c r="AE215" s="73"/>
      <c r="AF215" s="73"/>
      <c r="AG215" s="73"/>
      <c r="AH215" s="73"/>
      <c r="AI215" s="73"/>
      <c r="AJ215" s="73"/>
      <c r="AK215" s="73"/>
      <c r="AL215" s="73" t="e">
        <f>WEEKNUM(AK215-RESUMEN!$AN$7)</f>
        <v>#NUM!</v>
      </c>
      <c r="AM215" s="73">
        <f>_xlfn.DAYS(AK215,RESUMEN!$AN$7)</f>
        <v>-43254</v>
      </c>
      <c r="AN215" s="73"/>
      <c r="AO215" s="73" t="e">
        <f>LOOKUP(AN215,FORMULAS!$A:$A,FORMULAS!$B:$B)</f>
        <v>#N/A</v>
      </c>
      <c r="AP215" s="78"/>
      <c r="AQ215" s="78"/>
      <c r="AR215" s="73"/>
      <c r="AS215" s="73"/>
      <c r="AT215" s="73"/>
      <c r="AU215" s="73"/>
      <c r="AV215" s="73"/>
      <c r="AW215" s="73"/>
      <c r="AX215" s="73" t="e">
        <f>WEEKNUM(AW215-RESUMEN!$AZ$7)</f>
        <v>#NUM!</v>
      </c>
      <c r="AY215" s="73">
        <f>_xlfn.DAYS(AW215,RESUMEN!$AZ$7)</f>
        <v>-43261</v>
      </c>
      <c r="AZ215" s="73"/>
      <c r="BA215" s="73" t="e">
        <f>LOOKUP(AZ215,FORMULAS!$A:$A,FORMULAS!$B:$B)</f>
        <v>#N/A</v>
      </c>
      <c r="BB215" s="78"/>
      <c r="BC215" s="73"/>
      <c r="BD215" s="73"/>
      <c r="BE215" s="73"/>
      <c r="BF215" s="73"/>
      <c r="BG215" s="73"/>
      <c r="BH215" s="73"/>
      <c r="BI215" s="73"/>
      <c r="BJ215" s="73" t="e">
        <f>WEEKNUM(BI215-RESUMEN!$BL$7)</f>
        <v>#NUM!</v>
      </c>
      <c r="BK215" s="73">
        <f>_xlfn.DAYS(BI215,RESUMEN!$BL$7)</f>
        <v>-43267</v>
      </c>
      <c r="BL215" s="73"/>
      <c r="BM215" s="73" t="e">
        <f>LOOKUP(BL215,FORMULAS!$A:$A,FORMULAS!$B:$B)</f>
        <v>#N/A</v>
      </c>
      <c r="BN215" s="78"/>
      <c r="BO215" s="73"/>
      <c r="BP215" s="73"/>
      <c r="BQ215" s="73"/>
      <c r="BR215" s="73"/>
      <c r="BS215" s="73"/>
      <c r="BT215" s="73"/>
    </row>
    <row r="216" spans="1:72" x14ac:dyDescent="0.25">
      <c r="A216" s="75"/>
      <c r="B216" s="74" t="e">
        <f>WEEKNUM(A216-RESUMEN!$D$7)</f>
        <v>#NUM!</v>
      </c>
      <c r="C216" s="74">
        <f>_xlfn.DAYS(A216,RESUMEN!$D$7)</f>
        <v>-43238</v>
      </c>
      <c r="D216" s="75"/>
      <c r="E216" s="73" t="e">
        <f>LOOKUP(D216,FORMULAS!$A:$A,FORMULAS!$B:$B)</f>
        <v>#N/A</v>
      </c>
      <c r="F216" s="80"/>
      <c r="G216" s="75"/>
      <c r="H216" s="75"/>
      <c r="I216" s="73"/>
      <c r="J216" s="73"/>
      <c r="K216" s="73"/>
      <c r="L216" s="73"/>
      <c r="M216" s="73"/>
      <c r="N216" s="73" t="e">
        <f>WEEKNUM(M216-RESUMEN!$P$7)</f>
        <v>#NUM!</v>
      </c>
      <c r="O216" s="73">
        <f>_xlfn.DAYS(M216,RESUMEN!$P$7)</f>
        <v>-43242</v>
      </c>
      <c r="P216" s="73"/>
      <c r="Q216" s="73" t="e">
        <f>LOOKUP(P216,FORMULAS!$A:$A,FORMULAS!$B:$B)</f>
        <v>#N/A</v>
      </c>
      <c r="R216" s="78"/>
      <c r="S216" s="73"/>
      <c r="T216" s="73"/>
      <c r="U216" s="73"/>
      <c r="V216" s="73"/>
      <c r="W216" s="73"/>
      <c r="X216" s="73"/>
      <c r="Y216" s="73"/>
      <c r="Z216" s="73" t="e">
        <f>WEEKNUM(Y216-RESUMEN!$AB$7)</f>
        <v>#NUM!</v>
      </c>
      <c r="AA216" s="73">
        <f>_xlfn.DAYS(Y216,RESUMEN!$AB$7)</f>
        <v>-43247</v>
      </c>
      <c r="AB216" s="73"/>
      <c r="AC216" s="73" t="e">
        <f>LOOKUP(AB216,FORMULAS!$A:$A,FORMULAS!$B:$B)</f>
        <v>#N/A</v>
      </c>
      <c r="AD216" s="78"/>
      <c r="AE216" s="73"/>
      <c r="AF216" s="73"/>
      <c r="AG216" s="73"/>
      <c r="AH216" s="73"/>
      <c r="AI216" s="73"/>
      <c r="AJ216" s="73"/>
      <c r="AK216" s="73"/>
      <c r="AL216" s="73" t="e">
        <f>WEEKNUM(AK216-RESUMEN!$AN$7)</f>
        <v>#NUM!</v>
      </c>
      <c r="AM216" s="73">
        <f>_xlfn.DAYS(AK216,RESUMEN!$AN$7)</f>
        <v>-43254</v>
      </c>
      <c r="AN216" s="73"/>
      <c r="AO216" s="73" t="e">
        <f>LOOKUP(AN216,FORMULAS!$A:$A,FORMULAS!$B:$B)</f>
        <v>#N/A</v>
      </c>
      <c r="AP216" s="78"/>
      <c r="AQ216" s="78"/>
      <c r="AR216" s="73"/>
      <c r="AS216" s="73"/>
      <c r="AT216" s="73"/>
      <c r="AU216" s="73"/>
      <c r="AV216" s="73"/>
      <c r="AW216" s="73"/>
      <c r="AX216" s="73" t="e">
        <f>WEEKNUM(AW216-RESUMEN!$AZ$7)</f>
        <v>#NUM!</v>
      </c>
      <c r="AY216" s="73">
        <f>_xlfn.DAYS(AW216,RESUMEN!$AZ$7)</f>
        <v>-43261</v>
      </c>
      <c r="AZ216" s="73"/>
      <c r="BA216" s="73" t="e">
        <f>LOOKUP(AZ216,FORMULAS!$A:$A,FORMULAS!$B:$B)</f>
        <v>#N/A</v>
      </c>
      <c r="BB216" s="78"/>
      <c r="BC216" s="73"/>
      <c r="BD216" s="73"/>
      <c r="BE216" s="73"/>
      <c r="BF216" s="73"/>
      <c r="BG216" s="73"/>
      <c r="BH216" s="73"/>
      <c r="BI216" s="73"/>
      <c r="BJ216" s="73" t="e">
        <f>WEEKNUM(BI216-RESUMEN!$BL$7)</f>
        <v>#NUM!</v>
      </c>
      <c r="BK216" s="73">
        <f>_xlfn.DAYS(BI216,RESUMEN!$BL$7)</f>
        <v>-43267</v>
      </c>
      <c r="BL216" s="73"/>
      <c r="BM216" s="73" t="e">
        <f>LOOKUP(BL216,FORMULAS!$A:$A,FORMULAS!$B:$B)</f>
        <v>#N/A</v>
      </c>
      <c r="BN216" s="78"/>
      <c r="BO216" s="73"/>
      <c r="BP216" s="73"/>
      <c r="BQ216" s="73"/>
      <c r="BR216" s="73"/>
      <c r="BS216" s="73"/>
      <c r="BT216" s="73"/>
    </row>
    <row r="217" spans="1:72" x14ac:dyDescent="0.25">
      <c r="A217" s="75"/>
      <c r="B217" s="74" t="e">
        <f>WEEKNUM(A217-RESUMEN!$D$7)</f>
        <v>#NUM!</v>
      </c>
      <c r="C217" s="74">
        <f>_xlfn.DAYS(A217,RESUMEN!$D$7)</f>
        <v>-43238</v>
      </c>
      <c r="D217" s="75"/>
      <c r="E217" s="73" t="e">
        <f>LOOKUP(D217,FORMULAS!$A:$A,FORMULAS!$B:$B)</f>
        <v>#N/A</v>
      </c>
      <c r="F217" s="80"/>
      <c r="G217" s="75"/>
      <c r="H217" s="75"/>
      <c r="I217" s="73"/>
      <c r="J217" s="73"/>
      <c r="K217" s="73"/>
      <c r="L217" s="73"/>
      <c r="M217" s="73"/>
      <c r="N217" s="73" t="e">
        <f>WEEKNUM(M217-RESUMEN!$P$7)</f>
        <v>#NUM!</v>
      </c>
      <c r="O217" s="73">
        <f>_xlfn.DAYS(M217,RESUMEN!$P$7)</f>
        <v>-43242</v>
      </c>
      <c r="P217" s="73"/>
      <c r="Q217" s="73" t="e">
        <f>LOOKUP(P217,FORMULAS!$A:$A,FORMULAS!$B:$B)</f>
        <v>#N/A</v>
      </c>
      <c r="R217" s="78"/>
      <c r="S217" s="73"/>
      <c r="T217" s="73"/>
      <c r="U217" s="73"/>
      <c r="V217" s="73"/>
      <c r="W217" s="73"/>
      <c r="X217" s="73"/>
      <c r="Y217" s="73"/>
      <c r="Z217" s="73" t="e">
        <f>WEEKNUM(Y217-RESUMEN!$AB$7)</f>
        <v>#NUM!</v>
      </c>
      <c r="AA217" s="73">
        <f>_xlfn.DAYS(Y217,RESUMEN!$AB$7)</f>
        <v>-43247</v>
      </c>
      <c r="AB217" s="73"/>
      <c r="AC217" s="73" t="e">
        <f>LOOKUP(AB217,FORMULAS!$A:$A,FORMULAS!$B:$B)</f>
        <v>#N/A</v>
      </c>
      <c r="AD217" s="78"/>
      <c r="AE217" s="73"/>
      <c r="AF217" s="73"/>
      <c r="AG217" s="73"/>
      <c r="AH217" s="73"/>
      <c r="AI217" s="73"/>
      <c r="AJ217" s="73"/>
      <c r="AK217" s="73"/>
      <c r="AL217" s="73" t="e">
        <f>WEEKNUM(AK217-RESUMEN!$AN$7)</f>
        <v>#NUM!</v>
      </c>
      <c r="AM217" s="73">
        <f>_xlfn.DAYS(AK217,RESUMEN!$AN$7)</f>
        <v>-43254</v>
      </c>
      <c r="AN217" s="73"/>
      <c r="AO217" s="73" t="e">
        <f>LOOKUP(AN217,FORMULAS!$A:$A,FORMULAS!$B:$B)</f>
        <v>#N/A</v>
      </c>
      <c r="AP217" s="78"/>
      <c r="AQ217" s="78"/>
      <c r="AR217" s="73"/>
      <c r="AS217" s="73"/>
      <c r="AT217" s="73"/>
      <c r="AU217" s="73"/>
      <c r="AV217" s="73"/>
      <c r="AW217" s="73"/>
      <c r="AX217" s="73" t="e">
        <f>WEEKNUM(AW217-RESUMEN!$AZ$7)</f>
        <v>#NUM!</v>
      </c>
      <c r="AY217" s="73">
        <f>_xlfn.DAYS(AW217,RESUMEN!$AZ$7)</f>
        <v>-43261</v>
      </c>
      <c r="AZ217" s="73"/>
      <c r="BA217" s="73" t="e">
        <f>LOOKUP(AZ217,FORMULAS!$A:$A,FORMULAS!$B:$B)</f>
        <v>#N/A</v>
      </c>
      <c r="BB217" s="78"/>
      <c r="BC217" s="73"/>
      <c r="BD217" s="73"/>
      <c r="BE217" s="73"/>
      <c r="BF217" s="73"/>
      <c r="BG217" s="73"/>
      <c r="BH217" s="73"/>
      <c r="BI217" s="73"/>
      <c r="BJ217" s="73" t="e">
        <f>WEEKNUM(BI217-RESUMEN!$BL$7)</f>
        <v>#NUM!</v>
      </c>
      <c r="BK217" s="73">
        <f>_xlfn.DAYS(BI217,RESUMEN!$BL$7)</f>
        <v>-43267</v>
      </c>
      <c r="BL217" s="73"/>
      <c r="BM217" s="73" t="e">
        <f>LOOKUP(BL217,FORMULAS!$A:$A,FORMULAS!$B:$B)</f>
        <v>#N/A</v>
      </c>
      <c r="BN217" s="78"/>
      <c r="BO217" s="73"/>
      <c r="BP217" s="73"/>
      <c r="BQ217" s="73"/>
      <c r="BR217" s="73"/>
      <c r="BS217" s="73"/>
      <c r="BT217" s="73"/>
    </row>
    <row r="218" spans="1:72" x14ac:dyDescent="0.25">
      <c r="A218" s="75"/>
      <c r="B218" s="74" t="e">
        <f>WEEKNUM(A218-RESUMEN!$D$7)</f>
        <v>#NUM!</v>
      </c>
      <c r="C218" s="74">
        <f>_xlfn.DAYS(A218,RESUMEN!$D$7)</f>
        <v>-43238</v>
      </c>
      <c r="D218" s="75"/>
      <c r="E218" s="73" t="e">
        <f>LOOKUP(D218,FORMULAS!$A:$A,FORMULAS!$B:$B)</f>
        <v>#N/A</v>
      </c>
      <c r="F218" s="80"/>
      <c r="G218" s="75"/>
      <c r="H218" s="75"/>
      <c r="I218" s="73"/>
      <c r="J218" s="73"/>
      <c r="K218" s="73"/>
      <c r="L218" s="73"/>
      <c r="M218" s="73"/>
      <c r="N218" s="73" t="e">
        <f>WEEKNUM(M218-RESUMEN!$P$7)</f>
        <v>#NUM!</v>
      </c>
      <c r="O218" s="73">
        <f>_xlfn.DAYS(M218,RESUMEN!$P$7)</f>
        <v>-43242</v>
      </c>
      <c r="P218" s="73"/>
      <c r="Q218" s="73" t="e">
        <f>LOOKUP(P218,FORMULAS!$A:$A,FORMULAS!$B:$B)</f>
        <v>#N/A</v>
      </c>
      <c r="R218" s="78"/>
      <c r="S218" s="73"/>
      <c r="T218" s="73"/>
      <c r="U218" s="73"/>
      <c r="V218" s="73"/>
      <c r="W218" s="73"/>
      <c r="X218" s="73"/>
      <c r="Y218" s="73"/>
      <c r="Z218" s="73" t="e">
        <f>WEEKNUM(Y218-RESUMEN!$AB$7)</f>
        <v>#NUM!</v>
      </c>
      <c r="AA218" s="73">
        <f>_xlfn.DAYS(Y218,RESUMEN!$AB$7)</f>
        <v>-43247</v>
      </c>
      <c r="AB218" s="73"/>
      <c r="AC218" s="73" t="e">
        <f>LOOKUP(AB218,FORMULAS!$A:$A,FORMULAS!$B:$B)</f>
        <v>#N/A</v>
      </c>
      <c r="AD218" s="78"/>
      <c r="AE218" s="73"/>
      <c r="AF218" s="73"/>
      <c r="AG218" s="73"/>
      <c r="AH218" s="73"/>
      <c r="AI218" s="73"/>
      <c r="AJ218" s="73"/>
      <c r="AK218" s="73"/>
      <c r="AL218" s="73" t="e">
        <f>WEEKNUM(AK218-RESUMEN!$AN$7)</f>
        <v>#NUM!</v>
      </c>
      <c r="AM218" s="73">
        <f>_xlfn.DAYS(AK218,RESUMEN!$AN$7)</f>
        <v>-43254</v>
      </c>
      <c r="AN218" s="73"/>
      <c r="AO218" s="73" t="e">
        <f>LOOKUP(AN218,FORMULAS!$A:$A,FORMULAS!$B:$B)</f>
        <v>#N/A</v>
      </c>
      <c r="AP218" s="78"/>
      <c r="AQ218" s="78"/>
      <c r="AR218" s="73"/>
      <c r="AS218" s="73"/>
      <c r="AT218" s="73"/>
      <c r="AU218" s="73"/>
      <c r="AV218" s="73"/>
      <c r="AW218" s="73"/>
      <c r="AX218" s="73" t="e">
        <f>WEEKNUM(AW218-RESUMEN!$AZ$7)</f>
        <v>#NUM!</v>
      </c>
      <c r="AY218" s="73">
        <f>_xlfn.DAYS(AW218,RESUMEN!$AZ$7)</f>
        <v>-43261</v>
      </c>
      <c r="AZ218" s="73"/>
      <c r="BA218" s="73" t="e">
        <f>LOOKUP(AZ218,FORMULAS!$A:$A,FORMULAS!$B:$B)</f>
        <v>#N/A</v>
      </c>
      <c r="BB218" s="78"/>
      <c r="BC218" s="73"/>
      <c r="BD218" s="73"/>
      <c r="BE218" s="73"/>
      <c r="BF218" s="73"/>
      <c r="BG218" s="73"/>
      <c r="BH218" s="73"/>
      <c r="BI218" s="73"/>
      <c r="BJ218" s="73" t="e">
        <f>WEEKNUM(BI218-RESUMEN!$BL$7)</f>
        <v>#NUM!</v>
      </c>
      <c r="BK218" s="73">
        <f>_xlfn.DAYS(BI218,RESUMEN!$BL$7)</f>
        <v>-43267</v>
      </c>
      <c r="BL218" s="73"/>
      <c r="BM218" s="73" t="e">
        <f>LOOKUP(BL218,FORMULAS!$A:$A,FORMULAS!$B:$B)</f>
        <v>#N/A</v>
      </c>
      <c r="BN218" s="78"/>
      <c r="BO218" s="73"/>
      <c r="BP218" s="73"/>
      <c r="BQ218" s="73"/>
      <c r="BR218" s="73"/>
      <c r="BS218" s="73"/>
      <c r="BT218" s="73"/>
    </row>
    <row r="219" spans="1:72" x14ac:dyDescent="0.25">
      <c r="A219" s="75"/>
      <c r="B219" s="74" t="e">
        <f>WEEKNUM(A219-RESUMEN!$D$7)</f>
        <v>#NUM!</v>
      </c>
      <c r="C219" s="74">
        <f>_xlfn.DAYS(A219,RESUMEN!$D$7)</f>
        <v>-43238</v>
      </c>
      <c r="D219" s="75"/>
      <c r="E219" s="73" t="e">
        <f>LOOKUP(D219,FORMULAS!$A:$A,FORMULAS!$B:$B)</f>
        <v>#N/A</v>
      </c>
      <c r="F219" s="80"/>
      <c r="G219" s="75"/>
      <c r="H219" s="75"/>
      <c r="I219" s="73"/>
      <c r="J219" s="73"/>
      <c r="K219" s="73"/>
      <c r="L219" s="73"/>
      <c r="M219" s="73"/>
      <c r="N219" s="73" t="e">
        <f>WEEKNUM(M219-RESUMEN!$P$7)</f>
        <v>#NUM!</v>
      </c>
      <c r="O219" s="73">
        <f>_xlfn.DAYS(M219,RESUMEN!$P$7)</f>
        <v>-43242</v>
      </c>
      <c r="P219" s="73"/>
      <c r="Q219" s="73" t="e">
        <f>LOOKUP(P219,FORMULAS!$A:$A,FORMULAS!$B:$B)</f>
        <v>#N/A</v>
      </c>
      <c r="R219" s="78"/>
      <c r="S219" s="73"/>
      <c r="T219" s="73"/>
      <c r="U219" s="73"/>
      <c r="V219" s="73"/>
      <c r="W219" s="73"/>
      <c r="X219" s="73"/>
      <c r="Y219" s="73"/>
      <c r="Z219" s="73" t="e">
        <f>WEEKNUM(Y219-RESUMEN!$AB$7)</f>
        <v>#NUM!</v>
      </c>
      <c r="AA219" s="73">
        <f>_xlfn.DAYS(Y219,RESUMEN!$AB$7)</f>
        <v>-43247</v>
      </c>
      <c r="AB219" s="73"/>
      <c r="AC219" s="73" t="e">
        <f>LOOKUP(AB219,FORMULAS!$A:$A,FORMULAS!$B:$B)</f>
        <v>#N/A</v>
      </c>
      <c r="AD219" s="78"/>
      <c r="AE219" s="73"/>
      <c r="AF219" s="73"/>
      <c r="AG219" s="73"/>
      <c r="AH219" s="73"/>
      <c r="AI219" s="73"/>
      <c r="AJ219" s="73"/>
      <c r="AK219" s="73"/>
      <c r="AL219" s="73" t="e">
        <f>WEEKNUM(AK219-RESUMEN!$AN$7)</f>
        <v>#NUM!</v>
      </c>
      <c r="AM219" s="73">
        <f>_xlfn.DAYS(AK219,RESUMEN!$AN$7)</f>
        <v>-43254</v>
      </c>
      <c r="AN219" s="73"/>
      <c r="AO219" s="73" t="e">
        <f>LOOKUP(AN219,FORMULAS!$A:$A,FORMULAS!$B:$B)</f>
        <v>#N/A</v>
      </c>
      <c r="AP219" s="78"/>
      <c r="AQ219" s="78"/>
      <c r="AR219" s="73"/>
      <c r="AS219" s="73"/>
      <c r="AT219" s="73"/>
      <c r="AU219" s="73"/>
      <c r="AV219" s="73"/>
      <c r="AW219" s="73"/>
      <c r="AX219" s="73" t="e">
        <f>WEEKNUM(AW219-RESUMEN!$AZ$7)</f>
        <v>#NUM!</v>
      </c>
      <c r="AY219" s="73">
        <f>_xlfn.DAYS(AW219,RESUMEN!$AZ$7)</f>
        <v>-43261</v>
      </c>
      <c r="AZ219" s="73"/>
      <c r="BA219" s="73" t="e">
        <f>LOOKUP(AZ219,FORMULAS!$A:$A,FORMULAS!$B:$B)</f>
        <v>#N/A</v>
      </c>
      <c r="BB219" s="78"/>
      <c r="BC219" s="73"/>
      <c r="BD219" s="73"/>
      <c r="BE219" s="73"/>
      <c r="BF219" s="73"/>
      <c r="BG219" s="73"/>
      <c r="BH219" s="73"/>
      <c r="BI219" s="73"/>
      <c r="BJ219" s="73" t="e">
        <f>WEEKNUM(BI219-RESUMEN!$BL$7)</f>
        <v>#NUM!</v>
      </c>
      <c r="BK219" s="73">
        <f>_xlfn.DAYS(BI219,RESUMEN!$BL$7)</f>
        <v>-43267</v>
      </c>
      <c r="BL219" s="73"/>
      <c r="BM219" s="73" t="e">
        <f>LOOKUP(BL219,FORMULAS!$A:$A,FORMULAS!$B:$B)</f>
        <v>#N/A</v>
      </c>
      <c r="BN219" s="78"/>
      <c r="BO219" s="73"/>
      <c r="BP219" s="73"/>
      <c r="BQ219" s="73"/>
      <c r="BR219" s="73"/>
      <c r="BS219" s="73"/>
      <c r="BT219" s="73"/>
    </row>
    <row r="220" spans="1:72" x14ac:dyDescent="0.25">
      <c r="A220" s="75"/>
      <c r="B220" s="74" t="e">
        <f>WEEKNUM(A220-RESUMEN!$D$7)</f>
        <v>#NUM!</v>
      </c>
      <c r="C220" s="74">
        <f>_xlfn.DAYS(A220,RESUMEN!$D$7)</f>
        <v>-43238</v>
      </c>
      <c r="D220" s="75"/>
      <c r="E220" s="73" t="e">
        <f>LOOKUP(D220,FORMULAS!$A:$A,FORMULAS!$B:$B)</f>
        <v>#N/A</v>
      </c>
      <c r="F220" s="80"/>
      <c r="G220" s="75"/>
      <c r="H220" s="75"/>
      <c r="I220" s="73"/>
      <c r="J220" s="73"/>
      <c r="K220" s="73"/>
      <c r="L220" s="73"/>
      <c r="M220" s="73"/>
      <c r="N220" s="73" t="e">
        <f>WEEKNUM(M220-RESUMEN!$P$7)</f>
        <v>#NUM!</v>
      </c>
      <c r="O220" s="73">
        <f>_xlfn.DAYS(M220,RESUMEN!$P$7)</f>
        <v>-43242</v>
      </c>
      <c r="P220" s="73"/>
      <c r="Q220" s="73" t="e">
        <f>LOOKUP(P220,FORMULAS!$A:$A,FORMULAS!$B:$B)</f>
        <v>#N/A</v>
      </c>
      <c r="R220" s="78"/>
      <c r="S220" s="73"/>
      <c r="T220" s="73"/>
      <c r="U220" s="73"/>
      <c r="V220" s="73"/>
      <c r="W220" s="73"/>
      <c r="X220" s="73"/>
      <c r="Y220" s="73"/>
      <c r="Z220" s="73" t="e">
        <f>WEEKNUM(Y220-RESUMEN!$AB$7)</f>
        <v>#NUM!</v>
      </c>
      <c r="AA220" s="73">
        <f>_xlfn.DAYS(Y220,RESUMEN!$AB$7)</f>
        <v>-43247</v>
      </c>
      <c r="AB220" s="73"/>
      <c r="AC220" s="73" t="e">
        <f>LOOKUP(AB220,FORMULAS!$A:$A,FORMULAS!$B:$B)</f>
        <v>#N/A</v>
      </c>
      <c r="AD220" s="78"/>
      <c r="AE220" s="73"/>
      <c r="AF220" s="73"/>
      <c r="AG220" s="73"/>
      <c r="AH220" s="73"/>
      <c r="AI220" s="73"/>
      <c r="AJ220" s="73"/>
      <c r="AK220" s="73"/>
      <c r="AL220" s="73" t="e">
        <f>WEEKNUM(AK220-RESUMEN!$AN$7)</f>
        <v>#NUM!</v>
      </c>
      <c r="AM220" s="73">
        <f>_xlfn.DAYS(AK220,RESUMEN!$AN$7)</f>
        <v>-43254</v>
      </c>
      <c r="AN220" s="73"/>
      <c r="AO220" s="73" t="e">
        <f>LOOKUP(AN220,FORMULAS!$A:$A,FORMULAS!$B:$B)</f>
        <v>#N/A</v>
      </c>
      <c r="AP220" s="78"/>
      <c r="AQ220" s="78"/>
      <c r="AR220" s="73"/>
      <c r="AS220" s="73"/>
      <c r="AT220" s="73"/>
      <c r="AU220" s="73"/>
      <c r="AV220" s="73"/>
      <c r="AW220" s="73"/>
      <c r="AX220" s="73" t="e">
        <f>WEEKNUM(AW220-RESUMEN!$AZ$7)</f>
        <v>#NUM!</v>
      </c>
      <c r="AY220" s="73">
        <f>_xlfn.DAYS(AW220,RESUMEN!$AZ$7)</f>
        <v>-43261</v>
      </c>
      <c r="AZ220" s="73"/>
      <c r="BA220" s="73" t="e">
        <f>LOOKUP(AZ220,FORMULAS!$A:$A,FORMULAS!$B:$B)</f>
        <v>#N/A</v>
      </c>
      <c r="BB220" s="78"/>
      <c r="BC220" s="73"/>
      <c r="BD220" s="73"/>
      <c r="BE220" s="73"/>
      <c r="BF220" s="73"/>
      <c r="BG220" s="73"/>
      <c r="BH220" s="73"/>
      <c r="BI220" s="73"/>
      <c r="BJ220" s="73" t="e">
        <f>WEEKNUM(BI220-RESUMEN!$BL$7)</f>
        <v>#NUM!</v>
      </c>
      <c r="BK220" s="73">
        <f>_xlfn.DAYS(BI220,RESUMEN!$BL$7)</f>
        <v>-43267</v>
      </c>
      <c r="BL220" s="73"/>
      <c r="BM220" s="73" t="e">
        <f>LOOKUP(BL220,FORMULAS!$A:$A,FORMULAS!$B:$B)</f>
        <v>#N/A</v>
      </c>
      <c r="BN220" s="78"/>
      <c r="BO220" s="73"/>
      <c r="BP220" s="73"/>
      <c r="BQ220" s="73"/>
      <c r="BR220" s="73"/>
      <c r="BS220" s="73"/>
      <c r="BT220" s="73"/>
    </row>
    <row r="221" spans="1:72" x14ac:dyDescent="0.25">
      <c r="A221" s="75"/>
      <c r="B221" s="74" t="e">
        <f>WEEKNUM(A221-RESUMEN!$D$7)</f>
        <v>#NUM!</v>
      </c>
      <c r="C221" s="74">
        <f>_xlfn.DAYS(A221,RESUMEN!$D$7)</f>
        <v>-43238</v>
      </c>
      <c r="D221" s="75"/>
      <c r="E221" s="73" t="e">
        <f>LOOKUP(D221,FORMULAS!$A:$A,FORMULAS!$B:$B)</f>
        <v>#N/A</v>
      </c>
      <c r="F221" s="80"/>
      <c r="G221" s="75"/>
      <c r="H221" s="75"/>
      <c r="I221" s="73"/>
      <c r="J221" s="73"/>
      <c r="K221" s="73"/>
      <c r="L221" s="73"/>
      <c r="M221" s="73"/>
      <c r="N221" s="73" t="e">
        <f>WEEKNUM(M221-RESUMEN!$P$7)</f>
        <v>#NUM!</v>
      </c>
      <c r="O221" s="73">
        <f>_xlfn.DAYS(M221,RESUMEN!$P$7)</f>
        <v>-43242</v>
      </c>
      <c r="P221" s="73"/>
      <c r="Q221" s="73" t="e">
        <f>LOOKUP(P221,FORMULAS!$A:$A,FORMULAS!$B:$B)</f>
        <v>#N/A</v>
      </c>
      <c r="R221" s="78"/>
      <c r="S221" s="73"/>
      <c r="T221" s="73"/>
      <c r="U221" s="73"/>
      <c r="V221" s="73"/>
      <c r="W221" s="73"/>
      <c r="X221" s="73"/>
      <c r="Y221" s="73"/>
      <c r="Z221" s="73" t="e">
        <f>WEEKNUM(Y221-RESUMEN!$AB$7)</f>
        <v>#NUM!</v>
      </c>
      <c r="AA221" s="73">
        <f>_xlfn.DAYS(Y221,RESUMEN!$AB$7)</f>
        <v>-43247</v>
      </c>
      <c r="AB221" s="73"/>
      <c r="AC221" s="73" t="e">
        <f>LOOKUP(AB221,FORMULAS!$A:$A,FORMULAS!$B:$B)</f>
        <v>#N/A</v>
      </c>
      <c r="AD221" s="78"/>
      <c r="AE221" s="73"/>
      <c r="AF221" s="73"/>
      <c r="AG221" s="73"/>
      <c r="AH221" s="73"/>
      <c r="AI221" s="73"/>
      <c r="AJ221" s="73"/>
      <c r="AK221" s="73"/>
      <c r="AL221" s="73" t="e">
        <f>WEEKNUM(AK221-RESUMEN!$AN$7)</f>
        <v>#NUM!</v>
      </c>
      <c r="AM221" s="73">
        <f>_xlfn.DAYS(AK221,RESUMEN!$AN$7)</f>
        <v>-43254</v>
      </c>
      <c r="AN221" s="73"/>
      <c r="AO221" s="73" t="e">
        <f>LOOKUP(AN221,FORMULAS!$A:$A,FORMULAS!$B:$B)</f>
        <v>#N/A</v>
      </c>
      <c r="AP221" s="78"/>
      <c r="AQ221" s="78"/>
      <c r="AR221" s="73"/>
      <c r="AS221" s="73"/>
      <c r="AT221" s="73"/>
      <c r="AU221" s="73"/>
      <c r="AV221" s="73"/>
      <c r="AW221" s="73"/>
      <c r="AX221" s="73" t="e">
        <f>WEEKNUM(AW221-RESUMEN!$AZ$7)</f>
        <v>#NUM!</v>
      </c>
      <c r="AY221" s="73">
        <f>_xlfn.DAYS(AW221,RESUMEN!$AZ$7)</f>
        <v>-43261</v>
      </c>
      <c r="AZ221" s="73"/>
      <c r="BA221" s="73" t="e">
        <f>LOOKUP(AZ221,FORMULAS!$A:$A,FORMULAS!$B:$B)</f>
        <v>#N/A</v>
      </c>
      <c r="BB221" s="78"/>
      <c r="BC221" s="73"/>
      <c r="BD221" s="73"/>
      <c r="BE221" s="73"/>
      <c r="BF221" s="73"/>
      <c r="BG221" s="73"/>
      <c r="BH221" s="73"/>
      <c r="BI221" s="73"/>
      <c r="BJ221" s="73" t="e">
        <f>WEEKNUM(BI221-RESUMEN!$BL$7)</f>
        <v>#NUM!</v>
      </c>
      <c r="BK221" s="73">
        <f>_xlfn.DAYS(BI221,RESUMEN!$BL$7)</f>
        <v>-43267</v>
      </c>
      <c r="BL221" s="73"/>
      <c r="BM221" s="73" t="e">
        <f>LOOKUP(BL221,FORMULAS!$A:$A,FORMULAS!$B:$B)</f>
        <v>#N/A</v>
      </c>
      <c r="BN221" s="78"/>
      <c r="BO221" s="73"/>
      <c r="BP221" s="73"/>
      <c r="BQ221" s="73"/>
      <c r="BR221" s="73"/>
      <c r="BS221" s="73"/>
      <c r="BT221" s="73"/>
    </row>
    <row r="222" spans="1:72" x14ac:dyDescent="0.25">
      <c r="A222" s="75"/>
      <c r="B222" s="74" t="e">
        <f>WEEKNUM(A222-RESUMEN!$D$7)</f>
        <v>#NUM!</v>
      </c>
      <c r="C222" s="74">
        <f>_xlfn.DAYS(A222,RESUMEN!$D$7)</f>
        <v>-43238</v>
      </c>
      <c r="D222" s="75"/>
      <c r="E222" s="73" t="e">
        <f>LOOKUP(D222,FORMULAS!$A:$A,FORMULAS!$B:$B)</f>
        <v>#N/A</v>
      </c>
      <c r="F222" s="80"/>
      <c r="G222" s="75"/>
      <c r="H222" s="75"/>
      <c r="I222" s="73"/>
      <c r="J222" s="73"/>
      <c r="K222" s="73"/>
      <c r="L222" s="73"/>
      <c r="M222" s="73"/>
      <c r="N222" s="73" t="e">
        <f>WEEKNUM(M222-RESUMEN!$P$7)</f>
        <v>#NUM!</v>
      </c>
      <c r="O222" s="73">
        <f>_xlfn.DAYS(M222,RESUMEN!$P$7)</f>
        <v>-43242</v>
      </c>
      <c r="P222" s="73"/>
      <c r="Q222" s="73" t="e">
        <f>LOOKUP(P222,FORMULAS!$A:$A,FORMULAS!$B:$B)</f>
        <v>#N/A</v>
      </c>
      <c r="R222" s="78"/>
      <c r="S222" s="73"/>
      <c r="T222" s="73"/>
      <c r="U222" s="73"/>
      <c r="V222" s="73"/>
      <c r="W222" s="73"/>
      <c r="X222" s="73"/>
      <c r="Y222" s="73"/>
      <c r="Z222" s="73" t="e">
        <f>WEEKNUM(Y222-RESUMEN!$AB$7)</f>
        <v>#NUM!</v>
      </c>
      <c r="AA222" s="73">
        <f>_xlfn.DAYS(Y222,RESUMEN!$AB$7)</f>
        <v>-43247</v>
      </c>
      <c r="AB222" s="73"/>
      <c r="AC222" s="73" t="e">
        <f>LOOKUP(AB222,FORMULAS!$A:$A,FORMULAS!$B:$B)</f>
        <v>#N/A</v>
      </c>
      <c r="AD222" s="78"/>
      <c r="AE222" s="73"/>
      <c r="AF222" s="73"/>
      <c r="AG222" s="73"/>
      <c r="AH222" s="73"/>
      <c r="AI222" s="73"/>
      <c r="AJ222" s="73"/>
      <c r="AK222" s="73"/>
      <c r="AL222" s="73" t="e">
        <f>WEEKNUM(AK222-RESUMEN!$AN$7)</f>
        <v>#NUM!</v>
      </c>
      <c r="AM222" s="73">
        <f>_xlfn.DAYS(AK222,RESUMEN!$AN$7)</f>
        <v>-43254</v>
      </c>
      <c r="AN222" s="73"/>
      <c r="AO222" s="73" t="e">
        <f>LOOKUP(AN222,FORMULAS!$A:$A,FORMULAS!$B:$B)</f>
        <v>#N/A</v>
      </c>
      <c r="AP222" s="78"/>
      <c r="AQ222" s="78"/>
      <c r="AR222" s="73"/>
      <c r="AS222" s="73"/>
      <c r="AT222" s="73"/>
      <c r="AU222" s="73"/>
      <c r="AV222" s="73"/>
      <c r="AW222" s="73"/>
      <c r="AX222" s="73" t="e">
        <f>WEEKNUM(AW222-RESUMEN!$AZ$7)</f>
        <v>#NUM!</v>
      </c>
      <c r="AY222" s="73">
        <f>_xlfn.DAYS(AW222,RESUMEN!$AZ$7)</f>
        <v>-43261</v>
      </c>
      <c r="AZ222" s="73"/>
      <c r="BA222" s="73" t="e">
        <f>LOOKUP(AZ222,FORMULAS!$A:$A,FORMULAS!$B:$B)</f>
        <v>#N/A</v>
      </c>
      <c r="BB222" s="78"/>
      <c r="BC222" s="73"/>
      <c r="BD222" s="73"/>
      <c r="BE222" s="73"/>
      <c r="BF222" s="73"/>
      <c r="BG222" s="73"/>
      <c r="BH222" s="73"/>
      <c r="BI222" s="73"/>
      <c r="BJ222" s="73" t="e">
        <f>WEEKNUM(BI222-RESUMEN!$BL$7)</f>
        <v>#NUM!</v>
      </c>
      <c r="BK222" s="73">
        <f>_xlfn.DAYS(BI222,RESUMEN!$BL$7)</f>
        <v>-43267</v>
      </c>
      <c r="BL222" s="73"/>
      <c r="BM222" s="73" t="e">
        <f>LOOKUP(BL222,FORMULAS!$A:$A,FORMULAS!$B:$B)</f>
        <v>#N/A</v>
      </c>
      <c r="BN222" s="78"/>
      <c r="BO222" s="73"/>
      <c r="BP222" s="73"/>
      <c r="BQ222" s="73"/>
      <c r="BR222" s="73"/>
      <c r="BS222" s="73"/>
      <c r="BT222" s="73"/>
    </row>
    <row r="223" spans="1:72" x14ac:dyDescent="0.25">
      <c r="A223" s="75"/>
      <c r="B223" s="74" t="e">
        <f>WEEKNUM(A223-RESUMEN!$D$7)</f>
        <v>#NUM!</v>
      </c>
      <c r="C223" s="74">
        <f>_xlfn.DAYS(A223,RESUMEN!$D$7)</f>
        <v>-43238</v>
      </c>
      <c r="D223" s="75"/>
      <c r="E223" s="73" t="e">
        <f>LOOKUP(D223,FORMULAS!$A:$A,FORMULAS!$B:$B)</f>
        <v>#N/A</v>
      </c>
      <c r="F223" s="80"/>
      <c r="G223" s="75"/>
      <c r="H223" s="75"/>
      <c r="I223" s="73"/>
      <c r="J223" s="73"/>
      <c r="K223" s="73"/>
      <c r="L223" s="73"/>
      <c r="M223" s="73"/>
      <c r="N223" s="73" t="e">
        <f>WEEKNUM(M223-RESUMEN!$P$7)</f>
        <v>#NUM!</v>
      </c>
      <c r="O223" s="73">
        <f>_xlfn.DAYS(M223,RESUMEN!$P$7)</f>
        <v>-43242</v>
      </c>
      <c r="P223" s="73"/>
      <c r="Q223" s="73" t="e">
        <f>LOOKUP(P223,FORMULAS!$A:$A,FORMULAS!$B:$B)</f>
        <v>#N/A</v>
      </c>
      <c r="R223" s="78"/>
      <c r="S223" s="73"/>
      <c r="T223" s="73"/>
      <c r="U223" s="73"/>
      <c r="V223" s="73"/>
      <c r="W223" s="73"/>
      <c r="X223" s="73"/>
      <c r="Y223" s="73"/>
      <c r="Z223" s="73" t="e">
        <f>WEEKNUM(Y223-RESUMEN!$AB$7)</f>
        <v>#NUM!</v>
      </c>
      <c r="AA223" s="73">
        <f>_xlfn.DAYS(Y223,RESUMEN!$AB$7)</f>
        <v>-43247</v>
      </c>
      <c r="AB223" s="73"/>
      <c r="AC223" s="73" t="e">
        <f>LOOKUP(AB223,FORMULAS!$A:$A,FORMULAS!$B:$B)</f>
        <v>#N/A</v>
      </c>
      <c r="AD223" s="78"/>
      <c r="AE223" s="73"/>
      <c r="AF223" s="73"/>
      <c r="AG223" s="73"/>
      <c r="AH223" s="73"/>
      <c r="AI223" s="73"/>
      <c r="AJ223" s="73"/>
      <c r="AK223" s="73"/>
      <c r="AL223" s="73" t="e">
        <f>WEEKNUM(AK223-RESUMEN!$AN$7)</f>
        <v>#NUM!</v>
      </c>
      <c r="AM223" s="73">
        <f>_xlfn.DAYS(AK223,RESUMEN!$AN$7)</f>
        <v>-43254</v>
      </c>
      <c r="AN223" s="73"/>
      <c r="AO223" s="73" t="e">
        <f>LOOKUP(AN223,FORMULAS!$A:$A,FORMULAS!$B:$B)</f>
        <v>#N/A</v>
      </c>
      <c r="AP223" s="78"/>
      <c r="AQ223" s="78"/>
      <c r="AR223" s="73"/>
      <c r="AS223" s="73"/>
      <c r="AT223" s="73"/>
      <c r="AU223" s="73"/>
      <c r="AV223" s="73"/>
      <c r="AW223" s="73"/>
      <c r="AX223" s="73" t="e">
        <f>WEEKNUM(AW223-RESUMEN!$AZ$7)</f>
        <v>#NUM!</v>
      </c>
      <c r="AY223" s="73">
        <f>_xlfn.DAYS(AW223,RESUMEN!$AZ$7)</f>
        <v>-43261</v>
      </c>
      <c r="AZ223" s="73"/>
      <c r="BA223" s="73" t="e">
        <f>LOOKUP(AZ223,FORMULAS!$A:$A,FORMULAS!$B:$B)</f>
        <v>#N/A</v>
      </c>
      <c r="BB223" s="78"/>
      <c r="BC223" s="73"/>
      <c r="BD223" s="73"/>
      <c r="BE223" s="73"/>
      <c r="BF223" s="73"/>
      <c r="BG223" s="73"/>
      <c r="BH223" s="73"/>
      <c r="BI223" s="73"/>
      <c r="BJ223" s="73" t="e">
        <f>WEEKNUM(BI223-RESUMEN!$BL$7)</f>
        <v>#NUM!</v>
      </c>
      <c r="BK223" s="73">
        <f>_xlfn.DAYS(BI223,RESUMEN!$BL$7)</f>
        <v>-43267</v>
      </c>
      <c r="BL223" s="73"/>
      <c r="BM223" s="73" t="e">
        <f>LOOKUP(BL223,FORMULAS!$A:$A,FORMULAS!$B:$B)</f>
        <v>#N/A</v>
      </c>
      <c r="BN223" s="78"/>
      <c r="BO223" s="73"/>
      <c r="BP223" s="73"/>
      <c r="BQ223" s="73"/>
      <c r="BR223" s="73"/>
      <c r="BS223" s="73"/>
      <c r="BT223" s="73"/>
    </row>
    <row r="224" spans="1:72" x14ac:dyDescent="0.25">
      <c r="A224" s="75"/>
      <c r="B224" s="74" t="e">
        <f>WEEKNUM(A224-RESUMEN!$D$7)</f>
        <v>#NUM!</v>
      </c>
      <c r="C224" s="74">
        <f>_xlfn.DAYS(A224,RESUMEN!$D$7)</f>
        <v>-43238</v>
      </c>
      <c r="D224" s="75"/>
      <c r="E224" s="73" t="e">
        <f>LOOKUP(D224,FORMULAS!$A:$A,FORMULAS!$B:$B)</f>
        <v>#N/A</v>
      </c>
      <c r="F224" s="80"/>
      <c r="G224" s="75"/>
      <c r="H224" s="75"/>
      <c r="I224" s="73"/>
      <c r="J224" s="73"/>
      <c r="K224" s="73"/>
      <c r="L224" s="73"/>
      <c r="M224" s="73"/>
      <c r="N224" s="73" t="e">
        <f>WEEKNUM(M224-RESUMEN!$P$7)</f>
        <v>#NUM!</v>
      </c>
      <c r="O224" s="73">
        <f>_xlfn.DAYS(M224,RESUMEN!$P$7)</f>
        <v>-43242</v>
      </c>
      <c r="P224" s="73"/>
      <c r="Q224" s="73" t="e">
        <f>LOOKUP(P224,FORMULAS!$A:$A,FORMULAS!$B:$B)</f>
        <v>#N/A</v>
      </c>
      <c r="R224" s="78"/>
      <c r="S224" s="73"/>
      <c r="T224" s="73"/>
      <c r="U224" s="73"/>
      <c r="V224" s="73"/>
      <c r="W224" s="73"/>
      <c r="X224" s="73"/>
      <c r="Y224" s="73"/>
      <c r="Z224" s="73" t="e">
        <f>WEEKNUM(Y224-RESUMEN!$AB$7)</f>
        <v>#NUM!</v>
      </c>
      <c r="AA224" s="73">
        <f>_xlfn.DAYS(Y224,RESUMEN!$AB$7)</f>
        <v>-43247</v>
      </c>
      <c r="AB224" s="73"/>
      <c r="AC224" s="73" t="e">
        <f>LOOKUP(AB224,FORMULAS!$A:$A,FORMULAS!$B:$B)</f>
        <v>#N/A</v>
      </c>
      <c r="AD224" s="78"/>
      <c r="AE224" s="73"/>
      <c r="AF224" s="73"/>
      <c r="AG224" s="73"/>
      <c r="AH224" s="73"/>
      <c r="AI224" s="73"/>
      <c r="AJ224" s="73"/>
      <c r="AK224" s="73"/>
      <c r="AL224" s="73" t="e">
        <f>WEEKNUM(AK224-RESUMEN!$AN$7)</f>
        <v>#NUM!</v>
      </c>
      <c r="AM224" s="73">
        <f>_xlfn.DAYS(AK224,RESUMEN!$AN$7)</f>
        <v>-43254</v>
      </c>
      <c r="AN224" s="73"/>
      <c r="AO224" s="73" t="e">
        <f>LOOKUP(AN224,FORMULAS!$A:$A,FORMULAS!$B:$B)</f>
        <v>#N/A</v>
      </c>
      <c r="AP224" s="78"/>
      <c r="AQ224" s="78"/>
      <c r="AR224" s="73"/>
      <c r="AS224" s="73"/>
      <c r="AT224" s="73"/>
      <c r="AU224" s="73"/>
      <c r="AV224" s="73"/>
      <c r="AW224" s="73"/>
      <c r="AX224" s="73" t="e">
        <f>WEEKNUM(AW224-RESUMEN!$AZ$7)</f>
        <v>#NUM!</v>
      </c>
      <c r="AY224" s="73">
        <f>_xlfn.DAYS(AW224,RESUMEN!$AZ$7)</f>
        <v>-43261</v>
      </c>
      <c r="AZ224" s="73"/>
      <c r="BA224" s="73" t="e">
        <f>LOOKUP(AZ224,FORMULAS!$A:$A,FORMULAS!$B:$B)</f>
        <v>#N/A</v>
      </c>
      <c r="BB224" s="78"/>
      <c r="BC224" s="73"/>
      <c r="BD224" s="73"/>
      <c r="BE224" s="73"/>
      <c r="BF224" s="73"/>
      <c r="BG224" s="73"/>
      <c r="BH224" s="73"/>
      <c r="BI224" s="73"/>
      <c r="BJ224" s="73" t="e">
        <f>WEEKNUM(BI224-RESUMEN!$BL$7)</f>
        <v>#NUM!</v>
      </c>
      <c r="BK224" s="73">
        <f>_xlfn.DAYS(BI224,RESUMEN!$BL$7)</f>
        <v>-43267</v>
      </c>
      <c r="BL224" s="73"/>
      <c r="BM224" s="73" t="e">
        <f>LOOKUP(BL224,FORMULAS!$A:$A,FORMULAS!$B:$B)</f>
        <v>#N/A</v>
      </c>
      <c r="BN224" s="78"/>
      <c r="BO224" s="73"/>
      <c r="BP224" s="73"/>
      <c r="BQ224" s="73"/>
      <c r="BR224" s="73"/>
      <c r="BS224" s="73"/>
      <c r="BT224" s="73"/>
    </row>
    <row r="225" spans="1:72" x14ac:dyDescent="0.25">
      <c r="A225" s="75"/>
      <c r="B225" s="74" t="e">
        <f>WEEKNUM(A225-RESUMEN!$D$7)</f>
        <v>#NUM!</v>
      </c>
      <c r="C225" s="74">
        <f>_xlfn.DAYS(A225,RESUMEN!$D$7)</f>
        <v>-43238</v>
      </c>
      <c r="D225" s="75"/>
      <c r="E225" s="73" t="e">
        <f>LOOKUP(D225,FORMULAS!$A:$A,FORMULAS!$B:$B)</f>
        <v>#N/A</v>
      </c>
      <c r="F225" s="80"/>
      <c r="G225" s="75"/>
      <c r="H225" s="75"/>
      <c r="I225" s="73"/>
      <c r="J225" s="73"/>
      <c r="K225" s="73"/>
      <c r="L225" s="73"/>
      <c r="M225" s="73"/>
      <c r="N225" s="73" t="e">
        <f>WEEKNUM(M225-RESUMEN!$P$7)</f>
        <v>#NUM!</v>
      </c>
      <c r="O225" s="73">
        <f>_xlfn.DAYS(M225,RESUMEN!$P$7)</f>
        <v>-43242</v>
      </c>
      <c r="P225" s="73"/>
      <c r="Q225" s="73" t="e">
        <f>LOOKUP(P225,FORMULAS!$A:$A,FORMULAS!$B:$B)</f>
        <v>#N/A</v>
      </c>
      <c r="R225" s="78"/>
      <c r="S225" s="73"/>
      <c r="T225" s="73"/>
      <c r="U225" s="73"/>
      <c r="V225" s="73"/>
      <c r="W225" s="73"/>
      <c r="X225" s="73"/>
      <c r="Y225" s="73"/>
      <c r="Z225" s="73" t="e">
        <f>WEEKNUM(Y225-RESUMEN!$AB$7)</f>
        <v>#NUM!</v>
      </c>
      <c r="AA225" s="73">
        <f>_xlfn.DAYS(Y225,RESUMEN!$AB$7)</f>
        <v>-43247</v>
      </c>
      <c r="AB225" s="73"/>
      <c r="AC225" s="73" t="e">
        <f>LOOKUP(AB225,FORMULAS!$A:$A,FORMULAS!$B:$B)</f>
        <v>#N/A</v>
      </c>
      <c r="AD225" s="78"/>
      <c r="AE225" s="73"/>
      <c r="AF225" s="73"/>
      <c r="AG225" s="73"/>
      <c r="AH225" s="73"/>
      <c r="AI225" s="73"/>
      <c r="AJ225" s="73"/>
      <c r="AK225" s="73"/>
      <c r="AL225" s="73" t="e">
        <f>WEEKNUM(AK225-RESUMEN!$AN$7)</f>
        <v>#NUM!</v>
      </c>
      <c r="AM225" s="73">
        <f>_xlfn.DAYS(AK225,RESUMEN!$AN$7)</f>
        <v>-43254</v>
      </c>
      <c r="AN225" s="73"/>
      <c r="AO225" s="73" t="e">
        <f>LOOKUP(AN225,FORMULAS!$A:$A,FORMULAS!$B:$B)</f>
        <v>#N/A</v>
      </c>
      <c r="AP225" s="78"/>
      <c r="AQ225" s="78"/>
      <c r="AR225" s="73"/>
      <c r="AS225" s="73"/>
      <c r="AT225" s="73"/>
      <c r="AU225" s="73"/>
      <c r="AV225" s="73"/>
      <c r="AW225" s="73"/>
      <c r="AX225" s="73" t="e">
        <f>WEEKNUM(AW225-RESUMEN!$AZ$7)</f>
        <v>#NUM!</v>
      </c>
      <c r="AY225" s="73">
        <f>_xlfn.DAYS(AW225,RESUMEN!$AZ$7)</f>
        <v>-43261</v>
      </c>
      <c r="AZ225" s="73"/>
      <c r="BA225" s="73" t="e">
        <f>LOOKUP(AZ225,FORMULAS!$A:$A,FORMULAS!$B:$B)</f>
        <v>#N/A</v>
      </c>
      <c r="BB225" s="78"/>
      <c r="BC225" s="73"/>
      <c r="BD225" s="73"/>
      <c r="BE225" s="73"/>
      <c r="BF225" s="73"/>
      <c r="BG225" s="73"/>
      <c r="BH225" s="73"/>
      <c r="BI225" s="73"/>
      <c r="BJ225" s="73" t="e">
        <f>WEEKNUM(BI225-RESUMEN!$BL$7)</f>
        <v>#NUM!</v>
      </c>
      <c r="BK225" s="73">
        <f>_xlfn.DAYS(BI225,RESUMEN!$BL$7)</f>
        <v>-43267</v>
      </c>
      <c r="BL225" s="73"/>
      <c r="BM225" s="73" t="e">
        <f>LOOKUP(BL225,FORMULAS!$A:$A,FORMULAS!$B:$B)</f>
        <v>#N/A</v>
      </c>
      <c r="BN225" s="78"/>
      <c r="BO225" s="73"/>
      <c r="BP225" s="73"/>
      <c r="BQ225" s="73"/>
      <c r="BR225" s="73"/>
      <c r="BS225" s="73"/>
      <c r="BT225" s="73"/>
    </row>
    <row r="226" spans="1:72" x14ac:dyDescent="0.25">
      <c r="A226" s="75"/>
      <c r="B226" s="74" t="e">
        <f>WEEKNUM(A226-RESUMEN!$D$7)</f>
        <v>#NUM!</v>
      </c>
      <c r="C226" s="74">
        <f>_xlfn.DAYS(A226,RESUMEN!$D$7)</f>
        <v>-43238</v>
      </c>
      <c r="D226" s="75"/>
      <c r="E226" s="73" t="e">
        <f>LOOKUP(D226,FORMULAS!$A:$A,FORMULAS!$B:$B)</f>
        <v>#N/A</v>
      </c>
      <c r="F226" s="80"/>
      <c r="G226" s="75"/>
      <c r="H226" s="75"/>
      <c r="I226" s="73"/>
      <c r="J226" s="73"/>
      <c r="K226" s="73"/>
      <c r="L226" s="73"/>
      <c r="M226" s="73"/>
      <c r="N226" s="73" t="e">
        <f>WEEKNUM(M226-RESUMEN!$P$7)</f>
        <v>#NUM!</v>
      </c>
      <c r="O226" s="73">
        <f>_xlfn.DAYS(M226,RESUMEN!$P$7)</f>
        <v>-43242</v>
      </c>
      <c r="P226" s="73"/>
      <c r="Q226" s="73" t="e">
        <f>LOOKUP(P226,FORMULAS!$A:$A,FORMULAS!$B:$B)</f>
        <v>#N/A</v>
      </c>
      <c r="R226" s="78"/>
      <c r="S226" s="73"/>
      <c r="T226" s="73"/>
      <c r="U226" s="73"/>
      <c r="V226" s="73"/>
      <c r="W226" s="73"/>
      <c r="X226" s="73"/>
      <c r="Y226" s="73"/>
      <c r="Z226" s="73" t="e">
        <f>WEEKNUM(Y226-RESUMEN!$AB$7)</f>
        <v>#NUM!</v>
      </c>
      <c r="AA226" s="73">
        <f>_xlfn.DAYS(Y226,RESUMEN!$AB$7)</f>
        <v>-43247</v>
      </c>
      <c r="AB226" s="73"/>
      <c r="AC226" s="73" t="e">
        <f>LOOKUP(AB226,FORMULAS!$A:$A,FORMULAS!$B:$B)</f>
        <v>#N/A</v>
      </c>
      <c r="AD226" s="78"/>
      <c r="AE226" s="73"/>
      <c r="AF226" s="73"/>
      <c r="AG226" s="73"/>
      <c r="AH226" s="73"/>
      <c r="AI226" s="73"/>
      <c r="AJ226" s="73"/>
      <c r="AK226" s="73"/>
      <c r="AL226" s="73" t="e">
        <f>WEEKNUM(AK226-RESUMEN!$AN$7)</f>
        <v>#NUM!</v>
      </c>
      <c r="AM226" s="73">
        <f>_xlfn.DAYS(AK226,RESUMEN!$AN$7)</f>
        <v>-43254</v>
      </c>
      <c r="AN226" s="73"/>
      <c r="AO226" s="73" t="e">
        <f>LOOKUP(AN226,FORMULAS!$A:$A,FORMULAS!$B:$B)</f>
        <v>#N/A</v>
      </c>
      <c r="AP226" s="78"/>
      <c r="AQ226" s="78"/>
      <c r="AR226" s="73"/>
      <c r="AS226" s="73"/>
      <c r="AT226" s="73"/>
      <c r="AU226" s="73"/>
      <c r="AV226" s="73"/>
      <c r="AW226" s="73"/>
      <c r="AX226" s="73" t="e">
        <f>WEEKNUM(AW226-RESUMEN!$AZ$7)</f>
        <v>#NUM!</v>
      </c>
      <c r="AY226" s="73">
        <f>_xlfn.DAYS(AW226,RESUMEN!$AZ$7)</f>
        <v>-43261</v>
      </c>
      <c r="AZ226" s="73"/>
      <c r="BA226" s="73" t="e">
        <f>LOOKUP(AZ226,FORMULAS!$A:$A,FORMULAS!$B:$B)</f>
        <v>#N/A</v>
      </c>
      <c r="BB226" s="78"/>
      <c r="BC226" s="73"/>
      <c r="BD226" s="73"/>
      <c r="BE226" s="73"/>
      <c r="BF226" s="73"/>
      <c r="BG226" s="73"/>
      <c r="BH226" s="73"/>
      <c r="BI226" s="73"/>
      <c r="BJ226" s="73" t="e">
        <f>WEEKNUM(BI226-RESUMEN!$BL$7)</f>
        <v>#NUM!</v>
      </c>
      <c r="BK226" s="73">
        <f>_xlfn.DAYS(BI226,RESUMEN!$BL$7)</f>
        <v>-43267</v>
      </c>
      <c r="BL226" s="73"/>
      <c r="BM226" s="73" t="e">
        <f>LOOKUP(BL226,FORMULAS!$A:$A,FORMULAS!$B:$B)</f>
        <v>#N/A</v>
      </c>
      <c r="BN226" s="78"/>
      <c r="BO226" s="73"/>
      <c r="BP226" s="73"/>
      <c r="BQ226" s="73"/>
      <c r="BR226" s="73"/>
      <c r="BS226" s="73"/>
      <c r="BT226" s="73"/>
    </row>
    <row r="227" spans="1:72" x14ac:dyDescent="0.25">
      <c r="A227" s="75"/>
      <c r="B227" s="74" t="e">
        <f>WEEKNUM(A227-RESUMEN!$D$7)</f>
        <v>#NUM!</v>
      </c>
      <c r="C227" s="74">
        <f>_xlfn.DAYS(A227,RESUMEN!$D$7)</f>
        <v>-43238</v>
      </c>
      <c r="D227" s="75"/>
      <c r="E227" s="73" t="e">
        <f>LOOKUP(D227,FORMULAS!$A:$A,FORMULAS!$B:$B)</f>
        <v>#N/A</v>
      </c>
      <c r="F227" s="80"/>
      <c r="G227" s="75"/>
      <c r="H227" s="75"/>
      <c r="I227" s="73"/>
      <c r="J227" s="73"/>
      <c r="K227" s="73"/>
      <c r="L227" s="73"/>
      <c r="M227" s="73"/>
      <c r="N227" s="73" t="e">
        <f>WEEKNUM(M227-RESUMEN!$P$7)</f>
        <v>#NUM!</v>
      </c>
      <c r="O227" s="73">
        <f>_xlfn.DAYS(M227,RESUMEN!$P$7)</f>
        <v>-43242</v>
      </c>
      <c r="P227" s="73"/>
      <c r="Q227" s="73" t="e">
        <f>LOOKUP(P227,FORMULAS!$A:$A,FORMULAS!$B:$B)</f>
        <v>#N/A</v>
      </c>
      <c r="R227" s="78"/>
      <c r="S227" s="73"/>
      <c r="T227" s="73"/>
      <c r="U227" s="73"/>
      <c r="V227" s="73"/>
      <c r="W227" s="73"/>
      <c r="X227" s="73"/>
      <c r="Y227" s="73"/>
      <c r="Z227" s="73" t="e">
        <f>WEEKNUM(Y227-RESUMEN!$AB$7)</f>
        <v>#NUM!</v>
      </c>
      <c r="AA227" s="73">
        <f>_xlfn.DAYS(Y227,RESUMEN!$AB$7)</f>
        <v>-43247</v>
      </c>
      <c r="AB227" s="73"/>
      <c r="AC227" s="73" t="e">
        <f>LOOKUP(AB227,FORMULAS!$A:$A,FORMULAS!$B:$B)</f>
        <v>#N/A</v>
      </c>
      <c r="AD227" s="78"/>
      <c r="AE227" s="73"/>
      <c r="AF227" s="73"/>
      <c r="AG227" s="73"/>
      <c r="AH227" s="73"/>
      <c r="AI227" s="73"/>
      <c r="AJ227" s="73"/>
      <c r="AK227" s="73"/>
      <c r="AL227" s="73" t="e">
        <f>WEEKNUM(AK227-RESUMEN!$AN$7)</f>
        <v>#NUM!</v>
      </c>
      <c r="AM227" s="73">
        <f>_xlfn.DAYS(AK227,RESUMEN!$AN$7)</f>
        <v>-43254</v>
      </c>
      <c r="AN227" s="73"/>
      <c r="AO227" s="73" t="e">
        <f>LOOKUP(AN227,FORMULAS!$A:$A,FORMULAS!$B:$B)</f>
        <v>#N/A</v>
      </c>
      <c r="AP227" s="78"/>
      <c r="AQ227" s="78"/>
      <c r="AR227" s="73"/>
      <c r="AS227" s="73"/>
      <c r="AT227" s="73"/>
      <c r="AU227" s="73"/>
      <c r="AV227" s="73"/>
      <c r="AW227" s="73"/>
      <c r="AX227" s="73" t="e">
        <f>WEEKNUM(AW227-RESUMEN!$AZ$7)</f>
        <v>#NUM!</v>
      </c>
      <c r="AY227" s="73">
        <f>_xlfn.DAYS(AW227,RESUMEN!$AZ$7)</f>
        <v>-43261</v>
      </c>
      <c r="AZ227" s="73"/>
      <c r="BA227" s="73" t="e">
        <f>LOOKUP(AZ227,FORMULAS!$A:$A,FORMULAS!$B:$B)</f>
        <v>#N/A</v>
      </c>
      <c r="BB227" s="78"/>
      <c r="BC227" s="73"/>
      <c r="BD227" s="73"/>
      <c r="BE227" s="73"/>
      <c r="BF227" s="73"/>
      <c r="BG227" s="73"/>
      <c r="BH227" s="73"/>
      <c r="BI227" s="73"/>
      <c r="BJ227" s="73" t="e">
        <f>WEEKNUM(BI227-RESUMEN!$BL$7)</f>
        <v>#NUM!</v>
      </c>
      <c r="BK227" s="73">
        <f>_xlfn.DAYS(BI227,RESUMEN!$BL$7)</f>
        <v>-43267</v>
      </c>
      <c r="BL227" s="73"/>
      <c r="BM227" s="73" t="e">
        <f>LOOKUP(BL227,FORMULAS!$A:$A,FORMULAS!$B:$B)</f>
        <v>#N/A</v>
      </c>
      <c r="BN227" s="78"/>
      <c r="BO227" s="73"/>
      <c r="BP227" s="73"/>
      <c r="BQ227" s="73"/>
      <c r="BR227" s="73"/>
      <c r="BS227" s="73"/>
      <c r="BT227" s="73"/>
    </row>
    <row r="228" spans="1:72" x14ac:dyDescent="0.25">
      <c r="A228" s="75"/>
      <c r="B228" s="74" t="e">
        <f>WEEKNUM(A228-RESUMEN!$D$7)</f>
        <v>#NUM!</v>
      </c>
      <c r="C228" s="74">
        <f>_xlfn.DAYS(A228,RESUMEN!$D$7)</f>
        <v>-43238</v>
      </c>
      <c r="D228" s="75"/>
      <c r="E228" s="73" t="e">
        <f>LOOKUP(D228,FORMULAS!$A:$A,FORMULAS!$B:$B)</f>
        <v>#N/A</v>
      </c>
      <c r="F228" s="80"/>
      <c r="G228" s="75"/>
      <c r="H228" s="75"/>
      <c r="I228" s="73"/>
      <c r="J228" s="73"/>
      <c r="K228" s="73"/>
      <c r="L228" s="73"/>
      <c r="M228" s="73"/>
      <c r="N228" s="73" t="e">
        <f>WEEKNUM(M228-RESUMEN!$P$7)</f>
        <v>#NUM!</v>
      </c>
      <c r="O228" s="73">
        <f>_xlfn.DAYS(M228,RESUMEN!$P$7)</f>
        <v>-43242</v>
      </c>
      <c r="P228" s="73"/>
      <c r="Q228" s="73" t="e">
        <f>LOOKUP(P228,FORMULAS!$A:$A,FORMULAS!$B:$B)</f>
        <v>#N/A</v>
      </c>
      <c r="R228" s="78"/>
      <c r="S228" s="73"/>
      <c r="T228" s="73"/>
      <c r="U228" s="73"/>
      <c r="V228" s="73"/>
      <c r="W228" s="73"/>
      <c r="X228" s="73"/>
      <c r="Y228" s="73"/>
      <c r="Z228" s="73" t="e">
        <f>WEEKNUM(Y228-RESUMEN!$AB$7)</f>
        <v>#NUM!</v>
      </c>
      <c r="AA228" s="73">
        <f>_xlfn.DAYS(Y228,RESUMEN!$AB$7)</f>
        <v>-43247</v>
      </c>
      <c r="AB228" s="73"/>
      <c r="AC228" s="73" t="e">
        <f>LOOKUP(AB228,FORMULAS!$A:$A,FORMULAS!$B:$B)</f>
        <v>#N/A</v>
      </c>
      <c r="AD228" s="78"/>
      <c r="AE228" s="73"/>
      <c r="AF228" s="73"/>
      <c r="AG228" s="73"/>
      <c r="AH228" s="73"/>
      <c r="AI228" s="73"/>
      <c r="AJ228" s="73"/>
      <c r="AK228" s="73"/>
      <c r="AL228" s="73" t="e">
        <f>WEEKNUM(AK228-RESUMEN!$AN$7)</f>
        <v>#NUM!</v>
      </c>
      <c r="AM228" s="73">
        <f>_xlfn.DAYS(AK228,RESUMEN!$AN$7)</f>
        <v>-43254</v>
      </c>
      <c r="AN228" s="73"/>
      <c r="AO228" s="73" t="e">
        <f>LOOKUP(AN228,FORMULAS!$A:$A,FORMULAS!$B:$B)</f>
        <v>#N/A</v>
      </c>
      <c r="AP228" s="78"/>
      <c r="AQ228" s="78"/>
      <c r="AR228" s="73"/>
      <c r="AS228" s="73"/>
      <c r="AT228" s="73"/>
      <c r="AU228" s="73"/>
      <c r="AV228" s="73"/>
      <c r="AW228" s="73"/>
      <c r="AX228" s="73" t="e">
        <f>WEEKNUM(AW228-RESUMEN!$AZ$7)</f>
        <v>#NUM!</v>
      </c>
      <c r="AY228" s="73">
        <f>_xlfn.DAYS(AW228,RESUMEN!$AZ$7)</f>
        <v>-43261</v>
      </c>
      <c r="AZ228" s="73"/>
      <c r="BA228" s="73" t="e">
        <f>LOOKUP(AZ228,FORMULAS!$A:$A,FORMULAS!$B:$B)</f>
        <v>#N/A</v>
      </c>
      <c r="BB228" s="78"/>
      <c r="BC228" s="73"/>
      <c r="BD228" s="73"/>
      <c r="BE228" s="73"/>
      <c r="BF228" s="73"/>
      <c r="BG228" s="73"/>
      <c r="BH228" s="73"/>
      <c r="BI228" s="73"/>
      <c r="BJ228" s="73" t="e">
        <f>WEEKNUM(BI228-RESUMEN!$BL$7)</f>
        <v>#NUM!</v>
      </c>
      <c r="BK228" s="73">
        <f>_xlfn.DAYS(BI228,RESUMEN!$BL$7)</f>
        <v>-43267</v>
      </c>
      <c r="BL228" s="73"/>
      <c r="BM228" s="73" t="e">
        <f>LOOKUP(BL228,FORMULAS!$A:$A,FORMULAS!$B:$B)</f>
        <v>#N/A</v>
      </c>
      <c r="BN228" s="78"/>
      <c r="BO228" s="73"/>
      <c r="BP228" s="73"/>
      <c r="BQ228" s="73"/>
      <c r="BR228" s="73"/>
      <c r="BS228" s="73"/>
      <c r="BT228" s="73"/>
    </row>
    <row r="229" spans="1:72" x14ac:dyDescent="0.25">
      <c r="A229" s="75"/>
      <c r="B229" s="74" t="e">
        <f>WEEKNUM(A229-RESUMEN!$D$7)</f>
        <v>#NUM!</v>
      </c>
      <c r="C229" s="74">
        <f>_xlfn.DAYS(A229,RESUMEN!$D$7)</f>
        <v>-43238</v>
      </c>
      <c r="D229" s="75"/>
      <c r="E229" s="73" t="e">
        <f>LOOKUP(D229,FORMULAS!$A:$A,FORMULAS!$B:$B)</f>
        <v>#N/A</v>
      </c>
      <c r="F229" s="80"/>
      <c r="G229" s="75"/>
      <c r="H229" s="75"/>
      <c r="I229" s="73"/>
      <c r="J229" s="73"/>
      <c r="K229" s="73"/>
      <c r="L229" s="73"/>
      <c r="M229" s="73"/>
      <c r="N229" s="73" t="e">
        <f>WEEKNUM(M229-RESUMEN!$P$7)</f>
        <v>#NUM!</v>
      </c>
      <c r="O229" s="73">
        <f>_xlfn.DAYS(M229,RESUMEN!$P$7)</f>
        <v>-43242</v>
      </c>
      <c r="P229" s="73"/>
      <c r="Q229" s="73" t="e">
        <f>LOOKUP(P229,FORMULAS!$A:$A,FORMULAS!$B:$B)</f>
        <v>#N/A</v>
      </c>
      <c r="R229" s="78"/>
      <c r="S229" s="73"/>
      <c r="T229" s="73"/>
      <c r="U229" s="73"/>
      <c r="V229" s="73"/>
      <c r="W229" s="73"/>
      <c r="X229" s="73"/>
      <c r="Y229" s="73"/>
      <c r="Z229" s="73" t="e">
        <f>WEEKNUM(Y229-RESUMEN!$AB$7)</f>
        <v>#NUM!</v>
      </c>
      <c r="AA229" s="73">
        <f>_xlfn.DAYS(Y229,RESUMEN!$AB$7)</f>
        <v>-43247</v>
      </c>
      <c r="AB229" s="73"/>
      <c r="AC229" s="73" t="e">
        <f>LOOKUP(AB229,FORMULAS!$A:$A,FORMULAS!$B:$B)</f>
        <v>#N/A</v>
      </c>
      <c r="AD229" s="78"/>
      <c r="AE229" s="73"/>
      <c r="AF229" s="73"/>
      <c r="AG229" s="73"/>
      <c r="AH229" s="73"/>
      <c r="AI229" s="73"/>
      <c r="AJ229" s="73"/>
      <c r="AK229" s="73"/>
      <c r="AL229" s="73" t="e">
        <f>WEEKNUM(AK229-RESUMEN!$AN$7)</f>
        <v>#NUM!</v>
      </c>
      <c r="AM229" s="73">
        <f>_xlfn.DAYS(AK229,RESUMEN!$AN$7)</f>
        <v>-43254</v>
      </c>
      <c r="AN229" s="73"/>
      <c r="AO229" s="73" t="e">
        <f>LOOKUP(AN229,FORMULAS!$A:$A,FORMULAS!$B:$B)</f>
        <v>#N/A</v>
      </c>
      <c r="AP229" s="78"/>
      <c r="AQ229" s="78"/>
      <c r="AR229" s="73"/>
      <c r="AS229" s="73"/>
      <c r="AT229" s="73"/>
      <c r="AU229" s="73"/>
      <c r="AV229" s="73"/>
      <c r="AW229" s="73"/>
      <c r="AX229" s="73" t="e">
        <f>WEEKNUM(AW229-RESUMEN!$AZ$7)</f>
        <v>#NUM!</v>
      </c>
      <c r="AY229" s="73">
        <f>_xlfn.DAYS(AW229,RESUMEN!$AZ$7)</f>
        <v>-43261</v>
      </c>
      <c r="AZ229" s="73"/>
      <c r="BA229" s="73" t="e">
        <f>LOOKUP(AZ229,FORMULAS!$A:$A,FORMULAS!$B:$B)</f>
        <v>#N/A</v>
      </c>
      <c r="BB229" s="78"/>
      <c r="BC229" s="73"/>
      <c r="BD229" s="73"/>
      <c r="BE229" s="73"/>
      <c r="BF229" s="73"/>
      <c r="BG229" s="73"/>
      <c r="BH229" s="73"/>
      <c r="BI229" s="73"/>
      <c r="BJ229" s="73" t="e">
        <f>WEEKNUM(BI229-RESUMEN!$BL$7)</f>
        <v>#NUM!</v>
      </c>
      <c r="BK229" s="73">
        <f>_xlfn.DAYS(BI229,RESUMEN!$BL$7)</f>
        <v>-43267</v>
      </c>
      <c r="BL229" s="73"/>
      <c r="BM229" s="73" t="e">
        <f>LOOKUP(BL229,FORMULAS!$A:$A,FORMULAS!$B:$B)</f>
        <v>#N/A</v>
      </c>
      <c r="BN229" s="78"/>
      <c r="BO229" s="73"/>
      <c r="BP229" s="73"/>
      <c r="BQ229" s="73"/>
      <c r="BR229" s="73"/>
      <c r="BS229" s="73"/>
      <c r="BT229" s="73"/>
    </row>
    <row r="230" spans="1:72" x14ac:dyDescent="0.25">
      <c r="A230" s="75"/>
      <c r="B230" s="74" t="e">
        <f>WEEKNUM(A230-RESUMEN!$D$7)</f>
        <v>#NUM!</v>
      </c>
      <c r="C230" s="74">
        <f>_xlfn.DAYS(A230,RESUMEN!$D$7)</f>
        <v>-43238</v>
      </c>
      <c r="D230" s="75"/>
      <c r="E230" s="73" t="e">
        <f>LOOKUP(D230,FORMULAS!$A:$A,FORMULAS!$B:$B)</f>
        <v>#N/A</v>
      </c>
      <c r="F230" s="80"/>
      <c r="G230" s="75"/>
      <c r="H230" s="75"/>
      <c r="I230" s="73"/>
      <c r="J230" s="73"/>
      <c r="K230" s="73"/>
      <c r="L230" s="73"/>
      <c r="M230" s="73"/>
      <c r="N230" s="73" t="e">
        <f>WEEKNUM(M230-RESUMEN!$P$7)</f>
        <v>#NUM!</v>
      </c>
      <c r="O230" s="73">
        <f>_xlfn.DAYS(M230,RESUMEN!$P$7)</f>
        <v>-43242</v>
      </c>
      <c r="P230" s="73"/>
      <c r="Q230" s="73" t="e">
        <f>LOOKUP(P230,FORMULAS!$A:$A,FORMULAS!$B:$B)</f>
        <v>#N/A</v>
      </c>
      <c r="R230" s="78"/>
      <c r="S230" s="73"/>
      <c r="T230" s="73"/>
      <c r="U230" s="73"/>
      <c r="V230" s="73"/>
      <c r="W230" s="73"/>
      <c r="X230" s="73"/>
      <c r="Y230" s="73"/>
      <c r="Z230" s="73" t="e">
        <f>WEEKNUM(Y230-RESUMEN!$AB$7)</f>
        <v>#NUM!</v>
      </c>
      <c r="AA230" s="73">
        <f>_xlfn.DAYS(Y230,RESUMEN!$AB$7)</f>
        <v>-43247</v>
      </c>
      <c r="AB230" s="73"/>
      <c r="AC230" s="73" t="e">
        <f>LOOKUP(AB230,FORMULAS!$A:$A,FORMULAS!$B:$B)</f>
        <v>#N/A</v>
      </c>
      <c r="AD230" s="78"/>
      <c r="AE230" s="73"/>
      <c r="AF230" s="73"/>
      <c r="AG230" s="73"/>
      <c r="AH230" s="73"/>
      <c r="AI230" s="73"/>
      <c r="AJ230" s="73"/>
      <c r="AK230" s="73"/>
      <c r="AL230" s="73" t="e">
        <f>WEEKNUM(AK230-RESUMEN!$AN$7)</f>
        <v>#NUM!</v>
      </c>
      <c r="AM230" s="73">
        <f>_xlfn.DAYS(AK230,RESUMEN!$AN$7)</f>
        <v>-43254</v>
      </c>
      <c r="AN230" s="73"/>
      <c r="AO230" s="73" t="e">
        <f>LOOKUP(AN230,FORMULAS!$A:$A,FORMULAS!$B:$B)</f>
        <v>#N/A</v>
      </c>
      <c r="AP230" s="78"/>
      <c r="AQ230" s="78"/>
      <c r="AR230" s="73"/>
      <c r="AS230" s="73"/>
      <c r="AT230" s="73"/>
      <c r="AU230" s="73"/>
      <c r="AV230" s="73"/>
      <c r="AW230" s="73"/>
      <c r="AX230" s="73" t="e">
        <f>WEEKNUM(AW230-RESUMEN!$AZ$7)</f>
        <v>#NUM!</v>
      </c>
      <c r="AY230" s="73">
        <f>_xlfn.DAYS(AW230,RESUMEN!$AZ$7)</f>
        <v>-43261</v>
      </c>
      <c r="AZ230" s="73"/>
      <c r="BA230" s="73" t="e">
        <f>LOOKUP(AZ230,FORMULAS!$A:$A,FORMULAS!$B:$B)</f>
        <v>#N/A</v>
      </c>
      <c r="BB230" s="78"/>
      <c r="BC230" s="73"/>
      <c r="BD230" s="73"/>
      <c r="BE230" s="73"/>
      <c r="BF230" s="73"/>
      <c r="BG230" s="73"/>
      <c r="BH230" s="73"/>
      <c r="BI230" s="73"/>
      <c r="BJ230" s="73" t="e">
        <f>WEEKNUM(BI230-RESUMEN!$BL$7)</f>
        <v>#NUM!</v>
      </c>
      <c r="BK230" s="73">
        <f>_xlfn.DAYS(BI230,RESUMEN!$BL$7)</f>
        <v>-43267</v>
      </c>
      <c r="BL230" s="73"/>
      <c r="BM230" s="73" t="e">
        <f>LOOKUP(BL230,FORMULAS!$A:$A,FORMULAS!$B:$B)</f>
        <v>#N/A</v>
      </c>
      <c r="BN230" s="78"/>
      <c r="BO230" s="73"/>
      <c r="BP230" s="73"/>
      <c r="BQ230" s="73"/>
      <c r="BR230" s="73"/>
      <c r="BS230" s="73"/>
      <c r="BT230" s="73"/>
    </row>
    <row r="231" spans="1:72" x14ac:dyDescent="0.25">
      <c r="A231" s="75"/>
      <c r="B231" s="74" t="e">
        <f>WEEKNUM(A231-RESUMEN!$D$7)</f>
        <v>#NUM!</v>
      </c>
      <c r="C231" s="74">
        <f>_xlfn.DAYS(A231,RESUMEN!$D$7)</f>
        <v>-43238</v>
      </c>
      <c r="D231" s="75"/>
      <c r="E231" s="73" t="e">
        <f>LOOKUP(D231,FORMULAS!$A:$A,FORMULAS!$B:$B)</f>
        <v>#N/A</v>
      </c>
      <c r="F231" s="80"/>
      <c r="G231" s="75"/>
      <c r="H231" s="75"/>
      <c r="I231" s="73"/>
      <c r="J231" s="73"/>
      <c r="K231" s="73"/>
      <c r="L231" s="73"/>
      <c r="M231" s="73"/>
      <c r="N231" s="73" t="e">
        <f>WEEKNUM(M231-RESUMEN!$P$7)</f>
        <v>#NUM!</v>
      </c>
      <c r="O231" s="73">
        <f>_xlfn.DAYS(M231,RESUMEN!$P$7)</f>
        <v>-43242</v>
      </c>
      <c r="P231" s="73"/>
      <c r="Q231" s="73" t="e">
        <f>LOOKUP(P231,FORMULAS!$A:$A,FORMULAS!$B:$B)</f>
        <v>#N/A</v>
      </c>
      <c r="R231" s="78"/>
      <c r="S231" s="73"/>
      <c r="T231" s="73"/>
      <c r="U231" s="73"/>
      <c r="V231" s="73"/>
      <c r="W231" s="73"/>
      <c r="X231" s="73"/>
      <c r="Y231" s="73"/>
      <c r="Z231" s="73" t="e">
        <f>WEEKNUM(Y231-RESUMEN!$AB$7)</f>
        <v>#NUM!</v>
      </c>
      <c r="AA231" s="73">
        <f>_xlfn.DAYS(Y231,RESUMEN!$AB$7)</f>
        <v>-43247</v>
      </c>
      <c r="AB231" s="73"/>
      <c r="AC231" s="73" t="e">
        <f>LOOKUP(AB231,FORMULAS!$A:$A,FORMULAS!$B:$B)</f>
        <v>#N/A</v>
      </c>
      <c r="AD231" s="78"/>
      <c r="AE231" s="73"/>
      <c r="AF231" s="73"/>
      <c r="AG231" s="73"/>
      <c r="AH231" s="73"/>
      <c r="AI231" s="73"/>
      <c r="AJ231" s="73"/>
      <c r="AK231" s="73"/>
      <c r="AL231" s="73" t="e">
        <f>WEEKNUM(AK231-RESUMEN!$AN$7)</f>
        <v>#NUM!</v>
      </c>
      <c r="AM231" s="73">
        <f>_xlfn.DAYS(AK231,RESUMEN!$AN$7)</f>
        <v>-43254</v>
      </c>
      <c r="AN231" s="73"/>
      <c r="AO231" s="73" t="e">
        <f>LOOKUP(AN231,FORMULAS!$A:$A,FORMULAS!$B:$B)</f>
        <v>#N/A</v>
      </c>
      <c r="AP231" s="78"/>
      <c r="AQ231" s="78"/>
      <c r="AR231" s="73"/>
      <c r="AS231" s="73"/>
      <c r="AT231" s="73"/>
      <c r="AU231" s="73"/>
      <c r="AV231" s="73"/>
      <c r="AW231" s="73"/>
      <c r="AX231" s="73" t="e">
        <f>WEEKNUM(AW231-RESUMEN!$AZ$7)</f>
        <v>#NUM!</v>
      </c>
      <c r="AY231" s="73">
        <f>_xlfn.DAYS(AW231,RESUMEN!$AZ$7)</f>
        <v>-43261</v>
      </c>
      <c r="AZ231" s="73"/>
      <c r="BA231" s="73" t="e">
        <f>LOOKUP(AZ231,FORMULAS!$A:$A,FORMULAS!$B:$B)</f>
        <v>#N/A</v>
      </c>
      <c r="BB231" s="78"/>
      <c r="BC231" s="73"/>
      <c r="BD231" s="73"/>
      <c r="BE231" s="73"/>
      <c r="BF231" s="73"/>
      <c r="BG231" s="73"/>
      <c r="BH231" s="73"/>
      <c r="BI231" s="73"/>
      <c r="BJ231" s="73" t="e">
        <f>WEEKNUM(BI231-RESUMEN!$BL$7)</f>
        <v>#NUM!</v>
      </c>
      <c r="BK231" s="73">
        <f>_xlfn.DAYS(BI231,RESUMEN!$BL$7)</f>
        <v>-43267</v>
      </c>
      <c r="BL231" s="73"/>
      <c r="BM231" s="73" t="e">
        <f>LOOKUP(BL231,FORMULAS!$A:$A,FORMULAS!$B:$B)</f>
        <v>#N/A</v>
      </c>
      <c r="BN231" s="78"/>
      <c r="BO231" s="73"/>
      <c r="BP231" s="73"/>
      <c r="BQ231" s="73"/>
      <c r="BR231" s="73"/>
      <c r="BS231" s="73"/>
      <c r="BT231" s="73"/>
    </row>
    <row r="232" spans="1:72" x14ac:dyDescent="0.25">
      <c r="A232" s="75"/>
      <c r="B232" s="74" t="e">
        <f>WEEKNUM(A232-RESUMEN!$D$7)</f>
        <v>#NUM!</v>
      </c>
      <c r="C232" s="74">
        <f>_xlfn.DAYS(A232,RESUMEN!$D$7)</f>
        <v>-43238</v>
      </c>
      <c r="D232" s="75"/>
      <c r="E232" s="73" t="e">
        <f>LOOKUP(D232,FORMULAS!$A:$A,FORMULAS!$B:$B)</f>
        <v>#N/A</v>
      </c>
      <c r="F232" s="80"/>
      <c r="G232" s="75"/>
      <c r="H232" s="75"/>
      <c r="I232" s="73"/>
      <c r="J232" s="73"/>
      <c r="K232" s="73"/>
      <c r="L232" s="73"/>
      <c r="M232" s="73"/>
      <c r="N232" s="73" t="e">
        <f>WEEKNUM(M232-RESUMEN!$P$7)</f>
        <v>#NUM!</v>
      </c>
      <c r="O232" s="73">
        <f>_xlfn.DAYS(M232,RESUMEN!$P$7)</f>
        <v>-43242</v>
      </c>
      <c r="P232" s="73"/>
      <c r="Q232" s="73" t="e">
        <f>LOOKUP(P232,FORMULAS!$A:$A,FORMULAS!$B:$B)</f>
        <v>#N/A</v>
      </c>
      <c r="R232" s="78"/>
      <c r="S232" s="73"/>
      <c r="T232" s="73"/>
      <c r="U232" s="73"/>
      <c r="V232" s="73"/>
      <c r="W232" s="73"/>
      <c r="X232" s="73"/>
      <c r="Y232" s="73"/>
      <c r="Z232" s="73" t="e">
        <f>WEEKNUM(Y232-RESUMEN!$AB$7)</f>
        <v>#NUM!</v>
      </c>
      <c r="AA232" s="73">
        <f>_xlfn.DAYS(Y232,RESUMEN!$AB$7)</f>
        <v>-43247</v>
      </c>
      <c r="AB232" s="73"/>
      <c r="AC232" s="73" t="e">
        <f>LOOKUP(AB232,FORMULAS!$A:$A,FORMULAS!$B:$B)</f>
        <v>#N/A</v>
      </c>
      <c r="AD232" s="78"/>
      <c r="AE232" s="73"/>
      <c r="AF232" s="73"/>
      <c r="AG232" s="73"/>
      <c r="AH232" s="73"/>
      <c r="AI232" s="73"/>
      <c r="AJ232" s="73"/>
      <c r="AK232" s="73"/>
      <c r="AL232" s="73" t="e">
        <f>WEEKNUM(AK232-RESUMEN!$AN$7)</f>
        <v>#NUM!</v>
      </c>
      <c r="AM232" s="73">
        <f>_xlfn.DAYS(AK232,RESUMEN!$AN$7)</f>
        <v>-43254</v>
      </c>
      <c r="AN232" s="73"/>
      <c r="AO232" s="73" t="e">
        <f>LOOKUP(AN232,FORMULAS!$A:$A,FORMULAS!$B:$B)</f>
        <v>#N/A</v>
      </c>
      <c r="AP232" s="78"/>
      <c r="AQ232" s="78"/>
      <c r="AR232" s="73"/>
      <c r="AS232" s="73"/>
      <c r="AT232" s="73"/>
      <c r="AU232" s="73"/>
      <c r="AV232" s="73"/>
      <c r="AW232" s="73"/>
      <c r="AX232" s="73" t="e">
        <f>WEEKNUM(AW232-RESUMEN!$AZ$7)</f>
        <v>#NUM!</v>
      </c>
      <c r="AY232" s="73">
        <f>_xlfn.DAYS(AW232,RESUMEN!$AZ$7)</f>
        <v>-43261</v>
      </c>
      <c r="AZ232" s="73"/>
      <c r="BA232" s="73" t="e">
        <f>LOOKUP(AZ232,FORMULAS!$A:$A,FORMULAS!$B:$B)</f>
        <v>#N/A</v>
      </c>
      <c r="BB232" s="78"/>
      <c r="BC232" s="73"/>
      <c r="BD232" s="73"/>
      <c r="BE232" s="73"/>
      <c r="BF232" s="73"/>
      <c r="BG232" s="73"/>
      <c r="BH232" s="73"/>
      <c r="BI232" s="73"/>
      <c r="BJ232" s="73" t="e">
        <f>WEEKNUM(BI232-RESUMEN!$BL$7)</f>
        <v>#NUM!</v>
      </c>
      <c r="BK232" s="73">
        <f>_xlfn.DAYS(BI232,RESUMEN!$BL$7)</f>
        <v>-43267</v>
      </c>
      <c r="BL232" s="73"/>
      <c r="BM232" s="73" t="e">
        <f>LOOKUP(BL232,FORMULAS!$A:$A,FORMULAS!$B:$B)</f>
        <v>#N/A</v>
      </c>
      <c r="BN232" s="78"/>
      <c r="BO232" s="73"/>
      <c r="BP232" s="73"/>
      <c r="BQ232" s="73"/>
      <c r="BR232" s="73"/>
      <c r="BS232" s="73"/>
      <c r="BT232" s="73"/>
    </row>
    <row r="233" spans="1:72" x14ac:dyDescent="0.25">
      <c r="A233" s="75"/>
      <c r="B233" s="74" t="e">
        <f>WEEKNUM(A233-RESUMEN!$D$7)</f>
        <v>#NUM!</v>
      </c>
      <c r="C233" s="74">
        <f>_xlfn.DAYS(A233,RESUMEN!$D$7)</f>
        <v>-43238</v>
      </c>
      <c r="D233" s="75"/>
      <c r="E233" s="73" t="e">
        <f>LOOKUP(D233,FORMULAS!$A:$A,FORMULAS!$B:$B)</f>
        <v>#N/A</v>
      </c>
      <c r="F233" s="80"/>
      <c r="G233" s="75"/>
      <c r="H233" s="75"/>
      <c r="I233" s="73"/>
      <c r="J233" s="73"/>
      <c r="K233" s="73"/>
      <c r="L233" s="73"/>
      <c r="M233" s="73"/>
      <c r="N233" s="73" t="e">
        <f>WEEKNUM(M233-RESUMEN!$P$7)</f>
        <v>#NUM!</v>
      </c>
      <c r="O233" s="73">
        <f>_xlfn.DAYS(M233,RESUMEN!$P$7)</f>
        <v>-43242</v>
      </c>
      <c r="P233" s="73"/>
      <c r="Q233" s="73" t="e">
        <f>LOOKUP(P233,FORMULAS!$A:$A,FORMULAS!$B:$B)</f>
        <v>#N/A</v>
      </c>
      <c r="R233" s="78"/>
      <c r="S233" s="73"/>
      <c r="T233" s="73"/>
      <c r="U233" s="73"/>
      <c r="V233" s="73"/>
      <c r="W233" s="73"/>
      <c r="X233" s="73"/>
      <c r="Y233" s="73"/>
      <c r="Z233" s="73" t="e">
        <f>WEEKNUM(Y233-RESUMEN!$AB$7)</f>
        <v>#NUM!</v>
      </c>
      <c r="AA233" s="73">
        <f>_xlfn.DAYS(Y233,RESUMEN!$AB$7)</f>
        <v>-43247</v>
      </c>
      <c r="AB233" s="73"/>
      <c r="AC233" s="73" t="e">
        <f>LOOKUP(AB233,FORMULAS!$A:$A,FORMULAS!$B:$B)</f>
        <v>#N/A</v>
      </c>
      <c r="AD233" s="78"/>
      <c r="AE233" s="73"/>
      <c r="AF233" s="73"/>
      <c r="AG233" s="73"/>
      <c r="AH233" s="73"/>
      <c r="AI233" s="73"/>
      <c r="AJ233" s="73"/>
      <c r="AK233" s="73"/>
      <c r="AL233" s="73" t="e">
        <f>WEEKNUM(AK233-RESUMEN!$AN$7)</f>
        <v>#NUM!</v>
      </c>
      <c r="AM233" s="73">
        <f>_xlfn.DAYS(AK233,RESUMEN!$AN$7)</f>
        <v>-43254</v>
      </c>
      <c r="AN233" s="73"/>
      <c r="AO233" s="73" t="e">
        <f>LOOKUP(AN233,FORMULAS!$A:$A,FORMULAS!$B:$B)</f>
        <v>#N/A</v>
      </c>
      <c r="AP233" s="78"/>
      <c r="AQ233" s="78"/>
      <c r="AR233" s="73"/>
      <c r="AS233" s="73"/>
      <c r="AT233" s="73"/>
      <c r="AU233" s="73"/>
      <c r="AV233" s="73"/>
      <c r="AW233" s="73"/>
      <c r="AX233" s="73" t="e">
        <f>WEEKNUM(AW233-RESUMEN!$AZ$7)</f>
        <v>#NUM!</v>
      </c>
      <c r="AY233" s="73">
        <f>_xlfn.DAYS(AW233,RESUMEN!$AZ$7)</f>
        <v>-43261</v>
      </c>
      <c r="AZ233" s="73"/>
      <c r="BA233" s="73" t="e">
        <f>LOOKUP(AZ233,FORMULAS!$A:$A,FORMULAS!$B:$B)</f>
        <v>#N/A</v>
      </c>
      <c r="BB233" s="78"/>
      <c r="BC233" s="73"/>
      <c r="BD233" s="73"/>
      <c r="BE233" s="73"/>
      <c r="BF233" s="73"/>
      <c r="BG233" s="73"/>
      <c r="BH233" s="73"/>
      <c r="BI233" s="73"/>
      <c r="BJ233" s="73" t="e">
        <f>WEEKNUM(BI233-RESUMEN!$BL$7)</f>
        <v>#NUM!</v>
      </c>
      <c r="BK233" s="73">
        <f>_xlfn.DAYS(BI233,RESUMEN!$BL$7)</f>
        <v>-43267</v>
      </c>
      <c r="BL233" s="73"/>
      <c r="BM233" s="73" t="e">
        <f>LOOKUP(BL233,FORMULAS!$A:$A,FORMULAS!$B:$B)</f>
        <v>#N/A</v>
      </c>
      <c r="BN233" s="78"/>
      <c r="BO233" s="73"/>
      <c r="BP233" s="73"/>
      <c r="BQ233" s="73"/>
      <c r="BR233" s="73"/>
      <c r="BS233" s="73"/>
      <c r="BT233" s="73"/>
    </row>
    <row r="234" spans="1:72" x14ac:dyDescent="0.25">
      <c r="A234" s="75"/>
      <c r="B234" s="74" t="e">
        <f>WEEKNUM(A234-RESUMEN!$D$7)</f>
        <v>#NUM!</v>
      </c>
      <c r="C234" s="74">
        <f>_xlfn.DAYS(A234,RESUMEN!$D$7)</f>
        <v>-43238</v>
      </c>
      <c r="D234" s="75"/>
      <c r="E234" s="73" t="e">
        <f>LOOKUP(D234,FORMULAS!$A:$A,FORMULAS!$B:$B)</f>
        <v>#N/A</v>
      </c>
      <c r="F234" s="80"/>
      <c r="G234" s="75"/>
      <c r="H234" s="75"/>
      <c r="I234" s="73"/>
      <c r="J234" s="73"/>
      <c r="K234" s="73"/>
      <c r="L234" s="73"/>
      <c r="M234" s="73"/>
      <c r="N234" s="73" t="e">
        <f>WEEKNUM(M234-RESUMEN!$P$7)</f>
        <v>#NUM!</v>
      </c>
      <c r="O234" s="73">
        <f>_xlfn.DAYS(M234,RESUMEN!$P$7)</f>
        <v>-43242</v>
      </c>
      <c r="P234" s="73"/>
      <c r="Q234" s="73" t="e">
        <f>LOOKUP(P234,FORMULAS!$A:$A,FORMULAS!$B:$B)</f>
        <v>#N/A</v>
      </c>
      <c r="R234" s="78"/>
      <c r="S234" s="73"/>
      <c r="T234" s="73"/>
      <c r="U234" s="73"/>
      <c r="V234" s="73"/>
      <c r="W234" s="73"/>
      <c r="X234" s="73"/>
      <c r="Y234" s="73"/>
      <c r="Z234" s="73" t="e">
        <f>WEEKNUM(Y234-RESUMEN!$AB$7)</f>
        <v>#NUM!</v>
      </c>
      <c r="AA234" s="73">
        <f>_xlfn.DAYS(Y234,RESUMEN!$AB$7)</f>
        <v>-43247</v>
      </c>
      <c r="AB234" s="73"/>
      <c r="AC234" s="73" t="e">
        <f>LOOKUP(AB234,FORMULAS!$A:$A,FORMULAS!$B:$B)</f>
        <v>#N/A</v>
      </c>
      <c r="AD234" s="78"/>
      <c r="AE234" s="73"/>
      <c r="AF234" s="73"/>
      <c r="AG234" s="73"/>
      <c r="AH234" s="73"/>
      <c r="AI234" s="73"/>
      <c r="AJ234" s="73"/>
      <c r="AK234" s="73"/>
      <c r="AL234" s="73" t="e">
        <f>WEEKNUM(AK234-RESUMEN!$AN$7)</f>
        <v>#NUM!</v>
      </c>
      <c r="AM234" s="73">
        <f>_xlfn.DAYS(AK234,RESUMEN!$AN$7)</f>
        <v>-43254</v>
      </c>
      <c r="AN234" s="73"/>
      <c r="AO234" s="73" t="e">
        <f>LOOKUP(AN234,FORMULAS!$A:$A,FORMULAS!$B:$B)</f>
        <v>#N/A</v>
      </c>
      <c r="AP234" s="78"/>
      <c r="AQ234" s="78"/>
      <c r="AR234" s="73"/>
      <c r="AS234" s="73"/>
      <c r="AT234" s="73"/>
      <c r="AU234" s="73"/>
      <c r="AV234" s="73"/>
      <c r="AW234" s="73"/>
      <c r="AX234" s="73" t="e">
        <f>WEEKNUM(AW234-RESUMEN!$AZ$7)</f>
        <v>#NUM!</v>
      </c>
      <c r="AY234" s="73">
        <f>_xlfn.DAYS(AW234,RESUMEN!$AZ$7)</f>
        <v>-43261</v>
      </c>
      <c r="AZ234" s="73"/>
      <c r="BA234" s="73" t="e">
        <f>LOOKUP(AZ234,FORMULAS!$A:$A,FORMULAS!$B:$B)</f>
        <v>#N/A</v>
      </c>
      <c r="BB234" s="78"/>
      <c r="BC234" s="73"/>
      <c r="BD234" s="73"/>
      <c r="BE234" s="73"/>
      <c r="BF234" s="73"/>
      <c r="BG234" s="73"/>
      <c r="BH234" s="73"/>
      <c r="BI234" s="73"/>
      <c r="BJ234" s="73" t="e">
        <f>WEEKNUM(BI234-RESUMEN!$BL$7)</f>
        <v>#NUM!</v>
      </c>
      <c r="BK234" s="73">
        <f>_xlfn.DAYS(BI234,RESUMEN!$BL$7)</f>
        <v>-43267</v>
      </c>
      <c r="BL234" s="73"/>
      <c r="BM234" s="73" t="e">
        <f>LOOKUP(BL234,FORMULAS!$A:$A,FORMULAS!$B:$B)</f>
        <v>#N/A</v>
      </c>
      <c r="BN234" s="78"/>
      <c r="BO234" s="73"/>
      <c r="BP234" s="73"/>
      <c r="BQ234" s="73"/>
      <c r="BR234" s="73"/>
      <c r="BS234" s="73"/>
      <c r="BT234" s="73"/>
    </row>
    <row r="235" spans="1:72" x14ac:dyDescent="0.25">
      <c r="A235" s="75"/>
      <c r="B235" s="74" t="e">
        <f>WEEKNUM(A235-RESUMEN!$D$7)</f>
        <v>#NUM!</v>
      </c>
      <c r="C235" s="74">
        <f>_xlfn.DAYS(A235,RESUMEN!$D$7)</f>
        <v>-43238</v>
      </c>
      <c r="D235" s="75"/>
      <c r="E235" s="73" t="e">
        <f>LOOKUP(D235,FORMULAS!$A:$A,FORMULAS!$B:$B)</f>
        <v>#N/A</v>
      </c>
      <c r="F235" s="80"/>
      <c r="G235" s="75"/>
      <c r="H235" s="75"/>
      <c r="I235" s="73"/>
      <c r="J235" s="73"/>
      <c r="K235" s="73"/>
      <c r="L235" s="73"/>
      <c r="M235" s="73"/>
      <c r="N235" s="73" t="e">
        <f>WEEKNUM(M235-RESUMEN!$P$7)</f>
        <v>#NUM!</v>
      </c>
      <c r="O235" s="73">
        <f>_xlfn.DAYS(M235,RESUMEN!$P$7)</f>
        <v>-43242</v>
      </c>
      <c r="P235" s="73"/>
      <c r="Q235" s="73" t="e">
        <f>LOOKUP(P235,FORMULAS!$A:$A,FORMULAS!$B:$B)</f>
        <v>#N/A</v>
      </c>
      <c r="R235" s="78"/>
      <c r="S235" s="73"/>
      <c r="T235" s="73"/>
      <c r="U235" s="73"/>
      <c r="V235" s="73"/>
      <c r="W235" s="73"/>
      <c r="X235" s="73"/>
      <c r="Y235" s="73"/>
      <c r="Z235" s="73" t="e">
        <f>WEEKNUM(Y235-RESUMEN!$AB$7)</f>
        <v>#NUM!</v>
      </c>
      <c r="AA235" s="73">
        <f>_xlfn.DAYS(Y235,RESUMEN!$AB$7)</f>
        <v>-43247</v>
      </c>
      <c r="AB235" s="73"/>
      <c r="AC235" s="73" t="e">
        <f>LOOKUP(AB235,FORMULAS!$A:$A,FORMULAS!$B:$B)</f>
        <v>#N/A</v>
      </c>
      <c r="AD235" s="78"/>
      <c r="AE235" s="73"/>
      <c r="AF235" s="73"/>
      <c r="AG235" s="73"/>
      <c r="AH235" s="73"/>
      <c r="AI235" s="73"/>
      <c r="AJ235" s="73"/>
      <c r="AK235" s="73"/>
      <c r="AL235" s="73" t="e">
        <f>WEEKNUM(AK235-RESUMEN!$AN$7)</f>
        <v>#NUM!</v>
      </c>
      <c r="AM235" s="73">
        <f>_xlfn.DAYS(AK235,RESUMEN!$AN$7)</f>
        <v>-43254</v>
      </c>
      <c r="AN235" s="73"/>
      <c r="AO235" s="73" t="e">
        <f>LOOKUP(AN235,FORMULAS!$A:$A,FORMULAS!$B:$B)</f>
        <v>#N/A</v>
      </c>
      <c r="AP235" s="78"/>
      <c r="AQ235" s="78"/>
      <c r="AR235" s="73"/>
      <c r="AS235" s="73"/>
      <c r="AT235" s="73"/>
      <c r="AU235" s="73"/>
      <c r="AV235" s="73"/>
      <c r="AW235" s="73"/>
      <c r="AX235" s="73" t="e">
        <f>WEEKNUM(AW235-RESUMEN!$AZ$7)</f>
        <v>#NUM!</v>
      </c>
      <c r="AY235" s="73">
        <f>_xlfn.DAYS(AW235,RESUMEN!$AZ$7)</f>
        <v>-43261</v>
      </c>
      <c r="AZ235" s="73"/>
      <c r="BA235" s="73" t="e">
        <f>LOOKUP(AZ235,FORMULAS!$A:$A,FORMULAS!$B:$B)</f>
        <v>#N/A</v>
      </c>
      <c r="BB235" s="78"/>
      <c r="BC235" s="73"/>
      <c r="BD235" s="73"/>
      <c r="BE235" s="73"/>
      <c r="BF235" s="73"/>
      <c r="BG235" s="73"/>
      <c r="BH235" s="73"/>
      <c r="BI235" s="73"/>
      <c r="BJ235" s="73" t="e">
        <f>WEEKNUM(BI235-RESUMEN!$BL$7)</f>
        <v>#NUM!</v>
      </c>
      <c r="BK235" s="73">
        <f>_xlfn.DAYS(BI235,RESUMEN!$BL$7)</f>
        <v>-43267</v>
      </c>
      <c r="BL235" s="73"/>
      <c r="BM235" s="73" t="e">
        <f>LOOKUP(BL235,FORMULAS!$A:$A,FORMULAS!$B:$B)</f>
        <v>#N/A</v>
      </c>
      <c r="BN235" s="78"/>
      <c r="BO235" s="73"/>
      <c r="BP235" s="73"/>
      <c r="BQ235" s="73"/>
      <c r="BR235" s="73"/>
      <c r="BS235" s="73"/>
      <c r="BT235" s="73"/>
    </row>
    <row r="236" spans="1:72" x14ac:dyDescent="0.25">
      <c r="A236" s="75"/>
      <c r="B236" s="74" t="e">
        <f>WEEKNUM(A236-RESUMEN!$D$7)</f>
        <v>#NUM!</v>
      </c>
      <c r="C236" s="74">
        <f>_xlfn.DAYS(A236,RESUMEN!$D$7)</f>
        <v>-43238</v>
      </c>
      <c r="D236" s="75"/>
      <c r="E236" s="73" t="e">
        <f>LOOKUP(D236,FORMULAS!$A:$A,FORMULAS!$B:$B)</f>
        <v>#N/A</v>
      </c>
      <c r="F236" s="80"/>
      <c r="G236" s="75"/>
      <c r="H236" s="75"/>
      <c r="I236" s="73"/>
      <c r="J236" s="73"/>
      <c r="K236" s="73"/>
      <c r="L236" s="73"/>
      <c r="M236" s="73"/>
      <c r="N236" s="73" t="e">
        <f>WEEKNUM(M236-RESUMEN!$P$7)</f>
        <v>#NUM!</v>
      </c>
      <c r="O236" s="73">
        <f>_xlfn.DAYS(M236,RESUMEN!$P$7)</f>
        <v>-43242</v>
      </c>
      <c r="P236" s="73"/>
      <c r="Q236" s="73" t="e">
        <f>LOOKUP(P236,FORMULAS!$A:$A,FORMULAS!$B:$B)</f>
        <v>#N/A</v>
      </c>
      <c r="R236" s="78"/>
      <c r="S236" s="73"/>
      <c r="T236" s="73"/>
      <c r="U236" s="73"/>
      <c r="V236" s="73"/>
      <c r="W236" s="73"/>
      <c r="X236" s="73"/>
      <c r="Y236" s="73"/>
      <c r="Z236" s="73" t="e">
        <f>WEEKNUM(Y236-RESUMEN!$AB$7)</f>
        <v>#NUM!</v>
      </c>
      <c r="AA236" s="73">
        <f>_xlfn.DAYS(Y236,RESUMEN!$AB$7)</f>
        <v>-43247</v>
      </c>
      <c r="AB236" s="73"/>
      <c r="AC236" s="73" t="e">
        <f>LOOKUP(AB236,FORMULAS!$A:$A,FORMULAS!$B:$B)</f>
        <v>#N/A</v>
      </c>
      <c r="AD236" s="78"/>
      <c r="AE236" s="73"/>
      <c r="AF236" s="73"/>
      <c r="AG236" s="73"/>
      <c r="AH236" s="73"/>
      <c r="AI236" s="73"/>
      <c r="AJ236" s="73"/>
      <c r="AK236" s="73"/>
      <c r="AL236" s="73" t="e">
        <f>WEEKNUM(AK236-RESUMEN!$AN$7)</f>
        <v>#NUM!</v>
      </c>
      <c r="AM236" s="73">
        <f>_xlfn.DAYS(AK236,RESUMEN!$AN$7)</f>
        <v>-43254</v>
      </c>
      <c r="AN236" s="73"/>
      <c r="AO236" s="73" t="e">
        <f>LOOKUP(AN236,FORMULAS!$A:$A,FORMULAS!$B:$B)</f>
        <v>#N/A</v>
      </c>
      <c r="AP236" s="78"/>
      <c r="AQ236" s="78"/>
      <c r="AR236" s="73"/>
      <c r="AS236" s="73"/>
      <c r="AT236" s="73"/>
      <c r="AU236" s="73"/>
      <c r="AV236" s="73"/>
      <c r="AW236" s="73"/>
      <c r="AX236" s="73" t="e">
        <f>WEEKNUM(AW236-RESUMEN!$AZ$7)</f>
        <v>#NUM!</v>
      </c>
      <c r="AY236" s="73">
        <f>_xlfn.DAYS(AW236,RESUMEN!$AZ$7)</f>
        <v>-43261</v>
      </c>
      <c r="AZ236" s="73"/>
      <c r="BA236" s="73" t="e">
        <f>LOOKUP(AZ236,FORMULAS!$A:$A,FORMULAS!$B:$B)</f>
        <v>#N/A</v>
      </c>
      <c r="BB236" s="78"/>
      <c r="BC236" s="73"/>
      <c r="BD236" s="73"/>
      <c r="BE236" s="73"/>
      <c r="BF236" s="73"/>
      <c r="BG236" s="73"/>
      <c r="BH236" s="73"/>
      <c r="BI236" s="73"/>
      <c r="BJ236" s="73" t="e">
        <f>WEEKNUM(BI236-RESUMEN!$BL$7)</f>
        <v>#NUM!</v>
      </c>
      <c r="BK236" s="73">
        <f>_xlfn.DAYS(BI236,RESUMEN!$BL$7)</f>
        <v>-43267</v>
      </c>
      <c r="BL236" s="73"/>
      <c r="BM236" s="73" t="e">
        <f>LOOKUP(BL236,FORMULAS!$A:$A,FORMULAS!$B:$B)</f>
        <v>#N/A</v>
      </c>
      <c r="BN236" s="78"/>
      <c r="BO236" s="73"/>
      <c r="BP236" s="73"/>
      <c r="BQ236" s="73"/>
      <c r="BR236" s="73"/>
      <c r="BS236" s="73"/>
      <c r="BT236" s="73"/>
    </row>
    <row r="237" spans="1:72" x14ac:dyDescent="0.25">
      <c r="A237" s="75"/>
      <c r="B237" s="74" t="e">
        <f>WEEKNUM(A237-RESUMEN!$D$7)</f>
        <v>#NUM!</v>
      </c>
      <c r="C237" s="74">
        <f>_xlfn.DAYS(A237,RESUMEN!$D$7)</f>
        <v>-43238</v>
      </c>
      <c r="D237" s="75"/>
      <c r="E237" s="73" t="e">
        <f>LOOKUP(D237,FORMULAS!$A:$A,FORMULAS!$B:$B)</f>
        <v>#N/A</v>
      </c>
      <c r="F237" s="80"/>
      <c r="G237" s="75"/>
      <c r="H237" s="75"/>
      <c r="I237" s="73"/>
      <c r="J237" s="73"/>
      <c r="K237" s="73"/>
      <c r="L237" s="73"/>
      <c r="M237" s="73"/>
      <c r="N237" s="73" t="e">
        <f>WEEKNUM(M237-RESUMEN!$P$7)</f>
        <v>#NUM!</v>
      </c>
      <c r="O237" s="73">
        <f>_xlfn.DAYS(M237,RESUMEN!$P$7)</f>
        <v>-43242</v>
      </c>
      <c r="P237" s="73"/>
      <c r="Q237" s="73" t="e">
        <f>LOOKUP(P237,FORMULAS!$A:$A,FORMULAS!$B:$B)</f>
        <v>#N/A</v>
      </c>
      <c r="R237" s="78"/>
      <c r="S237" s="73"/>
      <c r="T237" s="73"/>
      <c r="U237" s="73"/>
      <c r="V237" s="73"/>
      <c r="W237" s="73"/>
      <c r="X237" s="73"/>
      <c r="Y237" s="73"/>
      <c r="Z237" s="73" t="e">
        <f>WEEKNUM(Y237-RESUMEN!$AB$7)</f>
        <v>#NUM!</v>
      </c>
      <c r="AA237" s="73">
        <f>_xlfn.DAYS(Y237,RESUMEN!$AB$7)</f>
        <v>-43247</v>
      </c>
      <c r="AB237" s="73"/>
      <c r="AC237" s="73" t="e">
        <f>LOOKUP(AB237,FORMULAS!$A:$A,FORMULAS!$B:$B)</f>
        <v>#N/A</v>
      </c>
      <c r="AD237" s="78"/>
      <c r="AE237" s="73"/>
      <c r="AF237" s="73"/>
      <c r="AG237" s="73"/>
      <c r="AH237" s="73"/>
      <c r="AI237" s="73"/>
      <c r="AJ237" s="73"/>
      <c r="AK237" s="73"/>
      <c r="AL237" s="73" t="e">
        <f>WEEKNUM(AK237-RESUMEN!$AN$7)</f>
        <v>#NUM!</v>
      </c>
      <c r="AM237" s="73">
        <f>_xlfn.DAYS(AK237,RESUMEN!$AN$7)</f>
        <v>-43254</v>
      </c>
      <c r="AN237" s="73"/>
      <c r="AO237" s="73" t="e">
        <f>LOOKUP(AN237,FORMULAS!$A:$A,FORMULAS!$B:$B)</f>
        <v>#N/A</v>
      </c>
      <c r="AP237" s="78"/>
      <c r="AQ237" s="78"/>
      <c r="AR237" s="73"/>
      <c r="AS237" s="73"/>
      <c r="AT237" s="73"/>
      <c r="AU237" s="73"/>
      <c r="AV237" s="73"/>
      <c r="AW237" s="73"/>
      <c r="AX237" s="73" t="e">
        <f>WEEKNUM(AW237-RESUMEN!$AZ$7)</f>
        <v>#NUM!</v>
      </c>
      <c r="AY237" s="73">
        <f>_xlfn.DAYS(AW237,RESUMEN!$AZ$7)</f>
        <v>-43261</v>
      </c>
      <c r="AZ237" s="73"/>
      <c r="BA237" s="73" t="e">
        <f>LOOKUP(AZ237,FORMULAS!$A:$A,FORMULAS!$B:$B)</f>
        <v>#N/A</v>
      </c>
      <c r="BB237" s="78"/>
      <c r="BC237" s="73"/>
      <c r="BD237" s="73"/>
      <c r="BE237" s="73"/>
      <c r="BF237" s="73"/>
      <c r="BG237" s="73"/>
      <c r="BH237" s="73"/>
      <c r="BI237" s="73"/>
      <c r="BJ237" s="73" t="e">
        <f>WEEKNUM(BI237-RESUMEN!$BL$7)</f>
        <v>#NUM!</v>
      </c>
      <c r="BK237" s="73">
        <f>_xlfn.DAYS(BI237,RESUMEN!$BL$7)</f>
        <v>-43267</v>
      </c>
      <c r="BL237" s="73"/>
      <c r="BM237" s="73" t="e">
        <f>LOOKUP(BL237,FORMULAS!$A:$A,FORMULAS!$B:$B)</f>
        <v>#N/A</v>
      </c>
      <c r="BN237" s="78"/>
      <c r="BO237" s="73"/>
      <c r="BP237" s="73"/>
      <c r="BQ237" s="73"/>
      <c r="BR237" s="73"/>
      <c r="BS237" s="73"/>
      <c r="BT237" s="73"/>
    </row>
    <row r="238" spans="1:72" x14ac:dyDescent="0.25">
      <c r="A238" s="75"/>
      <c r="B238" s="74" t="e">
        <f>WEEKNUM(A238-RESUMEN!$D$7)</f>
        <v>#NUM!</v>
      </c>
      <c r="C238" s="74">
        <f>_xlfn.DAYS(A238,RESUMEN!$D$7)</f>
        <v>-43238</v>
      </c>
      <c r="D238" s="75"/>
      <c r="E238" s="73" t="e">
        <f>LOOKUP(D238,FORMULAS!$A:$A,FORMULAS!$B:$B)</f>
        <v>#N/A</v>
      </c>
      <c r="F238" s="80"/>
      <c r="G238" s="75"/>
      <c r="H238" s="75"/>
      <c r="I238" s="73"/>
      <c r="J238" s="73"/>
      <c r="K238" s="73"/>
      <c r="L238" s="73"/>
      <c r="M238" s="73"/>
      <c r="N238" s="73" t="e">
        <f>WEEKNUM(M238-RESUMEN!$P$7)</f>
        <v>#NUM!</v>
      </c>
      <c r="O238" s="73">
        <f>_xlfn.DAYS(M238,RESUMEN!$P$7)</f>
        <v>-43242</v>
      </c>
      <c r="P238" s="73"/>
      <c r="Q238" s="73" t="e">
        <f>LOOKUP(P238,FORMULAS!$A:$A,FORMULAS!$B:$B)</f>
        <v>#N/A</v>
      </c>
      <c r="R238" s="78"/>
      <c r="S238" s="73"/>
      <c r="T238" s="73"/>
      <c r="U238" s="73"/>
      <c r="V238" s="73"/>
      <c r="W238" s="73"/>
      <c r="X238" s="73"/>
      <c r="Y238" s="73"/>
      <c r="Z238" s="73" t="e">
        <f>WEEKNUM(Y238-RESUMEN!$AB$7)</f>
        <v>#NUM!</v>
      </c>
      <c r="AA238" s="73">
        <f>_xlfn.DAYS(Y238,RESUMEN!$AB$7)</f>
        <v>-43247</v>
      </c>
      <c r="AB238" s="73"/>
      <c r="AC238" s="73" t="e">
        <f>LOOKUP(AB238,FORMULAS!$A:$A,FORMULAS!$B:$B)</f>
        <v>#N/A</v>
      </c>
      <c r="AD238" s="78"/>
      <c r="AE238" s="73"/>
      <c r="AF238" s="73"/>
      <c r="AG238" s="73"/>
      <c r="AH238" s="73"/>
      <c r="AI238" s="73"/>
      <c r="AJ238" s="73"/>
      <c r="AK238" s="73"/>
      <c r="AL238" s="73" t="e">
        <f>WEEKNUM(AK238-RESUMEN!$AN$7)</f>
        <v>#NUM!</v>
      </c>
      <c r="AM238" s="73">
        <f>_xlfn.DAYS(AK238,RESUMEN!$AN$7)</f>
        <v>-43254</v>
      </c>
      <c r="AN238" s="73"/>
      <c r="AO238" s="73" t="e">
        <f>LOOKUP(AN238,FORMULAS!$A:$A,FORMULAS!$B:$B)</f>
        <v>#N/A</v>
      </c>
      <c r="AP238" s="78"/>
      <c r="AQ238" s="78"/>
      <c r="AR238" s="73"/>
      <c r="AS238" s="73"/>
      <c r="AT238" s="73"/>
      <c r="AU238" s="73"/>
      <c r="AV238" s="73"/>
      <c r="AW238" s="73"/>
      <c r="AX238" s="73" t="e">
        <f>WEEKNUM(AW238-RESUMEN!$AZ$7)</f>
        <v>#NUM!</v>
      </c>
      <c r="AY238" s="73">
        <f>_xlfn.DAYS(AW238,RESUMEN!$AZ$7)</f>
        <v>-43261</v>
      </c>
      <c r="AZ238" s="73"/>
      <c r="BA238" s="73" t="e">
        <f>LOOKUP(AZ238,FORMULAS!$A:$A,FORMULAS!$B:$B)</f>
        <v>#N/A</v>
      </c>
      <c r="BB238" s="78"/>
      <c r="BC238" s="73"/>
      <c r="BD238" s="73"/>
      <c r="BE238" s="73"/>
      <c r="BF238" s="73"/>
      <c r="BG238" s="73"/>
      <c r="BH238" s="73"/>
      <c r="BI238" s="73"/>
      <c r="BJ238" s="73" t="e">
        <f>WEEKNUM(BI238-RESUMEN!$BL$7)</f>
        <v>#NUM!</v>
      </c>
      <c r="BK238" s="73">
        <f>_xlfn.DAYS(BI238,RESUMEN!$BL$7)</f>
        <v>-43267</v>
      </c>
      <c r="BL238" s="73"/>
      <c r="BM238" s="73" t="e">
        <f>LOOKUP(BL238,FORMULAS!$A:$A,FORMULAS!$B:$B)</f>
        <v>#N/A</v>
      </c>
      <c r="BN238" s="78"/>
      <c r="BO238" s="73"/>
      <c r="BP238" s="73"/>
      <c r="BQ238" s="73"/>
      <c r="BR238" s="73"/>
      <c r="BS238" s="73"/>
      <c r="BT238" s="73"/>
    </row>
    <row r="239" spans="1:72" x14ac:dyDescent="0.25">
      <c r="A239" s="75"/>
      <c r="B239" s="74" t="e">
        <f>WEEKNUM(A239-RESUMEN!$D$7)</f>
        <v>#NUM!</v>
      </c>
      <c r="C239" s="74">
        <f>_xlfn.DAYS(A239,RESUMEN!$D$7)</f>
        <v>-43238</v>
      </c>
      <c r="D239" s="75"/>
      <c r="E239" s="73" t="e">
        <f>LOOKUP(D239,FORMULAS!$A:$A,FORMULAS!$B:$B)</f>
        <v>#N/A</v>
      </c>
      <c r="F239" s="80"/>
      <c r="G239" s="75"/>
      <c r="H239" s="75"/>
      <c r="I239" s="73"/>
      <c r="J239" s="73"/>
      <c r="K239" s="73"/>
      <c r="L239" s="73"/>
      <c r="M239" s="73"/>
      <c r="N239" s="73" t="e">
        <f>WEEKNUM(M239-RESUMEN!$P$7)</f>
        <v>#NUM!</v>
      </c>
      <c r="O239" s="73">
        <f>_xlfn.DAYS(M239,RESUMEN!$P$7)</f>
        <v>-43242</v>
      </c>
      <c r="P239" s="73"/>
      <c r="Q239" s="73" t="e">
        <f>LOOKUP(P239,FORMULAS!$A:$A,FORMULAS!$B:$B)</f>
        <v>#N/A</v>
      </c>
      <c r="R239" s="78"/>
      <c r="S239" s="73"/>
      <c r="T239" s="73"/>
      <c r="U239" s="73"/>
      <c r="V239" s="73"/>
      <c r="W239" s="73"/>
      <c r="X239" s="73"/>
      <c r="Y239" s="73"/>
      <c r="Z239" s="73" t="e">
        <f>WEEKNUM(Y239-RESUMEN!$AB$7)</f>
        <v>#NUM!</v>
      </c>
      <c r="AA239" s="73">
        <f>_xlfn.DAYS(Y239,RESUMEN!$AB$7)</f>
        <v>-43247</v>
      </c>
      <c r="AB239" s="73"/>
      <c r="AC239" s="73" t="e">
        <f>LOOKUP(AB239,FORMULAS!$A:$A,FORMULAS!$B:$B)</f>
        <v>#N/A</v>
      </c>
      <c r="AD239" s="78"/>
      <c r="AE239" s="73"/>
      <c r="AF239" s="73"/>
      <c r="AG239" s="73"/>
      <c r="AH239" s="73"/>
      <c r="AI239" s="73"/>
      <c r="AJ239" s="73"/>
      <c r="AK239" s="73"/>
      <c r="AL239" s="73" t="e">
        <f>WEEKNUM(AK239-RESUMEN!$AN$7)</f>
        <v>#NUM!</v>
      </c>
      <c r="AM239" s="73">
        <f>_xlfn.DAYS(AK239,RESUMEN!$AN$7)</f>
        <v>-43254</v>
      </c>
      <c r="AN239" s="73"/>
      <c r="AO239" s="73" t="e">
        <f>LOOKUP(AN239,FORMULAS!$A:$A,FORMULAS!$B:$B)</f>
        <v>#N/A</v>
      </c>
      <c r="AP239" s="78"/>
      <c r="AQ239" s="78"/>
      <c r="AR239" s="73"/>
      <c r="AS239" s="73"/>
      <c r="AT239" s="73"/>
      <c r="AU239" s="73"/>
      <c r="AV239" s="73"/>
      <c r="AW239" s="73"/>
      <c r="AX239" s="73" t="e">
        <f>WEEKNUM(AW239-RESUMEN!$AZ$7)</f>
        <v>#NUM!</v>
      </c>
      <c r="AY239" s="73">
        <f>_xlfn.DAYS(AW239,RESUMEN!$AZ$7)</f>
        <v>-43261</v>
      </c>
      <c r="AZ239" s="73"/>
      <c r="BA239" s="73" t="e">
        <f>LOOKUP(AZ239,FORMULAS!$A:$A,FORMULAS!$B:$B)</f>
        <v>#N/A</v>
      </c>
      <c r="BB239" s="78"/>
      <c r="BC239" s="73"/>
      <c r="BD239" s="73"/>
      <c r="BE239" s="73"/>
      <c r="BF239" s="73"/>
      <c r="BG239" s="73"/>
      <c r="BH239" s="73"/>
      <c r="BI239" s="73"/>
      <c r="BJ239" s="73" t="e">
        <f>WEEKNUM(BI239-RESUMEN!$BL$7)</f>
        <v>#NUM!</v>
      </c>
      <c r="BK239" s="73">
        <f>_xlfn.DAYS(BI239,RESUMEN!$BL$7)</f>
        <v>-43267</v>
      </c>
      <c r="BL239" s="73"/>
      <c r="BM239" s="73" t="e">
        <f>LOOKUP(BL239,FORMULAS!$A:$A,FORMULAS!$B:$B)</f>
        <v>#N/A</v>
      </c>
      <c r="BN239" s="78"/>
      <c r="BO239" s="73"/>
      <c r="BP239" s="73"/>
      <c r="BQ239" s="73"/>
      <c r="BR239" s="73"/>
      <c r="BS239" s="73"/>
      <c r="BT239" s="73"/>
    </row>
    <row r="240" spans="1:72" x14ac:dyDescent="0.25">
      <c r="A240" s="75"/>
      <c r="B240" s="74" t="e">
        <f>WEEKNUM(A240-RESUMEN!$D$7)</f>
        <v>#NUM!</v>
      </c>
      <c r="C240" s="74">
        <f>_xlfn.DAYS(A240,RESUMEN!$D$7)</f>
        <v>-43238</v>
      </c>
      <c r="D240" s="75"/>
      <c r="E240" s="73" t="e">
        <f>LOOKUP(D240,FORMULAS!$A:$A,FORMULAS!$B:$B)</f>
        <v>#N/A</v>
      </c>
      <c r="F240" s="80"/>
      <c r="G240" s="75"/>
      <c r="H240" s="75"/>
      <c r="I240" s="73"/>
      <c r="J240" s="73"/>
      <c r="K240" s="73"/>
      <c r="L240" s="73"/>
      <c r="M240" s="73"/>
      <c r="N240" s="73" t="e">
        <f>WEEKNUM(M240-RESUMEN!$P$7)</f>
        <v>#NUM!</v>
      </c>
      <c r="O240" s="73">
        <f>_xlfn.DAYS(M240,RESUMEN!$P$7)</f>
        <v>-43242</v>
      </c>
      <c r="P240" s="73"/>
      <c r="Q240" s="73" t="e">
        <f>LOOKUP(P240,FORMULAS!$A:$A,FORMULAS!$B:$B)</f>
        <v>#N/A</v>
      </c>
      <c r="R240" s="78"/>
      <c r="S240" s="73"/>
      <c r="T240" s="73"/>
      <c r="U240" s="73"/>
      <c r="V240" s="73"/>
      <c r="W240" s="73"/>
      <c r="X240" s="73"/>
      <c r="Y240" s="73"/>
      <c r="Z240" s="73" t="e">
        <f>WEEKNUM(Y240-RESUMEN!$AB$7)</f>
        <v>#NUM!</v>
      </c>
      <c r="AA240" s="73">
        <f>_xlfn.DAYS(Y240,RESUMEN!$AB$7)</f>
        <v>-43247</v>
      </c>
      <c r="AB240" s="73"/>
      <c r="AC240" s="73" t="e">
        <f>LOOKUP(AB240,FORMULAS!$A:$A,FORMULAS!$B:$B)</f>
        <v>#N/A</v>
      </c>
      <c r="AD240" s="78"/>
      <c r="AE240" s="73"/>
      <c r="AF240" s="73"/>
      <c r="AG240" s="73"/>
      <c r="AH240" s="73"/>
      <c r="AI240" s="73"/>
      <c r="AJ240" s="73"/>
      <c r="AK240" s="73"/>
      <c r="AL240" s="73" t="e">
        <f>WEEKNUM(AK240-RESUMEN!$AN$7)</f>
        <v>#NUM!</v>
      </c>
      <c r="AM240" s="73">
        <f>_xlfn.DAYS(AK240,RESUMEN!$AN$7)</f>
        <v>-43254</v>
      </c>
      <c r="AN240" s="73"/>
      <c r="AO240" s="73" t="e">
        <f>LOOKUP(AN240,FORMULAS!$A:$A,FORMULAS!$B:$B)</f>
        <v>#N/A</v>
      </c>
      <c r="AP240" s="78"/>
      <c r="AQ240" s="78"/>
      <c r="AR240" s="73"/>
      <c r="AS240" s="73"/>
      <c r="AT240" s="73"/>
      <c r="AU240" s="73"/>
      <c r="AV240" s="73"/>
      <c r="AW240" s="73"/>
      <c r="AX240" s="73" t="e">
        <f>WEEKNUM(AW240-RESUMEN!$AZ$7)</f>
        <v>#NUM!</v>
      </c>
      <c r="AY240" s="73">
        <f>_xlfn.DAYS(AW240,RESUMEN!$AZ$7)</f>
        <v>-43261</v>
      </c>
      <c r="AZ240" s="73"/>
      <c r="BA240" s="73" t="e">
        <f>LOOKUP(AZ240,FORMULAS!$A:$A,FORMULAS!$B:$B)</f>
        <v>#N/A</v>
      </c>
      <c r="BB240" s="78"/>
      <c r="BC240" s="73"/>
      <c r="BD240" s="73"/>
      <c r="BE240" s="73"/>
      <c r="BF240" s="73"/>
      <c r="BG240" s="73"/>
      <c r="BH240" s="73"/>
      <c r="BI240" s="73"/>
      <c r="BJ240" s="73" t="e">
        <f>WEEKNUM(BI240-RESUMEN!$BL$7)</f>
        <v>#NUM!</v>
      </c>
      <c r="BK240" s="73">
        <f>_xlfn.DAYS(BI240,RESUMEN!$BL$7)</f>
        <v>-43267</v>
      </c>
      <c r="BL240" s="73"/>
      <c r="BM240" s="73" t="e">
        <f>LOOKUP(BL240,FORMULAS!$A:$A,FORMULAS!$B:$B)</f>
        <v>#N/A</v>
      </c>
      <c r="BN240" s="78"/>
      <c r="BO240" s="73"/>
      <c r="BP240" s="73"/>
      <c r="BQ240" s="73"/>
      <c r="BR240" s="73"/>
      <c r="BS240" s="73"/>
      <c r="BT240" s="73"/>
    </row>
    <row r="241" spans="1:72" x14ac:dyDescent="0.25">
      <c r="A241" s="75"/>
      <c r="B241" s="74" t="e">
        <f>WEEKNUM(A241-RESUMEN!$D$7)</f>
        <v>#NUM!</v>
      </c>
      <c r="C241" s="74">
        <f>_xlfn.DAYS(A241,RESUMEN!$D$7)</f>
        <v>-43238</v>
      </c>
      <c r="D241" s="75"/>
      <c r="E241" s="73" t="e">
        <f>LOOKUP(D241,FORMULAS!$A:$A,FORMULAS!$B:$B)</f>
        <v>#N/A</v>
      </c>
      <c r="F241" s="80"/>
      <c r="G241" s="75"/>
      <c r="H241" s="75"/>
      <c r="I241" s="73"/>
      <c r="J241" s="73"/>
      <c r="K241" s="73"/>
      <c r="L241" s="73"/>
      <c r="M241" s="73"/>
      <c r="N241" s="73" t="e">
        <f>WEEKNUM(M241-RESUMEN!$P$7)</f>
        <v>#NUM!</v>
      </c>
      <c r="O241" s="73">
        <f>_xlfn.DAYS(M241,RESUMEN!$P$7)</f>
        <v>-43242</v>
      </c>
      <c r="P241" s="73"/>
      <c r="Q241" s="73" t="e">
        <f>LOOKUP(P241,FORMULAS!$A:$A,FORMULAS!$B:$B)</f>
        <v>#N/A</v>
      </c>
      <c r="R241" s="78"/>
      <c r="S241" s="73"/>
      <c r="T241" s="73"/>
      <c r="U241" s="73"/>
      <c r="V241" s="73"/>
      <c r="W241" s="73"/>
      <c r="X241" s="73"/>
      <c r="Y241" s="73"/>
      <c r="Z241" s="73" t="e">
        <f>WEEKNUM(Y241-RESUMEN!$AB$7)</f>
        <v>#NUM!</v>
      </c>
      <c r="AA241" s="73">
        <f>_xlfn.DAYS(Y241,RESUMEN!$AB$7)</f>
        <v>-43247</v>
      </c>
      <c r="AB241" s="73"/>
      <c r="AC241" s="73" t="e">
        <f>LOOKUP(AB241,FORMULAS!$A:$A,FORMULAS!$B:$B)</f>
        <v>#N/A</v>
      </c>
      <c r="AD241" s="78"/>
      <c r="AE241" s="73"/>
      <c r="AF241" s="73"/>
      <c r="AG241" s="73"/>
      <c r="AH241" s="73"/>
      <c r="AI241" s="73"/>
      <c r="AJ241" s="73"/>
      <c r="AK241" s="73"/>
      <c r="AL241" s="73" t="e">
        <f>WEEKNUM(AK241-RESUMEN!$AN$7)</f>
        <v>#NUM!</v>
      </c>
      <c r="AM241" s="73">
        <f>_xlfn.DAYS(AK241,RESUMEN!$AN$7)</f>
        <v>-43254</v>
      </c>
      <c r="AN241" s="73"/>
      <c r="AO241" s="73" t="e">
        <f>LOOKUP(AN241,FORMULAS!$A:$A,FORMULAS!$B:$B)</f>
        <v>#N/A</v>
      </c>
      <c r="AP241" s="78"/>
      <c r="AQ241" s="78"/>
      <c r="AR241" s="73"/>
      <c r="AS241" s="73"/>
      <c r="AT241" s="73"/>
      <c r="AU241" s="73"/>
      <c r="AV241" s="73"/>
      <c r="AW241" s="73"/>
      <c r="AX241" s="73" t="e">
        <f>WEEKNUM(AW241-RESUMEN!$AZ$7)</f>
        <v>#NUM!</v>
      </c>
      <c r="AY241" s="73">
        <f>_xlfn.DAYS(AW241,RESUMEN!$AZ$7)</f>
        <v>-43261</v>
      </c>
      <c r="AZ241" s="73"/>
      <c r="BA241" s="73" t="e">
        <f>LOOKUP(AZ241,FORMULAS!$A:$A,FORMULAS!$B:$B)</f>
        <v>#N/A</v>
      </c>
      <c r="BB241" s="78"/>
      <c r="BC241" s="73"/>
      <c r="BD241" s="73"/>
      <c r="BE241" s="73"/>
      <c r="BF241" s="73"/>
      <c r="BG241" s="73"/>
      <c r="BH241" s="73"/>
      <c r="BI241" s="73"/>
      <c r="BJ241" s="73" t="e">
        <f>WEEKNUM(BI241-RESUMEN!$BL$7)</f>
        <v>#NUM!</v>
      </c>
      <c r="BK241" s="73">
        <f>_xlfn.DAYS(BI241,RESUMEN!$BL$7)</f>
        <v>-43267</v>
      </c>
      <c r="BL241" s="73"/>
      <c r="BM241" s="73" t="e">
        <f>LOOKUP(BL241,FORMULAS!$A:$A,FORMULAS!$B:$B)</f>
        <v>#N/A</v>
      </c>
      <c r="BN241" s="78"/>
      <c r="BO241" s="73"/>
      <c r="BP241" s="73"/>
      <c r="BQ241" s="73"/>
      <c r="BR241" s="73"/>
      <c r="BS241" s="73"/>
      <c r="BT241" s="73"/>
    </row>
    <row r="242" spans="1:72" x14ac:dyDescent="0.25">
      <c r="A242" s="75"/>
      <c r="B242" s="74" t="e">
        <f>WEEKNUM(A242-RESUMEN!$D$7)</f>
        <v>#NUM!</v>
      </c>
      <c r="C242" s="74">
        <f>_xlfn.DAYS(A242,RESUMEN!$D$7)</f>
        <v>-43238</v>
      </c>
      <c r="D242" s="75"/>
      <c r="E242" s="73" t="e">
        <f>LOOKUP(D242,FORMULAS!$A:$A,FORMULAS!$B:$B)</f>
        <v>#N/A</v>
      </c>
      <c r="F242" s="80"/>
      <c r="G242" s="75"/>
      <c r="H242" s="75"/>
      <c r="I242" s="73"/>
      <c r="J242" s="73"/>
      <c r="K242" s="73"/>
      <c r="L242" s="73"/>
      <c r="M242" s="73"/>
      <c r="N242" s="73" t="e">
        <f>WEEKNUM(M242-RESUMEN!$P$7)</f>
        <v>#NUM!</v>
      </c>
      <c r="O242" s="73">
        <f>_xlfn.DAYS(M242,RESUMEN!$P$7)</f>
        <v>-43242</v>
      </c>
      <c r="P242" s="73"/>
      <c r="Q242" s="73" t="e">
        <f>LOOKUP(P242,FORMULAS!$A:$A,FORMULAS!$B:$B)</f>
        <v>#N/A</v>
      </c>
      <c r="R242" s="78"/>
      <c r="S242" s="73"/>
      <c r="T242" s="73"/>
      <c r="U242" s="73"/>
      <c r="V242" s="73"/>
      <c r="W242" s="73"/>
      <c r="X242" s="73"/>
      <c r="Y242" s="73"/>
      <c r="Z242" s="73" t="e">
        <f>WEEKNUM(Y242-RESUMEN!$AB$7)</f>
        <v>#NUM!</v>
      </c>
      <c r="AA242" s="73">
        <f>_xlfn.DAYS(Y242,RESUMEN!$AB$7)</f>
        <v>-43247</v>
      </c>
      <c r="AB242" s="73"/>
      <c r="AC242" s="73" t="e">
        <f>LOOKUP(AB242,FORMULAS!$A:$A,FORMULAS!$B:$B)</f>
        <v>#N/A</v>
      </c>
      <c r="AD242" s="78"/>
      <c r="AE242" s="73"/>
      <c r="AF242" s="73"/>
      <c r="AG242" s="73"/>
      <c r="AH242" s="73"/>
      <c r="AI242" s="73"/>
      <c r="AJ242" s="73"/>
      <c r="AK242" s="73"/>
      <c r="AL242" s="73" t="e">
        <f>WEEKNUM(AK242-RESUMEN!$AN$7)</f>
        <v>#NUM!</v>
      </c>
      <c r="AM242" s="73">
        <f>_xlfn.DAYS(AK242,RESUMEN!$AN$7)</f>
        <v>-43254</v>
      </c>
      <c r="AN242" s="73"/>
      <c r="AO242" s="73" t="e">
        <f>LOOKUP(AN242,FORMULAS!$A:$A,FORMULAS!$B:$B)</f>
        <v>#N/A</v>
      </c>
      <c r="AP242" s="78"/>
      <c r="AQ242" s="78"/>
      <c r="AR242" s="73"/>
      <c r="AS242" s="73"/>
      <c r="AT242" s="73"/>
      <c r="AU242" s="73"/>
      <c r="AV242" s="73"/>
      <c r="AW242" s="73"/>
      <c r="AX242" s="73" t="e">
        <f>WEEKNUM(AW242-RESUMEN!$AZ$7)</f>
        <v>#NUM!</v>
      </c>
      <c r="AY242" s="73">
        <f>_xlfn.DAYS(AW242,RESUMEN!$AZ$7)</f>
        <v>-43261</v>
      </c>
      <c r="AZ242" s="73"/>
      <c r="BA242" s="73" t="e">
        <f>LOOKUP(AZ242,FORMULAS!$A:$A,FORMULAS!$B:$B)</f>
        <v>#N/A</v>
      </c>
      <c r="BB242" s="78"/>
      <c r="BC242" s="73"/>
      <c r="BD242" s="73"/>
      <c r="BE242" s="73"/>
      <c r="BF242" s="73"/>
      <c r="BG242" s="73"/>
      <c r="BH242" s="73"/>
      <c r="BI242" s="73"/>
      <c r="BJ242" s="73" t="e">
        <f>WEEKNUM(BI242-RESUMEN!$BL$7)</f>
        <v>#NUM!</v>
      </c>
      <c r="BK242" s="73">
        <f>_xlfn.DAYS(BI242,RESUMEN!$BL$7)</f>
        <v>-43267</v>
      </c>
      <c r="BL242" s="73"/>
      <c r="BM242" s="73" t="e">
        <f>LOOKUP(BL242,FORMULAS!$A:$A,FORMULAS!$B:$B)</f>
        <v>#N/A</v>
      </c>
      <c r="BN242" s="78"/>
      <c r="BO242" s="73"/>
      <c r="BP242" s="73"/>
      <c r="BQ242" s="73"/>
      <c r="BR242" s="73"/>
      <c r="BS242" s="73"/>
      <c r="BT242" s="73"/>
    </row>
    <row r="243" spans="1:72" x14ac:dyDescent="0.25">
      <c r="A243" s="75"/>
      <c r="B243" s="74" t="e">
        <f>WEEKNUM(A243-RESUMEN!$D$7)</f>
        <v>#NUM!</v>
      </c>
      <c r="C243" s="74">
        <f>_xlfn.DAYS(A243,RESUMEN!$D$7)</f>
        <v>-43238</v>
      </c>
      <c r="D243" s="75"/>
      <c r="E243" s="73" t="e">
        <f>LOOKUP(D243,FORMULAS!$A:$A,FORMULAS!$B:$B)</f>
        <v>#N/A</v>
      </c>
      <c r="F243" s="80"/>
      <c r="G243" s="75"/>
      <c r="H243" s="75"/>
      <c r="I243" s="73"/>
      <c r="J243" s="73"/>
      <c r="K243" s="73"/>
      <c r="L243" s="73"/>
      <c r="M243" s="73"/>
      <c r="N243" s="73" t="e">
        <f>WEEKNUM(M243-RESUMEN!$P$7)</f>
        <v>#NUM!</v>
      </c>
      <c r="O243" s="73">
        <f>_xlfn.DAYS(M243,RESUMEN!$P$7)</f>
        <v>-43242</v>
      </c>
      <c r="P243" s="73"/>
      <c r="Q243" s="73" t="e">
        <f>LOOKUP(P243,FORMULAS!$A:$A,FORMULAS!$B:$B)</f>
        <v>#N/A</v>
      </c>
      <c r="R243" s="78"/>
      <c r="S243" s="73"/>
      <c r="T243" s="73"/>
      <c r="U243" s="73"/>
      <c r="V243" s="73"/>
      <c r="W243" s="73"/>
      <c r="X243" s="73"/>
      <c r="Y243" s="73"/>
      <c r="Z243" s="73" t="e">
        <f>WEEKNUM(Y243-RESUMEN!$AB$7)</f>
        <v>#NUM!</v>
      </c>
      <c r="AA243" s="73">
        <f>_xlfn.DAYS(Y243,RESUMEN!$AB$7)</f>
        <v>-43247</v>
      </c>
      <c r="AB243" s="73"/>
      <c r="AC243" s="73" t="e">
        <f>LOOKUP(AB243,FORMULAS!$A:$A,FORMULAS!$B:$B)</f>
        <v>#N/A</v>
      </c>
      <c r="AD243" s="78"/>
      <c r="AE243" s="73"/>
      <c r="AF243" s="73"/>
      <c r="AG243" s="73"/>
      <c r="AH243" s="73"/>
      <c r="AI243" s="73"/>
      <c r="AJ243" s="73"/>
      <c r="AK243" s="73"/>
      <c r="AL243" s="73" t="e">
        <f>WEEKNUM(AK243-RESUMEN!$AN$7)</f>
        <v>#NUM!</v>
      </c>
      <c r="AM243" s="73">
        <f>_xlfn.DAYS(AK243,RESUMEN!$AN$7)</f>
        <v>-43254</v>
      </c>
      <c r="AN243" s="73"/>
      <c r="AO243" s="73" t="e">
        <f>LOOKUP(AN243,FORMULAS!$A:$A,FORMULAS!$B:$B)</f>
        <v>#N/A</v>
      </c>
      <c r="AP243" s="78"/>
      <c r="AQ243" s="78"/>
      <c r="AR243" s="73"/>
      <c r="AS243" s="73"/>
      <c r="AT243" s="73"/>
      <c r="AU243" s="73"/>
      <c r="AV243" s="73"/>
      <c r="AW243" s="73"/>
      <c r="AX243" s="73" t="e">
        <f>WEEKNUM(AW243-RESUMEN!$AZ$7)</f>
        <v>#NUM!</v>
      </c>
      <c r="AY243" s="73">
        <f>_xlfn.DAYS(AW243,RESUMEN!$AZ$7)</f>
        <v>-43261</v>
      </c>
      <c r="AZ243" s="73"/>
      <c r="BA243" s="73" t="e">
        <f>LOOKUP(AZ243,FORMULAS!$A:$A,FORMULAS!$B:$B)</f>
        <v>#N/A</v>
      </c>
      <c r="BB243" s="78"/>
      <c r="BC243" s="73"/>
      <c r="BD243" s="73"/>
      <c r="BE243" s="73"/>
      <c r="BF243" s="73"/>
      <c r="BG243" s="73"/>
      <c r="BH243" s="73"/>
      <c r="BI243" s="73"/>
      <c r="BJ243" s="73" t="e">
        <f>WEEKNUM(BI243-RESUMEN!$BL$7)</f>
        <v>#NUM!</v>
      </c>
      <c r="BK243" s="73">
        <f>_xlfn.DAYS(BI243,RESUMEN!$BL$7)</f>
        <v>-43267</v>
      </c>
      <c r="BL243" s="73"/>
      <c r="BM243" s="73" t="e">
        <f>LOOKUP(BL243,FORMULAS!$A:$A,FORMULAS!$B:$B)</f>
        <v>#N/A</v>
      </c>
      <c r="BN243" s="78"/>
      <c r="BO243" s="73"/>
      <c r="BP243" s="73"/>
      <c r="BQ243" s="73"/>
      <c r="BR243" s="73"/>
      <c r="BS243" s="73"/>
      <c r="BT243" s="73"/>
    </row>
    <row r="244" spans="1:72" x14ac:dyDescent="0.25">
      <c r="A244" s="75"/>
      <c r="B244" s="74" t="e">
        <f>WEEKNUM(A244-RESUMEN!$D$7)</f>
        <v>#NUM!</v>
      </c>
      <c r="C244" s="74">
        <f>_xlfn.DAYS(A244,RESUMEN!$D$7)</f>
        <v>-43238</v>
      </c>
      <c r="D244" s="75"/>
      <c r="E244" s="73" t="e">
        <f>LOOKUP(D244,FORMULAS!$A:$A,FORMULAS!$B:$B)</f>
        <v>#N/A</v>
      </c>
      <c r="F244" s="80"/>
      <c r="G244" s="75"/>
      <c r="H244" s="75"/>
      <c r="I244" s="73"/>
      <c r="J244" s="73"/>
      <c r="K244" s="73"/>
      <c r="L244" s="73"/>
      <c r="M244" s="73"/>
      <c r="N244" s="73" t="e">
        <f>WEEKNUM(M244-RESUMEN!$P$7)</f>
        <v>#NUM!</v>
      </c>
      <c r="O244" s="73">
        <f>_xlfn.DAYS(M244,RESUMEN!$P$7)</f>
        <v>-43242</v>
      </c>
      <c r="P244" s="73"/>
      <c r="Q244" s="73" t="e">
        <f>LOOKUP(P244,FORMULAS!$A:$A,FORMULAS!$B:$B)</f>
        <v>#N/A</v>
      </c>
      <c r="R244" s="78"/>
      <c r="S244" s="73"/>
      <c r="T244" s="73"/>
      <c r="U244" s="73"/>
      <c r="V244" s="73"/>
      <c r="W244" s="73"/>
      <c r="X244" s="73"/>
      <c r="Y244" s="73"/>
      <c r="Z244" s="73" t="e">
        <f>WEEKNUM(Y244-RESUMEN!$AB$7)</f>
        <v>#NUM!</v>
      </c>
      <c r="AA244" s="73">
        <f>_xlfn.DAYS(Y244,RESUMEN!$AB$7)</f>
        <v>-43247</v>
      </c>
      <c r="AB244" s="73"/>
      <c r="AC244" s="73" t="e">
        <f>LOOKUP(AB244,FORMULAS!$A:$A,FORMULAS!$B:$B)</f>
        <v>#N/A</v>
      </c>
      <c r="AD244" s="78"/>
      <c r="AE244" s="73"/>
      <c r="AF244" s="73"/>
      <c r="AG244" s="73"/>
      <c r="AH244" s="73"/>
      <c r="AI244" s="73"/>
      <c r="AJ244" s="73"/>
      <c r="AK244" s="73"/>
      <c r="AL244" s="73" t="e">
        <f>WEEKNUM(AK244-RESUMEN!$AN$7)</f>
        <v>#NUM!</v>
      </c>
      <c r="AM244" s="73">
        <f>_xlfn.DAYS(AK244,RESUMEN!$AN$7)</f>
        <v>-43254</v>
      </c>
      <c r="AN244" s="73"/>
      <c r="AO244" s="73" t="e">
        <f>LOOKUP(AN244,FORMULAS!$A:$A,FORMULAS!$B:$B)</f>
        <v>#N/A</v>
      </c>
      <c r="AP244" s="78"/>
      <c r="AQ244" s="78"/>
      <c r="AR244" s="73"/>
      <c r="AS244" s="73"/>
      <c r="AT244" s="73"/>
      <c r="AU244" s="73"/>
      <c r="AV244" s="73"/>
      <c r="AW244" s="73"/>
      <c r="AX244" s="73" t="e">
        <f>WEEKNUM(AW244-RESUMEN!$AZ$7)</f>
        <v>#NUM!</v>
      </c>
      <c r="AY244" s="73">
        <f>_xlfn.DAYS(AW244,RESUMEN!$AZ$7)</f>
        <v>-43261</v>
      </c>
      <c r="AZ244" s="73"/>
      <c r="BA244" s="73" t="e">
        <f>LOOKUP(AZ244,FORMULAS!$A:$A,FORMULAS!$B:$B)</f>
        <v>#N/A</v>
      </c>
      <c r="BB244" s="78"/>
      <c r="BC244" s="73"/>
      <c r="BD244" s="73"/>
      <c r="BE244" s="73"/>
      <c r="BF244" s="73"/>
      <c r="BG244" s="73"/>
      <c r="BH244" s="73"/>
      <c r="BI244" s="73"/>
      <c r="BJ244" s="73" t="e">
        <f>WEEKNUM(BI244-RESUMEN!$BL$7)</f>
        <v>#NUM!</v>
      </c>
      <c r="BK244" s="73">
        <f>_xlfn.DAYS(BI244,RESUMEN!$BL$7)</f>
        <v>-43267</v>
      </c>
      <c r="BL244" s="73"/>
      <c r="BM244" s="73" t="e">
        <f>LOOKUP(BL244,FORMULAS!$A:$A,FORMULAS!$B:$B)</f>
        <v>#N/A</v>
      </c>
      <c r="BN244" s="78"/>
      <c r="BO244" s="73"/>
      <c r="BP244" s="73"/>
      <c r="BQ244" s="73"/>
      <c r="BR244" s="73"/>
      <c r="BS244" s="73"/>
      <c r="BT244" s="73"/>
    </row>
    <row r="245" spans="1:72" x14ac:dyDescent="0.25">
      <c r="A245" s="75"/>
      <c r="B245" s="74" t="e">
        <f>WEEKNUM(A245-RESUMEN!$D$7)</f>
        <v>#NUM!</v>
      </c>
      <c r="C245" s="74">
        <f>_xlfn.DAYS(A245,RESUMEN!$D$7)</f>
        <v>-43238</v>
      </c>
      <c r="D245" s="75"/>
      <c r="E245" s="73" t="e">
        <f>LOOKUP(D245,FORMULAS!$A:$A,FORMULAS!$B:$B)</f>
        <v>#N/A</v>
      </c>
      <c r="F245" s="80"/>
      <c r="G245" s="75"/>
      <c r="H245" s="75"/>
      <c r="I245" s="73"/>
      <c r="J245" s="73"/>
      <c r="K245" s="73"/>
      <c r="L245" s="73"/>
      <c r="M245" s="73"/>
      <c r="N245" s="73" t="e">
        <f>WEEKNUM(M245-RESUMEN!$P$7)</f>
        <v>#NUM!</v>
      </c>
      <c r="O245" s="73">
        <f>_xlfn.DAYS(M245,RESUMEN!$P$7)</f>
        <v>-43242</v>
      </c>
      <c r="P245" s="73"/>
      <c r="Q245" s="73" t="e">
        <f>LOOKUP(P245,FORMULAS!$A:$A,FORMULAS!$B:$B)</f>
        <v>#N/A</v>
      </c>
      <c r="R245" s="78"/>
      <c r="S245" s="73"/>
      <c r="T245" s="73"/>
      <c r="U245" s="73"/>
      <c r="V245" s="73"/>
      <c r="W245" s="73"/>
      <c r="X245" s="73"/>
      <c r="Y245" s="73"/>
      <c r="Z245" s="73" t="e">
        <f>WEEKNUM(Y245-RESUMEN!$AB$7)</f>
        <v>#NUM!</v>
      </c>
      <c r="AA245" s="73">
        <f>_xlfn.DAYS(Y245,RESUMEN!$AB$7)</f>
        <v>-43247</v>
      </c>
      <c r="AB245" s="73"/>
      <c r="AC245" s="73" t="e">
        <f>LOOKUP(AB245,FORMULAS!$A:$A,FORMULAS!$B:$B)</f>
        <v>#N/A</v>
      </c>
      <c r="AD245" s="78"/>
      <c r="AE245" s="73"/>
      <c r="AF245" s="73"/>
      <c r="AG245" s="73"/>
      <c r="AH245" s="73"/>
      <c r="AI245" s="73"/>
      <c r="AJ245" s="73"/>
      <c r="AK245" s="73"/>
      <c r="AL245" s="73" t="e">
        <f>WEEKNUM(AK245-RESUMEN!$AN$7)</f>
        <v>#NUM!</v>
      </c>
      <c r="AM245" s="73">
        <f>_xlfn.DAYS(AK245,RESUMEN!$AN$7)</f>
        <v>-43254</v>
      </c>
      <c r="AN245" s="73"/>
      <c r="AO245" s="73" t="e">
        <f>LOOKUP(AN245,FORMULAS!$A:$A,FORMULAS!$B:$B)</f>
        <v>#N/A</v>
      </c>
      <c r="AP245" s="78"/>
      <c r="AQ245" s="78"/>
      <c r="AR245" s="73"/>
      <c r="AS245" s="73"/>
      <c r="AT245" s="73"/>
      <c r="AU245" s="73"/>
      <c r="AV245" s="73"/>
      <c r="AW245" s="73"/>
      <c r="AX245" s="73" t="e">
        <f>WEEKNUM(AW245-RESUMEN!$AZ$7)</f>
        <v>#NUM!</v>
      </c>
      <c r="AY245" s="73">
        <f>_xlfn.DAYS(AW245,RESUMEN!$AZ$7)</f>
        <v>-43261</v>
      </c>
      <c r="AZ245" s="73"/>
      <c r="BA245" s="73" t="e">
        <f>LOOKUP(AZ245,FORMULAS!$A:$A,FORMULAS!$B:$B)</f>
        <v>#N/A</v>
      </c>
      <c r="BB245" s="78"/>
      <c r="BC245" s="73"/>
      <c r="BD245" s="73"/>
      <c r="BE245" s="73"/>
      <c r="BF245" s="73"/>
      <c r="BG245" s="73"/>
      <c r="BH245" s="73"/>
      <c r="BI245" s="73"/>
      <c r="BJ245" s="73" t="e">
        <f>WEEKNUM(BI245-RESUMEN!$BL$7)</f>
        <v>#NUM!</v>
      </c>
      <c r="BK245" s="73">
        <f>_xlfn.DAYS(BI245,RESUMEN!$BL$7)</f>
        <v>-43267</v>
      </c>
      <c r="BL245" s="73"/>
      <c r="BM245" s="73" t="e">
        <f>LOOKUP(BL245,FORMULAS!$A:$A,FORMULAS!$B:$B)</f>
        <v>#N/A</v>
      </c>
      <c r="BN245" s="78"/>
      <c r="BO245" s="73"/>
      <c r="BP245" s="73"/>
      <c r="BQ245" s="73"/>
      <c r="BR245" s="73"/>
      <c r="BS245" s="73"/>
      <c r="BT245" s="73"/>
    </row>
    <row r="246" spans="1:72" x14ac:dyDescent="0.25">
      <c r="A246" s="75"/>
      <c r="B246" s="74" t="e">
        <f>WEEKNUM(A246-RESUMEN!$D$7)</f>
        <v>#NUM!</v>
      </c>
      <c r="C246" s="74">
        <f>_xlfn.DAYS(A246,RESUMEN!$D$7)</f>
        <v>-43238</v>
      </c>
      <c r="D246" s="75"/>
      <c r="E246" s="73" t="e">
        <f>LOOKUP(D246,FORMULAS!$A:$A,FORMULAS!$B:$B)</f>
        <v>#N/A</v>
      </c>
      <c r="F246" s="80"/>
      <c r="G246" s="75"/>
      <c r="H246" s="75"/>
      <c r="I246" s="73"/>
      <c r="J246" s="73"/>
      <c r="K246" s="73"/>
      <c r="L246" s="73"/>
      <c r="M246" s="73"/>
      <c r="N246" s="73" t="e">
        <f>WEEKNUM(M246-RESUMEN!$P$7)</f>
        <v>#NUM!</v>
      </c>
      <c r="O246" s="73">
        <f>_xlfn.DAYS(M246,RESUMEN!$P$7)</f>
        <v>-43242</v>
      </c>
      <c r="P246" s="73"/>
      <c r="Q246" s="73" t="e">
        <f>LOOKUP(P246,FORMULAS!$A:$A,FORMULAS!$B:$B)</f>
        <v>#N/A</v>
      </c>
      <c r="R246" s="78"/>
      <c r="S246" s="73"/>
      <c r="T246" s="73"/>
      <c r="U246" s="73"/>
      <c r="V246" s="73"/>
      <c r="W246" s="73"/>
      <c r="X246" s="73"/>
      <c r="Y246" s="73"/>
      <c r="Z246" s="73" t="e">
        <f>WEEKNUM(Y246-RESUMEN!$AB$7)</f>
        <v>#NUM!</v>
      </c>
      <c r="AA246" s="73">
        <f>_xlfn.DAYS(Y246,RESUMEN!$AB$7)</f>
        <v>-43247</v>
      </c>
      <c r="AB246" s="73"/>
      <c r="AC246" s="73" t="e">
        <f>LOOKUP(AB246,FORMULAS!$A:$A,FORMULAS!$B:$B)</f>
        <v>#N/A</v>
      </c>
      <c r="AD246" s="78"/>
      <c r="AE246" s="73"/>
      <c r="AF246" s="73"/>
      <c r="AG246" s="73"/>
      <c r="AH246" s="73"/>
      <c r="AI246" s="73"/>
      <c r="AJ246" s="73"/>
      <c r="AK246" s="73"/>
      <c r="AL246" s="73" t="e">
        <f>WEEKNUM(AK246-RESUMEN!$AN$7)</f>
        <v>#NUM!</v>
      </c>
      <c r="AM246" s="73">
        <f>_xlfn.DAYS(AK246,RESUMEN!$AN$7)</f>
        <v>-43254</v>
      </c>
      <c r="AN246" s="73"/>
      <c r="AO246" s="73" t="e">
        <f>LOOKUP(AN246,FORMULAS!$A:$A,FORMULAS!$B:$B)</f>
        <v>#N/A</v>
      </c>
      <c r="AP246" s="78"/>
      <c r="AQ246" s="78"/>
      <c r="AR246" s="73"/>
      <c r="AS246" s="73"/>
      <c r="AT246" s="73"/>
      <c r="AU246" s="73"/>
      <c r="AV246" s="73"/>
      <c r="AW246" s="73"/>
      <c r="AX246" s="73" t="e">
        <f>WEEKNUM(AW246-RESUMEN!$AZ$7)</f>
        <v>#NUM!</v>
      </c>
      <c r="AY246" s="73">
        <f>_xlfn.DAYS(AW246,RESUMEN!$AZ$7)</f>
        <v>-43261</v>
      </c>
      <c r="AZ246" s="73"/>
      <c r="BA246" s="73" t="e">
        <f>LOOKUP(AZ246,FORMULAS!$A:$A,FORMULAS!$B:$B)</f>
        <v>#N/A</v>
      </c>
      <c r="BB246" s="78"/>
      <c r="BC246" s="73"/>
      <c r="BD246" s="73"/>
      <c r="BE246" s="73"/>
      <c r="BF246" s="73"/>
      <c r="BG246" s="73"/>
      <c r="BH246" s="73"/>
      <c r="BI246" s="73"/>
      <c r="BJ246" s="73" t="e">
        <f>WEEKNUM(BI246-RESUMEN!$BL$7)</f>
        <v>#NUM!</v>
      </c>
      <c r="BK246" s="73">
        <f>_xlfn.DAYS(BI246,RESUMEN!$BL$7)</f>
        <v>-43267</v>
      </c>
      <c r="BL246" s="73"/>
      <c r="BM246" s="73" t="e">
        <f>LOOKUP(BL246,FORMULAS!$A:$A,FORMULAS!$B:$B)</f>
        <v>#N/A</v>
      </c>
      <c r="BN246" s="78"/>
      <c r="BO246" s="73"/>
      <c r="BP246" s="73"/>
      <c r="BQ246" s="73"/>
      <c r="BR246" s="73"/>
      <c r="BS246" s="73"/>
      <c r="BT246" s="73"/>
    </row>
    <row r="247" spans="1:72" x14ac:dyDescent="0.25">
      <c r="A247" s="75"/>
      <c r="B247" s="74" t="e">
        <f>WEEKNUM(A247-RESUMEN!$D$7)</f>
        <v>#NUM!</v>
      </c>
      <c r="C247" s="74">
        <f>_xlfn.DAYS(A247,RESUMEN!$D$7)</f>
        <v>-43238</v>
      </c>
      <c r="D247" s="75"/>
      <c r="E247" s="73" t="e">
        <f>LOOKUP(D247,FORMULAS!$A:$A,FORMULAS!$B:$B)</f>
        <v>#N/A</v>
      </c>
      <c r="F247" s="80"/>
      <c r="G247" s="75"/>
      <c r="H247" s="75"/>
      <c r="I247" s="73"/>
      <c r="J247" s="73"/>
      <c r="K247" s="73"/>
      <c r="L247" s="73"/>
      <c r="M247" s="73"/>
      <c r="N247" s="73" t="e">
        <f>WEEKNUM(M247-RESUMEN!$P$7)</f>
        <v>#NUM!</v>
      </c>
      <c r="O247" s="73">
        <f>_xlfn.DAYS(M247,RESUMEN!$P$7)</f>
        <v>-43242</v>
      </c>
      <c r="P247" s="73"/>
      <c r="Q247" s="73" t="e">
        <f>LOOKUP(P247,FORMULAS!$A:$A,FORMULAS!$B:$B)</f>
        <v>#N/A</v>
      </c>
      <c r="R247" s="78"/>
      <c r="S247" s="73"/>
      <c r="T247" s="73"/>
      <c r="U247" s="73"/>
      <c r="V247" s="73"/>
      <c r="W247" s="73"/>
      <c r="X247" s="73"/>
      <c r="Y247" s="73"/>
      <c r="Z247" s="73" t="e">
        <f>WEEKNUM(Y247-RESUMEN!$AB$7)</f>
        <v>#NUM!</v>
      </c>
      <c r="AA247" s="73">
        <f>_xlfn.DAYS(Y247,RESUMEN!$AB$7)</f>
        <v>-43247</v>
      </c>
      <c r="AB247" s="73"/>
      <c r="AC247" s="73" t="e">
        <f>LOOKUP(AB247,FORMULAS!$A:$A,FORMULAS!$B:$B)</f>
        <v>#N/A</v>
      </c>
      <c r="AD247" s="78"/>
      <c r="AE247" s="73"/>
      <c r="AF247" s="73"/>
      <c r="AG247" s="73"/>
      <c r="AH247" s="73"/>
      <c r="AI247" s="73"/>
      <c r="AJ247" s="73"/>
      <c r="AK247" s="73"/>
      <c r="AL247" s="73" t="e">
        <f>WEEKNUM(AK247-RESUMEN!$AN$7)</f>
        <v>#NUM!</v>
      </c>
      <c r="AM247" s="73">
        <f>_xlfn.DAYS(AK247,RESUMEN!$AN$7)</f>
        <v>-43254</v>
      </c>
      <c r="AN247" s="73"/>
      <c r="AO247" s="73" t="e">
        <f>LOOKUP(AN247,FORMULAS!$A:$A,FORMULAS!$B:$B)</f>
        <v>#N/A</v>
      </c>
      <c r="AP247" s="78"/>
      <c r="AQ247" s="78"/>
      <c r="AR247" s="73"/>
      <c r="AS247" s="73"/>
      <c r="AT247" s="73"/>
      <c r="AU247" s="73"/>
      <c r="AV247" s="73"/>
      <c r="AW247" s="73"/>
      <c r="AX247" s="73" t="e">
        <f>WEEKNUM(AW247-RESUMEN!$AZ$7)</f>
        <v>#NUM!</v>
      </c>
      <c r="AY247" s="73">
        <f>_xlfn.DAYS(AW247,RESUMEN!$AZ$7)</f>
        <v>-43261</v>
      </c>
      <c r="AZ247" s="73"/>
      <c r="BA247" s="73" t="e">
        <f>LOOKUP(AZ247,FORMULAS!$A:$A,FORMULAS!$B:$B)</f>
        <v>#N/A</v>
      </c>
      <c r="BB247" s="78"/>
      <c r="BC247" s="73"/>
      <c r="BD247" s="73"/>
      <c r="BE247" s="73"/>
      <c r="BF247" s="73"/>
      <c r="BG247" s="73"/>
      <c r="BH247" s="73"/>
      <c r="BI247" s="73"/>
      <c r="BJ247" s="73" t="e">
        <f>WEEKNUM(BI247-RESUMEN!$BL$7)</f>
        <v>#NUM!</v>
      </c>
      <c r="BK247" s="73">
        <f>_xlfn.DAYS(BI247,RESUMEN!$BL$7)</f>
        <v>-43267</v>
      </c>
      <c r="BL247" s="73"/>
      <c r="BM247" s="73" t="e">
        <f>LOOKUP(BL247,FORMULAS!$A:$A,FORMULAS!$B:$B)</f>
        <v>#N/A</v>
      </c>
      <c r="BN247" s="78"/>
      <c r="BO247" s="73"/>
      <c r="BP247" s="73"/>
      <c r="BQ247" s="73"/>
      <c r="BR247" s="73"/>
      <c r="BS247" s="73"/>
      <c r="BT247" s="73"/>
    </row>
    <row r="248" spans="1:72" x14ac:dyDescent="0.25">
      <c r="A248" s="75"/>
      <c r="B248" s="74" t="e">
        <f>WEEKNUM(A248-RESUMEN!$D$7)</f>
        <v>#NUM!</v>
      </c>
      <c r="C248" s="74">
        <f>_xlfn.DAYS(A248,RESUMEN!$D$7)</f>
        <v>-43238</v>
      </c>
      <c r="D248" s="75"/>
      <c r="E248" s="73" t="e">
        <f>LOOKUP(D248,FORMULAS!$A:$A,FORMULAS!$B:$B)</f>
        <v>#N/A</v>
      </c>
      <c r="F248" s="80"/>
      <c r="G248" s="75"/>
      <c r="H248" s="75"/>
      <c r="I248" s="73"/>
      <c r="J248" s="73"/>
      <c r="K248" s="73"/>
      <c r="L248" s="73"/>
      <c r="M248" s="73"/>
      <c r="N248" s="73" t="e">
        <f>WEEKNUM(M248-RESUMEN!$P$7)</f>
        <v>#NUM!</v>
      </c>
      <c r="O248" s="73">
        <f>_xlfn.DAYS(M248,RESUMEN!$P$7)</f>
        <v>-43242</v>
      </c>
      <c r="P248" s="73"/>
      <c r="Q248" s="73" t="e">
        <f>LOOKUP(P248,FORMULAS!$A:$A,FORMULAS!$B:$B)</f>
        <v>#N/A</v>
      </c>
      <c r="R248" s="78"/>
      <c r="S248" s="73"/>
      <c r="T248" s="73"/>
      <c r="U248" s="73"/>
      <c r="V248" s="73"/>
      <c r="W248" s="73"/>
      <c r="X248" s="73"/>
      <c r="Y248" s="73"/>
      <c r="Z248" s="73" t="e">
        <f>WEEKNUM(Y248-RESUMEN!$AB$7)</f>
        <v>#NUM!</v>
      </c>
      <c r="AA248" s="73">
        <f>_xlfn.DAYS(Y248,RESUMEN!$AB$7)</f>
        <v>-43247</v>
      </c>
      <c r="AB248" s="73"/>
      <c r="AC248" s="73" t="e">
        <f>LOOKUP(AB248,FORMULAS!$A:$A,FORMULAS!$B:$B)</f>
        <v>#N/A</v>
      </c>
      <c r="AD248" s="78"/>
      <c r="AE248" s="73"/>
      <c r="AF248" s="73"/>
      <c r="AG248" s="73"/>
      <c r="AH248" s="73"/>
      <c r="AI248" s="73"/>
      <c r="AJ248" s="73"/>
      <c r="AK248" s="73"/>
      <c r="AL248" s="73" t="e">
        <f>WEEKNUM(AK248-RESUMEN!$AN$7)</f>
        <v>#NUM!</v>
      </c>
      <c r="AM248" s="73">
        <f>_xlfn.DAYS(AK248,RESUMEN!$AN$7)</f>
        <v>-43254</v>
      </c>
      <c r="AN248" s="73"/>
      <c r="AO248" s="73" t="e">
        <f>LOOKUP(AN248,FORMULAS!$A:$A,FORMULAS!$B:$B)</f>
        <v>#N/A</v>
      </c>
      <c r="AP248" s="78"/>
      <c r="AQ248" s="78"/>
      <c r="AR248" s="73"/>
      <c r="AS248" s="73"/>
      <c r="AT248" s="73"/>
      <c r="AU248" s="73"/>
      <c r="AV248" s="73"/>
      <c r="AW248" s="73"/>
      <c r="AX248" s="73" t="e">
        <f>WEEKNUM(AW248-RESUMEN!$AZ$7)</f>
        <v>#NUM!</v>
      </c>
      <c r="AY248" s="73">
        <f>_xlfn.DAYS(AW248,RESUMEN!$AZ$7)</f>
        <v>-43261</v>
      </c>
      <c r="AZ248" s="73"/>
      <c r="BA248" s="73" t="e">
        <f>LOOKUP(AZ248,FORMULAS!$A:$A,FORMULAS!$B:$B)</f>
        <v>#N/A</v>
      </c>
      <c r="BB248" s="78"/>
      <c r="BC248" s="73"/>
      <c r="BD248" s="73"/>
      <c r="BE248" s="73"/>
      <c r="BF248" s="73"/>
      <c r="BG248" s="73"/>
      <c r="BH248" s="73"/>
      <c r="BI248" s="73"/>
      <c r="BJ248" s="73" t="e">
        <f>WEEKNUM(BI248-RESUMEN!$BL$7)</f>
        <v>#NUM!</v>
      </c>
      <c r="BK248" s="73">
        <f>_xlfn.DAYS(BI248,RESUMEN!$BL$7)</f>
        <v>-43267</v>
      </c>
      <c r="BL248" s="73"/>
      <c r="BM248" s="73" t="e">
        <f>LOOKUP(BL248,FORMULAS!$A:$A,FORMULAS!$B:$B)</f>
        <v>#N/A</v>
      </c>
      <c r="BN248" s="78"/>
      <c r="BO248" s="73"/>
      <c r="BP248" s="73"/>
      <c r="BQ248" s="73"/>
      <c r="BR248" s="73"/>
      <c r="BS248" s="73"/>
      <c r="BT248" s="73"/>
    </row>
    <row r="249" spans="1:72" x14ac:dyDescent="0.25">
      <c r="A249" s="75"/>
      <c r="B249" s="74" t="e">
        <f>WEEKNUM(A249-RESUMEN!$D$7)</f>
        <v>#NUM!</v>
      </c>
      <c r="C249" s="74">
        <f>_xlfn.DAYS(A249,RESUMEN!$D$7)</f>
        <v>-43238</v>
      </c>
      <c r="D249" s="75"/>
      <c r="E249" s="73" t="e">
        <f>LOOKUP(D249,FORMULAS!$A:$A,FORMULAS!$B:$B)</f>
        <v>#N/A</v>
      </c>
      <c r="F249" s="80"/>
      <c r="G249" s="75"/>
      <c r="H249" s="75"/>
      <c r="I249" s="73"/>
      <c r="J249" s="73"/>
      <c r="K249" s="73"/>
      <c r="L249" s="73"/>
      <c r="M249" s="73"/>
      <c r="N249" s="73" t="e">
        <f>WEEKNUM(M249-RESUMEN!$P$7)</f>
        <v>#NUM!</v>
      </c>
      <c r="O249" s="73">
        <f>_xlfn.DAYS(M249,RESUMEN!$P$7)</f>
        <v>-43242</v>
      </c>
      <c r="P249" s="73"/>
      <c r="Q249" s="73" t="e">
        <f>LOOKUP(P249,FORMULAS!$A:$A,FORMULAS!$B:$B)</f>
        <v>#N/A</v>
      </c>
      <c r="R249" s="78"/>
      <c r="S249" s="73"/>
      <c r="T249" s="73"/>
      <c r="U249" s="73"/>
      <c r="V249" s="73"/>
      <c r="W249" s="73"/>
      <c r="X249" s="73"/>
      <c r="Y249" s="73"/>
      <c r="Z249" s="73" t="e">
        <f>WEEKNUM(Y249-RESUMEN!$AB$7)</f>
        <v>#NUM!</v>
      </c>
      <c r="AA249" s="73">
        <f>_xlfn.DAYS(Y249,RESUMEN!$AB$7)</f>
        <v>-43247</v>
      </c>
      <c r="AB249" s="73"/>
      <c r="AC249" s="73" t="e">
        <f>LOOKUP(AB249,FORMULAS!$A:$A,FORMULAS!$B:$B)</f>
        <v>#N/A</v>
      </c>
      <c r="AD249" s="78"/>
      <c r="AE249" s="73"/>
      <c r="AF249" s="73"/>
      <c r="AG249" s="73"/>
      <c r="AH249" s="73"/>
      <c r="AI249" s="73"/>
      <c r="AJ249" s="73"/>
      <c r="AK249" s="73"/>
      <c r="AL249" s="73" t="e">
        <f>WEEKNUM(AK249-RESUMEN!$AN$7)</f>
        <v>#NUM!</v>
      </c>
      <c r="AM249" s="73">
        <f>_xlfn.DAYS(AK249,RESUMEN!$AN$7)</f>
        <v>-43254</v>
      </c>
      <c r="AN249" s="73"/>
      <c r="AO249" s="73" t="e">
        <f>LOOKUP(AN249,FORMULAS!$A:$A,FORMULAS!$B:$B)</f>
        <v>#N/A</v>
      </c>
      <c r="AP249" s="78"/>
      <c r="AQ249" s="78"/>
      <c r="AR249" s="73"/>
      <c r="AS249" s="73"/>
      <c r="AT249" s="73"/>
      <c r="AU249" s="73"/>
      <c r="AV249" s="73"/>
      <c r="AW249" s="73"/>
      <c r="AX249" s="73" t="e">
        <f>WEEKNUM(AW249-RESUMEN!$AZ$7)</f>
        <v>#NUM!</v>
      </c>
      <c r="AY249" s="73">
        <f>_xlfn.DAYS(AW249,RESUMEN!$AZ$7)</f>
        <v>-43261</v>
      </c>
      <c r="AZ249" s="73"/>
      <c r="BA249" s="73" t="e">
        <f>LOOKUP(AZ249,FORMULAS!$A:$A,FORMULAS!$B:$B)</f>
        <v>#N/A</v>
      </c>
      <c r="BB249" s="78"/>
      <c r="BC249" s="73"/>
      <c r="BD249" s="73"/>
      <c r="BE249" s="73"/>
      <c r="BF249" s="73"/>
      <c r="BG249" s="73"/>
      <c r="BH249" s="73"/>
      <c r="BI249" s="73"/>
      <c r="BJ249" s="73" t="e">
        <f>WEEKNUM(BI249-RESUMEN!$BL$7)</f>
        <v>#NUM!</v>
      </c>
      <c r="BK249" s="73">
        <f>_xlfn.DAYS(BI249,RESUMEN!$BL$7)</f>
        <v>-43267</v>
      </c>
      <c r="BL249" s="73"/>
      <c r="BM249" s="73" t="e">
        <f>LOOKUP(BL249,FORMULAS!$A:$A,FORMULAS!$B:$B)</f>
        <v>#N/A</v>
      </c>
      <c r="BN249" s="78"/>
      <c r="BO249" s="73"/>
      <c r="BP249" s="73"/>
      <c r="BQ249" s="73"/>
      <c r="BR249" s="73"/>
      <c r="BS249" s="73"/>
      <c r="BT249" s="73"/>
    </row>
    <row r="250" spans="1:72" x14ac:dyDescent="0.25">
      <c r="A250" s="75"/>
      <c r="B250" s="74" t="e">
        <f>WEEKNUM(A250-RESUMEN!$D$7)</f>
        <v>#NUM!</v>
      </c>
      <c r="C250" s="74">
        <f>_xlfn.DAYS(A250,RESUMEN!$D$7)</f>
        <v>-43238</v>
      </c>
      <c r="D250" s="75"/>
      <c r="E250" s="73" t="e">
        <f>LOOKUP(D250,FORMULAS!$A:$A,FORMULAS!$B:$B)</f>
        <v>#N/A</v>
      </c>
      <c r="F250" s="80"/>
      <c r="G250" s="75"/>
      <c r="H250" s="75"/>
      <c r="I250" s="73"/>
      <c r="J250" s="73"/>
      <c r="K250" s="73"/>
      <c r="L250" s="73"/>
      <c r="M250" s="73"/>
      <c r="N250" s="73" t="e">
        <f>WEEKNUM(M250-RESUMEN!$P$7)</f>
        <v>#NUM!</v>
      </c>
      <c r="O250" s="73">
        <f>_xlfn.DAYS(M250,RESUMEN!$P$7)</f>
        <v>-43242</v>
      </c>
      <c r="P250" s="73"/>
      <c r="Q250" s="73" t="e">
        <f>LOOKUP(P250,FORMULAS!$A:$A,FORMULAS!$B:$B)</f>
        <v>#N/A</v>
      </c>
      <c r="R250" s="78"/>
      <c r="S250" s="73"/>
      <c r="T250" s="73"/>
      <c r="U250" s="73"/>
      <c r="V250" s="73"/>
      <c r="W250" s="73"/>
      <c r="X250" s="73"/>
      <c r="Y250" s="73"/>
      <c r="Z250" s="73" t="e">
        <f>WEEKNUM(Y250-RESUMEN!$AB$7)</f>
        <v>#NUM!</v>
      </c>
      <c r="AA250" s="73">
        <f>_xlfn.DAYS(Y250,RESUMEN!$AB$7)</f>
        <v>-43247</v>
      </c>
      <c r="AB250" s="73"/>
      <c r="AC250" s="73" t="e">
        <f>LOOKUP(AB250,FORMULAS!$A:$A,FORMULAS!$B:$B)</f>
        <v>#N/A</v>
      </c>
      <c r="AD250" s="78"/>
      <c r="AE250" s="73"/>
      <c r="AF250" s="73"/>
      <c r="AG250" s="73"/>
      <c r="AH250" s="73"/>
      <c r="AI250" s="73"/>
      <c r="AJ250" s="73"/>
      <c r="AK250" s="73"/>
      <c r="AL250" s="73" t="e">
        <f>WEEKNUM(AK250-RESUMEN!$AN$7)</f>
        <v>#NUM!</v>
      </c>
      <c r="AM250" s="73">
        <f>_xlfn.DAYS(AK250,RESUMEN!$AN$7)</f>
        <v>-43254</v>
      </c>
      <c r="AN250" s="73"/>
      <c r="AO250" s="73" t="e">
        <f>LOOKUP(AN250,FORMULAS!$A:$A,FORMULAS!$B:$B)</f>
        <v>#N/A</v>
      </c>
      <c r="AP250" s="78"/>
      <c r="AQ250" s="78"/>
      <c r="AR250" s="73"/>
      <c r="AS250" s="73"/>
      <c r="AT250" s="73"/>
      <c r="AU250" s="73"/>
      <c r="AV250" s="73"/>
      <c r="AW250" s="73"/>
      <c r="AX250" s="73" t="e">
        <f>WEEKNUM(AW250-RESUMEN!$AZ$7)</f>
        <v>#NUM!</v>
      </c>
      <c r="AY250" s="73">
        <f>_xlfn.DAYS(AW250,RESUMEN!$AZ$7)</f>
        <v>-43261</v>
      </c>
      <c r="AZ250" s="73"/>
      <c r="BA250" s="73" t="e">
        <f>LOOKUP(AZ250,FORMULAS!$A:$A,FORMULAS!$B:$B)</f>
        <v>#N/A</v>
      </c>
      <c r="BB250" s="78"/>
      <c r="BC250" s="73"/>
      <c r="BD250" s="73"/>
      <c r="BE250" s="73"/>
      <c r="BF250" s="73"/>
      <c r="BG250" s="73"/>
      <c r="BH250" s="73"/>
      <c r="BI250" s="73"/>
      <c r="BJ250" s="73" t="e">
        <f>WEEKNUM(BI250-RESUMEN!$BL$7)</f>
        <v>#NUM!</v>
      </c>
      <c r="BK250" s="73">
        <f>_xlfn.DAYS(BI250,RESUMEN!$BL$7)</f>
        <v>-43267</v>
      </c>
      <c r="BL250" s="73"/>
      <c r="BM250" s="73" t="e">
        <f>LOOKUP(BL250,FORMULAS!$A:$A,FORMULAS!$B:$B)</f>
        <v>#N/A</v>
      </c>
      <c r="BN250" s="78"/>
      <c r="BO250" s="73"/>
      <c r="BP250" s="73"/>
      <c r="BQ250" s="73"/>
      <c r="BR250" s="73"/>
      <c r="BS250" s="73"/>
      <c r="BT250" s="73"/>
    </row>
    <row r="251" spans="1:72" x14ac:dyDescent="0.25">
      <c r="A251" s="75"/>
      <c r="B251" s="74" t="e">
        <f>WEEKNUM(A251-RESUMEN!$D$7)</f>
        <v>#NUM!</v>
      </c>
      <c r="C251" s="74">
        <f>_xlfn.DAYS(A251,RESUMEN!$D$7)</f>
        <v>-43238</v>
      </c>
      <c r="D251" s="75"/>
      <c r="E251" s="73" t="e">
        <f>LOOKUP(D251,FORMULAS!$A:$A,FORMULAS!$B:$B)</f>
        <v>#N/A</v>
      </c>
      <c r="F251" s="80"/>
      <c r="G251" s="75"/>
      <c r="H251" s="75"/>
      <c r="I251" s="73"/>
      <c r="J251" s="73"/>
      <c r="K251" s="73"/>
      <c r="L251" s="73"/>
      <c r="M251" s="73"/>
      <c r="N251" s="73" t="e">
        <f>WEEKNUM(M251-RESUMEN!$P$7)</f>
        <v>#NUM!</v>
      </c>
      <c r="O251" s="73">
        <f>_xlfn.DAYS(M251,RESUMEN!$P$7)</f>
        <v>-43242</v>
      </c>
      <c r="P251" s="73"/>
      <c r="Q251" s="73" t="e">
        <f>LOOKUP(P251,FORMULAS!$A:$A,FORMULAS!$B:$B)</f>
        <v>#N/A</v>
      </c>
      <c r="R251" s="78"/>
      <c r="S251" s="73"/>
      <c r="T251" s="73"/>
      <c r="U251" s="73"/>
      <c r="V251" s="73"/>
      <c r="W251" s="73"/>
      <c r="X251" s="73"/>
      <c r="Y251" s="73"/>
      <c r="Z251" s="73" t="e">
        <f>WEEKNUM(Y251-RESUMEN!$AB$7)</f>
        <v>#NUM!</v>
      </c>
      <c r="AA251" s="73">
        <f>_xlfn.DAYS(Y251,RESUMEN!$AB$7)</f>
        <v>-43247</v>
      </c>
      <c r="AB251" s="73"/>
      <c r="AC251" s="73" t="e">
        <f>LOOKUP(AB251,FORMULAS!$A:$A,FORMULAS!$B:$B)</f>
        <v>#N/A</v>
      </c>
      <c r="AD251" s="78"/>
      <c r="AE251" s="73"/>
      <c r="AF251" s="73"/>
      <c r="AG251" s="73"/>
      <c r="AH251" s="73"/>
      <c r="AI251" s="73"/>
      <c r="AJ251" s="73"/>
      <c r="AK251" s="73"/>
      <c r="AL251" s="73" t="e">
        <f>WEEKNUM(AK251-RESUMEN!$AN$7)</f>
        <v>#NUM!</v>
      </c>
      <c r="AM251" s="73">
        <f>_xlfn.DAYS(AK251,RESUMEN!$AN$7)</f>
        <v>-43254</v>
      </c>
      <c r="AN251" s="73"/>
      <c r="AO251" s="73" t="e">
        <f>LOOKUP(AN251,FORMULAS!$A:$A,FORMULAS!$B:$B)</f>
        <v>#N/A</v>
      </c>
      <c r="AP251" s="78"/>
      <c r="AQ251" s="78"/>
      <c r="AR251" s="73"/>
      <c r="AS251" s="73"/>
      <c r="AT251" s="73"/>
      <c r="AU251" s="73"/>
      <c r="AV251" s="73"/>
      <c r="AW251" s="73"/>
      <c r="AX251" s="73" t="e">
        <f>WEEKNUM(AW251-RESUMEN!$AZ$7)</f>
        <v>#NUM!</v>
      </c>
      <c r="AY251" s="73">
        <f>_xlfn.DAYS(AW251,RESUMEN!$AZ$7)</f>
        <v>-43261</v>
      </c>
      <c r="AZ251" s="73"/>
      <c r="BA251" s="73" t="e">
        <f>LOOKUP(AZ251,FORMULAS!$A:$A,FORMULAS!$B:$B)</f>
        <v>#N/A</v>
      </c>
      <c r="BB251" s="78"/>
      <c r="BC251" s="73"/>
      <c r="BD251" s="73"/>
      <c r="BE251" s="73"/>
      <c r="BF251" s="73"/>
      <c r="BG251" s="73"/>
      <c r="BH251" s="73"/>
      <c r="BI251" s="73"/>
      <c r="BJ251" s="73" t="e">
        <f>WEEKNUM(BI251-RESUMEN!$BL$7)</f>
        <v>#NUM!</v>
      </c>
      <c r="BK251" s="73">
        <f>_xlfn.DAYS(BI251,RESUMEN!$BL$7)</f>
        <v>-43267</v>
      </c>
      <c r="BL251" s="73"/>
      <c r="BM251" s="73" t="e">
        <f>LOOKUP(BL251,FORMULAS!$A:$A,FORMULAS!$B:$B)</f>
        <v>#N/A</v>
      </c>
      <c r="BN251" s="78"/>
      <c r="BO251" s="73"/>
      <c r="BP251" s="73"/>
      <c r="BQ251" s="73"/>
      <c r="BR251" s="73"/>
      <c r="BS251" s="73"/>
      <c r="BT251" s="73"/>
    </row>
    <row r="252" spans="1:72" x14ac:dyDescent="0.25">
      <c r="A252" s="75"/>
      <c r="B252" s="74" t="e">
        <f>WEEKNUM(A252-RESUMEN!$D$7)</f>
        <v>#NUM!</v>
      </c>
      <c r="C252" s="74">
        <f>_xlfn.DAYS(A252,RESUMEN!$D$7)</f>
        <v>-43238</v>
      </c>
      <c r="D252" s="75"/>
      <c r="E252" s="73" t="e">
        <f>LOOKUP(D252,FORMULAS!$A:$A,FORMULAS!$B:$B)</f>
        <v>#N/A</v>
      </c>
      <c r="F252" s="80"/>
      <c r="G252" s="75"/>
      <c r="H252" s="75"/>
      <c r="I252" s="73"/>
      <c r="J252" s="73"/>
      <c r="K252" s="73"/>
      <c r="L252" s="73"/>
      <c r="M252" s="73"/>
      <c r="N252" s="73" t="e">
        <f>WEEKNUM(M252-RESUMEN!$P$7)</f>
        <v>#NUM!</v>
      </c>
      <c r="O252" s="73">
        <f>_xlfn.DAYS(M252,RESUMEN!$P$7)</f>
        <v>-43242</v>
      </c>
      <c r="P252" s="73"/>
      <c r="Q252" s="73" t="e">
        <f>LOOKUP(P252,FORMULAS!$A:$A,FORMULAS!$B:$B)</f>
        <v>#N/A</v>
      </c>
      <c r="R252" s="78"/>
      <c r="S252" s="73"/>
      <c r="T252" s="73"/>
      <c r="U252" s="73"/>
      <c r="V252" s="73"/>
      <c r="W252" s="73"/>
      <c r="X252" s="73"/>
      <c r="Y252" s="73"/>
      <c r="Z252" s="73" t="e">
        <f>WEEKNUM(Y252-RESUMEN!$AB$7)</f>
        <v>#NUM!</v>
      </c>
      <c r="AA252" s="73">
        <f>_xlfn.DAYS(Y252,RESUMEN!$AB$7)</f>
        <v>-43247</v>
      </c>
      <c r="AB252" s="73"/>
      <c r="AC252" s="73" t="e">
        <f>LOOKUP(AB252,FORMULAS!$A:$A,FORMULAS!$B:$B)</f>
        <v>#N/A</v>
      </c>
      <c r="AD252" s="78"/>
      <c r="AE252" s="73"/>
      <c r="AF252" s="73"/>
      <c r="AG252" s="73"/>
      <c r="AH252" s="73"/>
      <c r="AI252" s="73"/>
      <c r="AJ252" s="73"/>
      <c r="AK252" s="73"/>
      <c r="AL252" s="73" t="e">
        <f>WEEKNUM(AK252-RESUMEN!$AN$7)</f>
        <v>#NUM!</v>
      </c>
      <c r="AM252" s="73">
        <f>_xlfn.DAYS(AK252,RESUMEN!$AN$7)</f>
        <v>-43254</v>
      </c>
      <c r="AN252" s="73"/>
      <c r="AO252" s="73" t="e">
        <f>LOOKUP(AN252,FORMULAS!$A:$A,FORMULAS!$B:$B)</f>
        <v>#N/A</v>
      </c>
      <c r="AP252" s="78"/>
      <c r="AQ252" s="78"/>
      <c r="AR252" s="73"/>
      <c r="AS252" s="73"/>
      <c r="AT252" s="73"/>
      <c r="AU252" s="73"/>
      <c r="AV252" s="73"/>
      <c r="AW252" s="73"/>
      <c r="AX252" s="73" t="e">
        <f>WEEKNUM(AW252-RESUMEN!$AZ$7)</f>
        <v>#NUM!</v>
      </c>
      <c r="AY252" s="73">
        <f>_xlfn.DAYS(AW252,RESUMEN!$AZ$7)</f>
        <v>-43261</v>
      </c>
      <c r="AZ252" s="73"/>
      <c r="BA252" s="73" t="e">
        <f>LOOKUP(AZ252,FORMULAS!$A:$A,FORMULAS!$B:$B)</f>
        <v>#N/A</v>
      </c>
      <c r="BB252" s="78"/>
      <c r="BC252" s="73"/>
      <c r="BD252" s="73"/>
      <c r="BE252" s="73"/>
      <c r="BF252" s="73"/>
      <c r="BG252" s="73"/>
      <c r="BH252" s="73"/>
      <c r="BI252" s="73"/>
      <c r="BJ252" s="73" t="e">
        <f>WEEKNUM(BI252-RESUMEN!$BL$7)</f>
        <v>#NUM!</v>
      </c>
      <c r="BK252" s="73">
        <f>_xlfn.DAYS(BI252,RESUMEN!$BL$7)</f>
        <v>-43267</v>
      </c>
      <c r="BL252" s="73"/>
      <c r="BM252" s="73" t="e">
        <f>LOOKUP(BL252,FORMULAS!$A:$A,FORMULAS!$B:$B)</f>
        <v>#N/A</v>
      </c>
      <c r="BN252" s="78"/>
      <c r="BO252" s="73"/>
      <c r="BP252" s="73"/>
      <c r="BQ252" s="73"/>
      <c r="BR252" s="73"/>
      <c r="BS252" s="73"/>
      <c r="BT252" s="73"/>
    </row>
    <row r="253" spans="1:72" x14ac:dyDescent="0.25">
      <c r="A253" s="75"/>
      <c r="B253" s="74" t="e">
        <f>WEEKNUM(A253-RESUMEN!$D$7)</f>
        <v>#NUM!</v>
      </c>
      <c r="C253" s="74">
        <f>_xlfn.DAYS(A253,RESUMEN!$D$7)</f>
        <v>-43238</v>
      </c>
      <c r="D253" s="75"/>
      <c r="E253" s="73" t="e">
        <f>LOOKUP(D253,FORMULAS!$A:$A,FORMULAS!$B:$B)</f>
        <v>#N/A</v>
      </c>
      <c r="F253" s="80"/>
      <c r="G253" s="75"/>
      <c r="H253" s="75"/>
      <c r="I253" s="73"/>
      <c r="J253" s="73"/>
      <c r="K253" s="73"/>
      <c r="L253" s="73"/>
      <c r="M253" s="73"/>
      <c r="N253" s="73" t="e">
        <f>WEEKNUM(M253-RESUMEN!$P$7)</f>
        <v>#NUM!</v>
      </c>
      <c r="O253" s="73">
        <f>_xlfn.DAYS(M253,RESUMEN!$P$7)</f>
        <v>-43242</v>
      </c>
      <c r="P253" s="73"/>
      <c r="Q253" s="73" t="e">
        <f>LOOKUP(P253,FORMULAS!$A:$A,FORMULAS!$B:$B)</f>
        <v>#N/A</v>
      </c>
      <c r="R253" s="78"/>
      <c r="S253" s="73"/>
      <c r="T253" s="73"/>
      <c r="U253" s="73"/>
      <c r="V253" s="73"/>
      <c r="W253" s="73"/>
      <c r="X253" s="73"/>
      <c r="Y253" s="73"/>
      <c r="Z253" s="73" t="e">
        <f>WEEKNUM(Y253-RESUMEN!$AB$7)</f>
        <v>#NUM!</v>
      </c>
      <c r="AA253" s="73">
        <f>_xlfn.DAYS(Y253,RESUMEN!$AB$7)</f>
        <v>-43247</v>
      </c>
      <c r="AB253" s="73"/>
      <c r="AC253" s="73" t="e">
        <f>LOOKUP(AB253,FORMULAS!$A:$A,FORMULAS!$B:$B)</f>
        <v>#N/A</v>
      </c>
      <c r="AD253" s="78"/>
      <c r="AE253" s="73"/>
      <c r="AF253" s="73"/>
      <c r="AG253" s="73"/>
      <c r="AH253" s="73"/>
      <c r="AI253" s="73"/>
      <c r="AJ253" s="73"/>
      <c r="AK253" s="73"/>
      <c r="AL253" s="73" t="e">
        <f>WEEKNUM(AK253-RESUMEN!$AN$7)</f>
        <v>#NUM!</v>
      </c>
      <c r="AM253" s="73">
        <f>_xlfn.DAYS(AK253,RESUMEN!$AN$7)</f>
        <v>-43254</v>
      </c>
      <c r="AN253" s="73"/>
      <c r="AO253" s="73" t="e">
        <f>LOOKUP(AN253,FORMULAS!$A:$A,FORMULAS!$B:$B)</f>
        <v>#N/A</v>
      </c>
      <c r="AP253" s="78"/>
      <c r="AQ253" s="78"/>
      <c r="AR253" s="73"/>
      <c r="AS253" s="73"/>
      <c r="AT253" s="73"/>
      <c r="AU253" s="73"/>
      <c r="AV253" s="73"/>
      <c r="AW253" s="73"/>
      <c r="AX253" s="73" t="e">
        <f>WEEKNUM(AW253-RESUMEN!$AZ$7)</f>
        <v>#NUM!</v>
      </c>
      <c r="AY253" s="73">
        <f>_xlfn.DAYS(AW253,RESUMEN!$AZ$7)</f>
        <v>-43261</v>
      </c>
      <c r="AZ253" s="73"/>
      <c r="BA253" s="73" t="e">
        <f>LOOKUP(AZ253,FORMULAS!$A:$A,FORMULAS!$B:$B)</f>
        <v>#N/A</v>
      </c>
      <c r="BB253" s="78"/>
      <c r="BC253" s="73"/>
      <c r="BD253" s="73"/>
      <c r="BE253" s="73"/>
      <c r="BF253" s="73"/>
      <c r="BG253" s="73"/>
      <c r="BH253" s="73"/>
      <c r="BI253" s="73"/>
      <c r="BJ253" s="73" t="e">
        <f>WEEKNUM(BI253-RESUMEN!$BL$7)</f>
        <v>#NUM!</v>
      </c>
      <c r="BK253" s="73">
        <f>_xlfn.DAYS(BI253,RESUMEN!$BL$7)</f>
        <v>-43267</v>
      </c>
      <c r="BL253" s="73"/>
      <c r="BM253" s="73" t="e">
        <f>LOOKUP(BL253,FORMULAS!$A:$A,FORMULAS!$B:$B)</f>
        <v>#N/A</v>
      </c>
      <c r="BN253" s="78"/>
      <c r="BO253" s="73"/>
      <c r="BP253" s="73"/>
      <c r="BQ253" s="73"/>
      <c r="BR253" s="73"/>
      <c r="BS253" s="73"/>
      <c r="BT253" s="73"/>
    </row>
    <row r="254" spans="1:72" x14ac:dyDescent="0.25">
      <c r="A254" s="75"/>
      <c r="B254" s="74" t="e">
        <f>WEEKNUM(A254-RESUMEN!$D$7)</f>
        <v>#NUM!</v>
      </c>
      <c r="C254" s="74">
        <f>_xlfn.DAYS(A254,RESUMEN!$D$7)</f>
        <v>-43238</v>
      </c>
      <c r="D254" s="75"/>
      <c r="E254" s="73" t="e">
        <f>LOOKUP(D254,FORMULAS!$A:$A,FORMULAS!$B:$B)</f>
        <v>#N/A</v>
      </c>
      <c r="F254" s="80"/>
      <c r="G254" s="75"/>
      <c r="H254" s="75"/>
      <c r="I254" s="73"/>
      <c r="J254" s="73"/>
      <c r="K254" s="73"/>
      <c r="L254" s="73"/>
      <c r="M254" s="73"/>
      <c r="N254" s="73" t="e">
        <f>WEEKNUM(M254-RESUMEN!$P$7)</f>
        <v>#NUM!</v>
      </c>
      <c r="O254" s="73">
        <f>_xlfn.DAYS(M254,RESUMEN!$P$7)</f>
        <v>-43242</v>
      </c>
      <c r="P254" s="73"/>
      <c r="Q254" s="73" t="e">
        <f>LOOKUP(P254,FORMULAS!$A:$A,FORMULAS!$B:$B)</f>
        <v>#N/A</v>
      </c>
      <c r="R254" s="78"/>
      <c r="S254" s="73"/>
      <c r="T254" s="73"/>
      <c r="U254" s="73"/>
      <c r="V254" s="73"/>
      <c r="W254" s="73"/>
      <c r="X254" s="73"/>
      <c r="Y254" s="73"/>
      <c r="Z254" s="73" t="e">
        <f>WEEKNUM(Y254-RESUMEN!$AB$7)</f>
        <v>#NUM!</v>
      </c>
      <c r="AA254" s="73">
        <f>_xlfn.DAYS(Y254,RESUMEN!$AB$7)</f>
        <v>-43247</v>
      </c>
      <c r="AB254" s="73"/>
      <c r="AC254" s="73" t="e">
        <f>LOOKUP(AB254,FORMULAS!$A:$A,FORMULAS!$B:$B)</f>
        <v>#N/A</v>
      </c>
      <c r="AD254" s="78"/>
      <c r="AE254" s="73"/>
      <c r="AF254" s="73"/>
      <c r="AG254" s="73"/>
      <c r="AH254" s="73"/>
      <c r="AI254" s="73"/>
      <c r="AJ254" s="73"/>
      <c r="AK254" s="73"/>
      <c r="AL254" s="73" t="e">
        <f>WEEKNUM(AK254-RESUMEN!$AN$7)</f>
        <v>#NUM!</v>
      </c>
      <c r="AM254" s="73">
        <f>_xlfn.DAYS(AK254,RESUMEN!$AN$7)</f>
        <v>-43254</v>
      </c>
      <c r="AN254" s="73"/>
      <c r="AO254" s="73" t="e">
        <f>LOOKUP(AN254,FORMULAS!$A:$A,FORMULAS!$B:$B)</f>
        <v>#N/A</v>
      </c>
      <c r="AP254" s="78"/>
      <c r="AQ254" s="78"/>
      <c r="AR254" s="73"/>
      <c r="AS254" s="73"/>
      <c r="AT254" s="73"/>
      <c r="AU254" s="73"/>
      <c r="AV254" s="73"/>
      <c r="AW254" s="73"/>
      <c r="AX254" s="73" t="e">
        <f>WEEKNUM(AW254-RESUMEN!$AZ$7)</f>
        <v>#NUM!</v>
      </c>
      <c r="AY254" s="73">
        <f>_xlfn.DAYS(AW254,RESUMEN!$AZ$7)</f>
        <v>-43261</v>
      </c>
      <c r="AZ254" s="73"/>
      <c r="BA254" s="73" t="e">
        <f>LOOKUP(AZ254,FORMULAS!$A:$A,FORMULAS!$B:$B)</f>
        <v>#N/A</v>
      </c>
      <c r="BB254" s="78"/>
      <c r="BC254" s="73"/>
      <c r="BD254" s="73"/>
      <c r="BE254" s="73"/>
      <c r="BF254" s="73"/>
      <c r="BG254" s="73"/>
      <c r="BH254" s="73"/>
      <c r="BI254" s="73"/>
      <c r="BJ254" s="73" t="e">
        <f>WEEKNUM(BI254-RESUMEN!$BL$7)</f>
        <v>#NUM!</v>
      </c>
      <c r="BK254" s="73">
        <f>_xlfn.DAYS(BI254,RESUMEN!$BL$7)</f>
        <v>-43267</v>
      </c>
      <c r="BL254" s="73"/>
      <c r="BM254" s="73" t="e">
        <f>LOOKUP(BL254,FORMULAS!$A:$A,FORMULAS!$B:$B)</f>
        <v>#N/A</v>
      </c>
      <c r="BN254" s="78"/>
      <c r="BO254" s="73"/>
      <c r="BP254" s="73"/>
      <c r="BQ254" s="73"/>
      <c r="BR254" s="73"/>
      <c r="BS254" s="73"/>
      <c r="BT254" s="73"/>
    </row>
    <row r="255" spans="1:72" x14ac:dyDescent="0.25">
      <c r="A255" s="75"/>
      <c r="B255" s="74" t="e">
        <f>WEEKNUM(A255-RESUMEN!$D$7)</f>
        <v>#NUM!</v>
      </c>
      <c r="C255" s="74">
        <f>_xlfn.DAYS(A255,RESUMEN!$D$7)</f>
        <v>-43238</v>
      </c>
      <c r="D255" s="75"/>
      <c r="E255" s="73" t="e">
        <f>LOOKUP(D255,FORMULAS!$A:$A,FORMULAS!$B:$B)</f>
        <v>#N/A</v>
      </c>
      <c r="F255" s="80"/>
      <c r="G255" s="75"/>
      <c r="H255" s="75"/>
      <c r="I255" s="73"/>
      <c r="J255" s="73"/>
      <c r="K255" s="73"/>
      <c r="L255" s="73"/>
      <c r="M255" s="73"/>
      <c r="N255" s="73" t="e">
        <f>WEEKNUM(M255-RESUMEN!$P$7)</f>
        <v>#NUM!</v>
      </c>
      <c r="O255" s="73">
        <f>_xlfn.DAYS(M255,RESUMEN!$P$7)</f>
        <v>-43242</v>
      </c>
      <c r="P255" s="73"/>
      <c r="Q255" s="73" t="e">
        <f>LOOKUP(P255,FORMULAS!$A:$A,FORMULAS!$B:$B)</f>
        <v>#N/A</v>
      </c>
      <c r="R255" s="78"/>
      <c r="S255" s="73"/>
      <c r="T255" s="73"/>
      <c r="U255" s="73"/>
      <c r="V255" s="73"/>
      <c r="W255" s="73"/>
      <c r="X255" s="73"/>
      <c r="Y255" s="73"/>
      <c r="Z255" s="73" t="e">
        <f>WEEKNUM(Y255-RESUMEN!$AB$7)</f>
        <v>#NUM!</v>
      </c>
      <c r="AA255" s="73">
        <f>_xlfn.DAYS(Y255,RESUMEN!$AB$7)</f>
        <v>-43247</v>
      </c>
      <c r="AB255" s="73"/>
      <c r="AC255" s="73" t="e">
        <f>LOOKUP(AB255,FORMULAS!$A:$A,FORMULAS!$B:$B)</f>
        <v>#N/A</v>
      </c>
      <c r="AD255" s="78"/>
      <c r="AE255" s="73"/>
      <c r="AF255" s="73"/>
      <c r="AG255" s="73"/>
      <c r="AH255" s="73"/>
      <c r="AI255" s="73"/>
      <c r="AJ255" s="73"/>
      <c r="AK255" s="73"/>
      <c r="AL255" s="73" t="e">
        <f>WEEKNUM(AK255-RESUMEN!$AN$7)</f>
        <v>#NUM!</v>
      </c>
      <c r="AM255" s="73">
        <f>_xlfn.DAYS(AK255,RESUMEN!$AN$7)</f>
        <v>-43254</v>
      </c>
      <c r="AN255" s="73"/>
      <c r="AO255" s="73" t="e">
        <f>LOOKUP(AN255,FORMULAS!$A:$A,FORMULAS!$B:$B)</f>
        <v>#N/A</v>
      </c>
      <c r="AP255" s="78"/>
      <c r="AQ255" s="78"/>
      <c r="AR255" s="73"/>
      <c r="AS255" s="73"/>
      <c r="AT255" s="73"/>
      <c r="AU255" s="73"/>
      <c r="AV255" s="73"/>
      <c r="AW255" s="73"/>
      <c r="AX255" s="73" t="e">
        <f>WEEKNUM(AW255-RESUMEN!$AZ$7)</f>
        <v>#NUM!</v>
      </c>
      <c r="AY255" s="73">
        <f>_xlfn.DAYS(AW255,RESUMEN!$AZ$7)</f>
        <v>-43261</v>
      </c>
      <c r="AZ255" s="73"/>
      <c r="BA255" s="73" t="e">
        <f>LOOKUP(AZ255,FORMULAS!$A:$A,FORMULAS!$B:$B)</f>
        <v>#N/A</v>
      </c>
      <c r="BB255" s="78"/>
      <c r="BC255" s="73"/>
      <c r="BD255" s="73"/>
      <c r="BE255" s="73"/>
      <c r="BF255" s="73"/>
      <c r="BG255" s="73"/>
      <c r="BH255" s="73"/>
      <c r="BI255" s="73"/>
      <c r="BJ255" s="73" t="e">
        <f>WEEKNUM(BI255-RESUMEN!$BL$7)</f>
        <v>#NUM!</v>
      </c>
      <c r="BK255" s="73">
        <f>_xlfn.DAYS(BI255,RESUMEN!$BL$7)</f>
        <v>-43267</v>
      </c>
      <c r="BL255" s="73"/>
      <c r="BM255" s="73" t="e">
        <f>LOOKUP(BL255,FORMULAS!$A:$A,FORMULAS!$B:$B)</f>
        <v>#N/A</v>
      </c>
      <c r="BN255" s="78"/>
      <c r="BO255" s="73"/>
      <c r="BP255" s="73"/>
      <c r="BQ255" s="73"/>
      <c r="BR255" s="73"/>
      <c r="BS255" s="73"/>
      <c r="BT255" s="73"/>
    </row>
    <row r="256" spans="1:72" x14ac:dyDescent="0.25">
      <c r="A256" s="75"/>
      <c r="B256" s="74" t="e">
        <f>WEEKNUM(A256-RESUMEN!$D$7)</f>
        <v>#NUM!</v>
      </c>
      <c r="C256" s="74">
        <f>_xlfn.DAYS(A256,RESUMEN!$D$7)</f>
        <v>-43238</v>
      </c>
      <c r="D256" s="75"/>
      <c r="E256" s="73" t="e">
        <f>LOOKUP(D256,FORMULAS!$A:$A,FORMULAS!$B:$B)</f>
        <v>#N/A</v>
      </c>
      <c r="F256" s="80"/>
      <c r="G256" s="75"/>
      <c r="H256" s="75"/>
      <c r="I256" s="73"/>
      <c r="J256" s="73"/>
      <c r="K256" s="73"/>
      <c r="L256" s="73"/>
      <c r="M256" s="73"/>
      <c r="N256" s="73" t="e">
        <f>WEEKNUM(M256-RESUMEN!$P$7)</f>
        <v>#NUM!</v>
      </c>
      <c r="O256" s="73">
        <f>_xlfn.DAYS(M256,RESUMEN!$P$7)</f>
        <v>-43242</v>
      </c>
      <c r="P256" s="73"/>
      <c r="Q256" s="73" t="e">
        <f>LOOKUP(P256,FORMULAS!$A:$A,FORMULAS!$B:$B)</f>
        <v>#N/A</v>
      </c>
      <c r="R256" s="78"/>
      <c r="S256" s="73"/>
      <c r="T256" s="73"/>
      <c r="U256" s="73"/>
      <c r="V256" s="73"/>
      <c r="W256" s="73"/>
      <c r="X256" s="73"/>
      <c r="Y256" s="73"/>
      <c r="Z256" s="73" t="e">
        <f>WEEKNUM(Y256-RESUMEN!$AB$7)</f>
        <v>#NUM!</v>
      </c>
      <c r="AA256" s="73">
        <f>_xlfn.DAYS(Y256,RESUMEN!$AB$7)</f>
        <v>-43247</v>
      </c>
      <c r="AB256" s="73"/>
      <c r="AC256" s="73" t="e">
        <f>LOOKUP(AB256,FORMULAS!$A:$A,FORMULAS!$B:$B)</f>
        <v>#N/A</v>
      </c>
      <c r="AD256" s="78"/>
      <c r="AE256" s="73"/>
      <c r="AF256" s="73"/>
      <c r="AG256" s="73"/>
      <c r="AH256" s="73"/>
      <c r="AI256" s="73"/>
      <c r="AJ256" s="73"/>
      <c r="AK256" s="73"/>
      <c r="AL256" s="73" t="e">
        <f>WEEKNUM(AK256-RESUMEN!$AN$7)</f>
        <v>#NUM!</v>
      </c>
      <c r="AM256" s="73">
        <f>_xlfn.DAYS(AK256,RESUMEN!$AN$7)</f>
        <v>-43254</v>
      </c>
      <c r="AN256" s="73"/>
      <c r="AO256" s="73" t="e">
        <f>LOOKUP(AN256,FORMULAS!$A:$A,FORMULAS!$B:$B)</f>
        <v>#N/A</v>
      </c>
      <c r="AP256" s="78"/>
      <c r="AQ256" s="78"/>
      <c r="AR256" s="73"/>
      <c r="AS256" s="73"/>
      <c r="AT256" s="73"/>
      <c r="AU256" s="73"/>
      <c r="AV256" s="73"/>
      <c r="AW256" s="73"/>
      <c r="AX256" s="73" t="e">
        <f>WEEKNUM(AW256-RESUMEN!$AZ$7)</f>
        <v>#NUM!</v>
      </c>
      <c r="AY256" s="73">
        <f>_xlfn.DAYS(AW256,RESUMEN!$AZ$7)</f>
        <v>-43261</v>
      </c>
      <c r="AZ256" s="73"/>
      <c r="BA256" s="73" t="e">
        <f>LOOKUP(AZ256,FORMULAS!$A:$A,FORMULAS!$B:$B)</f>
        <v>#N/A</v>
      </c>
      <c r="BB256" s="78"/>
      <c r="BC256" s="73"/>
      <c r="BD256" s="73"/>
      <c r="BE256" s="73"/>
      <c r="BF256" s="73"/>
      <c r="BG256" s="73"/>
      <c r="BH256" s="73"/>
      <c r="BI256" s="73"/>
      <c r="BJ256" s="73" t="e">
        <f>WEEKNUM(BI256-RESUMEN!$BL$7)</f>
        <v>#NUM!</v>
      </c>
      <c r="BK256" s="73">
        <f>_xlfn.DAYS(BI256,RESUMEN!$BL$7)</f>
        <v>-43267</v>
      </c>
      <c r="BL256" s="73"/>
      <c r="BM256" s="73" t="e">
        <f>LOOKUP(BL256,FORMULAS!$A:$A,FORMULAS!$B:$B)</f>
        <v>#N/A</v>
      </c>
      <c r="BN256" s="78"/>
      <c r="BO256" s="73"/>
      <c r="BP256" s="73"/>
      <c r="BQ256" s="73"/>
      <c r="BR256" s="73"/>
      <c r="BS256" s="73"/>
      <c r="BT256" s="73"/>
    </row>
    <row r="257" spans="1:72" x14ac:dyDescent="0.25">
      <c r="A257" s="75"/>
      <c r="B257" s="74" t="e">
        <f>WEEKNUM(A257-RESUMEN!$D$7)</f>
        <v>#NUM!</v>
      </c>
      <c r="C257" s="74">
        <f>_xlfn.DAYS(A257,RESUMEN!$D$7)</f>
        <v>-43238</v>
      </c>
      <c r="D257" s="75"/>
      <c r="E257" s="73" t="e">
        <f>LOOKUP(D257,FORMULAS!$A:$A,FORMULAS!$B:$B)</f>
        <v>#N/A</v>
      </c>
      <c r="F257" s="80"/>
      <c r="G257" s="75"/>
      <c r="H257" s="75"/>
      <c r="I257" s="73"/>
      <c r="J257" s="73"/>
      <c r="K257" s="73"/>
      <c r="L257" s="73"/>
      <c r="M257" s="73"/>
      <c r="N257" s="73" t="e">
        <f>WEEKNUM(M257-RESUMEN!$P$7)</f>
        <v>#NUM!</v>
      </c>
      <c r="O257" s="73">
        <f>_xlfn.DAYS(M257,RESUMEN!$P$7)</f>
        <v>-43242</v>
      </c>
      <c r="P257" s="73"/>
      <c r="Q257" s="73" t="e">
        <f>LOOKUP(P257,FORMULAS!$A:$A,FORMULAS!$B:$B)</f>
        <v>#N/A</v>
      </c>
      <c r="R257" s="78"/>
      <c r="S257" s="73"/>
      <c r="T257" s="73"/>
      <c r="U257" s="73"/>
      <c r="V257" s="73"/>
      <c r="W257" s="73"/>
      <c r="X257" s="73"/>
      <c r="Y257" s="73"/>
      <c r="Z257" s="73" t="e">
        <f>WEEKNUM(Y257-RESUMEN!$AB$7)</f>
        <v>#NUM!</v>
      </c>
      <c r="AA257" s="73">
        <f>_xlfn.DAYS(Y257,RESUMEN!$AB$7)</f>
        <v>-43247</v>
      </c>
      <c r="AB257" s="73"/>
      <c r="AC257" s="73" t="e">
        <f>LOOKUP(AB257,FORMULAS!$A:$A,FORMULAS!$B:$B)</f>
        <v>#N/A</v>
      </c>
      <c r="AD257" s="78"/>
      <c r="AE257" s="73"/>
      <c r="AF257" s="73"/>
      <c r="AG257" s="73"/>
      <c r="AH257" s="73"/>
      <c r="AI257" s="73"/>
      <c r="AJ257" s="73"/>
      <c r="AK257" s="73"/>
      <c r="AL257" s="73" t="e">
        <f>WEEKNUM(AK257-RESUMEN!$AN$7)</f>
        <v>#NUM!</v>
      </c>
      <c r="AM257" s="73">
        <f>_xlfn.DAYS(AK257,RESUMEN!$AN$7)</f>
        <v>-43254</v>
      </c>
      <c r="AN257" s="73"/>
      <c r="AO257" s="73" t="e">
        <f>LOOKUP(AN257,FORMULAS!$A:$A,FORMULAS!$B:$B)</f>
        <v>#N/A</v>
      </c>
      <c r="AP257" s="78"/>
      <c r="AQ257" s="78"/>
      <c r="AR257" s="73"/>
      <c r="AS257" s="73"/>
      <c r="AT257" s="73"/>
      <c r="AU257" s="73"/>
      <c r="AV257" s="73"/>
      <c r="AW257" s="73"/>
      <c r="AX257" s="73" t="e">
        <f>WEEKNUM(AW257-RESUMEN!$AZ$7)</f>
        <v>#NUM!</v>
      </c>
      <c r="AY257" s="73">
        <f>_xlfn.DAYS(AW257,RESUMEN!$AZ$7)</f>
        <v>-43261</v>
      </c>
      <c r="AZ257" s="73"/>
      <c r="BA257" s="73" t="e">
        <f>LOOKUP(AZ257,FORMULAS!$A:$A,FORMULAS!$B:$B)</f>
        <v>#N/A</v>
      </c>
      <c r="BB257" s="78"/>
      <c r="BC257" s="73"/>
      <c r="BD257" s="73"/>
      <c r="BE257" s="73"/>
      <c r="BF257" s="73"/>
      <c r="BG257" s="73"/>
      <c r="BH257" s="73"/>
      <c r="BI257" s="73"/>
      <c r="BJ257" s="73" t="e">
        <f>WEEKNUM(BI257-RESUMEN!$BL$7)</f>
        <v>#NUM!</v>
      </c>
      <c r="BK257" s="73">
        <f>_xlfn.DAYS(BI257,RESUMEN!$BL$7)</f>
        <v>-43267</v>
      </c>
      <c r="BL257" s="73"/>
      <c r="BM257" s="73" t="e">
        <f>LOOKUP(BL257,FORMULAS!$A:$A,FORMULAS!$B:$B)</f>
        <v>#N/A</v>
      </c>
      <c r="BN257" s="78"/>
      <c r="BO257" s="73"/>
      <c r="BP257" s="73"/>
      <c r="BQ257" s="73"/>
      <c r="BR257" s="73"/>
      <c r="BS257" s="73"/>
      <c r="BT257" s="73"/>
    </row>
    <row r="258" spans="1:72" x14ac:dyDescent="0.25">
      <c r="A258" s="75"/>
      <c r="B258" s="74" t="e">
        <f>WEEKNUM(A258-RESUMEN!$D$7)</f>
        <v>#NUM!</v>
      </c>
      <c r="C258" s="74">
        <f>_xlfn.DAYS(A258,RESUMEN!$D$7)</f>
        <v>-43238</v>
      </c>
      <c r="D258" s="75"/>
      <c r="E258" s="73" t="e">
        <f>LOOKUP(D258,FORMULAS!$A:$A,FORMULAS!$B:$B)</f>
        <v>#N/A</v>
      </c>
      <c r="F258" s="80"/>
      <c r="G258" s="75"/>
      <c r="H258" s="75"/>
      <c r="I258" s="73"/>
      <c r="J258" s="73"/>
      <c r="K258" s="73"/>
      <c r="L258" s="73"/>
      <c r="M258" s="73"/>
      <c r="N258" s="73" t="e">
        <f>WEEKNUM(M258-RESUMEN!$P$7)</f>
        <v>#NUM!</v>
      </c>
      <c r="O258" s="73">
        <f>_xlfn.DAYS(M258,RESUMEN!$P$7)</f>
        <v>-43242</v>
      </c>
      <c r="P258" s="73"/>
      <c r="Q258" s="73" t="e">
        <f>LOOKUP(P258,FORMULAS!$A:$A,FORMULAS!$B:$B)</f>
        <v>#N/A</v>
      </c>
      <c r="R258" s="78"/>
      <c r="S258" s="73"/>
      <c r="T258" s="73"/>
      <c r="U258" s="73"/>
      <c r="V258" s="73"/>
      <c r="W258" s="73"/>
      <c r="X258" s="73"/>
      <c r="Y258" s="73"/>
      <c r="Z258" s="73" t="e">
        <f>WEEKNUM(Y258-RESUMEN!$AB$7)</f>
        <v>#NUM!</v>
      </c>
      <c r="AA258" s="73">
        <f>_xlfn.DAYS(Y258,RESUMEN!$AB$7)</f>
        <v>-43247</v>
      </c>
      <c r="AB258" s="73"/>
      <c r="AC258" s="73" t="e">
        <f>LOOKUP(AB258,FORMULAS!$A:$A,FORMULAS!$B:$B)</f>
        <v>#N/A</v>
      </c>
      <c r="AD258" s="78"/>
      <c r="AE258" s="73"/>
      <c r="AF258" s="73"/>
      <c r="AG258" s="73"/>
      <c r="AH258" s="73"/>
      <c r="AI258" s="73"/>
      <c r="AJ258" s="73"/>
      <c r="AK258" s="73"/>
      <c r="AL258" s="73" t="e">
        <f>WEEKNUM(AK258-RESUMEN!$AN$7)</f>
        <v>#NUM!</v>
      </c>
      <c r="AM258" s="73">
        <f>_xlfn.DAYS(AK258,RESUMEN!$AN$7)</f>
        <v>-43254</v>
      </c>
      <c r="AN258" s="73"/>
      <c r="AO258" s="73" t="e">
        <f>LOOKUP(AN258,FORMULAS!$A:$A,FORMULAS!$B:$B)</f>
        <v>#N/A</v>
      </c>
      <c r="AP258" s="78"/>
      <c r="AQ258" s="78"/>
      <c r="AR258" s="73"/>
      <c r="AS258" s="73"/>
      <c r="AT258" s="73"/>
      <c r="AU258" s="73"/>
      <c r="AV258" s="73"/>
      <c r="AW258" s="73"/>
      <c r="AX258" s="73" t="e">
        <f>WEEKNUM(AW258-RESUMEN!$AZ$7)</f>
        <v>#NUM!</v>
      </c>
      <c r="AY258" s="73">
        <f>_xlfn.DAYS(AW258,RESUMEN!$AZ$7)</f>
        <v>-43261</v>
      </c>
      <c r="AZ258" s="73"/>
      <c r="BA258" s="73" t="e">
        <f>LOOKUP(AZ258,FORMULAS!$A:$A,FORMULAS!$B:$B)</f>
        <v>#N/A</v>
      </c>
      <c r="BB258" s="78"/>
      <c r="BC258" s="73"/>
      <c r="BD258" s="73"/>
      <c r="BE258" s="73"/>
      <c r="BF258" s="73"/>
      <c r="BG258" s="73"/>
      <c r="BH258" s="73"/>
      <c r="BI258" s="73"/>
      <c r="BJ258" s="73" t="e">
        <f>WEEKNUM(BI258-RESUMEN!$BL$7)</f>
        <v>#NUM!</v>
      </c>
      <c r="BK258" s="73">
        <f>_xlfn.DAYS(BI258,RESUMEN!$BL$7)</f>
        <v>-43267</v>
      </c>
      <c r="BL258" s="73"/>
      <c r="BM258" s="73" t="e">
        <f>LOOKUP(BL258,FORMULAS!$A:$A,FORMULAS!$B:$B)</f>
        <v>#N/A</v>
      </c>
      <c r="BN258" s="78"/>
      <c r="BO258" s="73"/>
      <c r="BP258" s="73"/>
      <c r="BQ258" s="73"/>
      <c r="BR258" s="73"/>
      <c r="BS258" s="73"/>
      <c r="BT258" s="73"/>
    </row>
    <row r="259" spans="1:72" x14ac:dyDescent="0.25">
      <c r="A259" s="75"/>
      <c r="B259" s="74" t="e">
        <f>WEEKNUM(A259-RESUMEN!$D$7)</f>
        <v>#NUM!</v>
      </c>
      <c r="C259" s="74">
        <f>_xlfn.DAYS(A259,RESUMEN!$D$7)</f>
        <v>-43238</v>
      </c>
      <c r="D259" s="75"/>
      <c r="E259" s="73" t="e">
        <f>LOOKUP(D259,FORMULAS!$A:$A,FORMULAS!$B:$B)</f>
        <v>#N/A</v>
      </c>
      <c r="F259" s="80"/>
      <c r="G259" s="75"/>
      <c r="H259" s="75"/>
      <c r="I259" s="73"/>
      <c r="J259" s="73"/>
      <c r="K259" s="73"/>
      <c r="L259" s="73"/>
      <c r="M259" s="73"/>
      <c r="N259" s="73" t="e">
        <f>WEEKNUM(M259-RESUMEN!$P$7)</f>
        <v>#NUM!</v>
      </c>
      <c r="O259" s="73">
        <f>_xlfn.DAYS(M259,RESUMEN!$P$7)</f>
        <v>-43242</v>
      </c>
      <c r="P259" s="73"/>
      <c r="Q259" s="73" t="e">
        <f>LOOKUP(P259,FORMULAS!$A:$A,FORMULAS!$B:$B)</f>
        <v>#N/A</v>
      </c>
      <c r="R259" s="78"/>
      <c r="S259" s="73"/>
      <c r="T259" s="73"/>
      <c r="U259" s="73"/>
      <c r="V259" s="73"/>
      <c r="W259" s="73"/>
      <c r="X259" s="73"/>
      <c r="Y259" s="73"/>
      <c r="Z259" s="73" t="e">
        <f>WEEKNUM(Y259-RESUMEN!$AB$7)</f>
        <v>#NUM!</v>
      </c>
      <c r="AA259" s="73">
        <f>_xlfn.DAYS(Y259,RESUMEN!$AB$7)</f>
        <v>-43247</v>
      </c>
      <c r="AB259" s="73"/>
      <c r="AC259" s="73" t="e">
        <f>LOOKUP(AB259,FORMULAS!$A:$A,FORMULAS!$B:$B)</f>
        <v>#N/A</v>
      </c>
      <c r="AD259" s="78"/>
      <c r="AE259" s="73"/>
      <c r="AF259" s="73"/>
      <c r="AG259" s="73"/>
      <c r="AH259" s="73"/>
      <c r="AI259" s="73"/>
      <c r="AJ259" s="73"/>
      <c r="AK259" s="73"/>
      <c r="AL259" s="73" t="e">
        <f>WEEKNUM(AK259-RESUMEN!$AN$7)</f>
        <v>#NUM!</v>
      </c>
      <c r="AM259" s="73">
        <f>_xlfn.DAYS(AK259,RESUMEN!$AN$7)</f>
        <v>-43254</v>
      </c>
      <c r="AN259" s="73"/>
      <c r="AO259" s="73" t="e">
        <f>LOOKUP(AN259,FORMULAS!$A:$A,FORMULAS!$B:$B)</f>
        <v>#N/A</v>
      </c>
      <c r="AP259" s="78"/>
      <c r="AQ259" s="78"/>
      <c r="AR259" s="73"/>
      <c r="AS259" s="73"/>
      <c r="AT259" s="73"/>
      <c r="AU259" s="73"/>
      <c r="AV259" s="73"/>
      <c r="AW259" s="73"/>
      <c r="AX259" s="73" t="e">
        <f>WEEKNUM(AW259-RESUMEN!$AZ$7)</f>
        <v>#NUM!</v>
      </c>
      <c r="AY259" s="73">
        <f>_xlfn.DAYS(AW259,RESUMEN!$AZ$7)</f>
        <v>-43261</v>
      </c>
      <c r="AZ259" s="73"/>
      <c r="BA259" s="73" t="e">
        <f>LOOKUP(AZ259,FORMULAS!$A:$A,FORMULAS!$B:$B)</f>
        <v>#N/A</v>
      </c>
      <c r="BB259" s="78"/>
      <c r="BC259" s="73"/>
      <c r="BD259" s="73"/>
      <c r="BE259" s="73"/>
      <c r="BF259" s="73"/>
      <c r="BG259" s="73"/>
      <c r="BH259" s="73"/>
      <c r="BI259" s="73"/>
      <c r="BJ259" s="73" t="e">
        <f>WEEKNUM(BI259-RESUMEN!$BL$7)</f>
        <v>#NUM!</v>
      </c>
      <c r="BK259" s="73">
        <f>_xlfn.DAYS(BI259,RESUMEN!$BL$7)</f>
        <v>-43267</v>
      </c>
      <c r="BL259" s="73"/>
      <c r="BM259" s="73" t="e">
        <f>LOOKUP(BL259,FORMULAS!$A:$A,FORMULAS!$B:$B)</f>
        <v>#N/A</v>
      </c>
      <c r="BN259" s="78"/>
      <c r="BO259" s="73"/>
      <c r="BP259" s="73"/>
      <c r="BQ259" s="73"/>
      <c r="BR259" s="73"/>
      <c r="BS259" s="73"/>
      <c r="BT259" s="73"/>
    </row>
    <row r="260" spans="1:72" x14ac:dyDescent="0.25">
      <c r="A260" s="75"/>
      <c r="B260" s="74" t="e">
        <f>WEEKNUM(A260-RESUMEN!$D$7)</f>
        <v>#NUM!</v>
      </c>
      <c r="C260" s="74">
        <f>_xlfn.DAYS(A260,RESUMEN!$D$7)</f>
        <v>-43238</v>
      </c>
      <c r="D260" s="75"/>
      <c r="E260" s="73" t="e">
        <f>LOOKUP(D260,FORMULAS!$A:$A,FORMULAS!$B:$B)</f>
        <v>#N/A</v>
      </c>
      <c r="F260" s="80"/>
      <c r="G260" s="75"/>
      <c r="H260" s="75"/>
      <c r="I260" s="73"/>
      <c r="J260" s="73"/>
      <c r="K260" s="73"/>
      <c r="L260" s="73"/>
      <c r="M260" s="73"/>
      <c r="N260" s="73" t="e">
        <f>WEEKNUM(M260-RESUMEN!$P$7)</f>
        <v>#NUM!</v>
      </c>
      <c r="O260" s="73">
        <f>_xlfn.DAYS(M260,RESUMEN!$P$7)</f>
        <v>-43242</v>
      </c>
      <c r="P260" s="73"/>
      <c r="Q260" s="73" t="e">
        <f>LOOKUP(P260,FORMULAS!$A:$A,FORMULAS!$B:$B)</f>
        <v>#N/A</v>
      </c>
      <c r="R260" s="78"/>
      <c r="S260" s="73"/>
      <c r="T260" s="73"/>
      <c r="U260" s="73"/>
      <c r="V260" s="73"/>
      <c r="W260" s="73"/>
      <c r="X260" s="73"/>
      <c r="Y260" s="73"/>
      <c r="Z260" s="73" t="e">
        <f>WEEKNUM(Y260-RESUMEN!$AB$7)</f>
        <v>#NUM!</v>
      </c>
      <c r="AA260" s="73">
        <f>_xlfn.DAYS(Y260,RESUMEN!$AB$7)</f>
        <v>-43247</v>
      </c>
      <c r="AB260" s="73"/>
      <c r="AC260" s="73" t="e">
        <f>LOOKUP(AB260,FORMULAS!$A:$A,FORMULAS!$B:$B)</f>
        <v>#N/A</v>
      </c>
      <c r="AD260" s="78"/>
      <c r="AE260" s="73"/>
      <c r="AF260" s="73"/>
      <c r="AG260" s="73"/>
      <c r="AH260" s="73"/>
      <c r="AI260" s="73"/>
      <c r="AJ260" s="73"/>
      <c r="AK260" s="73"/>
      <c r="AL260" s="73" t="e">
        <f>WEEKNUM(AK260-RESUMEN!$AN$7)</f>
        <v>#NUM!</v>
      </c>
      <c r="AM260" s="73">
        <f>_xlfn.DAYS(AK260,RESUMEN!$AN$7)</f>
        <v>-43254</v>
      </c>
      <c r="AN260" s="73"/>
      <c r="AO260" s="73" t="e">
        <f>LOOKUP(AN260,FORMULAS!$A:$A,FORMULAS!$B:$B)</f>
        <v>#N/A</v>
      </c>
      <c r="AP260" s="78"/>
      <c r="AQ260" s="78"/>
      <c r="AR260" s="73"/>
      <c r="AS260" s="73"/>
      <c r="AT260" s="73"/>
      <c r="AU260" s="73"/>
      <c r="AV260" s="73"/>
      <c r="AW260" s="73"/>
      <c r="AX260" s="73" t="e">
        <f>WEEKNUM(AW260-RESUMEN!$AZ$7)</f>
        <v>#NUM!</v>
      </c>
      <c r="AY260" s="73">
        <f>_xlfn.DAYS(AW260,RESUMEN!$AZ$7)</f>
        <v>-43261</v>
      </c>
      <c r="AZ260" s="73"/>
      <c r="BA260" s="73" t="e">
        <f>LOOKUP(AZ260,FORMULAS!$A:$A,FORMULAS!$B:$B)</f>
        <v>#N/A</v>
      </c>
      <c r="BB260" s="78"/>
      <c r="BC260" s="73"/>
      <c r="BD260" s="73"/>
      <c r="BE260" s="73"/>
      <c r="BF260" s="73"/>
      <c r="BG260" s="73"/>
      <c r="BH260" s="73"/>
      <c r="BI260" s="73"/>
      <c r="BJ260" s="73" t="e">
        <f>WEEKNUM(BI260-RESUMEN!$BL$7)</f>
        <v>#NUM!</v>
      </c>
      <c r="BK260" s="73">
        <f>_xlfn.DAYS(BI260,RESUMEN!$BL$7)</f>
        <v>-43267</v>
      </c>
      <c r="BL260" s="73"/>
      <c r="BM260" s="73" t="e">
        <f>LOOKUP(BL260,FORMULAS!$A:$A,FORMULAS!$B:$B)</f>
        <v>#N/A</v>
      </c>
      <c r="BN260" s="78"/>
      <c r="BO260" s="73"/>
      <c r="BP260" s="73"/>
      <c r="BQ260" s="73"/>
      <c r="BR260" s="73"/>
      <c r="BS260" s="73"/>
      <c r="BT260" s="73"/>
    </row>
    <row r="261" spans="1:72" x14ac:dyDescent="0.25">
      <c r="A261" s="75"/>
      <c r="B261" s="74" t="e">
        <f>WEEKNUM(A261-RESUMEN!$D$7)</f>
        <v>#NUM!</v>
      </c>
      <c r="C261" s="74">
        <f>_xlfn.DAYS(A261,RESUMEN!$D$7)</f>
        <v>-43238</v>
      </c>
      <c r="D261" s="75"/>
      <c r="E261" s="73" t="e">
        <f>LOOKUP(D261,FORMULAS!$A:$A,FORMULAS!$B:$B)</f>
        <v>#N/A</v>
      </c>
      <c r="F261" s="80"/>
      <c r="G261" s="75"/>
      <c r="H261" s="75"/>
      <c r="I261" s="73"/>
      <c r="J261" s="73"/>
      <c r="K261" s="73"/>
      <c r="L261" s="73"/>
      <c r="M261" s="73"/>
      <c r="N261" s="73" t="e">
        <f>WEEKNUM(M261-RESUMEN!$P$7)</f>
        <v>#NUM!</v>
      </c>
      <c r="O261" s="73">
        <f>_xlfn.DAYS(M261,RESUMEN!$P$7)</f>
        <v>-43242</v>
      </c>
      <c r="P261" s="73"/>
      <c r="Q261" s="73" t="e">
        <f>LOOKUP(P261,FORMULAS!$A:$A,FORMULAS!$B:$B)</f>
        <v>#N/A</v>
      </c>
      <c r="R261" s="78"/>
      <c r="S261" s="73"/>
      <c r="T261" s="73"/>
      <c r="U261" s="73"/>
      <c r="V261" s="73"/>
      <c r="W261" s="73"/>
      <c r="X261" s="73"/>
      <c r="Y261" s="73"/>
      <c r="Z261" s="73" t="e">
        <f>WEEKNUM(Y261-RESUMEN!$AB$7)</f>
        <v>#NUM!</v>
      </c>
      <c r="AA261" s="73">
        <f>_xlfn.DAYS(Y261,RESUMEN!$AB$7)</f>
        <v>-43247</v>
      </c>
      <c r="AB261" s="73"/>
      <c r="AC261" s="73" t="e">
        <f>LOOKUP(AB261,FORMULAS!$A:$A,FORMULAS!$B:$B)</f>
        <v>#N/A</v>
      </c>
      <c r="AD261" s="78"/>
      <c r="AE261" s="73"/>
      <c r="AF261" s="73"/>
      <c r="AG261" s="73"/>
      <c r="AH261" s="73"/>
      <c r="AI261" s="73"/>
      <c r="AJ261" s="73"/>
      <c r="AK261" s="73"/>
      <c r="AL261" s="73" t="e">
        <f>WEEKNUM(AK261-RESUMEN!$AN$7)</f>
        <v>#NUM!</v>
      </c>
      <c r="AM261" s="73">
        <f>_xlfn.DAYS(AK261,RESUMEN!$AN$7)</f>
        <v>-43254</v>
      </c>
      <c r="AN261" s="73"/>
      <c r="AO261" s="73" t="e">
        <f>LOOKUP(AN261,FORMULAS!$A:$A,FORMULAS!$B:$B)</f>
        <v>#N/A</v>
      </c>
      <c r="AP261" s="78"/>
      <c r="AQ261" s="78"/>
      <c r="AR261" s="73"/>
      <c r="AS261" s="73"/>
      <c r="AT261" s="73"/>
      <c r="AU261" s="73"/>
      <c r="AV261" s="73"/>
      <c r="AW261" s="73"/>
      <c r="AX261" s="73" t="e">
        <f>WEEKNUM(AW261-RESUMEN!$AZ$7)</f>
        <v>#NUM!</v>
      </c>
      <c r="AY261" s="73">
        <f>_xlfn.DAYS(AW261,RESUMEN!$AZ$7)</f>
        <v>-43261</v>
      </c>
      <c r="AZ261" s="73"/>
      <c r="BA261" s="73" t="e">
        <f>LOOKUP(AZ261,FORMULAS!$A:$A,FORMULAS!$B:$B)</f>
        <v>#N/A</v>
      </c>
      <c r="BB261" s="78"/>
      <c r="BC261" s="73"/>
      <c r="BD261" s="73"/>
      <c r="BE261" s="73"/>
      <c r="BF261" s="73"/>
      <c r="BG261" s="73"/>
      <c r="BH261" s="73"/>
      <c r="BI261" s="73"/>
      <c r="BJ261" s="73" t="e">
        <f>WEEKNUM(BI261-RESUMEN!$BL$7)</f>
        <v>#NUM!</v>
      </c>
      <c r="BK261" s="73">
        <f>_xlfn.DAYS(BI261,RESUMEN!$BL$7)</f>
        <v>-43267</v>
      </c>
      <c r="BL261" s="73"/>
      <c r="BM261" s="73" t="e">
        <f>LOOKUP(BL261,FORMULAS!$A:$A,FORMULAS!$B:$B)</f>
        <v>#N/A</v>
      </c>
      <c r="BN261" s="78"/>
      <c r="BO261" s="73"/>
      <c r="BP261" s="73"/>
      <c r="BQ261" s="73"/>
      <c r="BR261" s="73"/>
      <c r="BS261" s="73"/>
      <c r="BT261" s="73"/>
    </row>
    <row r="262" spans="1:72" x14ac:dyDescent="0.25">
      <c r="A262" s="75"/>
      <c r="B262" s="74" t="e">
        <f>WEEKNUM(A262-RESUMEN!$D$7)</f>
        <v>#NUM!</v>
      </c>
      <c r="C262" s="74">
        <f>_xlfn.DAYS(A262,RESUMEN!$D$7)</f>
        <v>-43238</v>
      </c>
      <c r="D262" s="75"/>
      <c r="E262" s="73" t="e">
        <f>LOOKUP(D262,FORMULAS!$A:$A,FORMULAS!$B:$B)</f>
        <v>#N/A</v>
      </c>
      <c r="F262" s="80"/>
      <c r="G262" s="75"/>
      <c r="H262" s="75"/>
      <c r="I262" s="73"/>
      <c r="J262" s="73"/>
      <c r="K262" s="73"/>
      <c r="L262" s="73"/>
      <c r="M262" s="73"/>
      <c r="N262" s="73" t="e">
        <f>WEEKNUM(M262-RESUMEN!$P$7)</f>
        <v>#NUM!</v>
      </c>
      <c r="O262" s="73">
        <f>_xlfn.DAYS(M262,RESUMEN!$P$7)</f>
        <v>-43242</v>
      </c>
      <c r="P262" s="73"/>
      <c r="Q262" s="73" t="e">
        <f>LOOKUP(P262,FORMULAS!$A:$A,FORMULAS!$B:$B)</f>
        <v>#N/A</v>
      </c>
      <c r="R262" s="78"/>
      <c r="S262" s="73"/>
      <c r="T262" s="73"/>
      <c r="U262" s="73"/>
      <c r="V262" s="73"/>
      <c r="W262" s="73"/>
      <c r="X262" s="73"/>
      <c r="Y262" s="73"/>
      <c r="Z262" s="73" t="e">
        <f>WEEKNUM(Y262-RESUMEN!$AB$7)</f>
        <v>#NUM!</v>
      </c>
      <c r="AA262" s="73">
        <f>_xlfn.DAYS(Y262,RESUMEN!$AB$7)</f>
        <v>-43247</v>
      </c>
      <c r="AB262" s="73"/>
      <c r="AC262" s="73" t="e">
        <f>LOOKUP(AB262,FORMULAS!$A:$A,FORMULAS!$B:$B)</f>
        <v>#N/A</v>
      </c>
      <c r="AD262" s="78"/>
      <c r="AE262" s="73"/>
      <c r="AF262" s="73"/>
      <c r="AG262" s="73"/>
      <c r="AH262" s="73"/>
      <c r="AI262" s="73"/>
      <c r="AJ262" s="73"/>
      <c r="AK262" s="73"/>
      <c r="AL262" s="73" t="e">
        <f>WEEKNUM(AK262-RESUMEN!$AN$7)</f>
        <v>#NUM!</v>
      </c>
      <c r="AM262" s="73">
        <f>_xlfn.DAYS(AK262,RESUMEN!$AN$7)</f>
        <v>-43254</v>
      </c>
      <c r="AN262" s="73"/>
      <c r="AO262" s="73" t="e">
        <f>LOOKUP(AN262,FORMULAS!$A:$A,FORMULAS!$B:$B)</f>
        <v>#N/A</v>
      </c>
      <c r="AP262" s="78"/>
      <c r="AQ262" s="78"/>
      <c r="AR262" s="73"/>
      <c r="AS262" s="73"/>
      <c r="AT262" s="73"/>
      <c r="AU262" s="73"/>
      <c r="AV262" s="73"/>
      <c r="AW262" s="73"/>
      <c r="AX262" s="73" t="e">
        <f>WEEKNUM(AW262-RESUMEN!$AZ$7)</f>
        <v>#NUM!</v>
      </c>
      <c r="AY262" s="73">
        <f>_xlfn.DAYS(AW262,RESUMEN!$AZ$7)</f>
        <v>-43261</v>
      </c>
      <c r="AZ262" s="73"/>
      <c r="BA262" s="73" t="e">
        <f>LOOKUP(AZ262,FORMULAS!$A:$A,FORMULAS!$B:$B)</f>
        <v>#N/A</v>
      </c>
      <c r="BB262" s="78"/>
      <c r="BC262" s="73"/>
      <c r="BD262" s="73"/>
      <c r="BE262" s="73"/>
      <c r="BF262" s="73"/>
      <c r="BG262" s="73"/>
      <c r="BH262" s="73"/>
      <c r="BI262" s="73"/>
      <c r="BJ262" s="73" t="e">
        <f>WEEKNUM(BI262-RESUMEN!$BL$7)</f>
        <v>#NUM!</v>
      </c>
      <c r="BK262" s="73">
        <f>_xlfn.DAYS(BI262,RESUMEN!$BL$7)</f>
        <v>-43267</v>
      </c>
      <c r="BL262" s="73"/>
      <c r="BM262" s="73" t="e">
        <f>LOOKUP(BL262,FORMULAS!$A:$A,FORMULAS!$B:$B)</f>
        <v>#N/A</v>
      </c>
      <c r="BN262" s="78"/>
      <c r="BO262" s="73"/>
      <c r="BP262" s="73"/>
      <c r="BQ262" s="73"/>
      <c r="BR262" s="73"/>
      <c r="BS262" s="73"/>
      <c r="BT262" s="73"/>
    </row>
    <row r="263" spans="1:72" x14ac:dyDescent="0.25">
      <c r="A263" s="75"/>
      <c r="B263" s="74" t="e">
        <f>WEEKNUM(A263-RESUMEN!$D$7)</f>
        <v>#NUM!</v>
      </c>
      <c r="C263" s="74">
        <f>_xlfn.DAYS(A263,RESUMEN!$D$7)</f>
        <v>-43238</v>
      </c>
      <c r="D263" s="75"/>
      <c r="E263" s="73" t="e">
        <f>LOOKUP(D263,FORMULAS!$A:$A,FORMULAS!$B:$B)</f>
        <v>#N/A</v>
      </c>
      <c r="F263" s="80"/>
      <c r="G263" s="75"/>
      <c r="H263" s="75"/>
      <c r="I263" s="73"/>
      <c r="J263" s="73"/>
      <c r="K263" s="73"/>
      <c r="L263" s="73"/>
      <c r="M263" s="73"/>
      <c r="N263" s="73" t="e">
        <f>WEEKNUM(M263-RESUMEN!$P$7)</f>
        <v>#NUM!</v>
      </c>
      <c r="O263" s="73">
        <f>_xlfn.DAYS(M263,RESUMEN!$P$7)</f>
        <v>-43242</v>
      </c>
      <c r="P263" s="73"/>
      <c r="Q263" s="73" t="e">
        <f>LOOKUP(P263,FORMULAS!$A:$A,FORMULAS!$B:$B)</f>
        <v>#N/A</v>
      </c>
      <c r="R263" s="78"/>
      <c r="S263" s="73"/>
      <c r="T263" s="73"/>
      <c r="U263" s="73"/>
      <c r="V263" s="73"/>
      <c r="W263" s="73"/>
      <c r="X263" s="73"/>
      <c r="Y263" s="73"/>
      <c r="Z263" s="73" t="e">
        <f>WEEKNUM(Y263-RESUMEN!$AB$7)</f>
        <v>#NUM!</v>
      </c>
      <c r="AA263" s="73">
        <f>_xlfn.DAYS(Y263,RESUMEN!$AB$7)</f>
        <v>-43247</v>
      </c>
      <c r="AB263" s="73"/>
      <c r="AC263" s="73" t="e">
        <f>LOOKUP(AB263,FORMULAS!$A:$A,FORMULAS!$B:$B)</f>
        <v>#N/A</v>
      </c>
      <c r="AD263" s="78"/>
      <c r="AE263" s="73"/>
      <c r="AF263" s="73"/>
      <c r="AG263" s="73"/>
      <c r="AH263" s="73"/>
      <c r="AI263" s="73"/>
      <c r="AJ263" s="73"/>
      <c r="AK263" s="73"/>
      <c r="AL263" s="73" t="e">
        <f>WEEKNUM(AK263-RESUMEN!$AN$7)</f>
        <v>#NUM!</v>
      </c>
      <c r="AM263" s="73">
        <f>_xlfn.DAYS(AK263,RESUMEN!$AN$7)</f>
        <v>-43254</v>
      </c>
      <c r="AN263" s="73"/>
      <c r="AO263" s="73" t="e">
        <f>LOOKUP(AN263,FORMULAS!$A:$A,FORMULAS!$B:$B)</f>
        <v>#N/A</v>
      </c>
      <c r="AP263" s="78"/>
      <c r="AQ263" s="78"/>
      <c r="AR263" s="73"/>
      <c r="AS263" s="73"/>
      <c r="AT263" s="73"/>
      <c r="AU263" s="73"/>
      <c r="AV263" s="73"/>
      <c r="AW263" s="73"/>
      <c r="AX263" s="73" t="e">
        <f>WEEKNUM(AW263-RESUMEN!$AZ$7)</f>
        <v>#NUM!</v>
      </c>
      <c r="AY263" s="73">
        <f>_xlfn.DAYS(AW263,RESUMEN!$AZ$7)</f>
        <v>-43261</v>
      </c>
      <c r="AZ263" s="73"/>
      <c r="BA263" s="73" t="e">
        <f>LOOKUP(AZ263,FORMULAS!$A:$A,FORMULAS!$B:$B)</f>
        <v>#N/A</v>
      </c>
      <c r="BB263" s="78"/>
      <c r="BC263" s="73"/>
      <c r="BD263" s="73"/>
      <c r="BE263" s="73"/>
      <c r="BF263" s="73"/>
      <c r="BG263" s="73"/>
      <c r="BH263" s="73"/>
      <c r="BI263" s="73"/>
      <c r="BJ263" s="73" t="e">
        <f>WEEKNUM(BI263-RESUMEN!$BL$7)</f>
        <v>#NUM!</v>
      </c>
      <c r="BK263" s="73">
        <f>_xlfn.DAYS(BI263,RESUMEN!$BL$7)</f>
        <v>-43267</v>
      </c>
      <c r="BL263" s="73"/>
      <c r="BM263" s="73" t="e">
        <f>LOOKUP(BL263,FORMULAS!$A:$A,FORMULAS!$B:$B)</f>
        <v>#N/A</v>
      </c>
      <c r="BN263" s="78"/>
      <c r="BO263" s="73"/>
      <c r="BP263" s="73"/>
      <c r="BQ263" s="73"/>
      <c r="BR263" s="73"/>
      <c r="BS263" s="73"/>
      <c r="BT263" s="73"/>
    </row>
    <row r="264" spans="1:72" x14ac:dyDescent="0.25">
      <c r="A264" s="75"/>
      <c r="B264" s="74" t="e">
        <f>WEEKNUM(A264-RESUMEN!$D$7)</f>
        <v>#NUM!</v>
      </c>
      <c r="C264" s="74">
        <f>_xlfn.DAYS(A264,RESUMEN!$D$7)</f>
        <v>-43238</v>
      </c>
      <c r="D264" s="75"/>
      <c r="E264" s="73" t="e">
        <f>LOOKUP(D264,FORMULAS!$A:$A,FORMULAS!$B:$B)</f>
        <v>#N/A</v>
      </c>
      <c r="F264" s="80"/>
      <c r="G264" s="75"/>
      <c r="H264" s="75"/>
      <c r="I264" s="73"/>
      <c r="J264" s="73"/>
      <c r="K264" s="73"/>
      <c r="L264" s="73"/>
      <c r="M264" s="73"/>
      <c r="N264" s="73" t="e">
        <f>WEEKNUM(M264-RESUMEN!$P$7)</f>
        <v>#NUM!</v>
      </c>
      <c r="O264" s="73">
        <f>_xlfn.DAYS(M264,RESUMEN!$P$7)</f>
        <v>-43242</v>
      </c>
      <c r="P264" s="73"/>
      <c r="Q264" s="73" t="e">
        <f>LOOKUP(P264,FORMULAS!$A:$A,FORMULAS!$B:$B)</f>
        <v>#N/A</v>
      </c>
      <c r="R264" s="78"/>
      <c r="S264" s="73"/>
      <c r="T264" s="73"/>
      <c r="U264" s="73"/>
      <c r="V264" s="73"/>
      <c r="W264" s="73"/>
      <c r="X264" s="73"/>
      <c r="Y264" s="73"/>
      <c r="Z264" s="73" t="e">
        <f>WEEKNUM(Y264-RESUMEN!$AB$7)</f>
        <v>#NUM!</v>
      </c>
      <c r="AA264" s="73">
        <f>_xlfn.DAYS(Y264,RESUMEN!$AB$7)</f>
        <v>-43247</v>
      </c>
      <c r="AB264" s="73"/>
      <c r="AC264" s="73" t="e">
        <f>LOOKUP(AB264,FORMULAS!$A:$A,FORMULAS!$B:$B)</f>
        <v>#N/A</v>
      </c>
      <c r="AD264" s="78"/>
      <c r="AE264" s="73"/>
      <c r="AF264" s="73"/>
      <c r="AG264" s="73"/>
      <c r="AH264" s="73"/>
      <c r="AI264" s="73"/>
      <c r="AJ264" s="73"/>
      <c r="AK264" s="73"/>
      <c r="AL264" s="73" t="e">
        <f>WEEKNUM(AK264-RESUMEN!$AN$7)</f>
        <v>#NUM!</v>
      </c>
      <c r="AM264" s="73">
        <f>_xlfn.DAYS(AK264,RESUMEN!$AN$7)</f>
        <v>-43254</v>
      </c>
      <c r="AN264" s="73"/>
      <c r="AO264" s="73" t="e">
        <f>LOOKUP(AN264,FORMULAS!$A:$A,FORMULAS!$B:$B)</f>
        <v>#N/A</v>
      </c>
      <c r="AP264" s="78"/>
      <c r="AQ264" s="78"/>
      <c r="AR264" s="73"/>
      <c r="AS264" s="73"/>
      <c r="AT264" s="73"/>
      <c r="AU264" s="73"/>
      <c r="AV264" s="73"/>
      <c r="AW264" s="73"/>
      <c r="AX264" s="73" t="e">
        <f>WEEKNUM(AW264-RESUMEN!$AZ$7)</f>
        <v>#NUM!</v>
      </c>
      <c r="AY264" s="73">
        <f>_xlfn.DAYS(AW264,RESUMEN!$AZ$7)</f>
        <v>-43261</v>
      </c>
      <c r="AZ264" s="73"/>
      <c r="BA264" s="73" t="e">
        <f>LOOKUP(AZ264,FORMULAS!$A:$A,FORMULAS!$B:$B)</f>
        <v>#N/A</v>
      </c>
      <c r="BB264" s="78"/>
      <c r="BC264" s="73"/>
      <c r="BD264" s="73"/>
      <c r="BE264" s="73"/>
      <c r="BF264" s="73"/>
      <c r="BG264" s="73"/>
      <c r="BH264" s="73"/>
      <c r="BI264" s="73"/>
      <c r="BJ264" s="73" t="e">
        <f>WEEKNUM(BI264-RESUMEN!$BL$7)</f>
        <v>#NUM!</v>
      </c>
      <c r="BK264" s="73">
        <f>_xlfn.DAYS(BI264,RESUMEN!$BL$7)</f>
        <v>-43267</v>
      </c>
      <c r="BL264" s="73"/>
      <c r="BM264" s="73" t="e">
        <f>LOOKUP(BL264,FORMULAS!$A:$A,FORMULAS!$B:$B)</f>
        <v>#N/A</v>
      </c>
      <c r="BN264" s="78"/>
      <c r="BO264" s="73"/>
      <c r="BP264" s="73"/>
      <c r="BQ264" s="73"/>
      <c r="BR264" s="73"/>
      <c r="BS264" s="73"/>
      <c r="BT264" s="73"/>
    </row>
    <row r="265" spans="1:72" x14ac:dyDescent="0.25">
      <c r="A265" s="75"/>
      <c r="B265" s="74" t="e">
        <f>WEEKNUM(A265-RESUMEN!$D$7)</f>
        <v>#NUM!</v>
      </c>
      <c r="C265" s="74">
        <f>_xlfn.DAYS(A265,RESUMEN!$D$7)</f>
        <v>-43238</v>
      </c>
      <c r="D265" s="75"/>
      <c r="E265" s="73" t="e">
        <f>LOOKUP(D265,FORMULAS!$A:$A,FORMULAS!$B:$B)</f>
        <v>#N/A</v>
      </c>
      <c r="F265" s="80"/>
      <c r="G265" s="75"/>
      <c r="H265" s="75"/>
      <c r="I265" s="73"/>
      <c r="J265" s="73"/>
      <c r="K265" s="73"/>
      <c r="L265" s="73"/>
      <c r="M265" s="73"/>
      <c r="N265" s="73" t="e">
        <f>WEEKNUM(M265-RESUMEN!$P$7)</f>
        <v>#NUM!</v>
      </c>
      <c r="O265" s="73">
        <f>_xlfn.DAYS(M265,RESUMEN!$P$7)</f>
        <v>-43242</v>
      </c>
      <c r="P265" s="73"/>
      <c r="Q265" s="73" t="e">
        <f>LOOKUP(P265,FORMULAS!$A:$A,FORMULAS!$B:$B)</f>
        <v>#N/A</v>
      </c>
      <c r="R265" s="78"/>
      <c r="S265" s="73"/>
      <c r="T265" s="73"/>
      <c r="U265" s="73"/>
      <c r="V265" s="73"/>
      <c r="W265" s="73"/>
      <c r="X265" s="73"/>
      <c r="Y265" s="73"/>
      <c r="Z265" s="73" t="e">
        <f>WEEKNUM(Y265-RESUMEN!$AB$7)</f>
        <v>#NUM!</v>
      </c>
      <c r="AA265" s="73">
        <f>_xlfn.DAYS(Y265,RESUMEN!$AB$7)</f>
        <v>-43247</v>
      </c>
      <c r="AB265" s="73"/>
      <c r="AC265" s="73" t="e">
        <f>LOOKUP(AB265,FORMULAS!$A:$A,FORMULAS!$B:$B)</f>
        <v>#N/A</v>
      </c>
      <c r="AD265" s="78"/>
      <c r="AE265" s="73"/>
      <c r="AF265" s="73"/>
      <c r="AG265" s="73"/>
      <c r="AH265" s="73"/>
      <c r="AI265" s="73"/>
      <c r="AJ265" s="73"/>
      <c r="AK265" s="73"/>
      <c r="AL265" s="73" t="e">
        <f>WEEKNUM(AK265-RESUMEN!$AN$7)</f>
        <v>#NUM!</v>
      </c>
      <c r="AM265" s="73">
        <f>_xlfn.DAYS(AK265,RESUMEN!$AN$7)</f>
        <v>-43254</v>
      </c>
      <c r="AN265" s="73"/>
      <c r="AO265" s="73" t="e">
        <f>LOOKUP(AN265,FORMULAS!$A:$A,FORMULAS!$B:$B)</f>
        <v>#N/A</v>
      </c>
      <c r="AP265" s="78"/>
      <c r="AQ265" s="78"/>
      <c r="AR265" s="73"/>
      <c r="AS265" s="73"/>
      <c r="AT265" s="73"/>
      <c r="AU265" s="73"/>
      <c r="AV265" s="73"/>
      <c r="AW265" s="73"/>
      <c r="AX265" s="73" t="e">
        <f>WEEKNUM(AW265-RESUMEN!$AZ$7)</f>
        <v>#NUM!</v>
      </c>
      <c r="AY265" s="73">
        <f>_xlfn.DAYS(AW265,RESUMEN!$AZ$7)</f>
        <v>-43261</v>
      </c>
      <c r="AZ265" s="73"/>
      <c r="BA265" s="73" t="e">
        <f>LOOKUP(AZ265,FORMULAS!$A:$A,FORMULAS!$B:$B)</f>
        <v>#N/A</v>
      </c>
      <c r="BB265" s="78"/>
      <c r="BC265" s="73"/>
      <c r="BD265" s="73"/>
      <c r="BE265" s="73"/>
      <c r="BF265" s="73"/>
      <c r="BG265" s="73"/>
      <c r="BH265" s="73"/>
      <c r="BI265" s="73"/>
      <c r="BJ265" s="73" t="e">
        <f>WEEKNUM(BI265-RESUMEN!$BL$7)</f>
        <v>#NUM!</v>
      </c>
      <c r="BK265" s="73">
        <f>_xlfn.DAYS(BI265,RESUMEN!$BL$7)</f>
        <v>-43267</v>
      </c>
      <c r="BL265" s="73"/>
      <c r="BM265" s="73" t="e">
        <f>LOOKUP(BL265,FORMULAS!$A:$A,FORMULAS!$B:$B)</f>
        <v>#N/A</v>
      </c>
      <c r="BN265" s="78"/>
      <c r="BO265" s="73"/>
      <c r="BP265" s="73"/>
      <c r="BQ265" s="73"/>
      <c r="BR265" s="73"/>
      <c r="BS265" s="73"/>
      <c r="BT265" s="73"/>
    </row>
    <row r="266" spans="1:72" x14ac:dyDescent="0.25">
      <c r="A266" s="75"/>
      <c r="B266" s="74" t="e">
        <f>WEEKNUM(A266-RESUMEN!$D$7)</f>
        <v>#NUM!</v>
      </c>
      <c r="C266" s="74">
        <f>_xlfn.DAYS(A266,RESUMEN!$D$7)</f>
        <v>-43238</v>
      </c>
      <c r="D266" s="75"/>
      <c r="E266" s="73" t="e">
        <f>LOOKUP(D266,FORMULAS!$A:$A,FORMULAS!$B:$B)</f>
        <v>#N/A</v>
      </c>
      <c r="F266" s="80"/>
      <c r="G266" s="75"/>
      <c r="H266" s="75"/>
      <c r="I266" s="73"/>
      <c r="J266" s="73"/>
      <c r="K266" s="73"/>
      <c r="L266" s="73"/>
      <c r="M266" s="73"/>
      <c r="N266" s="73" t="e">
        <f>WEEKNUM(M266-RESUMEN!$P$7)</f>
        <v>#NUM!</v>
      </c>
      <c r="O266" s="73">
        <f>_xlfn.DAYS(M266,RESUMEN!$P$7)</f>
        <v>-43242</v>
      </c>
      <c r="P266" s="73"/>
      <c r="Q266" s="73" t="e">
        <f>LOOKUP(P266,FORMULAS!$A:$A,FORMULAS!$B:$B)</f>
        <v>#N/A</v>
      </c>
      <c r="R266" s="78"/>
      <c r="S266" s="73"/>
      <c r="T266" s="73"/>
      <c r="U266" s="73"/>
      <c r="V266" s="73"/>
      <c r="W266" s="73"/>
      <c r="X266" s="73"/>
      <c r="Y266" s="73"/>
      <c r="Z266" s="73" t="e">
        <f>WEEKNUM(Y266-RESUMEN!$AB$7)</f>
        <v>#NUM!</v>
      </c>
      <c r="AA266" s="73">
        <f>_xlfn.DAYS(Y266,RESUMEN!$AB$7)</f>
        <v>-43247</v>
      </c>
      <c r="AB266" s="73"/>
      <c r="AC266" s="73" t="e">
        <f>LOOKUP(AB266,FORMULAS!$A:$A,FORMULAS!$B:$B)</f>
        <v>#N/A</v>
      </c>
      <c r="AD266" s="78"/>
      <c r="AE266" s="73"/>
      <c r="AF266" s="73"/>
      <c r="AG266" s="73"/>
      <c r="AH266" s="73"/>
      <c r="AI266" s="73"/>
      <c r="AJ266" s="73"/>
      <c r="AK266" s="73"/>
      <c r="AL266" s="73" t="e">
        <f>WEEKNUM(AK266-RESUMEN!$AN$7)</f>
        <v>#NUM!</v>
      </c>
      <c r="AM266" s="73">
        <f>_xlfn.DAYS(AK266,RESUMEN!$AN$7)</f>
        <v>-43254</v>
      </c>
      <c r="AN266" s="73"/>
      <c r="AO266" s="73" t="e">
        <f>LOOKUP(AN266,FORMULAS!$A:$A,FORMULAS!$B:$B)</f>
        <v>#N/A</v>
      </c>
      <c r="AP266" s="78"/>
      <c r="AQ266" s="78"/>
      <c r="AR266" s="73"/>
      <c r="AS266" s="73"/>
      <c r="AT266" s="73"/>
      <c r="AU266" s="73"/>
      <c r="AV266" s="73"/>
      <c r="AW266" s="73"/>
      <c r="AX266" s="73" t="e">
        <f>WEEKNUM(AW266-RESUMEN!$AZ$7)</f>
        <v>#NUM!</v>
      </c>
      <c r="AY266" s="73">
        <f>_xlfn.DAYS(AW266,RESUMEN!$AZ$7)</f>
        <v>-43261</v>
      </c>
      <c r="AZ266" s="73"/>
      <c r="BA266" s="73" t="e">
        <f>LOOKUP(AZ266,FORMULAS!$A:$A,FORMULAS!$B:$B)</f>
        <v>#N/A</v>
      </c>
      <c r="BB266" s="78"/>
      <c r="BC266" s="73"/>
      <c r="BD266" s="73"/>
      <c r="BE266" s="73"/>
      <c r="BF266" s="73"/>
      <c r="BG266" s="73"/>
      <c r="BH266" s="73"/>
      <c r="BI266" s="73"/>
      <c r="BJ266" s="73" t="e">
        <f>WEEKNUM(BI266-RESUMEN!$BL$7)</f>
        <v>#NUM!</v>
      </c>
      <c r="BK266" s="73">
        <f>_xlfn.DAYS(BI266,RESUMEN!$BL$7)</f>
        <v>-43267</v>
      </c>
      <c r="BL266" s="73"/>
      <c r="BM266" s="73" t="e">
        <f>LOOKUP(BL266,FORMULAS!$A:$A,FORMULAS!$B:$B)</f>
        <v>#N/A</v>
      </c>
      <c r="BN266" s="78"/>
      <c r="BO266" s="73"/>
      <c r="BP266" s="73"/>
      <c r="BQ266" s="73"/>
      <c r="BR266" s="73"/>
      <c r="BS266" s="73"/>
      <c r="BT266" s="73"/>
    </row>
    <row r="267" spans="1:72" x14ac:dyDescent="0.25">
      <c r="A267" s="75"/>
      <c r="B267" s="74" t="e">
        <f>WEEKNUM(A267-RESUMEN!$D$7)</f>
        <v>#NUM!</v>
      </c>
      <c r="C267" s="74">
        <f>_xlfn.DAYS(A267,RESUMEN!$D$7)</f>
        <v>-43238</v>
      </c>
      <c r="D267" s="75"/>
      <c r="E267" s="73" t="e">
        <f>LOOKUP(D267,FORMULAS!$A:$A,FORMULAS!$B:$B)</f>
        <v>#N/A</v>
      </c>
      <c r="F267" s="80"/>
      <c r="G267" s="75"/>
      <c r="H267" s="75"/>
      <c r="I267" s="73"/>
      <c r="J267" s="73"/>
      <c r="K267" s="73"/>
      <c r="L267" s="73"/>
      <c r="M267" s="73"/>
      <c r="N267" s="73" t="e">
        <f>WEEKNUM(M267-RESUMEN!$P$7)</f>
        <v>#NUM!</v>
      </c>
      <c r="O267" s="73">
        <f>_xlfn.DAYS(M267,RESUMEN!$P$7)</f>
        <v>-43242</v>
      </c>
      <c r="P267" s="73"/>
      <c r="Q267" s="73" t="e">
        <f>LOOKUP(P267,FORMULAS!$A:$A,FORMULAS!$B:$B)</f>
        <v>#N/A</v>
      </c>
      <c r="R267" s="78"/>
      <c r="S267" s="73"/>
      <c r="T267" s="73"/>
      <c r="U267" s="73"/>
      <c r="V267" s="73"/>
      <c r="W267" s="73"/>
      <c r="X267" s="73"/>
      <c r="Y267" s="73"/>
      <c r="Z267" s="73" t="e">
        <f>WEEKNUM(Y267-RESUMEN!$AB$7)</f>
        <v>#NUM!</v>
      </c>
      <c r="AA267" s="73">
        <f>_xlfn.DAYS(Y267,RESUMEN!$AB$7)</f>
        <v>-43247</v>
      </c>
      <c r="AB267" s="73"/>
      <c r="AC267" s="73" t="e">
        <f>LOOKUP(AB267,FORMULAS!$A:$A,FORMULAS!$B:$B)</f>
        <v>#N/A</v>
      </c>
      <c r="AD267" s="78"/>
      <c r="AE267" s="73"/>
      <c r="AF267" s="73"/>
      <c r="AG267" s="73"/>
      <c r="AH267" s="73"/>
      <c r="AI267" s="73"/>
      <c r="AJ267" s="73"/>
      <c r="AK267" s="73"/>
      <c r="AL267" s="73" t="e">
        <f>WEEKNUM(AK267-RESUMEN!$AN$7)</f>
        <v>#NUM!</v>
      </c>
      <c r="AM267" s="73">
        <f>_xlfn.DAYS(AK267,RESUMEN!$AN$7)</f>
        <v>-43254</v>
      </c>
      <c r="AN267" s="73"/>
      <c r="AO267" s="73" t="e">
        <f>LOOKUP(AN267,FORMULAS!$A:$A,FORMULAS!$B:$B)</f>
        <v>#N/A</v>
      </c>
      <c r="AP267" s="78"/>
      <c r="AQ267" s="78"/>
      <c r="AR267" s="73"/>
      <c r="AS267" s="73"/>
      <c r="AT267" s="73"/>
      <c r="AU267" s="73"/>
      <c r="AV267" s="73"/>
      <c r="AW267" s="73"/>
      <c r="AX267" s="73" t="e">
        <f>WEEKNUM(AW267-RESUMEN!$AZ$7)</f>
        <v>#NUM!</v>
      </c>
      <c r="AY267" s="73">
        <f>_xlfn.DAYS(AW267,RESUMEN!$AZ$7)</f>
        <v>-43261</v>
      </c>
      <c r="AZ267" s="73"/>
      <c r="BA267" s="73" t="e">
        <f>LOOKUP(AZ267,FORMULAS!$A:$A,FORMULAS!$B:$B)</f>
        <v>#N/A</v>
      </c>
      <c r="BB267" s="78"/>
      <c r="BC267" s="73"/>
      <c r="BD267" s="73"/>
      <c r="BE267" s="73"/>
      <c r="BF267" s="73"/>
      <c r="BG267" s="73"/>
      <c r="BH267" s="73"/>
      <c r="BI267" s="73"/>
      <c r="BJ267" s="73" t="e">
        <f>WEEKNUM(BI267-RESUMEN!$BL$7)</f>
        <v>#NUM!</v>
      </c>
      <c r="BK267" s="73">
        <f>_xlfn.DAYS(BI267,RESUMEN!$BL$7)</f>
        <v>-43267</v>
      </c>
      <c r="BL267" s="73"/>
      <c r="BM267" s="73" t="e">
        <f>LOOKUP(BL267,FORMULAS!$A:$A,FORMULAS!$B:$B)</f>
        <v>#N/A</v>
      </c>
      <c r="BN267" s="78"/>
      <c r="BO267" s="73"/>
      <c r="BP267" s="73"/>
      <c r="BQ267" s="73"/>
      <c r="BR267" s="73"/>
      <c r="BS267" s="73"/>
      <c r="BT267" s="73"/>
    </row>
    <row r="268" spans="1:72" x14ac:dyDescent="0.25">
      <c r="A268" s="75"/>
      <c r="B268" s="74" t="e">
        <f>WEEKNUM(A268-RESUMEN!$D$7)</f>
        <v>#NUM!</v>
      </c>
      <c r="C268" s="74">
        <f>_xlfn.DAYS(A268,RESUMEN!$D$7)</f>
        <v>-43238</v>
      </c>
      <c r="D268" s="75"/>
      <c r="E268" s="73" t="e">
        <f>LOOKUP(D268,FORMULAS!$A:$A,FORMULAS!$B:$B)</f>
        <v>#N/A</v>
      </c>
      <c r="F268" s="80"/>
      <c r="G268" s="75"/>
      <c r="H268" s="75"/>
      <c r="I268" s="73"/>
      <c r="J268" s="73"/>
      <c r="K268" s="73"/>
      <c r="L268" s="73"/>
      <c r="M268" s="73"/>
      <c r="N268" s="73" t="e">
        <f>WEEKNUM(M268-RESUMEN!$P$7)</f>
        <v>#NUM!</v>
      </c>
      <c r="O268" s="73">
        <f>_xlfn.DAYS(M268,RESUMEN!$P$7)</f>
        <v>-43242</v>
      </c>
      <c r="P268" s="73"/>
      <c r="Q268" s="73" t="e">
        <f>LOOKUP(P268,FORMULAS!$A:$A,FORMULAS!$B:$B)</f>
        <v>#N/A</v>
      </c>
      <c r="R268" s="78"/>
      <c r="S268" s="73"/>
      <c r="T268" s="73"/>
      <c r="U268" s="73"/>
      <c r="V268" s="73"/>
      <c r="W268" s="73"/>
      <c r="X268" s="73"/>
      <c r="Y268" s="73"/>
      <c r="Z268" s="73" t="e">
        <f>WEEKNUM(Y268-RESUMEN!$AB$7)</f>
        <v>#NUM!</v>
      </c>
      <c r="AA268" s="73">
        <f>_xlfn.DAYS(Y268,RESUMEN!$AB$7)</f>
        <v>-43247</v>
      </c>
      <c r="AB268" s="73"/>
      <c r="AC268" s="73" t="e">
        <f>LOOKUP(AB268,FORMULAS!$A:$A,FORMULAS!$B:$B)</f>
        <v>#N/A</v>
      </c>
      <c r="AD268" s="78"/>
      <c r="AE268" s="73"/>
      <c r="AF268" s="73"/>
      <c r="AG268" s="73"/>
      <c r="AH268" s="73"/>
      <c r="AI268" s="73"/>
      <c r="AJ268" s="73"/>
      <c r="AK268" s="73"/>
      <c r="AL268" s="73" t="e">
        <f>WEEKNUM(AK268-RESUMEN!$AN$7)</f>
        <v>#NUM!</v>
      </c>
      <c r="AM268" s="73">
        <f>_xlfn.DAYS(AK268,RESUMEN!$AN$7)</f>
        <v>-43254</v>
      </c>
      <c r="AN268" s="73"/>
      <c r="AO268" s="73" t="e">
        <f>LOOKUP(AN268,FORMULAS!$A:$A,FORMULAS!$B:$B)</f>
        <v>#N/A</v>
      </c>
      <c r="AP268" s="78"/>
      <c r="AQ268" s="78"/>
      <c r="AR268" s="73"/>
      <c r="AS268" s="73"/>
      <c r="AT268" s="73"/>
      <c r="AU268" s="73"/>
      <c r="AV268" s="73"/>
      <c r="AW268" s="73"/>
      <c r="AX268" s="73" t="e">
        <f>WEEKNUM(AW268-RESUMEN!$AZ$7)</f>
        <v>#NUM!</v>
      </c>
      <c r="AY268" s="73">
        <f>_xlfn.DAYS(AW268,RESUMEN!$AZ$7)</f>
        <v>-43261</v>
      </c>
      <c r="AZ268" s="73"/>
      <c r="BA268" s="73" t="e">
        <f>LOOKUP(AZ268,FORMULAS!$A:$A,FORMULAS!$B:$B)</f>
        <v>#N/A</v>
      </c>
      <c r="BB268" s="78"/>
      <c r="BC268" s="73"/>
      <c r="BD268" s="73"/>
      <c r="BE268" s="73"/>
      <c r="BF268" s="73"/>
      <c r="BG268" s="73"/>
      <c r="BH268" s="73"/>
      <c r="BI268" s="73"/>
      <c r="BJ268" s="73" t="e">
        <f>WEEKNUM(BI268-RESUMEN!$BL$7)</f>
        <v>#NUM!</v>
      </c>
      <c r="BK268" s="73">
        <f>_xlfn.DAYS(BI268,RESUMEN!$BL$7)</f>
        <v>-43267</v>
      </c>
      <c r="BL268" s="73"/>
      <c r="BM268" s="73" t="e">
        <f>LOOKUP(BL268,FORMULAS!$A:$A,FORMULAS!$B:$B)</f>
        <v>#N/A</v>
      </c>
      <c r="BN268" s="78"/>
      <c r="BO268" s="73"/>
      <c r="BP268" s="73"/>
      <c r="BQ268" s="73"/>
      <c r="BR268" s="73"/>
      <c r="BS268" s="73"/>
      <c r="BT268" s="73"/>
    </row>
    <row r="269" spans="1:72" x14ac:dyDescent="0.25">
      <c r="A269" s="75"/>
      <c r="B269" s="74" t="e">
        <f>WEEKNUM(A269-RESUMEN!$D$7)</f>
        <v>#NUM!</v>
      </c>
      <c r="C269" s="74">
        <f>_xlfn.DAYS(A269,RESUMEN!$D$7)</f>
        <v>-43238</v>
      </c>
      <c r="D269" s="75"/>
      <c r="E269" s="73" t="e">
        <f>LOOKUP(D269,FORMULAS!$A:$A,FORMULAS!$B:$B)</f>
        <v>#N/A</v>
      </c>
      <c r="F269" s="80"/>
      <c r="G269" s="75"/>
      <c r="H269" s="75"/>
      <c r="I269" s="73"/>
      <c r="J269" s="73"/>
      <c r="K269" s="73"/>
      <c r="L269" s="73"/>
      <c r="M269" s="73"/>
      <c r="N269" s="73" t="e">
        <f>WEEKNUM(M269-RESUMEN!$P$7)</f>
        <v>#NUM!</v>
      </c>
      <c r="O269" s="73">
        <f>_xlfn.DAYS(M269,RESUMEN!$P$7)</f>
        <v>-43242</v>
      </c>
      <c r="P269" s="73"/>
      <c r="Q269" s="73" t="e">
        <f>LOOKUP(P269,FORMULAS!$A:$A,FORMULAS!$B:$B)</f>
        <v>#N/A</v>
      </c>
      <c r="R269" s="78"/>
      <c r="S269" s="73"/>
      <c r="T269" s="73"/>
      <c r="U269" s="73"/>
      <c r="V269" s="73"/>
      <c r="W269" s="73"/>
      <c r="X269" s="73"/>
      <c r="Y269" s="73"/>
      <c r="Z269" s="73" t="e">
        <f>WEEKNUM(Y269-RESUMEN!$AB$7)</f>
        <v>#NUM!</v>
      </c>
      <c r="AA269" s="73">
        <f>_xlfn.DAYS(Y269,RESUMEN!$AB$7)</f>
        <v>-43247</v>
      </c>
      <c r="AB269" s="73"/>
      <c r="AC269" s="73" t="e">
        <f>LOOKUP(AB269,FORMULAS!$A:$A,FORMULAS!$B:$B)</f>
        <v>#N/A</v>
      </c>
      <c r="AD269" s="78"/>
      <c r="AE269" s="73"/>
      <c r="AF269" s="73"/>
      <c r="AG269" s="73"/>
      <c r="AH269" s="73"/>
      <c r="AI269" s="73"/>
      <c r="AJ269" s="73"/>
      <c r="AK269" s="73"/>
      <c r="AL269" s="73" t="e">
        <f>WEEKNUM(AK269-RESUMEN!$AN$7)</f>
        <v>#NUM!</v>
      </c>
      <c r="AM269" s="73">
        <f>_xlfn.DAYS(AK269,RESUMEN!$AN$7)</f>
        <v>-43254</v>
      </c>
      <c r="AN269" s="73"/>
      <c r="AO269" s="73" t="e">
        <f>LOOKUP(AN269,FORMULAS!$A:$A,FORMULAS!$B:$B)</f>
        <v>#N/A</v>
      </c>
      <c r="AP269" s="78"/>
      <c r="AQ269" s="78"/>
      <c r="AR269" s="73"/>
      <c r="AS269" s="73"/>
      <c r="AT269" s="73"/>
      <c r="AU269" s="73"/>
      <c r="AV269" s="73"/>
      <c r="AW269" s="73"/>
      <c r="AX269" s="73" t="e">
        <f>WEEKNUM(AW269-RESUMEN!$AZ$7)</f>
        <v>#NUM!</v>
      </c>
      <c r="AY269" s="73">
        <f>_xlfn.DAYS(AW269,RESUMEN!$AZ$7)</f>
        <v>-43261</v>
      </c>
      <c r="AZ269" s="73"/>
      <c r="BA269" s="73" t="e">
        <f>LOOKUP(AZ269,FORMULAS!$A:$A,FORMULAS!$B:$B)</f>
        <v>#N/A</v>
      </c>
      <c r="BB269" s="78"/>
      <c r="BC269" s="73"/>
      <c r="BD269" s="73"/>
      <c r="BE269" s="73"/>
      <c r="BF269" s="73"/>
      <c r="BG269" s="73"/>
      <c r="BH269" s="73"/>
      <c r="BI269" s="73"/>
      <c r="BJ269" s="73" t="e">
        <f>WEEKNUM(BI269-RESUMEN!$BL$7)</f>
        <v>#NUM!</v>
      </c>
      <c r="BK269" s="73">
        <f>_xlfn.DAYS(BI269,RESUMEN!$BL$7)</f>
        <v>-43267</v>
      </c>
      <c r="BL269" s="73"/>
      <c r="BM269" s="73" t="e">
        <f>LOOKUP(BL269,FORMULAS!$A:$A,FORMULAS!$B:$B)</f>
        <v>#N/A</v>
      </c>
      <c r="BN269" s="78"/>
      <c r="BO269" s="73"/>
      <c r="BP269" s="73"/>
      <c r="BQ269" s="73"/>
      <c r="BR269" s="73"/>
      <c r="BS269" s="73"/>
      <c r="BT269" s="73"/>
    </row>
    <row r="270" spans="1:72" x14ac:dyDescent="0.25">
      <c r="A270" s="75"/>
      <c r="B270" s="74" t="e">
        <f>WEEKNUM(A270-RESUMEN!$D$7)</f>
        <v>#NUM!</v>
      </c>
      <c r="C270" s="74">
        <f>_xlfn.DAYS(A270,RESUMEN!$D$7)</f>
        <v>-43238</v>
      </c>
      <c r="D270" s="75"/>
      <c r="E270" s="73" t="e">
        <f>LOOKUP(D270,FORMULAS!$A:$A,FORMULAS!$B:$B)</f>
        <v>#N/A</v>
      </c>
      <c r="F270" s="80"/>
      <c r="G270" s="75"/>
      <c r="H270" s="75"/>
      <c r="I270" s="73"/>
      <c r="J270" s="73"/>
      <c r="K270" s="73"/>
      <c r="L270" s="73"/>
      <c r="M270" s="73"/>
      <c r="N270" s="73" t="e">
        <f>WEEKNUM(M270-RESUMEN!$P$7)</f>
        <v>#NUM!</v>
      </c>
      <c r="O270" s="73">
        <f>_xlfn.DAYS(M270,RESUMEN!$P$7)</f>
        <v>-43242</v>
      </c>
      <c r="P270" s="73"/>
      <c r="Q270" s="73" t="e">
        <f>LOOKUP(P270,FORMULAS!$A:$A,FORMULAS!$B:$B)</f>
        <v>#N/A</v>
      </c>
      <c r="R270" s="78"/>
      <c r="S270" s="73"/>
      <c r="T270" s="73"/>
      <c r="U270" s="73"/>
      <c r="V270" s="73"/>
      <c r="W270" s="73"/>
      <c r="X270" s="73"/>
      <c r="Y270" s="73"/>
      <c r="Z270" s="73" t="e">
        <f>WEEKNUM(Y270-RESUMEN!$AB$7)</f>
        <v>#NUM!</v>
      </c>
      <c r="AA270" s="73">
        <f>_xlfn.DAYS(Y270,RESUMEN!$AB$7)</f>
        <v>-43247</v>
      </c>
      <c r="AB270" s="73"/>
      <c r="AC270" s="73" t="e">
        <f>LOOKUP(AB270,FORMULAS!$A:$A,FORMULAS!$B:$B)</f>
        <v>#N/A</v>
      </c>
      <c r="AD270" s="78"/>
      <c r="AE270" s="73"/>
      <c r="AF270" s="73"/>
      <c r="AG270" s="73"/>
      <c r="AH270" s="73"/>
      <c r="AI270" s="73"/>
      <c r="AJ270" s="73"/>
      <c r="AK270" s="73"/>
      <c r="AL270" s="73" t="e">
        <f>WEEKNUM(AK270-RESUMEN!$AN$7)</f>
        <v>#NUM!</v>
      </c>
      <c r="AM270" s="73">
        <f>_xlfn.DAYS(AK270,RESUMEN!$AN$7)</f>
        <v>-43254</v>
      </c>
      <c r="AN270" s="73"/>
      <c r="AO270" s="73" t="e">
        <f>LOOKUP(AN270,FORMULAS!$A:$A,FORMULAS!$B:$B)</f>
        <v>#N/A</v>
      </c>
      <c r="AP270" s="78"/>
      <c r="AQ270" s="78"/>
      <c r="AR270" s="73"/>
      <c r="AS270" s="73"/>
      <c r="AT270" s="73"/>
      <c r="AU270" s="73"/>
      <c r="AV270" s="73"/>
      <c r="AW270" s="73"/>
      <c r="AX270" s="73" t="e">
        <f>WEEKNUM(AW270-RESUMEN!$AZ$7)</f>
        <v>#NUM!</v>
      </c>
      <c r="AY270" s="73">
        <f>_xlfn.DAYS(AW270,RESUMEN!$AZ$7)</f>
        <v>-43261</v>
      </c>
      <c r="AZ270" s="73"/>
      <c r="BA270" s="73" t="e">
        <f>LOOKUP(AZ270,FORMULAS!$A:$A,FORMULAS!$B:$B)</f>
        <v>#N/A</v>
      </c>
      <c r="BB270" s="78"/>
      <c r="BC270" s="73"/>
      <c r="BD270" s="73"/>
      <c r="BE270" s="73"/>
      <c r="BF270" s="73"/>
      <c r="BG270" s="73"/>
      <c r="BH270" s="73"/>
      <c r="BI270" s="73"/>
      <c r="BJ270" s="73" t="e">
        <f>WEEKNUM(BI270-RESUMEN!$BL$7)</f>
        <v>#NUM!</v>
      </c>
      <c r="BK270" s="73">
        <f>_xlfn.DAYS(BI270,RESUMEN!$BL$7)</f>
        <v>-43267</v>
      </c>
      <c r="BL270" s="73"/>
      <c r="BM270" s="73" t="e">
        <f>LOOKUP(BL270,FORMULAS!$A:$A,FORMULAS!$B:$B)</f>
        <v>#N/A</v>
      </c>
      <c r="BN270" s="78"/>
      <c r="BO270" s="73"/>
      <c r="BP270" s="73"/>
      <c r="BQ270" s="73"/>
      <c r="BR270" s="73"/>
      <c r="BS270" s="73"/>
      <c r="BT270" s="73"/>
    </row>
    <row r="271" spans="1:72" x14ac:dyDescent="0.25">
      <c r="A271" s="75"/>
      <c r="B271" s="74" t="e">
        <f>WEEKNUM(A271-RESUMEN!$D$7)</f>
        <v>#NUM!</v>
      </c>
      <c r="C271" s="74">
        <f>_xlfn.DAYS(A271,RESUMEN!$D$7)</f>
        <v>-43238</v>
      </c>
      <c r="D271" s="75"/>
      <c r="E271" s="73" t="e">
        <f>LOOKUP(D271,FORMULAS!$A:$A,FORMULAS!$B:$B)</f>
        <v>#N/A</v>
      </c>
      <c r="F271" s="80"/>
      <c r="G271" s="75"/>
      <c r="H271" s="75"/>
      <c r="I271" s="73"/>
      <c r="J271" s="73"/>
      <c r="K271" s="73"/>
      <c r="L271" s="73"/>
      <c r="M271" s="73"/>
      <c r="N271" s="73" t="e">
        <f>WEEKNUM(M271-RESUMEN!$P$7)</f>
        <v>#NUM!</v>
      </c>
      <c r="O271" s="73">
        <f>_xlfn.DAYS(M271,RESUMEN!$P$7)</f>
        <v>-43242</v>
      </c>
      <c r="P271" s="73"/>
      <c r="Q271" s="73" t="e">
        <f>LOOKUP(P271,FORMULAS!$A:$A,FORMULAS!$B:$B)</f>
        <v>#N/A</v>
      </c>
      <c r="R271" s="78"/>
      <c r="S271" s="73"/>
      <c r="T271" s="73"/>
      <c r="U271" s="73"/>
      <c r="V271" s="73"/>
      <c r="W271" s="73"/>
      <c r="X271" s="73"/>
      <c r="Y271" s="73"/>
      <c r="Z271" s="73" t="e">
        <f>WEEKNUM(Y271-RESUMEN!$AB$7)</f>
        <v>#NUM!</v>
      </c>
      <c r="AA271" s="73">
        <f>_xlfn.DAYS(Y271,RESUMEN!$AB$7)</f>
        <v>-43247</v>
      </c>
      <c r="AB271" s="73"/>
      <c r="AC271" s="73" t="e">
        <f>LOOKUP(AB271,FORMULAS!$A:$A,FORMULAS!$B:$B)</f>
        <v>#N/A</v>
      </c>
      <c r="AD271" s="78"/>
      <c r="AE271" s="73"/>
      <c r="AF271" s="73"/>
      <c r="AG271" s="73"/>
      <c r="AH271" s="73"/>
      <c r="AI271" s="73"/>
      <c r="AJ271" s="73"/>
      <c r="AK271" s="73"/>
      <c r="AL271" s="73" t="e">
        <f>WEEKNUM(AK271-RESUMEN!$AN$7)</f>
        <v>#NUM!</v>
      </c>
      <c r="AM271" s="73">
        <f>_xlfn.DAYS(AK271,RESUMEN!$AN$7)</f>
        <v>-43254</v>
      </c>
      <c r="AN271" s="73"/>
      <c r="AO271" s="73" t="e">
        <f>LOOKUP(AN271,FORMULAS!$A:$A,FORMULAS!$B:$B)</f>
        <v>#N/A</v>
      </c>
      <c r="AP271" s="78"/>
      <c r="AQ271" s="78"/>
      <c r="AR271" s="73"/>
      <c r="AS271" s="73"/>
      <c r="AT271" s="73"/>
      <c r="AU271" s="73"/>
      <c r="AV271" s="73"/>
      <c r="AW271" s="73"/>
      <c r="AX271" s="73" t="e">
        <f>WEEKNUM(AW271-RESUMEN!$AZ$7)</f>
        <v>#NUM!</v>
      </c>
      <c r="AY271" s="73">
        <f>_xlfn.DAYS(AW271,RESUMEN!$AZ$7)</f>
        <v>-43261</v>
      </c>
      <c r="AZ271" s="73"/>
      <c r="BA271" s="73" t="e">
        <f>LOOKUP(AZ271,FORMULAS!$A:$A,FORMULAS!$B:$B)</f>
        <v>#N/A</v>
      </c>
      <c r="BB271" s="78"/>
      <c r="BC271" s="73"/>
      <c r="BD271" s="73"/>
      <c r="BE271" s="73"/>
      <c r="BF271" s="73"/>
      <c r="BG271" s="73"/>
      <c r="BH271" s="73"/>
      <c r="BI271" s="73"/>
      <c r="BJ271" s="73" t="e">
        <f>WEEKNUM(BI271-RESUMEN!$BL$7)</f>
        <v>#NUM!</v>
      </c>
      <c r="BK271" s="73">
        <f>_xlfn.DAYS(BI271,RESUMEN!$BL$7)</f>
        <v>-43267</v>
      </c>
      <c r="BL271" s="73"/>
      <c r="BM271" s="73" t="e">
        <f>LOOKUP(BL271,FORMULAS!$A:$A,FORMULAS!$B:$B)</f>
        <v>#N/A</v>
      </c>
      <c r="BN271" s="78"/>
      <c r="BO271" s="73"/>
      <c r="BP271" s="73"/>
      <c r="BQ271" s="73"/>
      <c r="BR271" s="73"/>
      <c r="BS271" s="73"/>
      <c r="BT271" s="73"/>
    </row>
    <row r="272" spans="1:72" x14ac:dyDescent="0.25">
      <c r="A272" s="75"/>
      <c r="B272" s="74" t="e">
        <f>WEEKNUM(A272-RESUMEN!$D$7)</f>
        <v>#NUM!</v>
      </c>
      <c r="C272" s="74">
        <f>_xlfn.DAYS(A272,RESUMEN!$D$7)</f>
        <v>-43238</v>
      </c>
      <c r="D272" s="75"/>
      <c r="E272" s="73" t="e">
        <f>LOOKUP(D272,FORMULAS!$A:$A,FORMULAS!$B:$B)</f>
        <v>#N/A</v>
      </c>
      <c r="F272" s="80"/>
      <c r="G272" s="75"/>
      <c r="H272" s="75"/>
      <c r="I272" s="73"/>
      <c r="J272" s="73"/>
      <c r="K272" s="73"/>
      <c r="L272" s="73"/>
      <c r="M272" s="73"/>
      <c r="N272" s="73" t="e">
        <f>WEEKNUM(M272-RESUMEN!$P$7)</f>
        <v>#NUM!</v>
      </c>
      <c r="O272" s="73">
        <f>_xlfn.DAYS(M272,RESUMEN!$P$7)</f>
        <v>-43242</v>
      </c>
      <c r="P272" s="73"/>
      <c r="Q272" s="73" t="e">
        <f>LOOKUP(P272,FORMULAS!$A:$A,FORMULAS!$B:$B)</f>
        <v>#N/A</v>
      </c>
      <c r="R272" s="78"/>
      <c r="S272" s="73"/>
      <c r="T272" s="73"/>
      <c r="U272" s="73"/>
      <c r="V272" s="73"/>
      <c r="W272" s="73"/>
      <c r="X272" s="73"/>
      <c r="Y272" s="73"/>
      <c r="Z272" s="73" t="e">
        <f>WEEKNUM(Y272-RESUMEN!$AB$7)</f>
        <v>#NUM!</v>
      </c>
      <c r="AA272" s="73">
        <f>_xlfn.DAYS(Y272,RESUMEN!$AB$7)</f>
        <v>-43247</v>
      </c>
      <c r="AB272" s="73"/>
      <c r="AC272" s="73" t="e">
        <f>LOOKUP(AB272,FORMULAS!$A:$A,FORMULAS!$B:$B)</f>
        <v>#N/A</v>
      </c>
      <c r="AD272" s="78"/>
      <c r="AE272" s="73"/>
      <c r="AF272" s="73"/>
      <c r="AG272" s="73"/>
      <c r="AH272" s="73"/>
      <c r="AI272" s="73"/>
      <c r="AJ272" s="73"/>
      <c r="AK272" s="73"/>
      <c r="AL272" s="73" t="e">
        <f>WEEKNUM(AK272-RESUMEN!$AN$7)</f>
        <v>#NUM!</v>
      </c>
      <c r="AM272" s="73">
        <f>_xlfn.DAYS(AK272,RESUMEN!$AN$7)</f>
        <v>-43254</v>
      </c>
      <c r="AN272" s="73"/>
      <c r="AO272" s="73" t="e">
        <f>LOOKUP(AN272,FORMULAS!$A:$A,FORMULAS!$B:$B)</f>
        <v>#N/A</v>
      </c>
      <c r="AP272" s="78"/>
      <c r="AQ272" s="78"/>
      <c r="AR272" s="73"/>
      <c r="AS272" s="73"/>
      <c r="AT272" s="73"/>
      <c r="AU272" s="73"/>
      <c r="AV272" s="73"/>
      <c r="AW272" s="73"/>
      <c r="AX272" s="73" t="e">
        <f>WEEKNUM(AW272-RESUMEN!$AZ$7)</f>
        <v>#NUM!</v>
      </c>
      <c r="AY272" s="73">
        <f>_xlfn.DAYS(AW272,RESUMEN!$AZ$7)</f>
        <v>-43261</v>
      </c>
      <c r="AZ272" s="73"/>
      <c r="BA272" s="73" t="e">
        <f>LOOKUP(AZ272,FORMULAS!$A:$A,FORMULAS!$B:$B)</f>
        <v>#N/A</v>
      </c>
      <c r="BB272" s="78"/>
      <c r="BC272" s="73"/>
      <c r="BD272" s="73"/>
      <c r="BE272" s="73"/>
      <c r="BF272" s="73"/>
      <c r="BG272" s="73"/>
      <c r="BH272" s="73"/>
      <c r="BI272" s="73"/>
      <c r="BJ272" s="73" t="e">
        <f>WEEKNUM(BI272-RESUMEN!$BL$7)</f>
        <v>#NUM!</v>
      </c>
      <c r="BK272" s="73">
        <f>_xlfn.DAYS(BI272,RESUMEN!$BL$7)</f>
        <v>-43267</v>
      </c>
      <c r="BL272" s="73"/>
      <c r="BM272" s="73" t="e">
        <f>LOOKUP(BL272,FORMULAS!$A:$A,FORMULAS!$B:$B)</f>
        <v>#N/A</v>
      </c>
      <c r="BN272" s="78"/>
      <c r="BO272" s="73"/>
      <c r="BP272" s="73"/>
      <c r="BQ272" s="73"/>
      <c r="BR272" s="73"/>
      <c r="BS272" s="73"/>
      <c r="BT272" s="73"/>
    </row>
    <row r="273" spans="1:72" x14ac:dyDescent="0.25">
      <c r="A273" s="75"/>
      <c r="B273" s="74" t="e">
        <f>WEEKNUM(A273-RESUMEN!$D$7)</f>
        <v>#NUM!</v>
      </c>
      <c r="C273" s="74">
        <f>_xlfn.DAYS(A273,RESUMEN!$D$7)</f>
        <v>-43238</v>
      </c>
      <c r="D273" s="75"/>
      <c r="E273" s="73" t="e">
        <f>LOOKUP(D273,FORMULAS!$A:$A,FORMULAS!$B:$B)</f>
        <v>#N/A</v>
      </c>
      <c r="F273" s="80"/>
      <c r="G273" s="75"/>
      <c r="H273" s="75"/>
      <c r="I273" s="73"/>
      <c r="J273" s="73"/>
      <c r="K273" s="73"/>
      <c r="L273" s="73"/>
      <c r="M273" s="73"/>
      <c r="N273" s="73" t="e">
        <f>WEEKNUM(M273-RESUMEN!$P$7)</f>
        <v>#NUM!</v>
      </c>
      <c r="O273" s="73">
        <f>_xlfn.DAYS(M273,RESUMEN!$P$7)</f>
        <v>-43242</v>
      </c>
      <c r="P273" s="73"/>
      <c r="Q273" s="73" t="e">
        <f>LOOKUP(P273,FORMULAS!$A:$A,FORMULAS!$B:$B)</f>
        <v>#N/A</v>
      </c>
      <c r="R273" s="78"/>
      <c r="S273" s="73"/>
      <c r="T273" s="73"/>
      <c r="U273" s="73"/>
      <c r="V273" s="73"/>
      <c r="W273" s="73"/>
      <c r="X273" s="73"/>
      <c r="Y273" s="73"/>
      <c r="Z273" s="73" t="e">
        <f>WEEKNUM(Y273-RESUMEN!$AB$7)</f>
        <v>#NUM!</v>
      </c>
      <c r="AA273" s="73">
        <f>_xlfn.DAYS(Y273,RESUMEN!$AB$7)</f>
        <v>-43247</v>
      </c>
      <c r="AB273" s="73"/>
      <c r="AC273" s="73" t="e">
        <f>LOOKUP(AB273,FORMULAS!$A:$A,FORMULAS!$B:$B)</f>
        <v>#N/A</v>
      </c>
      <c r="AD273" s="78"/>
      <c r="AE273" s="73"/>
      <c r="AF273" s="73"/>
      <c r="AG273" s="73"/>
      <c r="AH273" s="73"/>
      <c r="AI273" s="73"/>
      <c r="AJ273" s="73"/>
      <c r="AK273" s="73"/>
      <c r="AL273" s="73" t="e">
        <f>WEEKNUM(AK273-RESUMEN!$AN$7)</f>
        <v>#NUM!</v>
      </c>
      <c r="AM273" s="73">
        <f>_xlfn.DAYS(AK273,RESUMEN!$AN$7)</f>
        <v>-43254</v>
      </c>
      <c r="AN273" s="73"/>
      <c r="AO273" s="73" t="e">
        <f>LOOKUP(AN273,FORMULAS!$A:$A,FORMULAS!$B:$B)</f>
        <v>#N/A</v>
      </c>
      <c r="AP273" s="78"/>
      <c r="AQ273" s="78"/>
      <c r="AR273" s="73"/>
      <c r="AS273" s="73"/>
      <c r="AT273" s="73"/>
      <c r="AU273" s="73"/>
      <c r="AV273" s="73"/>
      <c r="AW273" s="73"/>
      <c r="AX273" s="73" t="e">
        <f>WEEKNUM(AW273-RESUMEN!$AZ$7)</f>
        <v>#NUM!</v>
      </c>
      <c r="AY273" s="73">
        <f>_xlfn.DAYS(AW273,RESUMEN!$AZ$7)</f>
        <v>-43261</v>
      </c>
      <c r="AZ273" s="73"/>
      <c r="BA273" s="73" t="e">
        <f>LOOKUP(AZ273,FORMULAS!$A:$A,FORMULAS!$B:$B)</f>
        <v>#N/A</v>
      </c>
      <c r="BB273" s="78"/>
      <c r="BC273" s="73"/>
      <c r="BD273" s="73"/>
      <c r="BE273" s="73"/>
      <c r="BF273" s="73"/>
      <c r="BG273" s="73"/>
      <c r="BH273" s="73"/>
      <c r="BI273" s="73"/>
      <c r="BJ273" s="73" t="e">
        <f>WEEKNUM(BI273-RESUMEN!$BL$7)</f>
        <v>#NUM!</v>
      </c>
      <c r="BK273" s="73">
        <f>_xlfn.DAYS(BI273,RESUMEN!$BL$7)</f>
        <v>-43267</v>
      </c>
      <c r="BL273" s="73"/>
      <c r="BM273" s="73" t="e">
        <f>LOOKUP(BL273,FORMULAS!$A:$A,FORMULAS!$B:$B)</f>
        <v>#N/A</v>
      </c>
      <c r="BN273" s="78"/>
      <c r="BO273" s="73"/>
      <c r="BP273" s="73"/>
      <c r="BQ273" s="73"/>
      <c r="BR273" s="73"/>
      <c r="BS273" s="73"/>
      <c r="BT273" s="73"/>
    </row>
    <row r="274" spans="1:72" x14ac:dyDescent="0.25">
      <c r="A274" s="75"/>
      <c r="B274" s="74" t="e">
        <f>WEEKNUM(A274-RESUMEN!$D$7)</f>
        <v>#NUM!</v>
      </c>
      <c r="C274" s="74">
        <f>_xlfn.DAYS(A274,RESUMEN!$D$7)</f>
        <v>-43238</v>
      </c>
      <c r="D274" s="75"/>
      <c r="E274" s="73" t="e">
        <f>LOOKUP(D274,FORMULAS!$A:$A,FORMULAS!$B:$B)</f>
        <v>#N/A</v>
      </c>
      <c r="F274" s="80"/>
      <c r="G274" s="75"/>
      <c r="H274" s="75"/>
      <c r="I274" s="73"/>
      <c r="J274" s="73"/>
      <c r="K274" s="73"/>
      <c r="L274" s="73"/>
      <c r="M274" s="73"/>
      <c r="N274" s="73" t="e">
        <f>WEEKNUM(M274-RESUMEN!$P$7)</f>
        <v>#NUM!</v>
      </c>
      <c r="O274" s="73">
        <f>_xlfn.DAYS(M274,RESUMEN!$P$7)</f>
        <v>-43242</v>
      </c>
      <c r="P274" s="73"/>
      <c r="Q274" s="73" t="e">
        <f>LOOKUP(P274,FORMULAS!$A:$A,FORMULAS!$B:$B)</f>
        <v>#N/A</v>
      </c>
      <c r="R274" s="78"/>
      <c r="S274" s="73"/>
      <c r="T274" s="73"/>
      <c r="U274" s="73"/>
      <c r="V274" s="73"/>
      <c r="W274" s="73"/>
      <c r="X274" s="73"/>
      <c r="Y274" s="73"/>
      <c r="Z274" s="73" t="e">
        <f>WEEKNUM(Y274-RESUMEN!$AB$7)</f>
        <v>#NUM!</v>
      </c>
      <c r="AA274" s="73">
        <f>_xlfn.DAYS(Y274,RESUMEN!$AB$7)</f>
        <v>-43247</v>
      </c>
      <c r="AB274" s="73"/>
      <c r="AC274" s="73" t="e">
        <f>LOOKUP(AB274,FORMULAS!$A:$A,FORMULAS!$B:$B)</f>
        <v>#N/A</v>
      </c>
      <c r="AD274" s="78"/>
      <c r="AE274" s="73"/>
      <c r="AF274" s="73"/>
      <c r="AG274" s="73"/>
      <c r="AH274" s="73"/>
      <c r="AI274" s="73"/>
      <c r="AJ274" s="73"/>
      <c r="AK274" s="73"/>
      <c r="AL274" s="73" t="e">
        <f>WEEKNUM(AK274-RESUMEN!$AN$7)</f>
        <v>#NUM!</v>
      </c>
      <c r="AM274" s="73">
        <f>_xlfn.DAYS(AK274,RESUMEN!$AN$7)</f>
        <v>-43254</v>
      </c>
      <c r="AN274" s="73"/>
      <c r="AO274" s="73" t="e">
        <f>LOOKUP(AN274,FORMULAS!$A:$A,FORMULAS!$B:$B)</f>
        <v>#N/A</v>
      </c>
      <c r="AP274" s="78"/>
      <c r="AQ274" s="78"/>
      <c r="AR274" s="73"/>
      <c r="AS274" s="73"/>
      <c r="AT274" s="73"/>
      <c r="AU274" s="73"/>
      <c r="AV274" s="73"/>
      <c r="AW274" s="73"/>
      <c r="AX274" s="73" t="e">
        <f>WEEKNUM(AW274-RESUMEN!$AZ$7)</f>
        <v>#NUM!</v>
      </c>
      <c r="AY274" s="73">
        <f>_xlfn.DAYS(AW274,RESUMEN!$AZ$7)</f>
        <v>-43261</v>
      </c>
      <c r="AZ274" s="73"/>
      <c r="BA274" s="73" t="e">
        <f>LOOKUP(AZ274,FORMULAS!$A:$A,FORMULAS!$B:$B)</f>
        <v>#N/A</v>
      </c>
      <c r="BB274" s="78"/>
      <c r="BC274" s="73"/>
      <c r="BD274" s="73"/>
      <c r="BE274" s="73"/>
      <c r="BF274" s="73"/>
      <c r="BG274" s="73"/>
      <c r="BH274" s="73"/>
      <c r="BI274" s="73"/>
      <c r="BJ274" s="73" t="e">
        <f>WEEKNUM(BI274-RESUMEN!$BL$7)</f>
        <v>#NUM!</v>
      </c>
      <c r="BK274" s="73">
        <f>_xlfn.DAYS(BI274,RESUMEN!$BL$7)</f>
        <v>-43267</v>
      </c>
      <c r="BL274" s="73"/>
      <c r="BM274" s="73" t="e">
        <f>LOOKUP(BL274,FORMULAS!$A:$A,FORMULAS!$B:$B)</f>
        <v>#N/A</v>
      </c>
      <c r="BN274" s="78"/>
      <c r="BO274" s="73"/>
      <c r="BP274" s="73"/>
      <c r="BQ274" s="73"/>
      <c r="BR274" s="73"/>
      <c r="BS274" s="73"/>
      <c r="BT274" s="73"/>
    </row>
    <row r="275" spans="1:72" x14ac:dyDescent="0.25">
      <c r="A275" s="75"/>
      <c r="B275" s="74" t="e">
        <f>WEEKNUM(A275-RESUMEN!$D$7)</f>
        <v>#NUM!</v>
      </c>
      <c r="C275" s="74">
        <f>_xlfn.DAYS(A275,RESUMEN!$D$7)</f>
        <v>-43238</v>
      </c>
      <c r="D275" s="75"/>
      <c r="E275" s="73" t="e">
        <f>LOOKUP(D275,FORMULAS!$A:$A,FORMULAS!$B:$B)</f>
        <v>#N/A</v>
      </c>
      <c r="F275" s="80"/>
      <c r="G275" s="75"/>
      <c r="H275" s="75"/>
      <c r="I275" s="73"/>
      <c r="J275" s="73"/>
      <c r="K275" s="73"/>
      <c r="L275" s="73"/>
      <c r="M275" s="73"/>
      <c r="N275" s="73" t="e">
        <f>WEEKNUM(M275-RESUMEN!$P$7)</f>
        <v>#NUM!</v>
      </c>
      <c r="O275" s="73">
        <f>_xlfn.DAYS(M275,RESUMEN!$P$7)</f>
        <v>-43242</v>
      </c>
      <c r="P275" s="73"/>
      <c r="Q275" s="73" t="e">
        <f>LOOKUP(P275,FORMULAS!$A:$A,FORMULAS!$B:$B)</f>
        <v>#N/A</v>
      </c>
      <c r="R275" s="78"/>
      <c r="S275" s="73"/>
      <c r="T275" s="73"/>
      <c r="U275" s="73"/>
      <c r="V275" s="73"/>
      <c r="W275" s="73"/>
      <c r="X275" s="73"/>
      <c r="Y275" s="73"/>
      <c r="Z275" s="73" t="e">
        <f>WEEKNUM(Y275-RESUMEN!$AB$7)</f>
        <v>#NUM!</v>
      </c>
      <c r="AA275" s="73">
        <f>_xlfn.DAYS(Y275,RESUMEN!$AB$7)</f>
        <v>-43247</v>
      </c>
      <c r="AB275" s="73"/>
      <c r="AC275" s="73" t="e">
        <f>LOOKUP(AB275,FORMULAS!$A:$A,FORMULAS!$B:$B)</f>
        <v>#N/A</v>
      </c>
      <c r="AD275" s="78"/>
      <c r="AE275" s="73"/>
      <c r="AF275" s="73"/>
      <c r="AG275" s="73"/>
      <c r="AH275" s="73"/>
      <c r="AI275" s="73"/>
      <c r="AJ275" s="73"/>
      <c r="AK275" s="73"/>
      <c r="AL275" s="73" t="e">
        <f>WEEKNUM(AK275-RESUMEN!$AN$7)</f>
        <v>#NUM!</v>
      </c>
      <c r="AM275" s="73">
        <f>_xlfn.DAYS(AK275,RESUMEN!$AN$7)</f>
        <v>-43254</v>
      </c>
      <c r="AN275" s="73"/>
      <c r="AO275" s="73" t="e">
        <f>LOOKUP(AN275,FORMULAS!$A:$A,FORMULAS!$B:$B)</f>
        <v>#N/A</v>
      </c>
      <c r="AP275" s="78"/>
      <c r="AQ275" s="78"/>
      <c r="AR275" s="73"/>
      <c r="AS275" s="73"/>
      <c r="AT275" s="73"/>
      <c r="AU275" s="73"/>
      <c r="AV275" s="73"/>
      <c r="AW275" s="73"/>
      <c r="AX275" s="73" t="e">
        <f>WEEKNUM(AW275-RESUMEN!$AZ$7)</f>
        <v>#NUM!</v>
      </c>
      <c r="AY275" s="73">
        <f>_xlfn.DAYS(AW275,RESUMEN!$AZ$7)</f>
        <v>-43261</v>
      </c>
      <c r="AZ275" s="73"/>
      <c r="BA275" s="73" t="e">
        <f>LOOKUP(AZ275,FORMULAS!$A:$A,FORMULAS!$B:$B)</f>
        <v>#N/A</v>
      </c>
      <c r="BB275" s="78"/>
      <c r="BC275" s="73"/>
      <c r="BD275" s="73"/>
      <c r="BE275" s="73"/>
      <c r="BF275" s="73"/>
      <c r="BG275" s="73"/>
      <c r="BH275" s="73"/>
      <c r="BI275" s="73"/>
      <c r="BJ275" s="73" t="e">
        <f>WEEKNUM(BI275-RESUMEN!$BL$7)</f>
        <v>#NUM!</v>
      </c>
      <c r="BK275" s="73">
        <f>_xlfn.DAYS(BI275,RESUMEN!$BL$7)</f>
        <v>-43267</v>
      </c>
      <c r="BL275" s="73"/>
      <c r="BM275" s="73" t="e">
        <f>LOOKUP(BL275,FORMULAS!$A:$A,FORMULAS!$B:$B)</f>
        <v>#N/A</v>
      </c>
      <c r="BN275" s="78"/>
      <c r="BO275" s="73"/>
      <c r="BP275" s="73"/>
      <c r="BQ275" s="73"/>
      <c r="BR275" s="73"/>
      <c r="BS275" s="73"/>
      <c r="BT275" s="73"/>
    </row>
    <row r="276" spans="1:72" x14ac:dyDescent="0.25">
      <c r="A276" s="75"/>
      <c r="B276" s="74" t="e">
        <f>WEEKNUM(A276-RESUMEN!$D$7)</f>
        <v>#NUM!</v>
      </c>
      <c r="C276" s="74">
        <f>_xlfn.DAYS(A276,RESUMEN!$D$7)</f>
        <v>-43238</v>
      </c>
      <c r="D276" s="75"/>
      <c r="E276" s="73" t="e">
        <f>LOOKUP(D276,FORMULAS!$A:$A,FORMULAS!$B:$B)</f>
        <v>#N/A</v>
      </c>
      <c r="F276" s="80"/>
      <c r="G276" s="75"/>
      <c r="H276" s="75"/>
      <c r="I276" s="73"/>
      <c r="J276" s="73"/>
      <c r="K276" s="73"/>
      <c r="L276" s="73"/>
      <c r="M276" s="73"/>
      <c r="N276" s="73" t="e">
        <f>WEEKNUM(M276-RESUMEN!$P$7)</f>
        <v>#NUM!</v>
      </c>
      <c r="O276" s="73">
        <f>_xlfn.DAYS(M276,RESUMEN!$P$7)</f>
        <v>-43242</v>
      </c>
      <c r="P276" s="73"/>
      <c r="Q276" s="73" t="e">
        <f>LOOKUP(P276,FORMULAS!$A:$A,FORMULAS!$B:$B)</f>
        <v>#N/A</v>
      </c>
      <c r="R276" s="78"/>
      <c r="S276" s="73"/>
      <c r="T276" s="73"/>
      <c r="U276" s="73"/>
      <c r="V276" s="73"/>
      <c r="W276" s="73"/>
      <c r="X276" s="73"/>
      <c r="Y276" s="73"/>
      <c r="Z276" s="73" t="e">
        <f>WEEKNUM(Y276-RESUMEN!$AB$7)</f>
        <v>#NUM!</v>
      </c>
      <c r="AA276" s="73">
        <f>_xlfn.DAYS(Y276,RESUMEN!$AB$7)</f>
        <v>-43247</v>
      </c>
      <c r="AB276" s="73"/>
      <c r="AC276" s="73" t="e">
        <f>LOOKUP(AB276,FORMULAS!$A:$A,FORMULAS!$B:$B)</f>
        <v>#N/A</v>
      </c>
      <c r="AD276" s="78"/>
      <c r="AE276" s="73"/>
      <c r="AF276" s="73"/>
      <c r="AG276" s="73"/>
      <c r="AH276" s="73"/>
      <c r="AI276" s="73"/>
      <c r="AJ276" s="73"/>
      <c r="AK276" s="73"/>
      <c r="AL276" s="73" t="e">
        <f>WEEKNUM(AK276-RESUMEN!$AN$7)</f>
        <v>#NUM!</v>
      </c>
      <c r="AM276" s="73">
        <f>_xlfn.DAYS(AK276,RESUMEN!$AN$7)</f>
        <v>-43254</v>
      </c>
      <c r="AN276" s="73"/>
      <c r="AO276" s="73" t="e">
        <f>LOOKUP(AN276,FORMULAS!$A:$A,FORMULAS!$B:$B)</f>
        <v>#N/A</v>
      </c>
      <c r="AP276" s="78"/>
      <c r="AQ276" s="78"/>
      <c r="AR276" s="73"/>
      <c r="AS276" s="73"/>
      <c r="AT276" s="73"/>
      <c r="AU276" s="73"/>
      <c r="AV276" s="73"/>
      <c r="AW276" s="73"/>
      <c r="AX276" s="73" t="e">
        <f>WEEKNUM(AW276-RESUMEN!$AZ$7)</f>
        <v>#NUM!</v>
      </c>
      <c r="AY276" s="73">
        <f>_xlfn.DAYS(AW276,RESUMEN!$AZ$7)</f>
        <v>-43261</v>
      </c>
      <c r="AZ276" s="73"/>
      <c r="BA276" s="73" t="e">
        <f>LOOKUP(AZ276,FORMULAS!$A:$A,FORMULAS!$B:$B)</f>
        <v>#N/A</v>
      </c>
      <c r="BB276" s="78"/>
      <c r="BC276" s="73"/>
      <c r="BD276" s="73"/>
      <c r="BE276" s="73"/>
      <c r="BF276" s="73"/>
      <c r="BG276" s="73"/>
      <c r="BH276" s="73"/>
      <c r="BI276" s="73"/>
      <c r="BJ276" s="73" t="e">
        <f>WEEKNUM(BI276-RESUMEN!$BL$7)</f>
        <v>#NUM!</v>
      </c>
      <c r="BK276" s="73">
        <f>_xlfn.DAYS(BI276,RESUMEN!$BL$7)</f>
        <v>-43267</v>
      </c>
      <c r="BL276" s="73"/>
      <c r="BM276" s="73" t="e">
        <f>LOOKUP(BL276,FORMULAS!$A:$A,FORMULAS!$B:$B)</f>
        <v>#N/A</v>
      </c>
      <c r="BN276" s="78"/>
      <c r="BO276" s="73"/>
      <c r="BP276" s="73"/>
      <c r="BQ276" s="73"/>
      <c r="BR276" s="73"/>
      <c r="BS276" s="73"/>
      <c r="BT276" s="73"/>
    </row>
    <row r="277" spans="1:72" x14ac:dyDescent="0.25">
      <c r="A277" s="75"/>
      <c r="B277" s="74" t="e">
        <f>WEEKNUM(A277-RESUMEN!$D$7)</f>
        <v>#NUM!</v>
      </c>
      <c r="C277" s="74">
        <f>_xlfn.DAYS(A277,RESUMEN!$D$7)</f>
        <v>-43238</v>
      </c>
      <c r="D277" s="75"/>
      <c r="E277" s="73" t="e">
        <f>LOOKUP(D277,FORMULAS!$A:$A,FORMULAS!$B:$B)</f>
        <v>#N/A</v>
      </c>
      <c r="F277" s="80"/>
      <c r="G277" s="75"/>
      <c r="H277" s="75"/>
      <c r="I277" s="73"/>
      <c r="J277" s="73"/>
      <c r="K277" s="73"/>
      <c r="L277" s="73"/>
      <c r="M277" s="73"/>
      <c r="N277" s="73" t="e">
        <f>WEEKNUM(M277-RESUMEN!$P$7)</f>
        <v>#NUM!</v>
      </c>
      <c r="O277" s="73">
        <f>_xlfn.DAYS(M277,RESUMEN!$P$7)</f>
        <v>-43242</v>
      </c>
      <c r="P277" s="73"/>
      <c r="Q277" s="73" t="e">
        <f>LOOKUP(P277,FORMULAS!$A:$A,FORMULAS!$B:$B)</f>
        <v>#N/A</v>
      </c>
      <c r="R277" s="78"/>
      <c r="S277" s="73"/>
      <c r="T277" s="73"/>
      <c r="U277" s="73"/>
      <c r="V277" s="73"/>
      <c r="W277" s="73"/>
      <c r="X277" s="73"/>
      <c r="Y277" s="73"/>
      <c r="Z277" s="73" t="e">
        <f>WEEKNUM(Y277-RESUMEN!$AB$7)</f>
        <v>#NUM!</v>
      </c>
      <c r="AA277" s="73">
        <f>_xlfn.DAYS(Y277,RESUMEN!$AB$7)</f>
        <v>-43247</v>
      </c>
      <c r="AB277" s="73"/>
      <c r="AC277" s="73" t="e">
        <f>LOOKUP(AB277,FORMULAS!$A:$A,FORMULAS!$B:$B)</f>
        <v>#N/A</v>
      </c>
      <c r="AD277" s="78"/>
      <c r="AE277" s="73"/>
      <c r="AF277" s="73"/>
      <c r="AG277" s="73"/>
      <c r="AH277" s="73"/>
      <c r="AI277" s="73"/>
      <c r="AJ277" s="73"/>
      <c r="AK277" s="73"/>
      <c r="AL277" s="73" t="e">
        <f>WEEKNUM(AK277-RESUMEN!$AN$7)</f>
        <v>#NUM!</v>
      </c>
      <c r="AM277" s="73">
        <f>_xlfn.DAYS(AK277,RESUMEN!$AN$7)</f>
        <v>-43254</v>
      </c>
      <c r="AN277" s="73"/>
      <c r="AO277" s="73" t="e">
        <f>LOOKUP(AN277,FORMULAS!$A:$A,FORMULAS!$B:$B)</f>
        <v>#N/A</v>
      </c>
      <c r="AP277" s="78"/>
      <c r="AQ277" s="78"/>
      <c r="AR277" s="73"/>
      <c r="AS277" s="73"/>
      <c r="AT277" s="73"/>
      <c r="AU277" s="73"/>
      <c r="AV277" s="73"/>
      <c r="AW277" s="73"/>
      <c r="AX277" s="73" t="e">
        <f>WEEKNUM(AW277-RESUMEN!$AZ$7)</f>
        <v>#NUM!</v>
      </c>
      <c r="AY277" s="73">
        <f>_xlfn.DAYS(AW277,RESUMEN!$AZ$7)</f>
        <v>-43261</v>
      </c>
      <c r="AZ277" s="73"/>
      <c r="BA277" s="73" t="e">
        <f>LOOKUP(AZ277,FORMULAS!$A:$A,FORMULAS!$B:$B)</f>
        <v>#N/A</v>
      </c>
      <c r="BB277" s="78"/>
      <c r="BC277" s="73"/>
      <c r="BD277" s="73"/>
      <c r="BE277" s="73"/>
      <c r="BF277" s="73"/>
      <c r="BG277" s="73"/>
      <c r="BH277" s="73"/>
      <c r="BI277" s="73"/>
      <c r="BJ277" s="73" t="e">
        <f>WEEKNUM(BI277-RESUMEN!$BL$7)</f>
        <v>#NUM!</v>
      </c>
      <c r="BK277" s="73">
        <f>_xlfn.DAYS(BI277,RESUMEN!$BL$7)</f>
        <v>-43267</v>
      </c>
      <c r="BL277" s="73"/>
      <c r="BM277" s="73" t="e">
        <f>LOOKUP(BL277,FORMULAS!$A:$A,FORMULAS!$B:$B)</f>
        <v>#N/A</v>
      </c>
      <c r="BN277" s="78"/>
      <c r="BO277" s="73"/>
      <c r="BP277" s="73"/>
      <c r="BQ277" s="73"/>
      <c r="BR277" s="73"/>
      <c r="BS277" s="73"/>
      <c r="BT277" s="73"/>
    </row>
    <row r="278" spans="1:72" x14ac:dyDescent="0.25">
      <c r="A278" s="75"/>
      <c r="B278" s="74" t="e">
        <f>WEEKNUM(A278-RESUMEN!$D$7)</f>
        <v>#NUM!</v>
      </c>
      <c r="C278" s="74">
        <f>_xlfn.DAYS(A278,RESUMEN!$D$7)</f>
        <v>-43238</v>
      </c>
      <c r="D278" s="75"/>
      <c r="E278" s="73" t="e">
        <f>LOOKUP(D278,FORMULAS!$A:$A,FORMULAS!$B:$B)</f>
        <v>#N/A</v>
      </c>
      <c r="F278" s="80"/>
      <c r="G278" s="75"/>
      <c r="H278" s="75"/>
      <c r="I278" s="73"/>
      <c r="J278" s="73"/>
      <c r="K278" s="73"/>
      <c r="L278" s="73"/>
      <c r="M278" s="73"/>
      <c r="N278" s="73" t="e">
        <f>WEEKNUM(M278-RESUMEN!$P$7)</f>
        <v>#NUM!</v>
      </c>
      <c r="O278" s="73">
        <f>_xlfn.DAYS(M278,RESUMEN!$P$7)</f>
        <v>-43242</v>
      </c>
      <c r="P278" s="73"/>
      <c r="Q278" s="73" t="e">
        <f>LOOKUP(P278,FORMULAS!$A:$A,FORMULAS!$B:$B)</f>
        <v>#N/A</v>
      </c>
      <c r="R278" s="78"/>
      <c r="S278" s="73"/>
      <c r="T278" s="73"/>
      <c r="U278" s="73"/>
      <c r="V278" s="73"/>
      <c r="W278" s="73"/>
      <c r="X278" s="73"/>
      <c r="Y278" s="73"/>
      <c r="Z278" s="73" t="e">
        <f>WEEKNUM(Y278-RESUMEN!$AB$7)</f>
        <v>#NUM!</v>
      </c>
      <c r="AA278" s="73">
        <f>_xlfn.DAYS(Y278,RESUMEN!$AB$7)</f>
        <v>-43247</v>
      </c>
      <c r="AB278" s="73"/>
      <c r="AC278" s="73" t="e">
        <f>LOOKUP(AB278,FORMULAS!$A:$A,FORMULAS!$B:$B)</f>
        <v>#N/A</v>
      </c>
      <c r="AD278" s="78"/>
      <c r="AE278" s="73"/>
      <c r="AF278" s="73"/>
      <c r="AG278" s="73"/>
      <c r="AH278" s="73"/>
      <c r="AI278" s="73"/>
      <c r="AJ278" s="73"/>
      <c r="AK278" s="73"/>
      <c r="AL278" s="73" t="e">
        <f>WEEKNUM(AK278-RESUMEN!$AN$7)</f>
        <v>#NUM!</v>
      </c>
      <c r="AM278" s="73">
        <f>_xlfn.DAYS(AK278,RESUMEN!$AN$7)</f>
        <v>-43254</v>
      </c>
      <c r="AN278" s="73"/>
      <c r="AO278" s="73" t="e">
        <f>LOOKUP(AN278,FORMULAS!$A:$A,FORMULAS!$B:$B)</f>
        <v>#N/A</v>
      </c>
      <c r="AP278" s="78"/>
      <c r="AQ278" s="78"/>
      <c r="AR278" s="73"/>
      <c r="AS278" s="73"/>
      <c r="AT278" s="73"/>
      <c r="AU278" s="73"/>
      <c r="AV278" s="73"/>
      <c r="AW278" s="73"/>
      <c r="AX278" s="73" t="e">
        <f>WEEKNUM(AW278-RESUMEN!$AZ$7)</f>
        <v>#NUM!</v>
      </c>
      <c r="AY278" s="73">
        <f>_xlfn.DAYS(AW278,RESUMEN!$AZ$7)</f>
        <v>-43261</v>
      </c>
      <c r="AZ278" s="73"/>
      <c r="BA278" s="73" t="e">
        <f>LOOKUP(AZ278,FORMULAS!$A:$A,FORMULAS!$B:$B)</f>
        <v>#N/A</v>
      </c>
      <c r="BB278" s="78"/>
      <c r="BC278" s="73"/>
      <c r="BD278" s="73"/>
      <c r="BE278" s="73"/>
      <c r="BF278" s="73"/>
      <c r="BG278" s="73"/>
      <c r="BH278" s="73"/>
      <c r="BI278" s="73"/>
      <c r="BJ278" s="73" t="e">
        <f>WEEKNUM(BI278-RESUMEN!$BL$7)</f>
        <v>#NUM!</v>
      </c>
      <c r="BK278" s="73">
        <f>_xlfn.DAYS(BI278,RESUMEN!$BL$7)</f>
        <v>-43267</v>
      </c>
      <c r="BL278" s="73"/>
      <c r="BM278" s="73" t="e">
        <f>LOOKUP(BL278,FORMULAS!$A:$A,FORMULAS!$B:$B)</f>
        <v>#N/A</v>
      </c>
      <c r="BN278" s="78"/>
      <c r="BO278" s="73"/>
      <c r="BP278" s="73"/>
      <c r="BQ278" s="73"/>
      <c r="BR278" s="73"/>
      <c r="BS278" s="73"/>
      <c r="BT278" s="73"/>
    </row>
    <row r="279" spans="1:72" x14ac:dyDescent="0.25">
      <c r="A279" s="75"/>
      <c r="B279" s="74" t="e">
        <f>WEEKNUM(A279-RESUMEN!$D$7)</f>
        <v>#NUM!</v>
      </c>
      <c r="C279" s="74">
        <f>_xlfn.DAYS(A279,RESUMEN!$D$7)</f>
        <v>-43238</v>
      </c>
      <c r="D279" s="75"/>
      <c r="E279" s="73" t="e">
        <f>LOOKUP(D279,FORMULAS!$A:$A,FORMULAS!$B:$B)</f>
        <v>#N/A</v>
      </c>
      <c r="F279" s="80"/>
      <c r="G279" s="75"/>
      <c r="H279" s="75"/>
      <c r="I279" s="73"/>
      <c r="J279" s="73"/>
      <c r="K279" s="73"/>
      <c r="L279" s="73"/>
      <c r="M279" s="73"/>
      <c r="N279" s="73" t="e">
        <f>WEEKNUM(M279-RESUMEN!$P$7)</f>
        <v>#NUM!</v>
      </c>
      <c r="O279" s="73">
        <f>_xlfn.DAYS(M279,RESUMEN!$P$7)</f>
        <v>-43242</v>
      </c>
      <c r="P279" s="73"/>
      <c r="Q279" s="73" t="e">
        <f>LOOKUP(P279,FORMULAS!$A:$A,FORMULAS!$B:$B)</f>
        <v>#N/A</v>
      </c>
      <c r="R279" s="78"/>
      <c r="S279" s="73"/>
      <c r="T279" s="73"/>
      <c r="U279" s="73"/>
      <c r="V279" s="73"/>
      <c r="W279" s="73"/>
      <c r="X279" s="73"/>
      <c r="Y279" s="73"/>
      <c r="Z279" s="73" t="e">
        <f>WEEKNUM(Y279-RESUMEN!$AB$7)</f>
        <v>#NUM!</v>
      </c>
      <c r="AA279" s="73">
        <f>_xlfn.DAYS(Y279,RESUMEN!$AB$7)</f>
        <v>-43247</v>
      </c>
      <c r="AB279" s="73"/>
      <c r="AC279" s="73" t="e">
        <f>LOOKUP(AB279,FORMULAS!$A:$A,FORMULAS!$B:$B)</f>
        <v>#N/A</v>
      </c>
      <c r="AD279" s="78"/>
      <c r="AE279" s="73"/>
      <c r="AF279" s="73"/>
      <c r="AG279" s="73"/>
      <c r="AH279" s="73"/>
      <c r="AI279" s="73"/>
      <c r="AJ279" s="73"/>
      <c r="AK279" s="73"/>
      <c r="AL279" s="73" t="e">
        <f>WEEKNUM(AK279-RESUMEN!$AN$7)</f>
        <v>#NUM!</v>
      </c>
      <c r="AM279" s="73">
        <f>_xlfn.DAYS(AK279,RESUMEN!$AN$7)</f>
        <v>-43254</v>
      </c>
      <c r="AN279" s="73"/>
      <c r="AO279" s="73" t="e">
        <f>LOOKUP(AN279,FORMULAS!$A:$A,FORMULAS!$B:$B)</f>
        <v>#N/A</v>
      </c>
      <c r="AP279" s="78"/>
      <c r="AQ279" s="78"/>
      <c r="AR279" s="73"/>
      <c r="AS279" s="73"/>
      <c r="AT279" s="73"/>
      <c r="AU279" s="73"/>
      <c r="AV279" s="73"/>
      <c r="AW279" s="73"/>
      <c r="AX279" s="73" t="e">
        <f>WEEKNUM(AW279-RESUMEN!$AZ$7)</f>
        <v>#NUM!</v>
      </c>
      <c r="AY279" s="73">
        <f>_xlfn.DAYS(AW279,RESUMEN!$AZ$7)</f>
        <v>-43261</v>
      </c>
      <c r="AZ279" s="73"/>
      <c r="BA279" s="73" t="e">
        <f>LOOKUP(AZ279,FORMULAS!$A:$A,FORMULAS!$B:$B)</f>
        <v>#N/A</v>
      </c>
      <c r="BB279" s="78"/>
      <c r="BC279" s="73"/>
      <c r="BD279" s="73"/>
      <c r="BE279" s="73"/>
      <c r="BF279" s="73"/>
      <c r="BG279" s="73"/>
      <c r="BH279" s="73"/>
      <c r="BI279" s="73"/>
      <c r="BJ279" s="73" t="e">
        <f>WEEKNUM(BI279-RESUMEN!$BL$7)</f>
        <v>#NUM!</v>
      </c>
      <c r="BK279" s="73">
        <f>_xlfn.DAYS(BI279,RESUMEN!$BL$7)</f>
        <v>-43267</v>
      </c>
      <c r="BL279" s="73"/>
      <c r="BM279" s="73" t="e">
        <f>LOOKUP(BL279,FORMULAS!$A:$A,FORMULAS!$B:$B)</f>
        <v>#N/A</v>
      </c>
      <c r="BN279" s="78"/>
      <c r="BO279" s="73"/>
      <c r="BP279" s="73"/>
      <c r="BQ279" s="73"/>
      <c r="BR279" s="73"/>
      <c r="BS279" s="73"/>
      <c r="BT279" s="73"/>
    </row>
    <row r="280" spans="1:72" x14ac:dyDescent="0.25">
      <c r="A280" s="75"/>
      <c r="B280" s="74" t="e">
        <f>WEEKNUM(A280-RESUMEN!$D$7)</f>
        <v>#NUM!</v>
      </c>
      <c r="C280" s="74">
        <f>_xlfn.DAYS(A280,RESUMEN!$D$7)</f>
        <v>-43238</v>
      </c>
      <c r="D280" s="75"/>
      <c r="E280" s="73" t="e">
        <f>LOOKUP(D280,FORMULAS!$A:$A,FORMULAS!$B:$B)</f>
        <v>#N/A</v>
      </c>
      <c r="F280" s="80"/>
      <c r="G280" s="75"/>
      <c r="H280" s="75"/>
      <c r="I280" s="73"/>
      <c r="J280" s="73"/>
      <c r="K280" s="73"/>
      <c r="L280" s="73"/>
      <c r="M280" s="73"/>
      <c r="N280" s="73" t="e">
        <f>WEEKNUM(M280-RESUMEN!$P$7)</f>
        <v>#NUM!</v>
      </c>
      <c r="O280" s="73">
        <f>_xlfn.DAYS(M280,RESUMEN!$P$7)</f>
        <v>-43242</v>
      </c>
      <c r="P280" s="73"/>
      <c r="Q280" s="73" t="e">
        <f>LOOKUP(P280,FORMULAS!$A:$A,FORMULAS!$B:$B)</f>
        <v>#N/A</v>
      </c>
      <c r="R280" s="78"/>
      <c r="S280" s="73"/>
      <c r="T280" s="73"/>
      <c r="U280" s="73"/>
      <c r="V280" s="73"/>
      <c r="W280" s="73"/>
      <c r="X280" s="73"/>
      <c r="Y280" s="73"/>
      <c r="Z280" s="73" t="e">
        <f>WEEKNUM(Y280-RESUMEN!$AB$7)</f>
        <v>#NUM!</v>
      </c>
      <c r="AA280" s="73">
        <f>_xlfn.DAYS(Y280,RESUMEN!$AB$7)</f>
        <v>-43247</v>
      </c>
      <c r="AB280" s="73"/>
      <c r="AC280" s="73" t="e">
        <f>LOOKUP(AB280,FORMULAS!$A:$A,FORMULAS!$B:$B)</f>
        <v>#N/A</v>
      </c>
      <c r="AD280" s="78"/>
      <c r="AE280" s="73"/>
      <c r="AF280" s="73"/>
      <c r="AG280" s="73"/>
      <c r="AH280" s="73"/>
      <c r="AI280" s="73"/>
      <c r="AJ280" s="73"/>
      <c r="AK280" s="73"/>
      <c r="AL280" s="73" t="e">
        <f>WEEKNUM(AK280-RESUMEN!$AN$7)</f>
        <v>#NUM!</v>
      </c>
      <c r="AM280" s="73">
        <f>_xlfn.DAYS(AK280,RESUMEN!$AN$7)</f>
        <v>-43254</v>
      </c>
      <c r="AN280" s="73"/>
      <c r="AO280" s="73" t="e">
        <f>LOOKUP(AN280,FORMULAS!$A:$A,FORMULAS!$B:$B)</f>
        <v>#N/A</v>
      </c>
      <c r="AP280" s="78"/>
      <c r="AQ280" s="78"/>
      <c r="AR280" s="73"/>
      <c r="AS280" s="73"/>
      <c r="AT280" s="73"/>
      <c r="AU280" s="73"/>
      <c r="AV280" s="73"/>
      <c r="AW280" s="73"/>
      <c r="AX280" s="73" t="e">
        <f>WEEKNUM(AW280-RESUMEN!$AZ$7)</f>
        <v>#NUM!</v>
      </c>
      <c r="AY280" s="73">
        <f>_xlfn.DAYS(AW280,RESUMEN!$AZ$7)</f>
        <v>-43261</v>
      </c>
      <c r="AZ280" s="73"/>
      <c r="BA280" s="73" t="e">
        <f>LOOKUP(AZ280,FORMULAS!$A:$A,FORMULAS!$B:$B)</f>
        <v>#N/A</v>
      </c>
      <c r="BB280" s="78"/>
      <c r="BC280" s="73"/>
      <c r="BD280" s="73"/>
      <c r="BE280" s="73"/>
      <c r="BF280" s="73"/>
      <c r="BG280" s="73"/>
      <c r="BH280" s="73"/>
      <c r="BI280" s="73"/>
      <c r="BJ280" s="73" t="e">
        <f>WEEKNUM(BI280-RESUMEN!$BL$7)</f>
        <v>#NUM!</v>
      </c>
      <c r="BK280" s="73">
        <f>_xlfn.DAYS(BI280,RESUMEN!$BL$7)</f>
        <v>-43267</v>
      </c>
      <c r="BL280" s="73"/>
      <c r="BM280" s="73" t="e">
        <f>LOOKUP(BL280,FORMULAS!$A:$A,FORMULAS!$B:$B)</f>
        <v>#N/A</v>
      </c>
      <c r="BN280" s="78"/>
      <c r="BO280" s="73"/>
      <c r="BP280" s="73"/>
      <c r="BQ280" s="73"/>
      <c r="BR280" s="73"/>
      <c r="BS280" s="73"/>
      <c r="BT280" s="73"/>
    </row>
    <row r="281" spans="1:72" x14ac:dyDescent="0.25">
      <c r="A281" s="75"/>
      <c r="B281" s="74" t="e">
        <f>WEEKNUM(A281-RESUMEN!$D$7)</f>
        <v>#NUM!</v>
      </c>
      <c r="C281" s="74">
        <f>_xlfn.DAYS(A281,RESUMEN!$D$7)</f>
        <v>-43238</v>
      </c>
      <c r="D281" s="75"/>
      <c r="E281" s="73" t="e">
        <f>LOOKUP(D281,FORMULAS!$A:$A,FORMULAS!$B:$B)</f>
        <v>#N/A</v>
      </c>
      <c r="F281" s="80"/>
      <c r="G281" s="75"/>
      <c r="H281" s="75"/>
      <c r="I281" s="73"/>
      <c r="J281" s="73"/>
      <c r="K281" s="73"/>
      <c r="L281" s="73"/>
      <c r="M281" s="73"/>
      <c r="N281" s="73" t="e">
        <f>WEEKNUM(M281-RESUMEN!$P$7)</f>
        <v>#NUM!</v>
      </c>
      <c r="O281" s="73">
        <f>_xlfn.DAYS(M281,RESUMEN!$P$7)</f>
        <v>-43242</v>
      </c>
      <c r="P281" s="73"/>
      <c r="Q281" s="73" t="e">
        <f>LOOKUP(P281,FORMULAS!$A:$A,FORMULAS!$B:$B)</f>
        <v>#N/A</v>
      </c>
      <c r="R281" s="78"/>
      <c r="S281" s="73"/>
      <c r="T281" s="73"/>
      <c r="U281" s="73"/>
      <c r="V281" s="73"/>
      <c r="W281" s="73"/>
      <c r="X281" s="73"/>
      <c r="Y281" s="73"/>
      <c r="Z281" s="73" t="e">
        <f>WEEKNUM(Y281-RESUMEN!$AB$7)</f>
        <v>#NUM!</v>
      </c>
      <c r="AA281" s="73">
        <f>_xlfn.DAYS(Y281,RESUMEN!$AB$7)</f>
        <v>-43247</v>
      </c>
      <c r="AB281" s="73"/>
      <c r="AC281" s="73" t="e">
        <f>LOOKUP(AB281,FORMULAS!$A:$A,FORMULAS!$B:$B)</f>
        <v>#N/A</v>
      </c>
      <c r="AD281" s="78"/>
      <c r="AE281" s="73"/>
      <c r="AF281" s="73"/>
      <c r="AG281" s="73"/>
      <c r="AH281" s="73"/>
      <c r="AI281" s="73"/>
      <c r="AJ281" s="73"/>
      <c r="AK281" s="73"/>
      <c r="AL281" s="73" t="e">
        <f>WEEKNUM(AK281-RESUMEN!$AN$7)</f>
        <v>#NUM!</v>
      </c>
      <c r="AM281" s="73">
        <f>_xlfn.DAYS(AK281,RESUMEN!$AN$7)</f>
        <v>-43254</v>
      </c>
      <c r="AN281" s="73"/>
      <c r="AO281" s="73" t="e">
        <f>LOOKUP(AN281,FORMULAS!$A:$A,FORMULAS!$B:$B)</f>
        <v>#N/A</v>
      </c>
      <c r="AP281" s="78"/>
      <c r="AQ281" s="78"/>
      <c r="AR281" s="73"/>
      <c r="AS281" s="73"/>
      <c r="AT281" s="73"/>
      <c r="AU281" s="73"/>
      <c r="AV281" s="73"/>
      <c r="AW281" s="73"/>
      <c r="AX281" s="73" t="e">
        <f>WEEKNUM(AW281-RESUMEN!$AZ$7)</f>
        <v>#NUM!</v>
      </c>
      <c r="AY281" s="73">
        <f>_xlfn.DAYS(AW281,RESUMEN!$AZ$7)</f>
        <v>-43261</v>
      </c>
      <c r="AZ281" s="73"/>
      <c r="BA281" s="73" t="e">
        <f>LOOKUP(AZ281,FORMULAS!$A:$A,FORMULAS!$B:$B)</f>
        <v>#N/A</v>
      </c>
      <c r="BB281" s="78"/>
      <c r="BC281" s="73"/>
      <c r="BD281" s="73"/>
      <c r="BE281" s="73"/>
      <c r="BF281" s="73"/>
      <c r="BG281" s="73"/>
      <c r="BH281" s="73"/>
      <c r="BI281" s="73"/>
      <c r="BJ281" s="73" t="e">
        <f>WEEKNUM(BI281-RESUMEN!$BL$7)</f>
        <v>#NUM!</v>
      </c>
      <c r="BK281" s="73">
        <f>_xlfn.DAYS(BI281,RESUMEN!$BL$7)</f>
        <v>-43267</v>
      </c>
      <c r="BL281" s="73"/>
      <c r="BM281" s="73" t="e">
        <f>LOOKUP(BL281,FORMULAS!$A:$A,FORMULAS!$B:$B)</f>
        <v>#N/A</v>
      </c>
      <c r="BN281" s="78"/>
      <c r="BO281" s="73"/>
      <c r="BP281" s="73"/>
      <c r="BQ281" s="73"/>
      <c r="BR281" s="73"/>
      <c r="BS281" s="73"/>
      <c r="BT281" s="73"/>
    </row>
    <row r="282" spans="1:72" x14ac:dyDescent="0.25">
      <c r="A282" s="75"/>
      <c r="B282" s="74" t="e">
        <f>WEEKNUM(A282-RESUMEN!$D$7)</f>
        <v>#NUM!</v>
      </c>
      <c r="C282" s="74">
        <f>_xlfn.DAYS(A282,RESUMEN!$D$7)</f>
        <v>-43238</v>
      </c>
      <c r="D282" s="75"/>
      <c r="E282" s="73" t="e">
        <f>LOOKUP(D282,FORMULAS!$A:$A,FORMULAS!$B:$B)</f>
        <v>#N/A</v>
      </c>
      <c r="F282" s="80"/>
      <c r="G282" s="75"/>
      <c r="H282" s="75"/>
      <c r="I282" s="73"/>
      <c r="J282" s="73"/>
      <c r="K282" s="73"/>
      <c r="L282" s="73"/>
      <c r="M282" s="73"/>
      <c r="N282" s="73" t="e">
        <f>WEEKNUM(M282-RESUMEN!$P$7)</f>
        <v>#NUM!</v>
      </c>
      <c r="O282" s="73">
        <f>_xlfn.DAYS(M282,RESUMEN!$P$7)</f>
        <v>-43242</v>
      </c>
      <c r="P282" s="73"/>
      <c r="Q282" s="73" t="e">
        <f>LOOKUP(P282,FORMULAS!$A:$A,FORMULAS!$B:$B)</f>
        <v>#N/A</v>
      </c>
      <c r="R282" s="78"/>
      <c r="S282" s="73"/>
      <c r="T282" s="73"/>
      <c r="U282" s="73"/>
      <c r="V282" s="73"/>
      <c r="W282" s="73"/>
      <c r="X282" s="73"/>
      <c r="Y282" s="73"/>
      <c r="Z282" s="73" t="e">
        <f>WEEKNUM(Y282-RESUMEN!$AB$7)</f>
        <v>#NUM!</v>
      </c>
      <c r="AA282" s="73">
        <f>_xlfn.DAYS(Y282,RESUMEN!$AB$7)</f>
        <v>-43247</v>
      </c>
      <c r="AB282" s="73"/>
      <c r="AC282" s="73" t="e">
        <f>LOOKUP(AB282,FORMULAS!$A:$A,FORMULAS!$B:$B)</f>
        <v>#N/A</v>
      </c>
      <c r="AD282" s="78"/>
      <c r="AE282" s="73"/>
      <c r="AF282" s="73"/>
      <c r="AG282" s="73"/>
      <c r="AH282" s="73"/>
      <c r="AI282" s="73"/>
      <c r="AJ282" s="73"/>
      <c r="AK282" s="73"/>
      <c r="AL282" s="73" t="e">
        <f>WEEKNUM(AK282-RESUMEN!$AN$7)</f>
        <v>#NUM!</v>
      </c>
      <c r="AM282" s="73">
        <f>_xlfn.DAYS(AK282,RESUMEN!$AN$7)</f>
        <v>-43254</v>
      </c>
      <c r="AN282" s="73"/>
      <c r="AO282" s="73" t="e">
        <f>LOOKUP(AN282,FORMULAS!$A:$A,FORMULAS!$B:$B)</f>
        <v>#N/A</v>
      </c>
      <c r="AP282" s="78"/>
      <c r="AQ282" s="78"/>
      <c r="AR282" s="73"/>
      <c r="AS282" s="73"/>
      <c r="AT282" s="73"/>
      <c r="AU282" s="73"/>
      <c r="AV282" s="73"/>
      <c r="AW282" s="73"/>
      <c r="AX282" s="73" t="e">
        <f>WEEKNUM(AW282-RESUMEN!$AZ$7)</f>
        <v>#NUM!</v>
      </c>
      <c r="AY282" s="73">
        <f>_xlfn.DAYS(AW282,RESUMEN!$AZ$7)</f>
        <v>-43261</v>
      </c>
      <c r="AZ282" s="73"/>
      <c r="BA282" s="73" t="e">
        <f>LOOKUP(AZ282,FORMULAS!$A:$A,FORMULAS!$B:$B)</f>
        <v>#N/A</v>
      </c>
      <c r="BB282" s="78"/>
      <c r="BC282" s="73"/>
      <c r="BD282" s="73"/>
      <c r="BE282" s="73"/>
      <c r="BF282" s="73"/>
      <c r="BG282" s="73"/>
      <c r="BH282" s="73"/>
      <c r="BI282" s="73"/>
      <c r="BJ282" s="73" t="e">
        <f>WEEKNUM(BI282-RESUMEN!$BL$7)</f>
        <v>#NUM!</v>
      </c>
      <c r="BK282" s="73">
        <f>_xlfn.DAYS(BI282,RESUMEN!$BL$7)</f>
        <v>-43267</v>
      </c>
      <c r="BL282" s="73"/>
      <c r="BM282" s="73" t="e">
        <f>LOOKUP(BL282,FORMULAS!$A:$A,FORMULAS!$B:$B)</f>
        <v>#N/A</v>
      </c>
      <c r="BN282" s="78"/>
      <c r="BO282" s="73"/>
      <c r="BP282" s="73"/>
      <c r="BQ282" s="73"/>
      <c r="BR282" s="73"/>
      <c r="BS282" s="73"/>
      <c r="BT282" s="73"/>
    </row>
    <row r="283" spans="1:72" x14ac:dyDescent="0.25">
      <c r="A283" s="75"/>
      <c r="B283" s="74" t="e">
        <f>WEEKNUM(A283-RESUMEN!$D$7)</f>
        <v>#NUM!</v>
      </c>
      <c r="C283" s="74">
        <f>_xlfn.DAYS(A283,RESUMEN!$D$7)</f>
        <v>-43238</v>
      </c>
      <c r="D283" s="75"/>
      <c r="E283" s="73" t="e">
        <f>LOOKUP(D283,FORMULAS!$A:$A,FORMULAS!$B:$B)</f>
        <v>#N/A</v>
      </c>
      <c r="F283" s="80"/>
      <c r="G283" s="75"/>
      <c r="H283" s="75"/>
      <c r="I283" s="73"/>
      <c r="J283" s="73"/>
      <c r="K283" s="73"/>
      <c r="L283" s="73"/>
      <c r="M283" s="73"/>
      <c r="N283" s="73" t="e">
        <f>WEEKNUM(M283-RESUMEN!$P$7)</f>
        <v>#NUM!</v>
      </c>
      <c r="O283" s="73">
        <f>_xlfn.DAYS(M283,RESUMEN!$P$7)</f>
        <v>-43242</v>
      </c>
      <c r="P283" s="73"/>
      <c r="Q283" s="73" t="e">
        <f>LOOKUP(P283,FORMULAS!$A:$A,FORMULAS!$B:$B)</f>
        <v>#N/A</v>
      </c>
      <c r="R283" s="78"/>
      <c r="S283" s="73"/>
      <c r="T283" s="73"/>
      <c r="U283" s="73"/>
      <c r="V283" s="73"/>
      <c r="W283" s="73"/>
      <c r="X283" s="73"/>
      <c r="Y283" s="73"/>
      <c r="Z283" s="73" t="e">
        <f>WEEKNUM(Y283-RESUMEN!$AB$7)</f>
        <v>#NUM!</v>
      </c>
      <c r="AA283" s="73">
        <f>_xlfn.DAYS(Y283,RESUMEN!$AB$7)</f>
        <v>-43247</v>
      </c>
      <c r="AB283" s="73"/>
      <c r="AC283" s="73" t="e">
        <f>LOOKUP(AB283,FORMULAS!$A:$A,FORMULAS!$B:$B)</f>
        <v>#N/A</v>
      </c>
      <c r="AD283" s="78"/>
      <c r="AE283" s="73"/>
      <c r="AF283" s="73"/>
      <c r="AG283" s="73"/>
      <c r="AH283" s="73"/>
      <c r="AI283" s="73"/>
      <c r="AJ283" s="73"/>
      <c r="AK283" s="73"/>
      <c r="AL283" s="73" t="e">
        <f>WEEKNUM(AK283-RESUMEN!$AN$7)</f>
        <v>#NUM!</v>
      </c>
      <c r="AM283" s="73">
        <f>_xlfn.DAYS(AK283,RESUMEN!$AN$7)</f>
        <v>-43254</v>
      </c>
      <c r="AN283" s="73"/>
      <c r="AO283" s="73" t="e">
        <f>LOOKUP(AN283,FORMULAS!$A:$A,FORMULAS!$B:$B)</f>
        <v>#N/A</v>
      </c>
      <c r="AP283" s="78"/>
      <c r="AQ283" s="78"/>
      <c r="AR283" s="73"/>
      <c r="AS283" s="73"/>
      <c r="AT283" s="73"/>
      <c r="AU283" s="73"/>
      <c r="AV283" s="73"/>
      <c r="AW283" s="73"/>
      <c r="AX283" s="73" t="e">
        <f>WEEKNUM(AW283-RESUMEN!$AZ$7)</f>
        <v>#NUM!</v>
      </c>
      <c r="AY283" s="73">
        <f>_xlfn.DAYS(AW283,RESUMEN!$AZ$7)</f>
        <v>-43261</v>
      </c>
      <c r="AZ283" s="73"/>
      <c r="BA283" s="73" t="e">
        <f>LOOKUP(AZ283,FORMULAS!$A:$A,FORMULAS!$B:$B)</f>
        <v>#N/A</v>
      </c>
      <c r="BB283" s="78"/>
      <c r="BC283" s="73"/>
      <c r="BD283" s="73"/>
      <c r="BE283" s="73"/>
      <c r="BF283" s="73"/>
      <c r="BG283" s="73"/>
      <c r="BH283" s="73"/>
      <c r="BI283" s="73"/>
      <c r="BJ283" s="73" t="e">
        <f>WEEKNUM(BI283-RESUMEN!$BL$7)</f>
        <v>#NUM!</v>
      </c>
      <c r="BK283" s="73">
        <f>_xlfn.DAYS(BI283,RESUMEN!$BL$7)</f>
        <v>-43267</v>
      </c>
      <c r="BL283" s="73"/>
      <c r="BM283" s="73" t="e">
        <f>LOOKUP(BL283,FORMULAS!$A:$A,FORMULAS!$B:$B)</f>
        <v>#N/A</v>
      </c>
      <c r="BN283" s="78"/>
      <c r="BO283" s="73"/>
      <c r="BP283" s="73"/>
      <c r="BQ283" s="73"/>
      <c r="BR283" s="73"/>
      <c r="BS283" s="73"/>
      <c r="BT283" s="73"/>
    </row>
    <row r="284" spans="1:72" x14ac:dyDescent="0.25">
      <c r="A284" s="75"/>
      <c r="B284" s="74" t="e">
        <f>WEEKNUM(A284-RESUMEN!$D$7)</f>
        <v>#NUM!</v>
      </c>
      <c r="C284" s="74">
        <f>_xlfn.DAYS(A284,RESUMEN!$D$7)</f>
        <v>-43238</v>
      </c>
      <c r="D284" s="75"/>
      <c r="E284" s="73" t="e">
        <f>LOOKUP(D284,FORMULAS!$A:$A,FORMULAS!$B:$B)</f>
        <v>#N/A</v>
      </c>
      <c r="F284" s="80"/>
      <c r="G284" s="75"/>
      <c r="H284" s="75"/>
      <c r="I284" s="73"/>
      <c r="J284" s="73"/>
      <c r="K284" s="73"/>
      <c r="L284" s="73"/>
      <c r="M284" s="73"/>
      <c r="N284" s="73" t="e">
        <f>WEEKNUM(M284-RESUMEN!$P$7)</f>
        <v>#NUM!</v>
      </c>
      <c r="O284" s="73">
        <f>_xlfn.DAYS(M284,RESUMEN!$P$7)</f>
        <v>-43242</v>
      </c>
      <c r="P284" s="73"/>
      <c r="Q284" s="73" t="e">
        <f>LOOKUP(P284,FORMULAS!$A:$A,FORMULAS!$B:$B)</f>
        <v>#N/A</v>
      </c>
      <c r="R284" s="78"/>
      <c r="S284" s="73"/>
      <c r="T284" s="73"/>
      <c r="U284" s="73"/>
      <c r="V284" s="73"/>
      <c r="W284" s="73"/>
      <c r="X284" s="73"/>
      <c r="Y284" s="73"/>
      <c r="Z284" s="73" t="e">
        <f>WEEKNUM(Y284-RESUMEN!$AB$7)</f>
        <v>#NUM!</v>
      </c>
      <c r="AA284" s="73">
        <f>_xlfn.DAYS(Y284,RESUMEN!$AB$7)</f>
        <v>-43247</v>
      </c>
      <c r="AB284" s="73"/>
      <c r="AC284" s="73" t="e">
        <f>LOOKUP(AB284,FORMULAS!$A:$A,FORMULAS!$B:$B)</f>
        <v>#N/A</v>
      </c>
      <c r="AD284" s="78"/>
      <c r="AE284" s="73"/>
      <c r="AF284" s="73"/>
      <c r="AG284" s="73"/>
      <c r="AH284" s="73"/>
      <c r="AI284" s="73"/>
      <c r="AJ284" s="73"/>
      <c r="AK284" s="73"/>
      <c r="AL284" s="73" t="e">
        <f>WEEKNUM(AK284-RESUMEN!$AN$7)</f>
        <v>#NUM!</v>
      </c>
      <c r="AM284" s="73">
        <f>_xlfn.DAYS(AK284,RESUMEN!$AN$7)</f>
        <v>-43254</v>
      </c>
      <c r="AN284" s="73"/>
      <c r="AO284" s="73" t="e">
        <f>LOOKUP(AN284,FORMULAS!$A:$A,FORMULAS!$B:$B)</f>
        <v>#N/A</v>
      </c>
      <c r="AP284" s="78"/>
      <c r="AQ284" s="78"/>
      <c r="AR284" s="73"/>
      <c r="AS284" s="73"/>
      <c r="AT284" s="73"/>
      <c r="AU284" s="73"/>
      <c r="AV284" s="73"/>
      <c r="AW284" s="73"/>
      <c r="AX284" s="73" t="e">
        <f>WEEKNUM(AW284-RESUMEN!$AZ$7)</f>
        <v>#NUM!</v>
      </c>
      <c r="AY284" s="73">
        <f>_xlfn.DAYS(AW284,RESUMEN!$AZ$7)</f>
        <v>-43261</v>
      </c>
      <c r="AZ284" s="73"/>
      <c r="BA284" s="73" t="e">
        <f>LOOKUP(AZ284,FORMULAS!$A:$A,FORMULAS!$B:$B)</f>
        <v>#N/A</v>
      </c>
      <c r="BB284" s="78"/>
      <c r="BC284" s="73"/>
      <c r="BD284" s="73"/>
      <c r="BE284" s="73"/>
      <c r="BF284" s="73"/>
      <c r="BG284" s="73"/>
      <c r="BH284" s="73"/>
      <c r="BI284" s="73"/>
      <c r="BJ284" s="73" t="e">
        <f>WEEKNUM(BI284-RESUMEN!$BL$7)</f>
        <v>#NUM!</v>
      </c>
      <c r="BK284" s="73">
        <f>_xlfn.DAYS(BI284,RESUMEN!$BL$7)</f>
        <v>-43267</v>
      </c>
      <c r="BL284" s="73"/>
      <c r="BM284" s="73" t="e">
        <f>LOOKUP(BL284,FORMULAS!$A:$A,FORMULAS!$B:$B)</f>
        <v>#N/A</v>
      </c>
      <c r="BN284" s="78"/>
      <c r="BO284" s="73"/>
      <c r="BP284" s="73"/>
      <c r="BQ284" s="73"/>
      <c r="BR284" s="73"/>
      <c r="BS284" s="73"/>
      <c r="BT284" s="73"/>
    </row>
    <row r="285" spans="1:72" x14ac:dyDescent="0.25">
      <c r="A285" s="75"/>
      <c r="B285" s="74" t="e">
        <f>WEEKNUM(A285-RESUMEN!$D$7)</f>
        <v>#NUM!</v>
      </c>
      <c r="C285" s="74">
        <f>_xlfn.DAYS(A285,RESUMEN!$D$7)</f>
        <v>-43238</v>
      </c>
      <c r="D285" s="75"/>
      <c r="E285" s="73" t="e">
        <f>LOOKUP(D285,FORMULAS!$A:$A,FORMULAS!$B:$B)</f>
        <v>#N/A</v>
      </c>
      <c r="F285" s="80"/>
      <c r="G285" s="75"/>
      <c r="H285" s="75"/>
      <c r="I285" s="73"/>
      <c r="J285" s="73"/>
      <c r="K285" s="73"/>
      <c r="L285" s="73"/>
      <c r="M285" s="73"/>
      <c r="N285" s="73" t="e">
        <f>WEEKNUM(M285-RESUMEN!$P$7)</f>
        <v>#NUM!</v>
      </c>
      <c r="O285" s="73">
        <f>_xlfn.DAYS(M285,RESUMEN!$P$7)</f>
        <v>-43242</v>
      </c>
      <c r="P285" s="73"/>
      <c r="Q285" s="73" t="e">
        <f>LOOKUP(P285,FORMULAS!$A:$A,FORMULAS!$B:$B)</f>
        <v>#N/A</v>
      </c>
      <c r="R285" s="78"/>
      <c r="S285" s="73"/>
      <c r="T285" s="73"/>
      <c r="U285" s="73"/>
      <c r="V285" s="73"/>
      <c r="W285" s="73"/>
      <c r="X285" s="73"/>
      <c r="Y285" s="73"/>
      <c r="Z285" s="73" t="e">
        <f>WEEKNUM(Y285-RESUMEN!$AB$7)</f>
        <v>#NUM!</v>
      </c>
      <c r="AA285" s="73">
        <f>_xlfn.DAYS(Y285,RESUMEN!$AB$7)</f>
        <v>-43247</v>
      </c>
      <c r="AB285" s="73"/>
      <c r="AC285" s="73" t="e">
        <f>LOOKUP(AB285,FORMULAS!$A:$A,FORMULAS!$B:$B)</f>
        <v>#N/A</v>
      </c>
      <c r="AD285" s="78"/>
      <c r="AE285" s="73"/>
      <c r="AF285" s="73"/>
      <c r="AG285" s="73"/>
      <c r="AH285" s="73"/>
      <c r="AI285" s="73"/>
      <c r="AJ285" s="73"/>
      <c r="AK285" s="73"/>
      <c r="AL285" s="73" t="e">
        <f>WEEKNUM(AK285-RESUMEN!$AN$7)</f>
        <v>#NUM!</v>
      </c>
      <c r="AM285" s="73">
        <f>_xlfn.DAYS(AK285,RESUMEN!$AN$7)</f>
        <v>-43254</v>
      </c>
      <c r="AN285" s="73"/>
      <c r="AO285" s="73" t="e">
        <f>LOOKUP(AN285,FORMULAS!$A:$A,FORMULAS!$B:$B)</f>
        <v>#N/A</v>
      </c>
      <c r="AP285" s="78"/>
      <c r="AQ285" s="78"/>
      <c r="AR285" s="73"/>
      <c r="AS285" s="73"/>
      <c r="AT285" s="73"/>
      <c r="AU285" s="73"/>
      <c r="AV285" s="73"/>
      <c r="AW285" s="73"/>
      <c r="AX285" s="73" t="e">
        <f>WEEKNUM(AW285-RESUMEN!$AZ$7)</f>
        <v>#NUM!</v>
      </c>
      <c r="AY285" s="73">
        <f>_xlfn.DAYS(AW285,RESUMEN!$AZ$7)</f>
        <v>-43261</v>
      </c>
      <c r="AZ285" s="73"/>
      <c r="BA285" s="73" t="e">
        <f>LOOKUP(AZ285,FORMULAS!$A:$A,FORMULAS!$B:$B)</f>
        <v>#N/A</v>
      </c>
      <c r="BB285" s="78"/>
      <c r="BC285" s="73"/>
      <c r="BD285" s="73"/>
      <c r="BE285" s="73"/>
      <c r="BF285" s="73"/>
      <c r="BG285" s="73"/>
      <c r="BH285" s="73"/>
      <c r="BI285" s="73"/>
      <c r="BJ285" s="73" t="e">
        <f>WEEKNUM(BI285-RESUMEN!$BL$7)</f>
        <v>#NUM!</v>
      </c>
      <c r="BK285" s="73">
        <f>_xlfn.DAYS(BI285,RESUMEN!$BL$7)</f>
        <v>-43267</v>
      </c>
      <c r="BL285" s="73"/>
      <c r="BM285" s="73" t="e">
        <f>LOOKUP(BL285,FORMULAS!$A:$A,FORMULAS!$B:$B)</f>
        <v>#N/A</v>
      </c>
      <c r="BN285" s="78"/>
      <c r="BO285" s="73"/>
      <c r="BP285" s="73"/>
      <c r="BQ285" s="73"/>
      <c r="BR285" s="73"/>
      <c r="BS285" s="73"/>
      <c r="BT285" s="73"/>
    </row>
    <row r="286" spans="1:72" x14ac:dyDescent="0.25">
      <c r="A286" s="75"/>
      <c r="B286" s="74" t="e">
        <f>WEEKNUM(A286-RESUMEN!$D$7)</f>
        <v>#NUM!</v>
      </c>
      <c r="C286" s="74">
        <f>_xlfn.DAYS(A286,RESUMEN!$D$7)</f>
        <v>-43238</v>
      </c>
      <c r="D286" s="75"/>
      <c r="E286" s="73" t="e">
        <f>LOOKUP(D286,FORMULAS!$A:$A,FORMULAS!$B:$B)</f>
        <v>#N/A</v>
      </c>
      <c r="F286" s="80"/>
      <c r="G286" s="75"/>
      <c r="H286" s="75"/>
      <c r="I286" s="73"/>
      <c r="J286" s="73"/>
      <c r="K286" s="73"/>
      <c r="L286" s="73"/>
      <c r="M286" s="73"/>
      <c r="N286" s="73" t="e">
        <f>WEEKNUM(M286-RESUMEN!$P$7)</f>
        <v>#NUM!</v>
      </c>
      <c r="O286" s="73">
        <f>_xlfn.DAYS(M286,RESUMEN!$P$7)</f>
        <v>-43242</v>
      </c>
      <c r="P286" s="73"/>
      <c r="Q286" s="73" t="e">
        <f>LOOKUP(P286,FORMULAS!$A:$A,FORMULAS!$B:$B)</f>
        <v>#N/A</v>
      </c>
      <c r="R286" s="78"/>
      <c r="S286" s="73"/>
      <c r="T286" s="73"/>
      <c r="U286" s="73"/>
      <c r="V286" s="73"/>
      <c r="W286" s="73"/>
      <c r="X286" s="73"/>
      <c r="Y286" s="73"/>
      <c r="Z286" s="73" t="e">
        <f>WEEKNUM(Y286-RESUMEN!$AB$7)</f>
        <v>#NUM!</v>
      </c>
      <c r="AA286" s="73">
        <f>_xlfn.DAYS(Y286,RESUMEN!$AB$7)</f>
        <v>-43247</v>
      </c>
      <c r="AB286" s="73"/>
      <c r="AC286" s="73" t="e">
        <f>LOOKUP(AB286,FORMULAS!$A:$A,FORMULAS!$B:$B)</f>
        <v>#N/A</v>
      </c>
      <c r="AD286" s="78"/>
      <c r="AE286" s="73"/>
      <c r="AF286" s="73"/>
      <c r="AG286" s="73"/>
      <c r="AH286" s="73"/>
      <c r="AI286" s="73"/>
      <c r="AJ286" s="73"/>
      <c r="AK286" s="73"/>
      <c r="AL286" s="73" t="e">
        <f>WEEKNUM(AK286-RESUMEN!$AN$7)</f>
        <v>#NUM!</v>
      </c>
      <c r="AM286" s="73">
        <f>_xlfn.DAYS(AK286,RESUMEN!$AN$7)</f>
        <v>-43254</v>
      </c>
      <c r="AN286" s="73"/>
      <c r="AO286" s="73" t="e">
        <f>LOOKUP(AN286,FORMULAS!$A:$A,FORMULAS!$B:$B)</f>
        <v>#N/A</v>
      </c>
      <c r="AP286" s="78"/>
      <c r="AQ286" s="78"/>
      <c r="AR286" s="73"/>
      <c r="AS286" s="73"/>
      <c r="AT286" s="73"/>
      <c r="AU286" s="73"/>
      <c r="AV286" s="73"/>
      <c r="AW286" s="73"/>
      <c r="AX286" s="73" t="e">
        <f>WEEKNUM(AW286-RESUMEN!$AZ$7)</f>
        <v>#NUM!</v>
      </c>
      <c r="AY286" s="73">
        <f>_xlfn.DAYS(AW286,RESUMEN!$AZ$7)</f>
        <v>-43261</v>
      </c>
      <c r="AZ286" s="73"/>
      <c r="BA286" s="73" t="e">
        <f>LOOKUP(AZ286,FORMULAS!$A:$A,FORMULAS!$B:$B)</f>
        <v>#N/A</v>
      </c>
      <c r="BB286" s="78"/>
      <c r="BC286" s="73"/>
      <c r="BD286" s="73"/>
      <c r="BE286" s="73"/>
      <c r="BF286" s="73"/>
      <c r="BG286" s="73"/>
      <c r="BH286" s="73"/>
      <c r="BI286" s="73"/>
      <c r="BJ286" s="73" t="e">
        <f>WEEKNUM(BI286-RESUMEN!$BL$7)</f>
        <v>#NUM!</v>
      </c>
      <c r="BK286" s="73">
        <f>_xlfn.DAYS(BI286,RESUMEN!$BL$7)</f>
        <v>-43267</v>
      </c>
      <c r="BL286" s="73"/>
      <c r="BM286" s="73" t="e">
        <f>LOOKUP(BL286,FORMULAS!$A:$A,FORMULAS!$B:$B)</f>
        <v>#N/A</v>
      </c>
      <c r="BN286" s="78"/>
      <c r="BO286" s="73"/>
      <c r="BP286" s="73"/>
      <c r="BQ286" s="73"/>
      <c r="BR286" s="73"/>
      <c r="BS286" s="73"/>
      <c r="BT286" s="73"/>
    </row>
    <row r="287" spans="1:72" x14ac:dyDescent="0.25">
      <c r="A287" s="75"/>
      <c r="B287" s="74" t="e">
        <f>WEEKNUM(A287-RESUMEN!$D$7)</f>
        <v>#NUM!</v>
      </c>
      <c r="C287" s="74">
        <f>_xlfn.DAYS(A287,RESUMEN!$D$7)</f>
        <v>-43238</v>
      </c>
      <c r="D287" s="75"/>
      <c r="E287" s="73" t="e">
        <f>LOOKUP(D287,FORMULAS!$A:$A,FORMULAS!$B:$B)</f>
        <v>#N/A</v>
      </c>
      <c r="F287" s="80"/>
      <c r="G287" s="75"/>
      <c r="H287" s="75"/>
      <c r="I287" s="73"/>
      <c r="J287" s="73"/>
      <c r="K287" s="73"/>
      <c r="L287" s="73"/>
      <c r="M287" s="73"/>
      <c r="N287" s="73" t="e">
        <f>WEEKNUM(M287-RESUMEN!$P$7)</f>
        <v>#NUM!</v>
      </c>
      <c r="O287" s="73">
        <f>_xlfn.DAYS(M287,RESUMEN!$P$7)</f>
        <v>-43242</v>
      </c>
      <c r="P287" s="73"/>
      <c r="Q287" s="73" t="e">
        <f>LOOKUP(P287,FORMULAS!$A:$A,FORMULAS!$B:$B)</f>
        <v>#N/A</v>
      </c>
      <c r="R287" s="78"/>
      <c r="S287" s="73"/>
      <c r="T287" s="73"/>
      <c r="U287" s="73"/>
      <c r="V287" s="73"/>
      <c r="W287" s="73"/>
      <c r="X287" s="73"/>
      <c r="Y287" s="73"/>
      <c r="Z287" s="73" t="e">
        <f>WEEKNUM(Y287-RESUMEN!$AB$7)</f>
        <v>#NUM!</v>
      </c>
      <c r="AA287" s="73">
        <f>_xlfn.DAYS(Y287,RESUMEN!$AB$7)</f>
        <v>-43247</v>
      </c>
      <c r="AB287" s="73"/>
      <c r="AC287" s="73" t="e">
        <f>LOOKUP(AB287,FORMULAS!$A:$A,FORMULAS!$B:$B)</f>
        <v>#N/A</v>
      </c>
      <c r="AD287" s="78"/>
      <c r="AE287" s="73"/>
      <c r="AF287" s="73"/>
      <c r="AG287" s="73"/>
      <c r="AH287" s="73"/>
      <c r="AI287" s="73"/>
      <c r="AJ287" s="73"/>
      <c r="AK287" s="73"/>
      <c r="AL287" s="73" t="e">
        <f>WEEKNUM(AK287-RESUMEN!$AN$7)</f>
        <v>#NUM!</v>
      </c>
      <c r="AM287" s="73">
        <f>_xlfn.DAYS(AK287,RESUMEN!$AN$7)</f>
        <v>-43254</v>
      </c>
      <c r="AN287" s="73"/>
      <c r="AO287" s="73" t="e">
        <f>LOOKUP(AN287,FORMULAS!$A:$A,FORMULAS!$B:$B)</f>
        <v>#N/A</v>
      </c>
      <c r="AP287" s="78"/>
      <c r="AQ287" s="78"/>
      <c r="AR287" s="73"/>
      <c r="AS287" s="73"/>
      <c r="AT287" s="73"/>
      <c r="AU287" s="73"/>
      <c r="AV287" s="73"/>
      <c r="AW287" s="73"/>
      <c r="AX287" s="73" t="e">
        <f>WEEKNUM(AW287-RESUMEN!$AZ$7)</f>
        <v>#NUM!</v>
      </c>
      <c r="AY287" s="73">
        <f>_xlfn.DAYS(AW287,RESUMEN!$AZ$7)</f>
        <v>-43261</v>
      </c>
      <c r="AZ287" s="73"/>
      <c r="BA287" s="73" t="e">
        <f>LOOKUP(AZ287,FORMULAS!$A:$A,FORMULAS!$B:$B)</f>
        <v>#N/A</v>
      </c>
      <c r="BB287" s="78"/>
      <c r="BC287" s="73"/>
      <c r="BD287" s="73"/>
      <c r="BE287" s="73"/>
      <c r="BF287" s="73"/>
      <c r="BG287" s="73"/>
      <c r="BH287" s="73"/>
      <c r="BI287" s="73"/>
      <c r="BJ287" s="73" t="e">
        <f>WEEKNUM(BI287-RESUMEN!$BL$7)</f>
        <v>#NUM!</v>
      </c>
      <c r="BK287" s="73">
        <f>_xlfn.DAYS(BI287,RESUMEN!$BL$7)</f>
        <v>-43267</v>
      </c>
      <c r="BL287" s="73"/>
      <c r="BM287" s="73" t="e">
        <f>LOOKUP(BL287,FORMULAS!$A:$A,FORMULAS!$B:$B)</f>
        <v>#N/A</v>
      </c>
      <c r="BN287" s="78"/>
      <c r="BO287" s="73"/>
      <c r="BP287" s="73"/>
      <c r="BQ287" s="73"/>
      <c r="BR287" s="73"/>
      <c r="BS287" s="73"/>
      <c r="BT287" s="73"/>
    </row>
    <row r="288" spans="1:72" x14ac:dyDescent="0.25">
      <c r="A288" s="75"/>
      <c r="B288" s="74" t="e">
        <f>WEEKNUM(A288-RESUMEN!$D$7)</f>
        <v>#NUM!</v>
      </c>
      <c r="C288" s="74">
        <f>_xlfn.DAYS(A288,RESUMEN!$D$7)</f>
        <v>-43238</v>
      </c>
      <c r="D288" s="75"/>
      <c r="E288" s="73" t="e">
        <f>LOOKUP(D288,FORMULAS!$A:$A,FORMULAS!$B:$B)</f>
        <v>#N/A</v>
      </c>
      <c r="F288" s="80"/>
      <c r="G288" s="75"/>
      <c r="H288" s="75"/>
      <c r="I288" s="73"/>
      <c r="J288" s="73"/>
      <c r="K288" s="73"/>
      <c r="L288" s="73"/>
      <c r="M288" s="73"/>
      <c r="N288" s="73" t="e">
        <f>WEEKNUM(M288-RESUMEN!$P$7)</f>
        <v>#NUM!</v>
      </c>
      <c r="O288" s="73">
        <f>_xlfn.DAYS(M288,RESUMEN!$P$7)</f>
        <v>-43242</v>
      </c>
      <c r="P288" s="73"/>
      <c r="Q288" s="73" t="e">
        <f>LOOKUP(P288,FORMULAS!$A:$A,FORMULAS!$B:$B)</f>
        <v>#N/A</v>
      </c>
      <c r="R288" s="78"/>
      <c r="S288" s="73"/>
      <c r="T288" s="73"/>
      <c r="U288" s="73"/>
      <c r="V288" s="73"/>
      <c r="W288" s="73"/>
      <c r="X288" s="73"/>
      <c r="Y288" s="73"/>
      <c r="Z288" s="73" t="e">
        <f>WEEKNUM(Y288-RESUMEN!$AB$7)</f>
        <v>#NUM!</v>
      </c>
      <c r="AA288" s="73">
        <f>_xlfn.DAYS(Y288,RESUMEN!$AB$7)</f>
        <v>-43247</v>
      </c>
      <c r="AB288" s="73"/>
      <c r="AC288" s="73" t="e">
        <f>LOOKUP(AB288,FORMULAS!$A:$A,FORMULAS!$B:$B)</f>
        <v>#N/A</v>
      </c>
      <c r="AD288" s="78"/>
      <c r="AE288" s="73"/>
      <c r="AF288" s="73"/>
      <c r="AG288" s="73"/>
      <c r="AH288" s="73"/>
      <c r="AI288" s="73"/>
      <c r="AJ288" s="73"/>
      <c r="AK288" s="73"/>
      <c r="AL288" s="73" t="e">
        <f>WEEKNUM(AK288-RESUMEN!$AN$7)</f>
        <v>#NUM!</v>
      </c>
      <c r="AM288" s="73">
        <f>_xlfn.DAYS(AK288,RESUMEN!$AN$7)</f>
        <v>-43254</v>
      </c>
      <c r="AN288" s="73"/>
      <c r="AO288" s="73" t="e">
        <f>LOOKUP(AN288,FORMULAS!$A:$A,FORMULAS!$B:$B)</f>
        <v>#N/A</v>
      </c>
      <c r="AP288" s="78"/>
      <c r="AQ288" s="78"/>
      <c r="AR288" s="73"/>
      <c r="AS288" s="73"/>
      <c r="AT288" s="73"/>
      <c r="AU288" s="73"/>
      <c r="AV288" s="73"/>
      <c r="AW288" s="73"/>
      <c r="AX288" s="73" t="e">
        <f>WEEKNUM(AW288-RESUMEN!$AZ$7)</f>
        <v>#NUM!</v>
      </c>
      <c r="AY288" s="73">
        <f>_xlfn.DAYS(AW288,RESUMEN!$AZ$7)</f>
        <v>-43261</v>
      </c>
      <c r="AZ288" s="73"/>
      <c r="BA288" s="73" t="e">
        <f>LOOKUP(AZ288,FORMULAS!$A:$A,FORMULAS!$B:$B)</f>
        <v>#N/A</v>
      </c>
      <c r="BB288" s="78"/>
      <c r="BC288" s="73"/>
      <c r="BD288" s="73"/>
      <c r="BE288" s="73"/>
      <c r="BF288" s="73"/>
      <c r="BG288" s="73"/>
      <c r="BH288" s="73"/>
      <c r="BI288" s="73"/>
      <c r="BJ288" s="73" t="e">
        <f>WEEKNUM(BI288-RESUMEN!$BL$7)</f>
        <v>#NUM!</v>
      </c>
      <c r="BK288" s="73">
        <f>_xlfn.DAYS(BI288,RESUMEN!$BL$7)</f>
        <v>-43267</v>
      </c>
      <c r="BL288" s="73"/>
      <c r="BM288" s="73" t="e">
        <f>LOOKUP(BL288,FORMULAS!$A:$A,FORMULAS!$B:$B)</f>
        <v>#N/A</v>
      </c>
      <c r="BN288" s="78"/>
      <c r="BO288" s="73"/>
      <c r="BP288" s="73"/>
      <c r="BQ288" s="73"/>
      <c r="BR288" s="73"/>
      <c r="BS288" s="73"/>
      <c r="BT288" s="73"/>
    </row>
    <row r="289" spans="1:72" x14ac:dyDescent="0.25">
      <c r="A289" s="75"/>
      <c r="B289" s="74" t="e">
        <f>WEEKNUM(A289-RESUMEN!$D$7)</f>
        <v>#NUM!</v>
      </c>
      <c r="C289" s="74">
        <f>_xlfn.DAYS(A289,RESUMEN!$D$7)</f>
        <v>-43238</v>
      </c>
      <c r="D289" s="75"/>
      <c r="E289" s="73" t="e">
        <f>LOOKUP(D289,FORMULAS!$A:$A,FORMULAS!$B:$B)</f>
        <v>#N/A</v>
      </c>
      <c r="F289" s="80"/>
      <c r="G289" s="75"/>
      <c r="H289" s="75"/>
      <c r="I289" s="73"/>
      <c r="J289" s="73"/>
      <c r="K289" s="73"/>
      <c r="L289" s="73"/>
      <c r="M289" s="73"/>
      <c r="N289" s="73" t="e">
        <f>WEEKNUM(M289-RESUMEN!$P$7)</f>
        <v>#NUM!</v>
      </c>
      <c r="O289" s="73">
        <f>_xlfn.DAYS(M289,RESUMEN!$P$7)</f>
        <v>-43242</v>
      </c>
      <c r="P289" s="73"/>
      <c r="Q289" s="73" t="e">
        <f>LOOKUP(P289,FORMULAS!$A:$A,FORMULAS!$B:$B)</f>
        <v>#N/A</v>
      </c>
      <c r="R289" s="78"/>
      <c r="S289" s="73"/>
      <c r="T289" s="73"/>
      <c r="U289" s="73"/>
      <c r="V289" s="73"/>
      <c r="W289" s="73"/>
      <c r="X289" s="73"/>
      <c r="Y289" s="73"/>
      <c r="Z289" s="73" t="e">
        <f>WEEKNUM(Y289-RESUMEN!$AB$7)</f>
        <v>#NUM!</v>
      </c>
      <c r="AA289" s="73">
        <f>_xlfn.DAYS(Y289,RESUMEN!$AB$7)</f>
        <v>-43247</v>
      </c>
      <c r="AB289" s="73"/>
      <c r="AC289" s="73" t="e">
        <f>LOOKUP(AB289,FORMULAS!$A:$A,FORMULAS!$B:$B)</f>
        <v>#N/A</v>
      </c>
      <c r="AD289" s="78"/>
      <c r="AE289" s="73"/>
      <c r="AF289" s="73"/>
      <c r="AG289" s="73"/>
      <c r="AH289" s="73"/>
      <c r="AI289" s="73"/>
      <c r="AJ289" s="73"/>
      <c r="AK289" s="73"/>
      <c r="AL289" s="73" t="e">
        <f>WEEKNUM(AK289-RESUMEN!$AN$7)</f>
        <v>#NUM!</v>
      </c>
      <c r="AM289" s="73">
        <f>_xlfn.DAYS(AK289,RESUMEN!$AN$7)</f>
        <v>-43254</v>
      </c>
      <c r="AN289" s="73"/>
      <c r="AO289" s="73" t="e">
        <f>LOOKUP(AN289,FORMULAS!$A:$A,FORMULAS!$B:$B)</f>
        <v>#N/A</v>
      </c>
      <c r="AP289" s="78"/>
      <c r="AQ289" s="78"/>
      <c r="AR289" s="73"/>
      <c r="AS289" s="73"/>
      <c r="AT289" s="73"/>
      <c r="AU289" s="73"/>
      <c r="AV289" s="73"/>
      <c r="AW289" s="73"/>
      <c r="AX289" s="73" t="e">
        <f>WEEKNUM(AW289-RESUMEN!$AZ$7)</f>
        <v>#NUM!</v>
      </c>
      <c r="AY289" s="73">
        <f>_xlfn.DAYS(AW289,RESUMEN!$AZ$7)</f>
        <v>-43261</v>
      </c>
      <c r="AZ289" s="73"/>
      <c r="BA289" s="73" t="e">
        <f>LOOKUP(AZ289,FORMULAS!$A:$A,FORMULAS!$B:$B)</f>
        <v>#N/A</v>
      </c>
      <c r="BB289" s="78"/>
      <c r="BC289" s="73"/>
      <c r="BD289" s="73"/>
      <c r="BE289" s="73"/>
      <c r="BF289" s="73"/>
      <c r="BG289" s="73"/>
      <c r="BH289" s="73"/>
      <c r="BI289" s="73"/>
      <c r="BJ289" s="73" t="e">
        <f>WEEKNUM(BI289-RESUMEN!$BL$7)</f>
        <v>#NUM!</v>
      </c>
      <c r="BK289" s="73">
        <f>_xlfn.DAYS(BI289,RESUMEN!$BL$7)</f>
        <v>-43267</v>
      </c>
      <c r="BL289" s="73"/>
      <c r="BM289" s="73" t="e">
        <f>LOOKUP(BL289,FORMULAS!$A:$A,FORMULAS!$B:$B)</f>
        <v>#N/A</v>
      </c>
      <c r="BN289" s="78"/>
      <c r="BO289" s="73"/>
      <c r="BP289" s="73"/>
      <c r="BQ289" s="73"/>
      <c r="BR289" s="73"/>
      <c r="BS289" s="73"/>
      <c r="BT289" s="73"/>
    </row>
    <row r="290" spans="1:72" x14ac:dyDescent="0.25">
      <c r="A290" s="75"/>
      <c r="B290" s="74" t="e">
        <f>WEEKNUM(A290-RESUMEN!$D$7)</f>
        <v>#NUM!</v>
      </c>
      <c r="C290" s="74">
        <f>_xlfn.DAYS(A290,RESUMEN!$D$7)</f>
        <v>-43238</v>
      </c>
      <c r="D290" s="75"/>
      <c r="E290" s="73" t="e">
        <f>LOOKUP(D290,FORMULAS!$A:$A,FORMULAS!$B:$B)</f>
        <v>#N/A</v>
      </c>
      <c r="F290" s="80"/>
      <c r="G290" s="75"/>
      <c r="H290" s="75"/>
      <c r="I290" s="73"/>
      <c r="J290" s="73"/>
      <c r="K290" s="73"/>
      <c r="L290" s="73"/>
      <c r="M290" s="73"/>
      <c r="N290" s="73" t="e">
        <f>WEEKNUM(M290-RESUMEN!$P$7)</f>
        <v>#NUM!</v>
      </c>
      <c r="O290" s="73">
        <f>_xlfn.DAYS(M290,RESUMEN!$P$7)</f>
        <v>-43242</v>
      </c>
      <c r="P290" s="73"/>
      <c r="Q290" s="73" t="e">
        <f>LOOKUP(P290,FORMULAS!$A:$A,FORMULAS!$B:$B)</f>
        <v>#N/A</v>
      </c>
      <c r="R290" s="78"/>
      <c r="S290" s="73"/>
      <c r="T290" s="73"/>
      <c r="U290" s="73"/>
      <c r="V290" s="73"/>
      <c r="W290" s="73"/>
      <c r="X290" s="73"/>
      <c r="Y290" s="73"/>
      <c r="Z290" s="73" t="e">
        <f>WEEKNUM(Y290-RESUMEN!$AB$7)</f>
        <v>#NUM!</v>
      </c>
      <c r="AA290" s="73">
        <f>_xlfn.DAYS(Y290,RESUMEN!$AB$7)</f>
        <v>-43247</v>
      </c>
      <c r="AB290" s="73"/>
      <c r="AC290" s="73" t="e">
        <f>LOOKUP(AB290,FORMULAS!$A:$A,FORMULAS!$B:$B)</f>
        <v>#N/A</v>
      </c>
      <c r="AD290" s="78"/>
      <c r="AE290" s="73"/>
      <c r="AF290" s="73"/>
      <c r="AG290" s="73"/>
      <c r="AH290" s="73"/>
      <c r="AI290" s="73"/>
      <c r="AJ290" s="73"/>
      <c r="AK290" s="73"/>
      <c r="AL290" s="73" t="e">
        <f>WEEKNUM(AK290-RESUMEN!$AN$7)</f>
        <v>#NUM!</v>
      </c>
      <c r="AM290" s="73">
        <f>_xlfn.DAYS(AK290,RESUMEN!$AN$7)</f>
        <v>-43254</v>
      </c>
      <c r="AN290" s="73"/>
      <c r="AO290" s="73" t="e">
        <f>LOOKUP(AN290,FORMULAS!$A:$A,FORMULAS!$B:$B)</f>
        <v>#N/A</v>
      </c>
      <c r="AP290" s="78"/>
      <c r="AQ290" s="78"/>
      <c r="AR290" s="73"/>
      <c r="AS290" s="73"/>
      <c r="AT290" s="73"/>
      <c r="AU290" s="73"/>
      <c r="AV290" s="73"/>
      <c r="AW290" s="73"/>
      <c r="AX290" s="73" t="e">
        <f>WEEKNUM(AW290-RESUMEN!$AZ$7)</f>
        <v>#NUM!</v>
      </c>
      <c r="AY290" s="73">
        <f>_xlfn.DAYS(AW290,RESUMEN!$AZ$7)</f>
        <v>-43261</v>
      </c>
      <c r="AZ290" s="73"/>
      <c r="BA290" s="73" t="e">
        <f>LOOKUP(AZ290,FORMULAS!$A:$A,FORMULAS!$B:$B)</f>
        <v>#N/A</v>
      </c>
      <c r="BB290" s="78"/>
      <c r="BC290" s="73"/>
      <c r="BD290" s="73"/>
      <c r="BE290" s="73"/>
      <c r="BF290" s="73"/>
      <c r="BG290" s="73"/>
      <c r="BH290" s="73"/>
      <c r="BI290" s="73"/>
      <c r="BJ290" s="73" t="e">
        <f>WEEKNUM(BI290-RESUMEN!$BL$7)</f>
        <v>#NUM!</v>
      </c>
      <c r="BK290" s="73">
        <f>_xlfn.DAYS(BI290,RESUMEN!$BL$7)</f>
        <v>-43267</v>
      </c>
      <c r="BL290" s="73"/>
      <c r="BM290" s="73" t="e">
        <f>LOOKUP(BL290,FORMULAS!$A:$A,FORMULAS!$B:$B)</f>
        <v>#N/A</v>
      </c>
      <c r="BN290" s="78"/>
      <c r="BO290" s="73"/>
      <c r="BP290" s="73"/>
      <c r="BQ290" s="73"/>
      <c r="BR290" s="73"/>
      <c r="BS290" s="73"/>
      <c r="BT290" s="73"/>
    </row>
    <row r="291" spans="1:72" x14ac:dyDescent="0.25">
      <c r="A291" s="75"/>
      <c r="B291" s="74" t="e">
        <f>WEEKNUM(A291-RESUMEN!$D$7)</f>
        <v>#NUM!</v>
      </c>
      <c r="C291" s="74">
        <f>_xlfn.DAYS(A291,RESUMEN!$D$7)</f>
        <v>-43238</v>
      </c>
      <c r="D291" s="75"/>
      <c r="E291" s="73" t="e">
        <f>LOOKUP(D291,FORMULAS!$A:$A,FORMULAS!$B:$B)</f>
        <v>#N/A</v>
      </c>
      <c r="F291" s="80"/>
      <c r="G291" s="75"/>
      <c r="H291" s="75"/>
      <c r="I291" s="73"/>
      <c r="J291" s="73"/>
      <c r="K291" s="73"/>
      <c r="L291" s="73"/>
      <c r="M291" s="73"/>
      <c r="N291" s="73" t="e">
        <f>WEEKNUM(M291-RESUMEN!$P$7)</f>
        <v>#NUM!</v>
      </c>
      <c r="O291" s="73">
        <f>_xlfn.DAYS(M291,RESUMEN!$P$7)</f>
        <v>-43242</v>
      </c>
      <c r="P291" s="73"/>
      <c r="Q291" s="73" t="e">
        <f>LOOKUP(P291,FORMULAS!$A:$A,FORMULAS!$B:$B)</f>
        <v>#N/A</v>
      </c>
      <c r="R291" s="78"/>
      <c r="S291" s="73"/>
      <c r="T291" s="73"/>
      <c r="U291" s="73"/>
      <c r="V291" s="73"/>
      <c r="W291" s="73"/>
      <c r="X291" s="73"/>
      <c r="Y291" s="73"/>
      <c r="Z291" s="73" t="e">
        <f>WEEKNUM(Y291-RESUMEN!$AB$7)</f>
        <v>#NUM!</v>
      </c>
      <c r="AA291" s="73">
        <f>_xlfn.DAYS(Y291,RESUMEN!$AB$7)</f>
        <v>-43247</v>
      </c>
      <c r="AB291" s="73"/>
      <c r="AC291" s="73" t="e">
        <f>LOOKUP(AB291,FORMULAS!$A:$A,FORMULAS!$B:$B)</f>
        <v>#N/A</v>
      </c>
      <c r="AD291" s="78"/>
      <c r="AE291" s="73"/>
      <c r="AF291" s="73"/>
      <c r="AG291" s="73"/>
      <c r="AH291" s="73"/>
      <c r="AI291" s="73"/>
      <c r="AJ291" s="73"/>
      <c r="AK291" s="73"/>
      <c r="AL291" s="73" t="e">
        <f>WEEKNUM(AK291-RESUMEN!$AN$7)</f>
        <v>#NUM!</v>
      </c>
      <c r="AM291" s="73">
        <f>_xlfn.DAYS(AK291,RESUMEN!$AN$7)</f>
        <v>-43254</v>
      </c>
      <c r="AN291" s="73"/>
      <c r="AO291" s="73" t="e">
        <f>LOOKUP(AN291,FORMULAS!$A:$A,FORMULAS!$B:$B)</f>
        <v>#N/A</v>
      </c>
      <c r="AP291" s="78"/>
      <c r="AQ291" s="78"/>
      <c r="AR291" s="73"/>
      <c r="AS291" s="73"/>
      <c r="AT291" s="73"/>
      <c r="AU291" s="73"/>
      <c r="AV291" s="73"/>
      <c r="AW291" s="73"/>
      <c r="AX291" s="73" t="e">
        <f>WEEKNUM(AW291-RESUMEN!$AZ$7)</f>
        <v>#NUM!</v>
      </c>
      <c r="AY291" s="73">
        <f>_xlfn.DAYS(AW291,RESUMEN!$AZ$7)</f>
        <v>-43261</v>
      </c>
      <c r="AZ291" s="73"/>
      <c r="BA291" s="73" t="e">
        <f>LOOKUP(AZ291,FORMULAS!$A:$A,FORMULAS!$B:$B)</f>
        <v>#N/A</v>
      </c>
      <c r="BB291" s="78"/>
      <c r="BC291" s="73"/>
      <c r="BD291" s="73"/>
      <c r="BE291" s="73"/>
      <c r="BF291" s="73"/>
      <c r="BG291" s="73"/>
      <c r="BH291" s="73"/>
      <c r="BI291" s="73"/>
      <c r="BJ291" s="73" t="e">
        <f>WEEKNUM(BI291-RESUMEN!$BL$7)</f>
        <v>#NUM!</v>
      </c>
      <c r="BK291" s="73">
        <f>_xlfn.DAYS(BI291,RESUMEN!$BL$7)</f>
        <v>-43267</v>
      </c>
      <c r="BL291" s="73"/>
      <c r="BM291" s="73" t="e">
        <f>LOOKUP(BL291,FORMULAS!$A:$A,FORMULAS!$B:$B)</f>
        <v>#N/A</v>
      </c>
      <c r="BN291" s="78"/>
      <c r="BO291" s="73"/>
      <c r="BP291" s="73"/>
      <c r="BQ291" s="73"/>
      <c r="BR291" s="73"/>
      <c r="BS291" s="73"/>
      <c r="BT291" s="73"/>
    </row>
    <row r="292" spans="1:72" x14ac:dyDescent="0.25">
      <c r="A292" s="75"/>
      <c r="B292" s="74" t="e">
        <f>WEEKNUM(A292-RESUMEN!$D$7)</f>
        <v>#NUM!</v>
      </c>
      <c r="C292" s="74">
        <f>_xlfn.DAYS(A292,RESUMEN!$D$7)</f>
        <v>-43238</v>
      </c>
      <c r="D292" s="75"/>
      <c r="E292" s="73" t="e">
        <f>LOOKUP(D292,FORMULAS!$A:$A,FORMULAS!$B:$B)</f>
        <v>#N/A</v>
      </c>
      <c r="F292" s="80"/>
      <c r="G292" s="75"/>
      <c r="H292" s="75"/>
      <c r="I292" s="73"/>
      <c r="J292" s="73"/>
      <c r="K292" s="73"/>
      <c r="L292" s="73"/>
      <c r="M292" s="73"/>
      <c r="N292" s="73" t="e">
        <f>WEEKNUM(M292-RESUMEN!$P$7)</f>
        <v>#NUM!</v>
      </c>
      <c r="O292" s="73">
        <f>_xlfn.DAYS(M292,RESUMEN!$P$7)</f>
        <v>-43242</v>
      </c>
      <c r="P292" s="73"/>
      <c r="Q292" s="73" t="e">
        <f>LOOKUP(P292,FORMULAS!$A:$A,FORMULAS!$B:$B)</f>
        <v>#N/A</v>
      </c>
      <c r="R292" s="78"/>
      <c r="S292" s="73"/>
      <c r="T292" s="73"/>
      <c r="U292" s="73"/>
      <c r="V292" s="73"/>
      <c r="W292" s="73"/>
      <c r="X292" s="73"/>
      <c r="Y292" s="73"/>
      <c r="Z292" s="73" t="e">
        <f>WEEKNUM(Y292-RESUMEN!$AB$7)</f>
        <v>#NUM!</v>
      </c>
      <c r="AA292" s="73">
        <f>_xlfn.DAYS(Y292,RESUMEN!$AB$7)</f>
        <v>-43247</v>
      </c>
      <c r="AB292" s="73"/>
      <c r="AC292" s="73" t="e">
        <f>LOOKUP(AB292,FORMULAS!$A:$A,FORMULAS!$B:$B)</f>
        <v>#N/A</v>
      </c>
      <c r="AD292" s="78"/>
      <c r="AE292" s="73"/>
      <c r="AF292" s="73"/>
      <c r="AG292" s="73"/>
      <c r="AH292" s="73"/>
      <c r="AI292" s="73"/>
      <c r="AJ292" s="73"/>
      <c r="AK292" s="73"/>
      <c r="AL292" s="73" t="e">
        <f>WEEKNUM(AK292-RESUMEN!$AN$7)</f>
        <v>#NUM!</v>
      </c>
      <c r="AM292" s="73">
        <f>_xlfn.DAYS(AK292,RESUMEN!$AN$7)</f>
        <v>-43254</v>
      </c>
      <c r="AN292" s="73"/>
      <c r="AO292" s="73" t="e">
        <f>LOOKUP(AN292,FORMULAS!$A:$A,FORMULAS!$B:$B)</f>
        <v>#N/A</v>
      </c>
      <c r="AP292" s="78"/>
      <c r="AQ292" s="78"/>
      <c r="AR292" s="73"/>
      <c r="AS292" s="73"/>
      <c r="AT292" s="73"/>
      <c r="AU292" s="73"/>
      <c r="AV292" s="73"/>
      <c r="AW292" s="73"/>
      <c r="AX292" s="73" t="e">
        <f>WEEKNUM(AW292-RESUMEN!$AZ$7)</f>
        <v>#NUM!</v>
      </c>
      <c r="AY292" s="73">
        <f>_xlfn.DAYS(AW292,RESUMEN!$AZ$7)</f>
        <v>-43261</v>
      </c>
      <c r="AZ292" s="73"/>
      <c r="BA292" s="73" t="e">
        <f>LOOKUP(AZ292,FORMULAS!$A:$A,FORMULAS!$B:$B)</f>
        <v>#N/A</v>
      </c>
      <c r="BB292" s="78"/>
      <c r="BC292" s="73"/>
      <c r="BD292" s="73"/>
      <c r="BE292" s="73"/>
      <c r="BF292" s="73"/>
      <c r="BG292" s="73"/>
      <c r="BH292" s="73"/>
      <c r="BI292" s="73"/>
      <c r="BJ292" s="73" t="e">
        <f>WEEKNUM(BI292-RESUMEN!$BL$7)</f>
        <v>#NUM!</v>
      </c>
      <c r="BK292" s="73">
        <f>_xlfn.DAYS(BI292,RESUMEN!$BL$7)</f>
        <v>-43267</v>
      </c>
      <c r="BL292" s="73"/>
      <c r="BM292" s="73" t="e">
        <f>LOOKUP(BL292,FORMULAS!$A:$A,FORMULAS!$B:$B)</f>
        <v>#N/A</v>
      </c>
      <c r="BN292" s="78"/>
      <c r="BO292" s="73"/>
      <c r="BP292" s="73"/>
      <c r="BQ292" s="73"/>
      <c r="BR292" s="73"/>
      <c r="BS292" s="73"/>
      <c r="BT292" s="73"/>
    </row>
    <row r="293" spans="1:72" x14ac:dyDescent="0.25">
      <c r="A293" s="75"/>
      <c r="B293" s="74" t="e">
        <f>WEEKNUM(A293-RESUMEN!$D$7)</f>
        <v>#NUM!</v>
      </c>
      <c r="C293" s="74">
        <f>_xlfn.DAYS(A293,RESUMEN!$D$7)</f>
        <v>-43238</v>
      </c>
      <c r="D293" s="75"/>
      <c r="E293" s="73" t="e">
        <f>LOOKUP(D293,FORMULAS!$A:$A,FORMULAS!$B:$B)</f>
        <v>#N/A</v>
      </c>
      <c r="F293" s="80"/>
      <c r="G293" s="75"/>
      <c r="H293" s="75"/>
      <c r="I293" s="73"/>
      <c r="J293" s="73"/>
      <c r="K293" s="73"/>
      <c r="L293" s="73"/>
      <c r="M293" s="73"/>
      <c r="N293" s="73" t="e">
        <f>WEEKNUM(M293-RESUMEN!$P$7)</f>
        <v>#NUM!</v>
      </c>
      <c r="O293" s="73">
        <f>_xlfn.DAYS(M293,RESUMEN!$P$7)</f>
        <v>-43242</v>
      </c>
      <c r="P293" s="73"/>
      <c r="Q293" s="73" t="e">
        <f>LOOKUP(P293,FORMULAS!$A:$A,FORMULAS!$B:$B)</f>
        <v>#N/A</v>
      </c>
      <c r="R293" s="78"/>
      <c r="S293" s="73"/>
      <c r="T293" s="73"/>
      <c r="U293" s="73"/>
      <c r="V293" s="73"/>
      <c r="W293" s="73"/>
      <c r="X293" s="73"/>
      <c r="Y293" s="73"/>
      <c r="Z293" s="73" t="e">
        <f>WEEKNUM(Y293-RESUMEN!$AB$7)</f>
        <v>#NUM!</v>
      </c>
      <c r="AA293" s="73">
        <f>_xlfn.DAYS(Y293,RESUMEN!$AB$7)</f>
        <v>-43247</v>
      </c>
      <c r="AB293" s="73"/>
      <c r="AC293" s="73" t="e">
        <f>LOOKUP(AB293,FORMULAS!$A:$A,FORMULAS!$B:$B)</f>
        <v>#N/A</v>
      </c>
      <c r="AD293" s="78"/>
      <c r="AE293" s="73"/>
      <c r="AF293" s="73"/>
      <c r="AG293" s="73"/>
      <c r="AH293" s="73"/>
      <c r="AI293" s="73"/>
      <c r="AJ293" s="73"/>
      <c r="AK293" s="73"/>
      <c r="AL293" s="73" t="e">
        <f>WEEKNUM(AK293-RESUMEN!$AN$7)</f>
        <v>#NUM!</v>
      </c>
      <c r="AM293" s="73">
        <f>_xlfn.DAYS(AK293,RESUMEN!$AN$7)</f>
        <v>-43254</v>
      </c>
      <c r="AN293" s="73"/>
      <c r="AO293" s="73" t="e">
        <f>LOOKUP(AN293,FORMULAS!$A:$A,FORMULAS!$B:$B)</f>
        <v>#N/A</v>
      </c>
      <c r="AP293" s="78"/>
      <c r="AQ293" s="78"/>
      <c r="AR293" s="73"/>
      <c r="AS293" s="73"/>
      <c r="AT293" s="73"/>
      <c r="AU293" s="73"/>
      <c r="AV293" s="73"/>
      <c r="AW293" s="73"/>
      <c r="AX293" s="73" t="e">
        <f>WEEKNUM(AW293-RESUMEN!$AZ$7)</f>
        <v>#NUM!</v>
      </c>
      <c r="AY293" s="73">
        <f>_xlfn.DAYS(AW293,RESUMEN!$AZ$7)</f>
        <v>-43261</v>
      </c>
      <c r="AZ293" s="73"/>
      <c r="BA293" s="73" t="e">
        <f>LOOKUP(AZ293,FORMULAS!$A:$A,FORMULAS!$B:$B)</f>
        <v>#N/A</v>
      </c>
      <c r="BB293" s="78"/>
      <c r="BC293" s="73"/>
      <c r="BD293" s="73"/>
      <c r="BE293" s="73"/>
      <c r="BF293" s="73"/>
      <c r="BG293" s="73"/>
      <c r="BH293" s="73"/>
      <c r="BI293" s="73"/>
      <c r="BJ293" s="73" t="e">
        <f>WEEKNUM(BI293-RESUMEN!$BL$7)</f>
        <v>#NUM!</v>
      </c>
      <c r="BK293" s="73">
        <f>_xlfn.DAYS(BI293,RESUMEN!$BL$7)</f>
        <v>-43267</v>
      </c>
      <c r="BL293" s="73"/>
      <c r="BM293" s="73" t="e">
        <f>LOOKUP(BL293,FORMULAS!$A:$A,FORMULAS!$B:$B)</f>
        <v>#N/A</v>
      </c>
      <c r="BN293" s="78"/>
      <c r="BO293" s="73"/>
      <c r="BP293" s="73"/>
      <c r="BQ293" s="73"/>
      <c r="BR293" s="73"/>
      <c r="BS293" s="73"/>
      <c r="BT293" s="73"/>
    </row>
    <row r="294" spans="1:72" x14ac:dyDescent="0.25">
      <c r="A294" s="75"/>
      <c r="B294" s="74" t="e">
        <f>WEEKNUM(A294-RESUMEN!$D$7)</f>
        <v>#NUM!</v>
      </c>
      <c r="C294" s="74">
        <f>_xlfn.DAYS(A294,RESUMEN!$D$7)</f>
        <v>-43238</v>
      </c>
      <c r="D294" s="75"/>
      <c r="E294" s="73" t="e">
        <f>LOOKUP(D294,FORMULAS!$A:$A,FORMULAS!$B:$B)</f>
        <v>#N/A</v>
      </c>
      <c r="F294" s="80"/>
      <c r="G294" s="75"/>
      <c r="H294" s="75"/>
      <c r="I294" s="73"/>
      <c r="J294" s="73"/>
      <c r="K294" s="73"/>
      <c r="L294" s="73"/>
      <c r="M294" s="73"/>
      <c r="N294" s="73" t="e">
        <f>WEEKNUM(M294-RESUMEN!$P$7)</f>
        <v>#NUM!</v>
      </c>
      <c r="O294" s="73">
        <f>_xlfn.DAYS(M294,RESUMEN!$P$7)</f>
        <v>-43242</v>
      </c>
      <c r="P294" s="73"/>
      <c r="Q294" s="73" t="e">
        <f>LOOKUP(P294,FORMULAS!$A:$A,FORMULAS!$B:$B)</f>
        <v>#N/A</v>
      </c>
      <c r="R294" s="78"/>
      <c r="S294" s="73"/>
      <c r="T294" s="73"/>
      <c r="U294" s="73"/>
      <c r="V294" s="73"/>
      <c r="W294" s="73"/>
      <c r="X294" s="73"/>
      <c r="Y294" s="73"/>
      <c r="Z294" s="73" t="e">
        <f>WEEKNUM(Y294-RESUMEN!$AB$7)</f>
        <v>#NUM!</v>
      </c>
      <c r="AA294" s="73">
        <f>_xlfn.DAYS(Y294,RESUMEN!$AB$7)</f>
        <v>-43247</v>
      </c>
      <c r="AB294" s="73"/>
      <c r="AC294" s="73" t="e">
        <f>LOOKUP(AB294,FORMULAS!$A:$A,FORMULAS!$B:$B)</f>
        <v>#N/A</v>
      </c>
      <c r="AD294" s="78"/>
      <c r="AE294" s="73"/>
      <c r="AF294" s="73"/>
      <c r="AG294" s="73"/>
      <c r="AH294" s="73"/>
      <c r="AI294" s="73"/>
      <c r="AJ294" s="73"/>
      <c r="AK294" s="73"/>
      <c r="AL294" s="73" t="e">
        <f>WEEKNUM(AK294-RESUMEN!$AN$7)</f>
        <v>#NUM!</v>
      </c>
      <c r="AM294" s="73">
        <f>_xlfn.DAYS(AK294,RESUMEN!$AN$7)</f>
        <v>-43254</v>
      </c>
      <c r="AN294" s="73"/>
      <c r="AO294" s="73" t="e">
        <f>LOOKUP(AN294,FORMULAS!$A:$A,FORMULAS!$B:$B)</f>
        <v>#N/A</v>
      </c>
      <c r="AP294" s="78"/>
      <c r="AQ294" s="78"/>
      <c r="AR294" s="73"/>
      <c r="AS294" s="73"/>
      <c r="AT294" s="73"/>
      <c r="AU294" s="73"/>
      <c r="AV294" s="73"/>
      <c r="AW294" s="73"/>
      <c r="AX294" s="73" t="e">
        <f>WEEKNUM(AW294-RESUMEN!$AZ$7)</f>
        <v>#NUM!</v>
      </c>
      <c r="AY294" s="73">
        <f>_xlfn.DAYS(AW294,RESUMEN!$AZ$7)</f>
        <v>-43261</v>
      </c>
      <c r="AZ294" s="73"/>
      <c r="BA294" s="73" t="e">
        <f>LOOKUP(AZ294,FORMULAS!$A:$A,FORMULAS!$B:$B)</f>
        <v>#N/A</v>
      </c>
      <c r="BB294" s="78"/>
      <c r="BC294" s="73"/>
      <c r="BD294" s="73"/>
      <c r="BE294" s="73"/>
      <c r="BF294" s="73"/>
      <c r="BG294" s="73"/>
      <c r="BH294" s="73"/>
      <c r="BI294" s="73"/>
      <c r="BJ294" s="73" t="e">
        <f>WEEKNUM(BI294-RESUMEN!$BL$7)</f>
        <v>#NUM!</v>
      </c>
      <c r="BK294" s="73">
        <f>_xlfn.DAYS(BI294,RESUMEN!$BL$7)</f>
        <v>-43267</v>
      </c>
      <c r="BL294" s="73"/>
      <c r="BM294" s="73" t="e">
        <f>LOOKUP(BL294,FORMULAS!$A:$A,FORMULAS!$B:$B)</f>
        <v>#N/A</v>
      </c>
      <c r="BN294" s="78"/>
      <c r="BO294" s="73"/>
      <c r="BP294" s="73"/>
      <c r="BQ294" s="73"/>
      <c r="BR294" s="73"/>
      <c r="BS294" s="73"/>
      <c r="BT294" s="73"/>
    </row>
    <row r="295" spans="1:72" x14ac:dyDescent="0.25">
      <c r="A295" s="75"/>
      <c r="B295" s="74" t="e">
        <f>WEEKNUM(A295-RESUMEN!$D$7)</f>
        <v>#NUM!</v>
      </c>
      <c r="C295" s="74">
        <f>_xlfn.DAYS(A295,RESUMEN!$D$7)</f>
        <v>-43238</v>
      </c>
      <c r="D295" s="75"/>
      <c r="E295" s="73" t="e">
        <f>LOOKUP(D295,FORMULAS!$A:$A,FORMULAS!$B:$B)</f>
        <v>#N/A</v>
      </c>
      <c r="F295" s="80"/>
      <c r="G295" s="75"/>
      <c r="H295" s="75"/>
      <c r="I295" s="73"/>
      <c r="J295" s="73"/>
      <c r="K295" s="73"/>
      <c r="L295" s="73"/>
      <c r="M295" s="73"/>
      <c r="N295" s="73" t="e">
        <f>WEEKNUM(M295-RESUMEN!$P$7)</f>
        <v>#NUM!</v>
      </c>
      <c r="O295" s="73">
        <f>_xlfn.DAYS(M295,RESUMEN!$P$7)</f>
        <v>-43242</v>
      </c>
      <c r="P295" s="73"/>
      <c r="Q295" s="73" t="e">
        <f>LOOKUP(P295,FORMULAS!$A:$A,FORMULAS!$B:$B)</f>
        <v>#N/A</v>
      </c>
      <c r="R295" s="78"/>
      <c r="S295" s="73"/>
      <c r="T295" s="73"/>
      <c r="U295" s="73"/>
      <c r="V295" s="73"/>
      <c r="W295" s="73"/>
      <c r="X295" s="73"/>
      <c r="Y295" s="73"/>
      <c r="Z295" s="73" t="e">
        <f>WEEKNUM(Y295-RESUMEN!$AB$7)</f>
        <v>#NUM!</v>
      </c>
      <c r="AA295" s="73">
        <f>_xlfn.DAYS(Y295,RESUMEN!$AB$7)</f>
        <v>-43247</v>
      </c>
      <c r="AB295" s="73"/>
      <c r="AC295" s="73" t="e">
        <f>LOOKUP(AB295,FORMULAS!$A:$A,FORMULAS!$B:$B)</f>
        <v>#N/A</v>
      </c>
      <c r="AD295" s="78"/>
      <c r="AE295" s="73"/>
      <c r="AF295" s="73"/>
      <c r="AG295" s="73"/>
      <c r="AH295" s="73"/>
      <c r="AI295" s="73"/>
      <c r="AJ295" s="73"/>
      <c r="AK295" s="73"/>
      <c r="AL295" s="73" t="e">
        <f>WEEKNUM(AK295-RESUMEN!$AN$7)</f>
        <v>#NUM!</v>
      </c>
      <c r="AM295" s="73">
        <f>_xlfn.DAYS(AK295,RESUMEN!$AN$7)</f>
        <v>-43254</v>
      </c>
      <c r="AN295" s="73"/>
      <c r="AO295" s="73" t="e">
        <f>LOOKUP(AN295,FORMULAS!$A:$A,FORMULAS!$B:$B)</f>
        <v>#N/A</v>
      </c>
      <c r="AP295" s="78"/>
      <c r="AQ295" s="78"/>
      <c r="AR295" s="73"/>
      <c r="AS295" s="73"/>
      <c r="AT295" s="73"/>
      <c r="AU295" s="73"/>
      <c r="AV295" s="73"/>
      <c r="AW295" s="73"/>
      <c r="AX295" s="73" t="e">
        <f>WEEKNUM(AW295-RESUMEN!$AZ$7)</f>
        <v>#NUM!</v>
      </c>
      <c r="AY295" s="73">
        <f>_xlfn.DAYS(AW295,RESUMEN!$AZ$7)</f>
        <v>-43261</v>
      </c>
      <c r="AZ295" s="73"/>
      <c r="BA295" s="73" t="e">
        <f>LOOKUP(AZ295,FORMULAS!$A:$A,FORMULAS!$B:$B)</f>
        <v>#N/A</v>
      </c>
      <c r="BB295" s="78"/>
      <c r="BC295" s="73"/>
      <c r="BD295" s="73"/>
      <c r="BE295" s="73"/>
      <c r="BF295" s="73"/>
      <c r="BG295" s="73"/>
      <c r="BH295" s="73"/>
      <c r="BI295" s="73"/>
      <c r="BJ295" s="73" t="e">
        <f>WEEKNUM(BI295-RESUMEN!$BL$7)</f>
        <v>#NUM!</v>
      </c>
      <c r="BK295" s="73">
        <f>_xlfn.DAYS(BI295,RESUMEN!$BL$7)</f>
        <v>-43267</v>
      </c>
      <c r="BL295" s="73"/>
      <c r="BM295" s="73" t="e">
        <f>LOOKUP(BL295,FORMULAS!$A:$A,FORMULAS!$B:$B)</f>
        <v>#N/A</v>
      </c>
      <c r="BN295" s="78"/>
      <c r="BO295" s="73"/>
      <c r="BP295" s="73"/>
      <c r="BQ295" s="73"/>
      <c r="BR295" s="73"/>
      <c r="BS295" s="73"/>
      <c r="BT295" s="73"/>
    </row>
    <row r="296" spans="1:72" x14ac:dyDescent="0.25">
      <c r="A296" s="75"/>
      <c r="B296" s="74" t="e">
        <f>WEEKNUM(A296-RESUMEN!$D$7)</f>
        <v>#NUM!</v>
      </c>
      <c r="C296" s="74">
        <f>_xlfn.DAYS(A296,RESUMEN!$D$7)</f>
        <v>-43238</v>
      </c>
      <c r="D296" s="75"/>
      <c r="E296" s="73" t="e">
        <f>LOOKUP(D296,FORMULAS!$A:$A,FORMULAS!$B:$B)</f>
        <v>#N/A</v>
      </c>
      <c r="F296" s="80"/>
      <c r="G296" s="75"/>
      <c r="H296" s="75"/>
      <c r="I296" s="73"/>
      <c r="J296" s="73"/>
      <c r="K296" s="73"/>
      <c r="L296" s="73"/>
      <c r="M296" s="73"/>
      <c r="N296" s="73" t="e">
        <f>WEEKNUM(M296-RESUMEN!$P$7)</f>
        <v>#NUM!</v>
      </c>
      <c r="O296" s="73">
        <f>_xlfn.DAYS(M296,RESUMEN!$P$7)</f>
        <v>-43242</v>
      </c>
      <c r="P296" s="73"/>
      <c r="Q296" s="73" t="e">
        <f>LOOKUP(P296,FORMULAS!$A:$A,FORMULAS!$B:$B)</f>
        <v>#N/A</v>
      </c>
      <c r="R296" s="78"/>
      <c r="S296" s="73"/>
      <c r="T296" s="73"/>
      <c r="U296" s="73"/>
      <c r="V296" s="73"/>
      <c r="W296" s="73"/>
      <c r="X296" s="73"/>
      <c r="Y296" s="73"/>
      <c r="Z296" s="73" t="e">
        <f>WEEKNUM(Y296-RESUMEN!$AB$7)</f>
        <v>#NUM!</v>
      </c>
      <c r="AA296" s="73">
        <f>_xlfn.DAYS(Y296,RESUMEN!$AB$7)</f>
        <v>-43247</v>
      </c>
      <c r="AB296" s="73"/>
      <c r="AC296" s="73" t="e">
        <f>LOOKUP(AB296,FORMULAS!$A:$A,FORMULAS!$B:$B)</f>
        <v>#N/A</v>
      </c>
      <c r="AD296" s="78"/>
      <c r="AE296" s="73"/>
      <c r="AF296" s="73"/>
      <c r="AG296" s="73"/>
      <c r="AH296" s="73"/>
      <c r="AI296" s="73"/>
      <c r="AJ296" s="73"/>
      <c r="AK296" s="73"/>
      <c r="AL296" s="73" t="e">
        <f>WEEKNUM(AK296-RESUMEN!$AN$7)</f>
        <v>#NUM!</v>
      </c>
      <c r="AM296" s="73">
        <f>_xlfn.DAYS(AK296,RESUMEN!$AN$7)</f>
        <v>-43254</v>
      </c>
      <c r="AN296" s="73"/>
      <c r="AO296" s="73" t="e">
        <f>LOOKUP(AN296,FORMULAS!$A:$A,FORMULAS!$B:$B)</f>
        <v>#N/A</v>
      </c>
      <c r="AP296" s="78"/>
      <c r="AQ296" s="78"/>
      <c r="AR296" s="73"/>
      <c r="AS296" s="73"/>
      <c r="AT296" s="73"/>
      <c r="AU296" s="73"/>
      <c r="AV296" s="73"/>
      <c r="AW296" s="73"/>
      <c r="AX296" s="73" t="e">
        <f>WEEKNUM(AW296-RESUMEN!$AZ$7)</f>
        <v>#NUM!</v>
      </c>
      <c r="AY296" s="73">
        <f>_xlfn.DAYS(AW296,RESUMEN!$AZ$7)</f>
        <v>-43261</v>
      </c>
      <c r="AZ296" s="73"/>
      <c r="BA296" s="73" t="e">
        <f>LOOKUP(AZ296,FORMULAS!$A:$A,FORMULAS!$B:$B)</f>
        <v>#N/A</v>
      </c>
      <c r="BB296" s="78"/>
      <c r="BC296" s="73"/>
      <c r="BD296" s="73"/>
      <c r="BE296" s="73"/>
      <c r="BF296" s="73"/>
      <c r="BG296" s="73"/>
      <c r="BH296" s="73"/>
      <c r="BI296" s="73"/>
      <c r="BJ296" s="73" t="e">
        <f>WEEKNUM(BI296-RESUMEN!$BL$7)</f>
        <v>#NUM!</v>
      </c>
      <c r="BK296" s="73">
        <f>_xlfn.DAYS(BI296,RESUMEN!$BL$7)</f>
        <v>-43267</v>
      </c>
      <c r="BL296" s="73"/>
      <c r="BM296" s="73" t="e">
        <f>LOOKUP(BL296,FORMULAS!$A:$A,FORMULAS!$B:$B)</f>
        <v>#N/A</v>
      </c>
      <c r="BN296" s="78"/>
      <c r="BO296" s="73"/>
      <c r="BP296" s="73"/>
      <c r="BQ296" s="73"/>
      <c r="BR296" s="73"/>
      <c r="BS296" s="73"/>
      <c r="BT296" s="73"/>
    </row>
    <row r="297" spans="1:72" x14ac:dyDescent="0.25">
      <c r="A297" s="75"/>
      <c r="B297" s="74" t="e">
        <f>WEEKNUM(A297-RESUMEN!$D$7)</f>
        <v>#NUM!</v>
      </c>
      <c r="C297" s="74">
        <f>_xlfn.DAYS(A297,RESUMEN!$D$7)</f>
        <v>-43238</v>
      </c>
      <c r="D297" s="75"/>
      <c r="E297" s="73" t="e">
        <f>LOOKUP(D297,FORMULAS!$A:$A,FORMULAS!$B:$B)</f>
        <v>#N/A</v>
      </c>
      <c r="F297" s="80"/>
      <c r="G297" s="75"/>
      <c r="H297" s="75"/>
      <c r="I297" s="73"/>
      <c r="J297" s="73"/>
      <c r="K297" s="73"/>
      <c r="L297" s="73"/>
      <c r="M297" s="73"/>
      <c r="N297" s="73" t="e">
        <f>WEEKNUM(M297-RESUMEN!$P$7)</f>
        <v>#NUM!</v>
      </c>
      <c r="O297" s="73">
        <f>_xlfn.DAYS(M297,RESUMEN!$P$7)</f>
        <v>-43242</v>
      </c>
      <c r="P297" s="73"/>
      <c r="Q297" s="73" t="e">
        <f>LOOKUP(P297,FORMULAS!$A:$A,FORMULAS!$B:$B)</f>
        <v>#N/A</v>
      </c>
      <c r="R297" s="78"/>
      <c r="S297" s="73"/>
      <c r="T297" s="73"/>
      <c r="U297" s="73"/>
      <c r="V297" s="73"/>
      <c r="W297" s="73"/>
      <c r="X297" s="73"/>
      <c r="Y297" s="73"/>
      <c r="Z297" s="73" t="e">
        <f>WEEKNUM(Y297-RESUMEN!$AB$7)</f>
        <v>#NUM!</v>
      </c>
      <c r="AA297" s="73">
        <f>_xlfn.DAYS(Y297,RESUMEN!$AB$7)</f>
        <v>-43247</v>
      </c>
      <c r="AB297" s="73"/>
      <c r="AC297" s="73" t="e">
        <f>LOOKUP(AB297,FORMULAS!$A:$A,FORMULAS!$B:$B)</f>
        <v>#N/A</v>
      </c>
      <c r="AD297" s="78"/>
      <c r="AE297" s="73"/>
      <c r="AF297" s="73"/>
      <c r="AG297" s="73"/>
      <c r="AH297" s="73"/>
      <c r="AI297" s="73"/>
      <c r="AJ297" s="73"/>
      <c r="AK297" s="73"/>
      <c r="AL297" s="73" t="e">
        <f>WEEKNUM(AK297-RESUMEN!$AN$7)</f>
        <v>#NUM!</v>
      </c>
      <c r="AM297" s="73">
        <f>_xlfn.DAYS(AK297,RESUMEN!$AN$7)</f>
        <v>-43254</v>
      </c>
      <c r="AN297" s="73"/>
      <c r="AO297" s="73" t="e">
        <f>LOOKUP(AN297,FORMULAS!$A:$A,FORMULAS!$B:$B)</f>
        <v>#N/A</v>
      </c>
      <c r="AP297" s="78"/>
      <c r="AQ297" s="78"/>
      <c r="AR297" s="73"/>
      <c r="AS297" s="73"/>
      <c r="AT297" s="73"/>
      <c r="AU297" s="73"/>
      <c r="AV297" s="73"/>
      <c r="AW297" s="73"/>
      <c r="AX297" s="73" t="e">
        <f>WEEKNUM(AW297-RESUMEN!$AZ$7)</f>
        <v>#NUM!</v>
      </c>
      <c r="AY297" s="73">
        <f>_xlfn.DAYS(AW297,RESUMEN!$AZ$7)</f>
        <v>-43261</v>
      </c>
      <c r="AZ297" s="73"/>
      <c r="BA297" s="73" t="e">
        <f>LOOKUP(AZ297,FORMULAS!$A:$A,FORMULAS!$B:$B)</f>
        <v>#N/A</v>
      </c>
      <c r="BB297" s="78"/>
      <c r="BC297" s="73"/>
      <c r="BD297" s="73"/>
      <c r="BE297" s="73"/>
      <c r="BF297" s="73"/>
      <c r="BG297" s="73"/>
      <c r="BH297" s="73"/>
      <c r="BI297" s="73"/>
      <c r="BJ297" s="73" t="e">
        <f>WEEKNUM(BI297-RESUMEN!$BL$7)</f>
        <v>#NUM!</v>
      </c>
      <c r="BK297" s="73">
        <f>_xlfn.DAYS(BI297,RESUMEN!$BL$7)</f>
        <v>-43267</v>
      </c>
      <c r="BL297" s="73"/>
      <c r="BM297" s="73" t="e">
        <f>LOOKUP(BL297,FORMULAS!$A:$A,FORMULAS!$B:$B)</f>
        <v>#N/A</v>
      </c>
      <c r="BN297" s="78"/>
      <c r="BO297" s="73"/>
      <c r="BP297" s="73"/>
      <c r="BQ297" s="73"/>
      <c r="BR297" s="73"/>
      <c r="BS297" s="73"/>
      <c r="BT297" s="73"/>
    </row>
    <row r="298" spans="1:72" x14ac:dyDescent="0.25">
      <c r="A298" s="75"/>
      <c r="B298" s="74" t="e">
        <f>WEEKNUM(A298-RESUMEN!$D$7)</f>
        <v>#NUM!</v>
      </c>
      <c r="C298" s="74">
        <f>_xlfn.DAYS(A298,RESUMEN!$D$7)</f>
        <v>-43238</v>
      </c>
      <c r="D298" s="75"/>
      <c r="E298" s="73" t="e">
        <f>LOOKUP(D298,FORMULAS!$A:$A,FORMULAS!$B:$B)</f>
        <v>#N/A</v>
      </c>
      <c r="F298" s="80"/>
      <c r="G298" s="75"/>
      <c r="H298" s="75"/>
      <c r="I298" s="73"/>
      <c r="J298" s="73"/>
      <c r="K298" s="73"/>
      <c r="L298" s="73"/>
      <c r="M298" s="73"/>
      <c r="N298" s="73" t="e">
        <f>WEEKNUM(M298-RESUMEN!$P$7)</f>
        <v>#NUM!</v>
      </c>
      <c r="O298" s="73">
        <f>_xlfn.DAYS(M298,RESUMEN!$P$7)</f>
        <v>-43242</v>
      </c>
      <c r="P298" s="73"/>
      <c r="Q298" s="73" t="e">
        <f>LOOKUP(P298,FORMULAS!$A:$A,FORMULAS!$B:$B)</f>
        <v>#N/A</v>
      </c>
      <c r="R298" s="78"/>
      <c r="S298" s="73"/>
      <c r="T298" s="73"/>
      <c r="U298" s="73"/>
      <c r="V298" s="73"/>
      <c r="W298" s="73"/>
      <c r="X298" s="73"/>
      <c r="Y298" s="73"/>
      <c r="Z298" s="73" t="e">
        <f>WEEKNUM(Y298-RESUMEN!$AB$7)</f>
        <v>#NUM!</v>
      </c>
      <c r="AA298" s="73">
        <f>_xlfn.DAYS(Y298,RESUMEN!$AB$7)</f>
        <v>-43247</v>
      </c>
      <c r="AB298" s="73"/>
      <c r="AC298" s="73" t="e">
        <f>LOOKUP(AB298,FORMULAS!$A:$A,FORMULAS!$B:$B)</f>
        <v>#N/A</v>
      </c>
      <c r="AD298" s="78"/>
      <c r="AE298" s="73"/>
      <c r="AF298" s="73"/>
      <c r="AG298" s="73"/>
      <c r="AH298" s="73"/>
      <c r="AI298" s="73"/>
      <c r="AJ298" s="73"/>
      <c r="AK298" s="73"/>
      <c r="AL298" s="73" t="e">
        <f>WEEKNUM(AK298-RESUMEN!$AN$7)</f>
        <v>#NUM!</v>
      </c>
      <c r="AM298" s="73">
        <f>_xlfn.DAYS(AK298,RESUMEN!$AN$7)</f>
        <v>-43254</v>
      </c>
      <c r="AN298" s="73"/>
      <c r="AO298" s="73" t="e">
        <f>LOOKUP(AN298,FORMULAS!$A:$A,FORMULAS!$B:$B)</f>
        <v>#N/A</v>
      </c>
      <c r="AP298" s="78"/>
      <c r="AQ298" s="78"/>
      <c r="AR298" s="73"/>
      <c r="AS298" s="73"/>
      <c r="AT298" s="73"/>
      <c r="AU298" s="73"/>
      <c r="AV298" s="73"/>
      <c r="AW298" s="73"/>
      <c r="AX298" s="73" t="e">
        <f>WEEKNUM(AW298-RESUMEN!$AZ$7)</f>
        <v>#NUM!</v>
      </c>
      <c r="AY298" s="73">
        <f>_xlfn.DAYS(AW298,RESUMEN!$AZ$7)</f>
        <v>-43261</v>
      </c>
      <c r="AZ298" s="73"/>
      <c r="BA298" s="73" t="e">
        <f>LOOKUP(AZ298,FORMULAS!$A:$A,FORMULAS!$B:$B)</f>
        <v>#N/A</v>
      </c>
      <c r="BB298" s="78"/>
      <c r="BC298" s="73"/>
      <c r="BD298" s="73"/>
      <c r="BE298" s="73"/>
      <c r="BF298" s="73"/>
      <c r="BG298" s="73"/>
      <c r="BH298" s="73"/>
      <c r="BI298" s="73"/>
      <c r="BJ298" s="73" t="e">
        <f>WEEKNUM(BI298-RESUMEN!$BL$7)</f>
        <v>#NUM!</v>
      </c>
      <c r="BK298" s="73">
        <f>_xlfn.DAYS(BI298,RESUMEN!$BL$7)</f>
        <v>-43267</v>
      </c>
      <c r="BL298" s="73"/>
      <c r="BM298" s="73" t="e">
        <f>LOOKUP(BL298,FORMULAS!$A:$A,FORMULAS!$B:$B)</f>
        <v>#N/A</v>
      </c>
      <c r="BN298" s="78"/>
      <c r="BO298" s="73"/>
      <c r="BP298" s="73"/>
      <c r="BQ298" s="73"/>
      <c r="BR298" s="73"/>
      <c r="BS298" s="73"/>
      <c r="BT298" s="73"/>
    </row>
    <row r="299" spans="1:72" x14ac:dyDescent="0.25">
      <c r="A299" s="75"/>
      <c r="B299" s="74" t="e">
        <f>WEEKNUM(A299-RESUMEN!$D$7)</f>
        <v>#NUM!</v>
      </c>
      <c r="C299" s="74">
        <f>_xlfn.DAYS(A299,RESUMEN!$D$7)</f>
        <v>-43238</v>
      </c>
      <c r="D299" s="75"/>
      <c r="E299" s="73" t="e">
        <f>LOOKUP(D299,FORMULAS!$A:$A,FORMULAS!$B:$B)</f>
        <v>#N/A</v>
      </c>
      <c r="F299" s="80"/>
      <c r="G299" s="75"/>
      <c r="H299" s="75"/>
      <c r="I299" s="73"/>
      <c r="J299" s="73"/>
      <c r="K299" s="73"/>
      <c r="L299" s="73"/>
      <c r="M299" s="73"/>
      <c r="N299" s="73" t="e">
        <f>WEEKNUM(M299-RESUMEN!$P$7)</f>
        <v>#NUM!</v>
      </c>
      <c r="O299" s="73">
        <f>_xlfn.DAYS(M299,RESUMEN!$P$7)</f>
        <v>-43242</v>
      </c>
      <c r="P299" s="73"/>
      <c r="Q299" s="73" t="e">
        <f>LOOKUP(P299,FORMULAS!$A:$A,FORMULAS!$B:$B)</f>
        <v>#N/A</v>
      </c>
      <c r="R299" s="78"/>
      <c r="S299" s="73"/>
      <c r="T299" s="73"/>
      <c r="U299" s="73"/>
      <c r="V299" s="73"/>
      <c r="W299" s="73"/>
      <c r="X299" s="73"/>
      <c r="Y299" s="73"/>
      <c r="Z299" s="73" t="e">
        <f>WEEKNUM(Y299-RESUMEN!$AB$7)</f>
        <v>#NUM!</v>
      </c>
      <c r="AA299" s="73">
        <f>_xlfn.DAYS(Y299,RESUMEN!$AB$7)</f>
        <v>-43247</v>
      </c>
      <c r="AB299" s="73"/>
      <c r="AC299" s="73" t="e">
        <f>LOOKUP(AB299,FORMULAS!$A:$A,FORMULAS!$B:$B)</f>
        <v>#N/A</v>
      </c>
      <c r="AD299" s="78"/>
      <c r="AE299" s="73"/>
      <c r="AF299" s="73"/>
      <c r="AG299" s="73"/>
      <c r="AH299" s="73"/>
      <c r="AI299" s="73"/>
      <c r="AJ299" s="73"/>
      <c r="AK299" s="73"/>
      <c r="AL299" s="73" t="e">
        <f>WEEKNUM(AK299-RESUMEN!$AN$7)</f>
        <v>#NUM!</v>
      </c>
      <c r="AM299" s="73">
        <f>_xlfn.DAYS(AK299,RESUMEN!$AN$7)</f>
        <v>-43254</v>
      </c>
      <c r="AN299" s="73"/>
      <c r="AO299" s="73" t="e">
        <f>LOOKUP(AN299,FORMULAS!$A:$A,FORMULAS!$B:$B)</f>
        <v>#N/A</v>
      </c>
      <c r="AP299" s="78"/>
      <c r="AQ299" s="78"/>
      <c r="AR299" s="73"/>
      <c r="AS299" s="73"/>
      <c r="AT299" s="73"/>
      <c r="AU299" s="73"/>
      <c r="AV299" s="73"/>
      <c r="AW299" s="73"/>
      <c r="AX299" s="73" t="e">
        <f>WEEKNUM(AW299-RESUMEN!$AZ$7)</f>
        <v>#NUM!</v>
      </c>
      <c r="AY299" s="73">
        <f>_xlfn.DAYS(AW299,RESUMEN!$AZ$7)</f>
        <v>-43261</v>
      </c>
      <c r="AZ299" s="73"/>
      <c r="BA299" s="73" t="e">
        <f>LOOKUP(AZ299,FORMULAS!$A:$A,FORMULAS!$B:$B)</f>
        <v>#N/A</v>
      </c>
      <c r="BB299" s="78"/>
      <c r="BC299" s="73"/>
      <c r="BD299" s="73"/>
      <c r="BE299" s="73"/>
      <c r="BF299" s="73"/>
      <c r="BG299" s="73"/>
      <c r="BH299" s="73"/>
      <c r="BI299" s="73"/>
      <c r="BJ299" s="73" t="e">
        <f>WEEKNUM(BI299-RESUMEN!$BL$7)</f>
        <v>#NUM!</v>
      </c>
      <c r="BK299" s="73">
        <f>_xlfn.DAYS(BI299,RESUMEN!$BL$7)</f>
        <v>-43267</v>
      </c>
      <c r="BL299" s="73"/>
      <c r="BM299" s="73" t="e">
        <f>LOOKUP(BL299,FORMULAS!$A:$A,FORMULAS!$B:$B)</f>
        <v>#N/A</v>
      </c>
      <c r="BN299" s="78"/>
      <c r="BO299" s="73"/>
      <c r="BP299" s="73"/>
      <c r="BQ299" s="73"/>
      <c r="BR299" s="73"/>
      <c r="BS299" s="73"/>
      <c r="BT299" s="73"/>
    </row>
    <row r="300" spans="1:72" x14ac:dyDescent="0.25">
      <c r="A300" s="75"/>
      <c r="B300" s="74" t="e">
        <f>WEEKNUM(A300-RESUMEN!$D$7)</f>
        <v>#NUM!</v>
      </c>
      <c r="C300" s="74">
        <f>_xlfn.DAYS(A300,RESUMEN!$D$7)</f>
        <v>-43238</v>
      </c>
      <c r="D300" s="75"/>
      <c r="E300" s="73" t="e">
        <f>LOOKUP(D300,FORMULAS!$A:$A,FORMULAS!$B:$B)</f>
        <v>#N/A</v>
      </c>
      <c r="F300" s="80"/>
      <c r="G300" s="75"/>
      <c r="H300" s="75"/>
      <c r="I300" s="73"/>
      <c r="J300" s="73"/>
      <c r="K300" s="73"/>
      <c r="L300" s="73"/>
      <c r="M300" s="73"/>
      <c r="N300" s="73" t="e">
        <f>WEEKNUM(M300-RESUMEN!$P$7)</f>
        <v>#NUM!</v>
      </c>
      <c r="O300" s="73">
        <f>_xlfn.DAYS(M300,RESUMEN!$P$7)</f>
        <v>-43242</v>
      </c>
      <c r="P300" s="73"/>
      <c r="Q300" s="73" t="e">
        <f>LOOKUP(P300,FORMULAS!$A:$A,FORMULAS!$B:$B)</f>
        <v>#N/A</v>
      </c>
      <c r="R300" s="78"/>
      <c r="S300" s="73"/>
      <c r="T300" s="73"/>
      <c r="U300" s="73"/>
      <c r="V300" s="73"/>
      <c r="W300" s="73"/>
      <c r="X300" s="73"/>
      <c r="Y300" s="73"/>
      <c r="Z300" s="73" t="e">
        <f>WEEKNUM(Y300-RESUMEN!$AB$7)</f>
        <v>#NUM!</v>
      </c>
      <c r="AA300" s="73">
        <f>_xlfn.DAYS(Y300,RESUMEN!$AB$7)</f>
        <v>-43247</v>
      </c>
      <c r="AB300" s="73"/>
      <c r="AC300" s="73" t="e">
        <f>LOOKUP(AB300,FORMULAS!$A:$A,FORMULAS!$B:$B)</f>
        <v>#N/A</v>
      </c>
      <c r="AD300" s="78"/>
      <c r="AE300" s="73"/>
      <c r="AF300" s="73"/>
      <c r="AG300" s="73"/>
      <c r="AH300" s="73"/>
      <c r="AI300" s="73"/>
      <c r="AJ300" s="73"/>
      <c r="AK300" s="73"/>
      <c r="AL300" s="73" t="e">
        <f>WEEKNUM(AK300-RESUMEN!$AN$7)</f>
        <v>#NUM!</v>
      </c>
      <c r="AM300" s="73">
        <f>_xlfn.DAYS(AK300,RESUMEN!$AN$7)</f>
        <v>-43254</v>
      </c>
      <c r="AN300" s="73"/>
      <c r="AO300" s="73" t="e">
        <f>LOOKUP(AN300,FORMULAS!$A:$A,FORMULAS!$B:$B)</f>
        <v>#N/A</v>
      </c>
      <c r="AP300" s="78"/>
      <c r="AQ300" s="78"/>
      <c r="AR300" s="73"/>
      <c r="AS300" s="73"/>
      <c r="AT300" s="73"/>
      <c r="AU300" s="73"/>
      <c r="AV300" s="73"/>
      <c r="AW300" s="73"/>
      <c r="AX300" s="73" t="e">
        <f>WEEKNUM(AW300-RESUMEN!$AZ$7)</f>
        <v>#NUM!</v>
      </c>
      <c r="AY300" s="73">
        <f>_xlfn.DAYS(AW300,RESUMEN!$AZ$7)</f>
        <v>-43261</v>
      </c>
      <c r="AZ300" s="73"/>
      <c r="BA300" s="73" t="e">
        <f>LOOKUP(AZ300,FORMULAS!$A:$A,FORMULAS!$B:$B)</f>
        <v>#N/A</v>
      </c>
      <c r="BB300" s="78"/>
      <c r="BC300" s="73"/>
      <c r="BD300" s="73"/>
      <c r="BE300" s="73"/>
      <c r="BF300" s="73"/>
      <c r="BG300" s="73"/>
      <c r="BH300" s="73"/>
      <c r="BI300" s="73"/>
      <c r="BJ300" s="73" t="e">
        <f>WEEKNUM(BI300-RESUMEN!$BL$7)</f>
        <v>#NUM!</v>
      </c>
      <c r="BK300" s="73">
        <f>_xlfn.DAYS(BI300,RESUMEN!$BL$7)</f>
        <v>-43267</v>
      </c>
      <c r="BL300" s="73"/>
      <c r="BM300" s="73" t="e">
        <f>LOOKUP(BL300,FORMULAS!$A:$A,FORMULAS!$B:$B)</f>
        <v>#N/A</v>
      </c>
      <c r="BN300" s="78"/>
      <c r="BO300" s="73"/>
      <c r="BP300" s="73"/>
      <c r="BQ300" s="73"/>
      <c r="BR300" s="73"/>
      <c r="BS300" s="73"/>
      <c r="BT300" s="73"/>
    </row>
    <row r="301" spans="1:72" x14ac:dyDescent="0.25">
      <c r="A301" s="75"/>
      <c r="B301" s="74" t="e">
        <f>WEEKNUM(A301-RESUMEN!$D$7)</f>
        <v>#NUM!</v>
      </c>
      <c r="C301" s="74">
        <f>_xlfn.DAYS(A301,RESUMEN!$D$7)</f>
        <v>-43238</v>
      </c>
      <c r="D301" s="75"/>
      <c r="E301" s="73" t="e">
        <f>LOOKUP(D301,FORMULAS!$A:$A,FORMULAS!$B:$B)</f>
        <v>#N/A</v>
      </c>
      <c r="F301" s="80"/>
      <c r="G301" s="75"/>
      <c r="H301" s="75"/>
      <c r="I301" s="73"/>
      <c r="J301" s="73"/>
      <c r="K301" s="73"/>
      <c r="L301" s="73"/>
      <c r="M301" s="73"/>
      <c r="N301" s="73" t="e">
        <f>WEEKNUM(M301-RESUMEN!$P$7)</f>
        <v>#NUM!</v>
      </c>
      <c r="O301" s="73">
        <f>_xlfn.DAYS(M301,RESUMEN!$P$7)</f>
        <v>-43242</v>
      </c>
      <c r="P301" s="73"/>
      <c r="Q301" s="73" t="e">
        <f>LOOKUP(P301,FORMULAS!$A:$A,FORMULAS!$B:$B)</f>
        <v>#N/A</v>
      </c>
      <c r="R301" s="78"/>
      <c r="S301" s="73"/>
      <c r="T301" s="73"/>
      <c r="U301" s="73"/>
      <c r="V301" s="73"/>
      <c r="W301" s="73"/>
      <c r="X301" s="73"/>
      <c r="Y301" s="73"/>
      <c r="Z301" s="73" t="e">
        <f>WEEKNUM(Y301-RESUMEN!$AB$7)</f>
        <v>#NUM!</v>
      </c>
      <c r="AA301" s="73">
        <f>_xlfn.DAYS(Y301,RESUMEN!$AB$7)</f>
        <v>-43247</v>
      </c>
      <c r="AB301" s="73"/>
      <c r="AC301" s="73" t="e">
        <f>LOOKUP(AB301,FORMULAS!$A:$A,FORMULAS!$B:$B)</f>
        <v>#N/A</v>
      </c>
      <c r="AD301" s="78"/>
      <c r="AE301" s="73"/>
      <c r="AF301" s="73"/>
      <c r="AG301" s="73"/>
      <c r="AH301" s="73"/>
      <c r="AI301" s="73"/>
      <c r="AJ301" s="73"/>
      <c r="AK301" s="73"/>
      <c r="AL301" s="73" t="e">
        <f>WEEKNUM(AK301-RESUMEN!$AN$7)</f>
        <v>#NUM!</v>
      </c>
      <c r="AM301" s="73">
        <f>_xlfn.DAYS(AK301,RESUMEN!$AN$7)</f>
        <v>-43254</v>
      </c>
      <c r="AN301" s="73"/>
      <c r="AO301" s="73" t="e">
        <f>LOOKUP(AN301,FORMULAS!$A:$A,FORMULAS!$B:$B)</f>
        <v>#N/A</v>
      </c>
      <c r="AP301" s="78"/>
      <c r="AQ301" s="78"/>
      <c r="AR301" s="73"/>
      <c r="AS301" s="73"/>
      <c r="AT301" s="73"/>
      <c r="AU301" s="73"/>
      <c r="AV301" s="73"/>
      <c r="AW301" s="73"/>
      <c r="AX301" s="73" t="e">
        <f>WEEKNUM(AW301-RESUMEN!$AZ$7)</f>
        <v>#NUM!</v>
      </c>
      <c r="AY301" s="73">
        <f>_xlfn.DAYS(AW301,RESUMEN!$AZ$7)</f>
        <v>-43261</v>
      </c>
      <c r="AZ301" s="73"/>
      <c r="BA301" s="73" t="e">
        <f>LOOKUP(AZ301,FORMULAS!$A:$A,FORMULAS!$B:$B)</f>
        <v>#N/A</v>
      </c>
      <c r="BB301" s="78"/>
      <c r="BC301" s="73"/>
      <c r="BD301" s="73"/>
      <c r="BE301" s="73"/>
      <c r="BF301" s="73"/>
      <c r="BG301" s="73"/>
      <c r="BH301" s="73"/>
      <c r="BI301" s="73"/>
      <c r="BJ301" s="73" t="e">
        <f>WEEKNUM(BI301-RESUMEN!$BL$7)</f>
        <v>#NUM!</v>
      </c>
      <c r="BK301" s="73">
        <f>_xlfn.DAYS(BI301,RESUMEN!$BL$7)</f>
        <v>-43267</v>
      </c>
      <c r="BL301" s="73"/>
      <c r="BM301" s="73" t="e">
        <f>LOOKUP(BL301,FORMULAS!$A:$A,FORMULAS!$B:$B)</f>
        <v>#N/A</v>
      </c>
      <c r="BN301" s="78"/>
      <c r="BO301" s="73"/>
      <c r="BP301" s="73"/>
      <c r="BQ301" s="73"/>
      <c r="BR301" s="73"/>
      <c r="BS301" s="73"/>
      <c r="BT301" s="73"/>
    </row>
    <row r="302" spans="1:72" x14ac:dyDescent="0.25">
      <c r="A302" s="75"/>
      <c r="B302" s="74" t="e">
        <f>WEEKNUM(A302-RESUMEN!$D$7)</f>
        <v>#NUM!</v>
      </c>
      <c r="C302" s="74">
        <f>_xlfn.DAYS(A302,RESUMEN!$D$7)</f>
        <v>-43238</v>
      </c>
      <c r="D302" s="75"/>
      <c r="E302" s="73" t="e">
        <f>LOOKUP(D302,FORMULAS!$A:$A,FORMULAS!$B:$B)</f>
        <v>#N/A</v>
      </c>
      <c r="F302" s="80"/>
      <c r="G302" s="75"/>
      <c r="H302" s="75"/>
      <c r="I302" s="73"/>
      <c r="J302" s="73"/>
      <c r="K302" s="73"/>
      <c r="L302" s="73"/>
      <c r="M302" s="73"/>
      <c r="N302" s="73" t="e">
        <f>WEEKNUM(M302-RESUMEN!$P$7)</f>
        <v>#NUM!</v>
      </c>
      <c r="O302" s="73">
        <f>_xlfn.DAYS(M302,RESUMEN!$P$7)</f>
        <v>-43242</v>
      </c>
      <c r="P302" s="73"/>
      <c r="Q302" s="73" t="e">
        <f>LOOKUP(P302,FORMULAS!$A:$A,FORMULAS!$B:$B)</f>
        <v>#N/A</v>
      </c>
      <c r="R302" s="78"/>
      <c r="S302" s="73"/>
      <c r="T302" s="73"/>
      <c r="U302" s="73"/>
      <c r="V302" s="73"/>
      <c r="W302" s="73"/>
      <c r="X302" s="73"/>
      <c r="Y302" s="73"/>
      <c r="Z302" s="73" t="e">
        <f>WEEKNUM(Y302-RESUMEN!$AB$7)</f>
        <v>#NUM!</v>
      </c>
      <c r="AA302" s="73">
        <f>_xlfn.DAYS(Y302,RESUMEN!$AB$7)</f>
        <v>-43247</v>
      </c>
      <c r="AB302" s="73"/>
      <c r="AC302" s="73" t="e">
        <f>LOOKUP(AB302,FORMULAS!$A:$A,FORMULAS!$B:$B)</f>
        <v>#N/A</v>
      </c>
      <c r="AD302" s="78"/>
      <c r="AE302" s="73"/>
      <c r="AF302" s="73"/>
      <c r="AG302" s="73"/>
      <c r="AH302" s="73"/>
      <c r="AI302" s="73"/>
      <c r="AJ302" s="73"/>
      <c r="AK302" s="73"/>
      <c r="AL302" s="73" t="e">
        <f>WEEKNUM(AK302-RESUMEN!$AN$7)</f>
        <v>#NUM!</v>
      </c>
      <c r="AM302" s="73">
        <f>_xlfn.DAYS(AK302,RESUMEN!$AN$7)</f>
        <v>-43254</v>
      </c>
      <c r="AN302" s="73"/>
      <c r="AO302" s="73" t="e">
        <f>LOOKUP(AN302,FORMULAS!$A:$A,FORMULAS!$B:$B)</f>
        <v>#N/A</v>
      </c>
      <c r="AP302" s="78"/>
      <c r="AQ302" s="78"/>
      <c r="AR302" s="73"/>
      <c r="AS302" s="73"/>
      <c r="AT302" s="73"/>
      <c r="AU302" s="73"/>
      <c r="AV302" s="73"/>
      <c r="AW302" s="73"/>
      <c r="AX302" s="73" t="e">
        <f>WEEKNUM(AW302-RESUMEN!$AZ$7)</f>
        <v>#NUM!</v>
      </c>
      <c r="AY302" s="73">
        <f>_xlfn.DAYS(AW302,RESUMEN!$AZ$7)</f>
        <v>-43261</v>
      </c>
      <c r="AZ302" s="73"/>
      <c r="BA302" s="73" t="e">
        <f>LOOKUP(AZ302,FORMULAS!$A:$A,FORMULAS!$B:$B)</f>
        <v>#N/A</v>
      </c>
      <c r="BB302" s="78"/>
      <c r="BC302" s="73"/>
      <c r="BD302" s="73"/>
      <c r="BE302" s="73"/>
      <c r="BF302" s="73"/>
      <c r="BG302" s="73"/>
      <c r="BH302" s="73"/>
      <c r="BI302" s="73"/>
      <c r="BJ302" s="73" t="e">
        <f>WEEKNUM(BI302-RESUMEN!$BL$7)</f>
        <v>#NUM!</v>
      </c>
      <c r="BK302" s="73">
        <f>_xlfn.DAYS(BI302,RESUMEN!$BL$7)</f>
        <v>-43267</v>
      </c>
      <c r="BL302" s="73"/>
      <c r="BM302" s="73" t="e">
        <f>LOOKUP(BL302,FORMULAS!$A:$A,FORMULAS!$B:$B)</f>
        <v>#N/A</v>
      </c>
      <c r="BN302" s="78"/>
      <c r="BO302" s="73"/>
      <c r="BP302" s="73"/>
      <c r="BQ302" s="73"/>
      <c r="BR302" s="73"/>
      <c r="BS302" s="73"/>
      <c r="BT302" s="73"/>
    </row>
    <row r="303" spans="1:72" x14ac:dyDescent="0.25">
      <c r="A303" s="75"/>
      <c r="B303" s="74" t="e">
        <f>WEEKNUM(A303-RESUMEN!$D$7)</f>
        <v>#NUM!</v>
      </c>
      <c r="C303" s="74">
        <f>_xlfn.DAYS(A303,RESUMEN!$D$7)</f>
        <v>-43238</v>
      </c>
      <c r="D303" s="75"/>
      <c r="E303" s="73" t="e">
        <f>LOOKUP(D303,FORMULAS!$A:$A,FORMULAS!$B:$B)</f>
        <v>#N/A</v>
      </c>
      <c r="F303" s="80"/>
      <c r="G303" s="75"/>
      <c r="H303" s="75"/>
      <c r="I303" s="73"/>
      <c r="J303" s="73"/>
      <c r="K303" s="73"/>
      <c r="L303" s="73"/>
      <c r="M303" s="73"/>
      <c r="N303" s="73" t="e">
        <f>WEEKNUM(M303-RESUMEN!$P$7)</f>
        <v>#NUM!</v>
      </c>
      <c r="O303" s="73">
        <f>_xlfn.DAYS(M303,RESUMEN!$P$7)</f>
        <v>-43242</v>
      </c>
      <c r="P303" s="73"/>
      <c r="Q303" s="73" t="e">
        <f>LOOKUP(P303,FORMULAS!$A:$A,FORMULAS!$B:$B)</f>
        <v>#N/A</v>
      </c>
      <c r="R303" s="78"/>
      <c r="S303" s="73"/>
      <c r="T303" s="73"/>
      <c r="U303" s="73"/>
      <c r="V303" s="73"/>
      <c r="W303" s="73"/>
      <c r="X303" s="73"/>
      <c r="Y303" s="73"/>
      <c r="Z303" s="73" t="e">
        <f>WEEKNUM(Y303-RESUMEN!$AB$7)</f>
        <v>#NUM!</v>
      </c>
      <c r="AA303" s="73">
        <f>_xlfn.DAYS(Y303,RESUMEN!$AB$7)</f>
        <v>-43247</v>
      </c>
      <c r="AB303" s="73"/>
      <c r="AC303" s="73" t="e">
        <f>LOOKUP(AB303,FORMULAS!$A:$A,FORMULAS!$B:$B)</f>
        <v>#N/A</v>
      </c>
      <c r="AD303" s="78"/>
      <c r="AE303" s="73"/>
      <c r="AF303" s="73"/>
      <c r="AG303" s="73"/>
      <c r="AH303" s="73"/>
      <c r="AI303" s="73"/>
      <c r="AJ303" s="73"/>
      <c r="AK303" s="73"/>
      <c r="AL303" s="73" t="e">
        <f>WEEKNUM(AK303-RESUMEN!$AN$7)</f>
        <v>#NUM!</v>
      </c>
      <c r="AM303" s="73">
        <f>_xlfn.DAYS(AK303,RESUMEN!$AN$7)</f>
        <v>-43254</v>
      </c>
      <c r="AN303" s="73"/>
      <c r="AO303" s="73" t="e">
        <f>LOOKUP(AN303,FORMULAS!$A:$A,FORMULAS!$B:$B)</f>
        <v>#N/A</v>
      </c>
      <c r="AP303" s="78"/>
      <c r="AQ303" s="78"/>
      <c r="AR303" s="73"/>
      <c r="AS303" s="73"/>
      <c r="AT303" s="73"/>
      <c r="AU303" s="73"/>
      <c r="AV303" s="73"/>
      <c r="AW303" s="73"/>
      <c r="AX303" s="73" t="e">
        <f>WEEKNUM(AW303-RESUMEN!$AZ$7)</f>
        <v>#NUM!</v>
      </c>
      <c r="AY303" s="73">
        <f>_xlfn.DAYS(AW303,RESUMEN!$AZ$7)</f>
        <v>-43261</v>
      </c>
      <c r="AZ303" s="73"/>
      <c r="BA303" s="73" t="e">
        <f>LOOKUP(AZ303,FORMULAS!$A:$A,FORMULAS!$B:$B)</f>
        <v>#N/A</v>
      </c>
      <c r="BB303" s="78"/>
      <c r="BC303" s="73"/>
      <c r="BD303" s="73"/>
      <c r="BE303" s="73"/>
      <c r="BF303" s="73"/>
      <c r="BG303" s="73"/>
      <c r="BH303" s="73"/>
      <c r="BI303" s="73"/>
      <c r="BJ303" s="73" t="e">
        <f>WEEKNUM(BI303-RESUMEN!$BL$7)</f>
        <v>#NUM!</v>
      </c>
      <c r="BK303" s="73">
        <f>_xlfn.DAYS(BI303,RESUMEN!$BL$7)</f>
        <v>-43267</v>
      </c>
      <c r="BL303" s="73"/>
      <c r="BM303" s="73" t="e">
        <f>LOOKUP(BL303,FORMULAS!$A:$A,FORMULAS!$B:$B)</f>
        <v>#N/A</v>
      </c>
      <c r="BN303" s="78"/>
      <c r="BO303" s="73"/>
      <c r="BP303" s="73"/>
      <c r="BQ303" s="73"/>
      <c r="BR303" s="73"/>
      <c r="BS303" s="73"/>
      <c r="BT303" s="73"/>
    </row>
    <row r="304" spans="1:72" x14ac:dyDescent="0.25">
      <c r="A304" s="75"/>
      <c r="B304" s="74" t="e">
        <f>WEEKNUM(A304-RESUMEN!$D$7)</f>
        <v>#NUM!</v>
      </c>
      <c r="C304" s="74">
        <f>_xlfn.DAYS(A304,RESUMEN!$D$7)</f>
        <v>-43238</v>
      </c>
      <c r="D304" s="75"/>
      <c r="E304" s="73" t="e">
        <f>LOOKUP(D304,FORMULAS!$A:$A,FORMULAS!$B:$B)</f>
        <v>#N/A</v>
      </c>
      <c r="F304" s="80"/>
      <c r="G304" s="75"/>
      <c r="H304" s="75"/>
      <c r="I304" s="73"/>
      <c r="J304" s="73"/>
      <c r="K304" s="73"/>
      <c r="L304" s="73"/>
      <c r="M304" s="73"/>
      <c r="N304" s="73" t="e">
        <f>WEEKNUM(M304-RESUMEN!$P$7)</f>
        <v>#NUM!</v>
      </c>
      <c r="O304" s="73">
        <f>_xlfn.DAYS(M304,RESUMEN!$P$7)</f>
        <v>-43242</v>
      </c>
      <c r="P304" s="73"/>
      <c r="Q304" s="73" t="e">
        <f>LOOKUP(P304,FORMULAS!$A:$A,FORMULAS!$B:$B)</f>
        <v>#N/A</v>
      </c>
      <c r="R304" s="78"/>
      <c r="S304" s="73"/>
      <c r="T304" s="73"/>
      <c r="U304" s="73"/>
      <c r="V304" s="73"/>
      <c r="W304" s="73"/>
      <c r="X304" s="73"/>
      <c r="Y304" s="73"/>
      <c r="Z304" s="73" t="e">
        <f>WEEKNUM(Y304-RESUMEN!$AB$7)</f>
        <v>#NUM!</v>
      </c>
      <c r="AA304" s="73">
        <f>_xlfn.DAYS(Y304,RESUMEN!$AB$7)</f>
        <v>-43247</v>
      </c>
      <c r="AB304" s="73"/>
      <c r="AC304" s="73" t="e">
        <f>LOOKUP(AB304,FORMULAS!$A:$A,FORMULAS!$B:$B)</f>
        <v>#N/A</v>
      </c>
      <c r="AD304" s="78"/>
      <c r="AE304" s="73"/>
      <c r="AF304" s="73"/>
      <c r="AG304" s="73"/>
      <c r="AH304" s="73"/>
      <c r="AI304" s="73"/>
      <c r="AJ304" s="73"/>
      <c r="AK304" s="73"/>
      <c r="AL304" s="73" t="e">
        <f>WEEKNUM(AK304-RESUMEN!$AN$7)</f>
        <v>#NUM!</v>
      </c>
      <c r="AM304" s="73">
        <f>_xlfn.DAYS(AK304,RESUMEN!$AN$7)</f>
        <v>-43254</v>
      </c>
      <c r="AN304" s="73"/>
      <c r="AO304" s="73" t="e">
        <f>LOOKUP(AN304,FORMULAS!$A:$A,FORMULAS!$B:$B)</f>
        <v>#N/A</v>
      </c>
      <c r="AP304" s="78"/>
      <c r="AQ304" s="78"/>
      <c r="AR304" s="73"/>
      <c r="AS304" s="73"/>
      <c r="AT304" s="73"/>
      <c r="AU304" s="73"/>
      <c r="AV304" s="73"/>
      <c r="AW304" s="73"/>
      <c r="AX304" s="73" t="e">
        <f>WEEKNUM(AW304-RESUMEN!$AZ$7)</f>
        <v>#NUM!</v>
      </c>
      <c r="AY304" s="73">
        <f>_xlfn.DAYS(AW304,RESUMEN!$AZ$7)</f>
        <v>-43261</v>
      </c>
      <c r="AZ304" s="73"/>
      <c r="BA304" s="73" t="e">
        <f>LOOKUP(AZ304,FORMULAS!$A:$A,FORMULAS!$B:$B)</f>
        <v>#N/A</v>
      </c>
      <c r="BB304" s="78"/>
      <c r="BC304" s="73"/>
      <c r="BD304" s="73"/>
      <c r="BE304" s="73"/>
      <c r="BF304" s="73"/>
      <c r="BG304" s="73"/>
      <c r="BH304" s="73"/>
      <c r="BI304" s="73"/>
      <c r="BJ304" s="73" t="e">
        <f>WEEKNUM(BI304-RESUMEN!$BL$7)</f>
        <v>#NUM!</v>
      </c>
      <c r="BK304" s="73">
        <f>_xlfn.DAYS(BI304,RESUMEN!$BL$7)</f>
        <v>-43267</v>
      </c>
      <c r="BL304" s="73"/>
      <c r="BM304" s="73" t="e">
        <f>LOOKUP(BL304,FORMULAS!$A:$A,FORMULAS!$B:$B)</f>
        <v>#N/A</v>
      </c>
      <c r="BN304" s="78"/>
      <c r="BO304" s="73"/>
      <c r="BP304" s="73"/>
      <c r="BQ304" s="73"/>
      <c r="BR304" s="73"/>
      <c r="BS304" s="73"/>
      <c r="BT304" s="73"/>
    </row>
    <row r="305" spans="1:72" x14ac:dyDescent="0.25">
      <c r="A305" s="75"/>
      <c r="B305" s="74" t="e">
        <f>WEEKNUM(A305-RESUMEN!$D$7)</f>
        <v>#NUM!</v>
      </c>
      <c r="C305" s="74">
        <f>_xlfn.DAYS(A305,RESUMEN!$D$7)</f>
        <v>-43238</v>
      </c>
      <c r="D305" s="75"/>
      <c r="E305" s="73" t="e">
        <f>LOOKUP(D305,FORMULAS!$A:$A,FORMULAS!$B:$B)</f>
        <v>#N/A</v>
      </c>
      <c r="F305" s="80"/>
      <c r="G305" s="75"/>
      <c r="H305" s="75"/>
      <c r="I305" s="73"/>
      <c r="J305" s="73"/>
      <c r="K305" s="73"/>
      <c r="L305" s="73"/>
      <c r="M305" s="73"/>
      <c r="N305" s="73" t="e">
        <f>WEEKNUM(M305-RESUMEN!$P$7)</f>
        <v>#NUM!</v>
      </c>
      <c r="O305" s="73">
        <f>_xlfn.DAYS(M305,RESUMEN!$P$7)</f>
        <v>-43242</v>
      </c>
      <c r="P305" s="73"/>
      <c r="Q305" s="73" t="e">
        <f>LOOKUP(P305,FORMULAS!$A:$A,FORMULAS!$B:$B)</f>
        <v>#N/A</v>
      </c>
      <c r="R305" s="78"/>
      <c r="S305" s="73"/>
      <c r="T305" s="73"/>
      <c r="U305" s="73"/>
      <c r="V305" s="73"/>
      <c r="W305" s="73"/>
      <c r="X305" s="73"/>
      <c r="Y305" s="73"/>
      <c r="Z305" s="73" t="e">
        <f>WEEKNUM(Y305-RESUMEN!$AB$7)</f>
        <v>#NUM!</v>
      </c>
      <c r="AA305" s="73">
        <f>_xlfn.DAYS(Y305,RESUMEN!$AB$7)</f>
        <v>-43247</v>
      </c>
      <c r="AB305" s="73"/>
      <c r="AC305" s="73" t="e">
        <f>LOOKUP(AB305,FORMULAS!$A:$A,FORMULAS!$B:$B)</f>
        <v>#N/A</v>
      </c>
      <c r="AD305" s="78"/>
      <c r="AE305" s="73"/>
      <c r="AF305" s="73"/>
      <c r="AG305" s="73"/>
      <c r="AH305" s="73"/>
      <c r="AI305" s="73"/>
      <c r="AJ305" s="73"/>
      <c r="AK305" s="73"/>
      <c r="AL305" s="73" t="e">
        <f>WEEKNUM(AK305-RESUMEN!$AN$7)</f>
        <v>#NUM!</v>
      </c>
      <c r="AM305" s="73">
        <f>_xlfn.DAYS(AK305,RESUMEN!$AN$7)</f>
        <v>-43254</v>
      </c>
      <c r="AN305" s="73"/>
      <c r="AO305" s="73" t="e">
        <f>LOOKUP(AN305,FORMULAS!$A:$A,FORMULAS!$B:$B)</f>
        <v>#N/A</v>
      </c>
      <c r="AP305" s="78"/>
      <c r="AQ305" s="78"/>
      <c r="AR305" s="73"/>
      <c r="AS305" s="73"/>
      <c r="AT305" s="73"/>
      <c r="AU305" s="73"/>
      <c r="AV305" s="73"/>
      <c r="AW305" s="73"/>
      <c r="AX305" s="73" t="e">
        <f>WEEKNUM(AW305-RESUMEN!$AZ$7)</f>
        <v>#NUM!</v>
      </c>
      <c r="AY305" s="73">
        <f>_xlfn.DAYS(AW305,RESUMEN!$AZ$7)</f>
        <v>-43261</v>
      </c>
      <c r="AZ305" s="73"/>
      <c r="BA305" s="73" t="e">
        <f>LOOKUP(AZ305,FORMULAS!$A:$A,FORMULAS!$B:$B)</f>
        <v>#N/A</v>
      </c>
      <c r="BB305" s="78"/>
      <c r="BC305" s="73"/>
      <c r="BD305" s="73"/>
      <c r="BE305" s="73"/>
      <c r="BF305" s="73"/>
      <c r="BG305" s="73"/>
      <c r="BH305" s="73"/>
      <c r="BI305" s="73"/>
      <c r="BJ305" s="73" t="e">
        <f>WEEKNUM(BI305-RESUMEN!$BL$7)</f>
        <v>#NUM!</v>
      </c>
      <c r="BK305" s="73">
        <f>_xlfn.DAYS(BI305,RESUMEN!$BL$7)</f>
        <v>-43267</v>
      </c>
      <c r="BL305" s="73"/>
      <c r="BM305" s="73" t="e">
        <f>LOOKUP(BL305,FORMULAS!$A:$A,FORMULAS!$B:$B)</f>
        <v>#N/A</v>
      </c>
      <c r="BN305" s="78"/>
      <c r="BO305" s="73"/>
      <c r="BP305" s="73"/>
      <c r="BQ305" s="73"/>
      <c r="BR305" s="73"/>
      <c r="BS305" s="73"/>
      <c r="BT305" s="73"/>
    </row>
    <row r="306" spans="1:72" x14ac:dyDescent="0.25">
      <c r="A306" s="75"/>
      <c r="B306" s="74" t="e">
        <f>WEEKNUM(A306-RESUMEN!$D$7)</f>
        <v>#NUM!</v>
      </c>
      <c r="C306" s="74">
        <f>_xlfn.DAYS(A306,RESUMEN!$D$7)</f>
        <v>-43238</v>
      </c>
      <c r="D306" s="75"/>
      <c r="E306" s="73" t="e">
        <f>LOOKUP(D306,FORMULAS!$A:$A,FORMULAS!$B:$B)</f>
        <v>#N/A</v>
      </c>
      <c r="F306" s="80"/>
      <c r="G306" s="75"/>
      <c r="H306" s="75"/>
      <c r="I306" s="73"/>
      <c r="J306" s="73"/>
      <c r="K306" s="73"/>
      <c r="L306" s="73"/>
      <c r="M306" s="73"/>
      <c r="N306" s="73" t="e">
        <f>WEEKNUM(M306-RESUMEN!$P$7)</f>
        <v>#NUM!</v>
      </c>
      <c r="O306" s="73">
        <f>_xlfn.DAYS(M306,RESUMEN!$P$7)</f>
        <v>-43242</v>
      </c>
      <c r="P306" s="73"/>
      <c r="Q306" s="73" t="e">
        <f>LOOKUP(P306,FORMULAS!$A:$A,FORMULAS!$B:$B)</f>
        <v>#N/A</v>
      </c>
      <c r="R306" s="78"/>
      <c r="S306" s="73"/>
      <c r="T306" s="73"/>
      <c r="U306" s="73"/>
      <c r="V306" s="73"/>
      <c r="W306" s="73"/>
      <c r="X306" s="73"/>
      <c r="Y306" s="73"/>
      <c r="Z306" s="73" t="e">
        <f>WEEKNUM(Y306-RESUMEN!$AB$7)</f>
        <v>#NUM!</v>
      </c>
      <c r="AA306" s="73">
        <f>_xlfn.DAYS(Y306,RESUMEN!$AB$7)</f>
        <v>-43247</v>
      </c>
      <c r="AB306" s="73"/>
      <c r="AC306" s="73" t="e">
        <f>LOOKUP(AB306,FORMULAS!$A:$A,FORMULAS!$B:$B)</f>
        <v>#N/A</v>
      </c>
      <c r="AD306" s="78"/>
      <c r="AE306" s="73"/>
      <c r="AF306" s="73"/>
      <c r="AG306" s="73"/>
      <c r="AH306" s="73"/>
      <c r="AI306" s="73"/>
      <c r="AJ306" s="73"/>
      <c r="AK306" s="73"/>
      <c r="AL306" s="73" t="e">
        <f>WEEKNUM(AK306-RESUMEN!$AN$7)</f>
        <v>#NUM!</v>
      </c>
      <c r="AM306" s="73">
        <f>_xlfn.DAYS(AK306,RESUMEN!$AN$7)</f>
        <v>-43254</v>
      </c>
      <c r="AN306" s="73"/>
      <c r="AO306" s="73" t="e">
        <f>LOOKUP(AN306,FORMULAS!$A:$A,FORMULAS!$B:$B)</f>
        <v>#N/A</v>
      </c>
      <c r="AP306" s="78"/>
      <c r="AQ306" s="78"/>
      <c r="AR306" s="73"/>
      <c r="AS306" s="73"/>
      <c r="AT306" s="73"/>
      <c r="AU306" s="73"/>
      <c r="AV306" s="73"/>
      <c r="AW306" s="73"/>
      <c r="AX306" s="73" t="e">
        <f>WEEKNUM(AW306-RESUMEN!$AZ$7)</f>
        <v>#NUM!</v>
      </c>
      <c r="AY306" s="73">
        <f>_xlfn.DAYS(AW306,RESUMEN!$AZ$7)</f>
        <v>-43261</v>
      </c>
      <c r="AZ306" s="73"/>
      <c r="BA306" s="73" t="e">
        <f>LOOKUP(AZ306,FORMULAS!$A:$A,FORMULAS!$B:$B)</f>
        <v>#N/A</v>
      </c>
      <c r="BB306" s="78"/>
      <c r="BC306" s="73"/>
      <c r="BD306" s="73"/>
      <c r="BE306" s="73"/>
      <c r="BF306" s="73"/>
      <c r="BG306" s="73"/>
      <c r="BH306" s="73"/>
      <c r="BI306" s="73"/>
      <c r="BJ306" s="73" t="e">
        <f>WEEKNUM(BI306-RESUMEN!$BL$7)</f>
        <v>#NUM!</v>
      </c>
      <c r="BK306" s="73">
        <f>_xlfn.DAYS(BI306,RESUMEN!$BL$7)</f>
        <v>-43267</v>
      </c>
      <c r="BL306" s="73"/>
      <c r="BM306" s="73" t="e">
        <f>LOOKUP(BL306,FORMULAS!$A:$A,FORMULAS!$B:$B)</f>
        <v>#N/A</v>
      </c>
      <c r="BN306" s="78"/>
      <c r="BO306" s="73"/>
      <c r="BP306" s="73"/>
      <c r="BQ306" s="73"/>
      <c r="BR306" s="73"/>
      <c r="BS306" s="73"/>
      <c r="BT306" s="73"/>
    </row>
  </sheetData>
  <sheetProtection selectLockedCells="1" autoFilter="0" pivotTables="0"/>
  <protectedRanges>
    <protectedRange sqref="BT25:BT26 BN6:BN32" name="Rango1_33"/>
    <protectedRange sqref="BP10:BP24 BP27:BP32" name="Rango1_32"/>
    <protectedRange sqref="BR25:BR26 BL6:BL35" name="Rango1_31"/>
    <protectedRange sqref="BI7:BI32" name="Rango1_30"/>
    <protectedRange sqref="BB6:BC30" name="Rango1_28"/>
    <protectedRange sqref="BD9:BD30" name="Rango1_27"/>
    <protectedRange sqref="AZ6:AZ48" name="Rango1_25"/>
    <protectedRange sqref="AW6:AW30 BI6" name="Rango1_24"/>
    <protectedRange sqref="AP6:AP30" name="Rango1_22"/>
    <protectedRange sqref="AR8:AR30" name="Rango1_21"/>
    <protectedRange sqref="AN6:AN7 AN12 AN18 AN14 AN16 AN20 AN25 AN27 AN30 AN33:AN34 AN36 AN38:AN39 AN41 AN43:AN44 AN46 AN48:AN50 AN54:AN55 AN57 AU72 AN59:AN67" name="Rango1_19"/>
    <protectedRange sqref="AK6:AK30" name="Rango1_18"/>
    <protectedRange sqref="AD6:AE27 R7:R8" name="Rango1_16"/>
    <protectedRange sqref="AF8:AF27" name="Rango1_14"/>
    <protectedRange sqref="AN8:AN11 AN13 AN15 AN17 AN19 AN21:AN24 AN26 AN28:AN29 AN31:AN32 AN35 AN37 AN40 AN42 AN45 AB6:AB49 AN47 AN51:AN53 AN56 AB51:AB53 AN58" name="Rango1_13"/>
    <protectedRange sqref="Y6:Y27" name="Rango1_12"/>
    <protectedRange sqref="R6:S6 R9:S30 S7:S8" name="Rango1_10"/>
    <protectedRange sqref="T8:T30" name="Rango1_9"/>
    <protectedRange sqref="P6 P17 P36 P39 P41 P43 P45 P47 P49 P51 P53 P55 P59:P61 P57" name="Rango1_8"/>
    <protectedRange sqref="M6:M30" name="Rango1_6"/>
    <protectedRange sqref="F6:F31" name="Rango1_4"/>
    <protectedRange sqref="H9:H31" name="Rango1_3"/>
    <protectedRange sqref="P7:P16 P18:P35 P37:P38 P40 P42 P44 P46 P48 P50 P52 P54 P58 P56 D6:D76 P62:P74" name="Rango1_2"/>
    <protectedRange sqref="A6:A31" name="Rango1"/>
    <protectedRange sqref="BI33:BI306 BL36:BL306 BO6:BP9 BN33:BP306 BU25:BU26 BO10:BO32" name="LOTE6"/>
    <protectedRange sqref="AW31:AW306 BD6:BD8 BB31:BD306 AZ49:AZ306" name="LOTE5"/>
    <protectedRange sqref="AQ6:AR7 AP31:AR306 AQ8:AQ30 AK31:AK306 AN68:AN306" name="LOTE4"/>
    <protectedRange sqref="Y28:Y306 AF6:AF7 AD28:AF306 AB50 AB54:AB306" name="LOTE3"/>
    <protectedRange sqref="T6:T7 R31:T306 P75:P306 M31:M306" name="LOTE2"/>
    <protectedRange sqref="G6:H8 F32:H306 G9:G31 A32:A306 D77:D306" name="LOTE1"/>
  </protectedRanges>
  <pageMargins left="0.39370078740157483" right="0.39370078740157483" top="0.39370078740157483" bottom="0.39370078740157483" header="0" footer="0"/>
  <pageSetup orientation="landscape" horizontalDpi="300" verticalDpi="300" r:id="rId7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383" operator="greaterThan" id="{07ADFDA7-6504-4BD4-AEA8-3E68DAC752CF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D25 H13:H31 A6:A31</xm:sqref>
        </x14:conditionalFormatting>
        <x14:conditionalFormatting xmlns:xm="http://schemas.microsoft.com/office/excel/2006/main">
          <x14:cfRule type="cellIs" priority="382" operator="greaterThan" id="{4FB65C26-9B71-40B1-8779-D336730C24E1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D6:D11</xm:sqref>
        </x14:conditionalFormatting>
        <x14:conditionalFormatting xmlns:xm="http://schemas.microsoft.com/office/excel/2006/main">
          <x14:cfRule type="cellIs" priority="380" operator="greaterThan" id="{91B75C01-E40F-483A-BE22-D6ADA7AAA67D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H9:H11</xm:sqref>
        </x14:conditionalFormatting>
        <x14:conditionalFormatting xmlns:xm="http://schemas.microsoft.com/office/excel/2006/main">
          <x14:cfRule type="cellIs" priority="379" operator="greaterThan" id="{E12735B5-1BA5-45E4-95C9-4322D138CE0E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H12</xm:sqref>
        </x14:conditionalFormatting>
        <x14:conditionalFormatting xmlns:xm="http://schemas.microsoft.com/office/excel/2006/main">
          <x14:cfRule type="cellIs" priority="378" operator="greaterThan" id="{6A7E09CC-4DB8-4642-9096-613BE5F636B3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F6:F31</xm:sqref>
        </x14:conditionalFormatting>
        <x14:conditionalFormatting xmlns:xm="http://schemas.microsoft.com/office/excel/2006/main">
          <x14:cfRule type="cellIs" priority="377" operator="greaterThan" id="{6998F9E6-FBB5-4FF6-A350-BE43BB2DA240}">
            <xm:f>RESUMEN!$U$2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P17 M6:M30</xm:sqref>
        </x14:conditionalFormatting>
        <x14:conditionalFormatting xmlns:xm="http://schemas.microsoft.com/office/excel/2006/main">
          <x14:cfRule type="cellIs" priority="375" operator="greaterThan" id="{D8424677-F254-453A-A99B-D452F3576CF5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P6</xm:sqref>
        </x14:conditionalFormatting>
        <x14:conditionalFormatting xmlns:xm="http://schemas.microsoft.com/office/excel/2006/main">
          <x14:cfRule type="cellIs" priority="370" operator="greaterThan" id="{5242C99F-D062-4A29-8361-78D0D4630767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T8:T30</xm:sqref>
        </x14:conditionalFormatting>
        <x14:conditionalFormatting xmlns:xm="http://schemas.microsoft.com/office/excel/2006/main">
          <x14:cfRule type="cellIs" priority="369" operator="greaterThan" id="{BDC1643B-3B53-45C3-80ED-B9818E6E2D17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R6 R9:R30</xm:sqref>
        </x14:conditionalFormatting>
        <x14:conditionalFormatting xmlns:xm="http://schemas.microsoft.com/office/excel/2006/main">
          <x14:cfRule type="cellIs" priority="368" operator="greaterThan" id="{D0355C78-6211-43CE-A65C-35076AFF265A}">
            <xm:f>RESUMEN!$AG$2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AB27 Y6:Y27</xm:sqref>
        </x14:conditionalFormatting>
        <x14:conditionalFormatting xmlns:xm="http://schemas.microsoft.com/office/excel/2006/main">
          <x14:cfRule type="cellIs" priority="367" operator="greaterThan" id="{006C8B29-980B-4288-B2DC-ABB741AF87C0}">
            <xm:f>RESUMEN!$AG$2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AB8</xm:sqref>
        </x14:conditionalFormatting>
        <x14:conditionalFormatting xmlns:xm="http://schemas.microsoft.com/office/excel/2006/main">
          <x14:cfRule type="cellIs" priority="366" operator="greaterThan" id="{25C01E5F-0966-42AF-81A5-6ECE5BB63051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AB6</xm:sqref>
        </x14:conditionalFormatting>
        <x14:conditionalFormatting xmlns:xm="http://schemas.microsoft.com/office/excel/2006/main">
          <x14:cfRule type="cellIs" priority="365" operator="greaterThan" id="{4B0BC14C-40AA-45E2-BE67-CF2997CD1242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AB7</xm:sqref>
        </x14:conditionalFormatting>
        <x14:conditionalFormatting xmlns:xm="http://schemas.microsoft.com/office/excel/2006/main">
          <x14:cfRule type="cellIs" priority="361" operator="greaterThan" id="{078C12BF-2C99-44C1-9D9B-D3631B0D8D78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AF8:AF27</xm:sqref>
        </x14:conditionalFormatting>
        <x14:conditionalFormatting xmlns:xm="http://schemas.microsoft.com/office/excel/2006/main">
          <x14:cfRule type="cellIs" priority="360" operator="greaterThan" id="{2DF11107-E26B-4B46-9427-E689B709E722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AD6:AD27</xm:sqref>
        </x14:conditionalFormatting>
        <x14:conditionalFormatting xmlns:xm="http://schemas.microsoft.com/office/excel/2006/main">
          <x14:cfRule type="cellIs" priority="359" operator="greaterThan" id="{01DB6CDC-A6D6-45CC-B39F-3E5DAA184652}">
            <xm:f>RESUMEN!$AS$2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AN18 AK6:AK30 AN27</xm:sqref>
        </x14:conditionalFormatting>
        <x14:conditionalFormatting xmlns:xm="http://schemas.microsoft.com/office/excel/2006/main">
          <x14:cfRule type="cellIs" priority="357" operator="greaterThan" id="{A69F98EA-5591-48F0-99AA-133B2D4CC03C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AN6</xm:sqref>
        </x14:conditionalFormatting>
        <x14:conditionalFormatting xmlns:xm="http://schemas.microsoft.com/office/excel/2006/main">
          <x14:cfRule type="cellIs" priority="356" operator="greaterThan" id="{F478373F-2AF4-4005-ADA6-0EE09E7066FC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AN7</xm:sqref>
        </x14:conditionalFormatting>
        <x14:conditionalFormatting xmlns:xm="http://schemas.microsoft.com/office/excel/2006/main">
          <x14:cfRule type="cellIs" priority="354" operator="greaterThan" id="{E534B0EF-093D-421B-B735-AF4D2B4FA48A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AR8:AR30</xm:sqref>
        </x14:conditionalFormatting>
        <x14:conditionalFormatting xmlns:xm="http://schemas.microsoft.com/office/excel/2006/main">
          <x14:cfRule type="cellIs" priority="353" operator="greaterThan" id="{FB96520A-168F-48F4-83AE-A9988DEFEF72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AP6:AP30</xm:sqref>
        </x14:conditionalFormatting>
        <x14:conditionalFormatting xmlns:xm="http://schemas.microsoft.com/office/excel/2006/main">
          <x14:cfRule type="cellIs" priority="352" operator="greaterThan" id="{861B6000-DECB-44C7-9B8C-383A7278FC80}">
            <xm:f>RESUMEN!$BE$2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AZ27 AW6:AW30</xm:sqref>
        </x14:conditionalFormatting>
        <x14:conditionalFormatting xmlns:xm="http://schemas.microsoft.com/office/excel/2006/main">
          <x14:cfRule type="cellIs" priority="350" operator="greaterThan" id="{8E9877D4-953B-4FF9-8EFD-94FC4DDAFC51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AZ6</xm:sqref>
        </x14:conditionalFormatting>
        <x14:conditionalFormatting xmlns:xm="http://schemas.microsoft.com/office/excel/2006/main">
          <x14:cfRule type="cellIs" priority="349" operator="greaterThan" id="{72D6CA21-2D88-4829-9999-76D9FE6F5D73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AZ7</xm:sqref>
        </x14:conditionalFormatting>
        <x14:conditionalFormatting xmlns:xm="http://schemas.microsoft.com/office/excel/2006/main">
          <x14:cfRule type="cellIs" priority="348" operator="greaterThan" id="{F04090BB-CAA1-47CC-AF9B-64289DA6DC24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AZ8</xm:sqref>
        </x14:conditionalFormatting>
        <x14:conditionalFormatting xmlns:xm="http://schemas.microsoft.com/office/excel/2006/main">
          <x14:cfRule type="cellIs" priority="343" operator="greaterThan" id="{980D848E-61B4-4746-ADDB-BA42DC207B22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BD9:BD30</xm:sqref>
        </x14:conditionalFormatting>
        <x14:conditionalFormatting xmlns:xm="http://schemas.microsoft.com/office/excel/2006/main">
          <x14:cfRule type="cellIs" priority="342" operator="greaterThan" id="{42C96E3B-55D5-433A-BE29-5037F22924EC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BB6:BB30</xm:sqref>
        </x14:conditionalFormatting>
        <x14:conditionalFormatting xmlns:xm="http://schemas.microsoft.com/office/excel/2006/main">
          <x14:cfRule type="cellIs" priority="341" operator="greaterThan" id="{D0946153-27C5-4100-91C0-9CA484E8D28B}">
            <xm:f>RESUMEN!$BQ$2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BI7:BI26 BI28:BI32</xm:sqref>
        </x14:conditionalFormatting>
        <x14:conditionalFormatting xmlns:xm="http://schemas.microsoft.com/office/excel/2006/main">
          <x14:cfRule type="cellIs" priority="340" operator="greaterThan" id="{03F2B75B-9767-43C4-9ABA-F47DCF7DE0F4}">
            <xm:f>RESUMEN!$BQ$2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BL14 BL29 BL31:BL32</xm:sqref>
        </x14:conditionalFormatting>
        <x14:conditionalFormatting xmlns:xm="http://schemas.microsoft.com/office/excel/2006/main">
          <x14:cfRule type="cellIs" priority="339" operator="greaterThan" id="{E1C7F4AE-22CF-4355-B528-9A9F92E1838A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BL6</xm:sqref>
        </x14:conditionalFormatting>
        <x14:conditionalFormatting xmlns:xm="http://schemas.microsoft.com/office/excel/2006/main">
          <x14:cfRule type="cellIs" priority="338" operator="greaterThan" id="{0F11350D-53EA-4323-84EA-8FDD48FAD4DD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BL7</xm:sqref>
        </x14:conditionalFormatting>
        <x14:conditionalFormatting xmlns:xm="http://schemas.microsoft.com/office/excel/2006/main">
          <x14:cfRule type="cellIs" priority="337" operator="greaterThan" id="{1E92DB7F-3F52-4BA4-8BF3-DF8442FB5963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BL8</xm:sqref>
        </x14:conditionalFormatting>
        <x14:conditionalFormatting xmlns:xm="http://schemas.microsoft.com/office/excel/2006/main">
          <x14:cfRule type="cellIs" priority="335" operator="greaterThan" id="{21E00B5C-3B8E-4ED2-8B26-C0D12B255345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BP10:BP32</xm:sqref>
        </x14:conditionalFormatting>
        <x14:conditionalFormatting xmlns:xm="http://schemas.microsoft.com/office/excel/2006/main">
          <x14:cfRule type="cellIs" priority="334" operator="greaterThan" id="{0A60DA0B-D65F-4CFC-94D6-63AB05842293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BN6:BN26 BN28:BN32</xm:sqref>
        </x14:conditionalFormatting>
        <x14:conditionalFormatting xmlns:xm="http://schemas.microsoft.com/office/excel/2006/main">
          <x14:cfRule type="cellIs" priority="333" operator="greaterThan" id="{74B79FE4-55AE-45CC-9381-12C45667BC74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S6:S30</xm:sqref>
        </x14:conditionalFormatting>
        <x14:conditionalFormatting xmlns:xm="http://schemas.microsoft.com/office/excel/2006/main">
          <x14:cfRule type="cellIs" priority="332" operator="greaterThan" id="{CAEDD0EE-75FF-4FF6-A4C1-A8FD5DD6B000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AE6:AE27</xm:sqref>
        </x14:conditionalFormatting>
        <x14:conditionalFormatting xmlns:xm="http://schemas.microsoft.com/office/excel/2006/main">
          <x14:cfRule type="cellIs" priority="331" operator="greaterThan" id="{254F4C96-44C5-4B66-86D1-7BFD6AE5CAC0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BC6:BC30</xm:sqref>
        </x14:conditionalFormatting>
        <x14:conditionalFormatting xmlns:xm="http://schemas.microsoft.com/office/excel/2006/main">
          <x14:cfRule type="cellIs" priority="329" operator="greaterThan" id="{714E8D3B-C193-4581-8495-0134E6C7FE0F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P7:P8</xm:sqref>
        </x14:conditionalFormatting>
        <x14:conditionalFormatting xmlns:xm="http://schemas.microsoft.com/office/excel/2006/main">
          <x14:cfRule type="cellIs" priority="328" operator="greaterThan" id="{A6FFA34B-B08F-4479-8E32-60A1A31DA8D1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R7:R8</xm:sqref>
        </x14:conditionalFormatting>
        <x14:conditionalFormatting xmlns:xm="http://schemas.microsoft.com/office/excel/2006/main">
          <x14:cfRule type="cellIs" priority="327" operator="greaterThan" id="{70824E45-BC4B-42A2-9D08-9103FDE0DD03}">
            <xm:f>RESUMEN!$BE$2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BI6</xm:sqref>
        </x14:conditionalFormatting>
        <x14:conditionalFormatting xmlns:xm="http://schemas.microsoft.com/office/excel/2006/main">
          <x14:cfRule type="cellIs" priority="326" operator="greaterThan" id="{99A2CA31-4142-4D8A-ADAE-F3D333BA1E73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D12</xm:sqref>
        </x14:conditionalFormatting>
        <x14:conditionalFormatting xmlns:xm="http://schemas.microsoft.com/office/excel/2006/main">
          <x14:cfRule type="cellIs" priority="324" operator="greaterThan" id="{AA514DBC-62B7-4F64-B557-A89D20D3CF1D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D14</xm:sqref>
        </x14:conditionalFormatting>
        <x14:conditionalFormatting xmlns:xm="http://schemas.microsoft.com/office/excel/2006/main">
          <x14:cfRule type="cellIs" priority="323" operator="greaterThan" id="{5B386FEA-F63A-4D75-AB25-68410D0979BA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D13</xm:sqref>
        </x14:conditionalFormatting>
        <x14:conditionalFormatting xmlns:xm="http://schemas.microsoft.com/office/excel/2006/main">
          <x14:cfRule type="cellIs" priority="322" operator="greaterThan" id="{644B2302-3687-40C2-9754-09BC5C09F668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P9</xm:sqref>
        </x14:conditionalFormatting>
        <x14:conditionalFormatting xmlns:xm="http://schemas.microsoft.com/office/excel/2006/main">
          <x14:cfRule type="cellIs" priority="321" operator="greaterThan" id="{3848EAA9-04F2-493D-82C3-C98B26EFE328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D15</xm:sqref>
        </x14:conditionalFormatting>
        <x14:conditionalFormatting xmlns:xm="http://schemas.microsoft.com/office/excel/2006/main">
          <x14:cfRule type="cellIs" priority="320" operator="greaterThan" id="{C5386D49-8742-4AEC-BF4D-F4738A137831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D16</xm:sqref>
        </x14:conditionalFormatting>
        <x14:conditionalFormatting xmlns:xm="http://schemas.microsoft.com/office/excel/2006/main">
          <x14:cfRule type="cellIs" priority="319" operator="greaterThan" id="{A19868E0-E9AC-44B0-AF87-0F5CF7698CEB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P10</xm:sqref>
        </x14:conditionalFormatting>
        <x14:conditionalFormatting xmlns:xm="http://schemas.microsoft.com/office/excel/2006/main">
          <x14:cfRule type="cellIs" priority="318" operator="greaterThan" id="{9B050960-FAB5-4BEC-8ECA-4C7DBA1C1D8B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D17</xm:sqref>
        </x14:conditionalFormatting>
        <x14:conditionalFormatting xmlns:xm="http://schemas.microsoft.com/office/excel/2006/main">
          <x14:cfRule type="cellIs" priority="317" operator="greaterThan" id="{C69BDF90-E7E2-4021-913E-53ED749027B1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D18</xm:sqref>
        </x14:conditionalFormatting>
        <x14:conditionalFormatting xmlns:xm="http://schemas.microsoft.com/office/excel/2006/main">
          <x14:cfRule type="cellIs" priority="316" operator="greaterThan" id="{AA64E5C7-5635-4090-A0BB-A9882F4EA82F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P11</xm:sqref>
        </x14:conditionalFormatting>
        <x14:conditionalFormatting xmlns:xm="http://schemas.microsoft.com/office/excel/2006/main">
          <x14:cfRule type="cellIs" priority="315" operator="greaterThan" id="{DD3F21AD-2AE0-4D22-9AFE-60C7FED1B383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D19</xm:sqref>
        </x14:conditionalFormatting>
        <x14:conditionalFormatting xmlns:xm="http://schemas.microsoft.com/office/excel/2006/main">
          <x14:cfRule type="cellIs" priority="314" operator="greaterThan" id="{269DAAB4-BFF3-43F7-9087-E249386C9143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D20</xm:sqref>
        </x14:conditionalFormatting>
        <x14:conditionalFormatting xmlns:xm="http://schemas.microsoft.com/office/excel/2006/main">
          <x14:cfRule type="cellIs" priority="313" operator="greaterThan" id="{90B181E5-D11E-4A6C-BCF2-679CE4F67F8D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P12</xm:sqref>
        </x14:conditionalFormatting>
        <x14:conditionalFormatting xmlns:xm="http://schemas.microsoft.com/office/excel/2006/main">
          <x14:cfRule type="cellIs" priority="312" operator="greaterThan" id="{8C0B56EB-A21B-4841-A3A3-776E72E39AF5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D21</xm:sqref>
        </x14:conditionalFormatting>
        <x14:conditionalFormatting xmlns:xm="http://schemas.microsoft.com/office/excel/2006/main">
          <x14:cfRule type="cellIs" priority="311" operator="greaterThan" id="{A15B2E9A-9272-4BE1-BA3A-E5F0AC8A0EB5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D22</xm:sqref>
        </x14:conditionalFormatting>
        <x14:conditionalFormatting xmlns:xm="http://schemas.microsoft.com/office/excel/2006/main">
          <x14:cfRule type="cellIs" priority="310" operator="greaterThan" id="{849D9D30-BF97-49D7-854C-DBFBEF2041B6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P13</xm:sqref>
        </x14:conditionalFormatting>
        <x14:conditionalFormatting xmlns:xm="http://schemas.microsoft.com/office/excel/2006/main">
          <x14:cfRule type="cellIs" priority="309" operator="greaterThan" id="{B1B90A77-CF4B-48F3-B75A-F9F2233F597E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P14</xm:sqref>
        </x14:conditionalFormatting>
        <x14:conditionalFormatting xmlns:xm="http://schemas.microsoft.com/office/excel/2006/main">
          <x14:cfRule type="cellIs" priority="308" operator="greaterThan" id="{A213ABF6-1738-49F4-89B3-918E3A5C84BA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D23</xm:sqref>
        </x14:conditionalFormatting>
        <x14:conditionalFormatting xmlns:xm="http://schemas.microsoft.com/office/excel/2006/main">
          <x14:cfRule type="cellIs" priority="307" operator="greaterThan" id="{0C9836E0-B657-4E8C-BD7B-3BF7C81C8B27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D24</xm:sqref>
        </x14:conditionalFormatting>
        <x14:conditionalFormatting xmlns:xm="http://schemas.microsoft.com/office/excel/2006/main">
          <x14:cfRule type="cellIs" priority="305" operator="greaterThan" id="{7C27AE1F-5B92-4B57-89C0-9E16021F7AF7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P16</xm:sqref>
        </x14:conditionalFormatting>
        <x14:conditionalFormatting xmlns:xm="http://schemas.microsoft.com/office/excel/2006/main">
          <x14:cfRule type="cellIs" priority="304" operator="greaterThan" id="{B1BAE173-A382-4442-9E54-410A73E9F896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D26</xm:sqref>
        </x14:conditionalFormatting>
        <x14:conditionalFormatting xmlns:xm="http://schemas.microsoft.com/office/excel/2006/main">
          <x14:cfRule type="cellIs" priority="303" operator="greaterThan" id="{BA0AC9D4-4453-4840-988D-3E9CA3A85CA2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D27</xm:sqref>
        </x14:conditionalFormatting>
        <x14:conditionalFormatting xmlns:xm="http://schemas.microsoft.com/office/excel/2006/main">
          <x14:cfRule type="cellIs" priority="302" operator="greaterThan" id="{89023E5C-6F34-439C-B01C-91D18538842C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P15</xm:sqref>
        </x14:conditionalFormatting>
        <x14:conditionalFormatting xmlns:xm="http://schemas.microsoft.com/office/excel/2006/main">
          <x14:cfRule type="cellIs" priority="301" operator="greaterThan" id="{E6031D51-FCA1-446D-BE43-6C9BA6C82981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P18</xm:sqref>
        </x14:conditionalFormatting>
        <x14:conditionalFormatting xmlns:xm="http://schemas.microsoft.com/office/excel/2006/main">
          <x14:cfRule type="cellIs" priority="300" operator="greaterThan" id="{79623EB0-F859-4CBF-BCF4-6ADC45A69E68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D28</xm:sqref>
        </x14:conditionalFormatting>
        <x14:conditionalFormatting xmlns:xm="http://schemas.microsoft.com/office/excel/2006/main">
          <x14:cfRule type="cellIs" priority="299" operator="greaterThan" id="{AF8AE9E4-55A4-46B7-B6C0-739D92F89B56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D29</xm:sqref>
        </x14:conditionalFormatting>
        <x14:conditionalFormatting xmlns:xm="http://schemas.microsoft.com/office/excel/2006/main">
          <x14:cfRule type="cellIs" priority="298" operator="greaterThan" id="{26BDEE3F-01FE-495D-A02E-EB22A21198C2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P20</xm:sqref>
        </x14:conditionalFormatting>
        <x14:conditionalFormatting xmlns:xm="http://schemas.microsoft.com/office/excel/2006/main">
          <x14:cfRule type="cellIs" priority="297" operator="greaterThan" id="{75CB988C-553D-45E3-B758-4D9148900125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P19</xm:sqref>
        </x14:conditionalFormatting>
        <x14:conditionalFormatting xmlns:xm="http://schemas.microsoft.com/office/excel/2006/main">
          <x14:cfRule type="cellIs" priority="296" operator="greaterThan" id="{644BC462-F58F-416E-9A40-7AA16B4F4792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D30</xm:sqref>
        </x14:conditionalFormatting>
        <x14:conditionalFormatting xmlns:xm="http://schemas.microsoft.com/office/excel/2006/main">
          <x14:cfRule type="cellIs" priority="295" operator="greaterThan" id="{F232285C-336C-45C9-B260-6D318E9DC7B9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P22</xm:sqref>
        </x14:conditionalFormatting>
        <x14:conditionalFormatting xmlns:xm="http://schemas.microsoft.com/office/excel/2006/main">
          <x14:cfRule type="cellIs" priority="294" operator="greaterThan" id="{65A1CFDC-36DE-4D00-8310-B1499A218CFE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P21</xm:sqref>
        </x14:conditionalFormatting>
        <x14:conditionalFormatting xmlns:xm="http://schemas.microsoft.com/office/excel/2006/main">
          <x14:cfRule type="cellIs" priority="293" operator="greaterThan" id="{540E283F-4E4E-4987-B803-F7EB15BDE861}">
            <xm:f>RESUMEN!$AG$2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AB10</xm:sqref>
        </x14:conditionalFormatting>
        <x14:conditionalFormatting xmlns:xm="http://schemas.microsoft.com/office/excel/2006/main">
          <x14:cfRule type="cellIs" priority="292" operator="greaterThan" id="{4E0B89F7-E6A8-4D35-AB5D-B1B87F8C5880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AB9</xm:sqref>
        </x14:conditionalFormatting>
        <x14:conditionalFormatting xmlns:xm="http://schemas.microsoft.com/office/excel/2006/main">
          <x14:cfRule type="cellIs" priority="289" operator="greaterThan" id="{AC12F3FC-D4C0-4006-B2E2-75E9DA5B086A}">
            <xm:f>RESUMEN!$AG$2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AN8</xm:sqref>
        </x14:conditionalFormatting>
        <x14:conditionalFormatting xmlns:xm="http://schemas.microsoft.com/office/excel/2006/main">
          <x14:cfRule type="cellIs" priority="288" operator="greaterThan" id="{DAAE017D-1821-49AA-A9D8-058D78715BBA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D31</xm:sqref>
        </x14:conditionalFormatting>
        <x14:conditionalFormatting xmlns:xm="http://schemas.microsoft.com/office/excel/2006/main">
          <x14:cfRule type="cellIs" priority="287" operator="greaterThan" id="{080C693E-AD6C-495B-A27D-CE44B282643E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P24</xm:sqref>
        </x14:conditionalFormatting>
        <x14:conditionalFormatting xmlns:xm="http://schemas.microsoft.com/office/excel/2006/main">
          <x14:cfRule type="cellIs" priority="286" operator="greaterThan" id="{E06C38CF-B38B-4B3A-804B-4916ACC3DFD0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P23</xm:sqref>
        </x14:conditionalFormatting>
        <x14:conditionalFormatting xmlns:xm="http://schemas.microsoft.com/office/excel/2006/main">
          <x14:cfRule type="cellIs" priority="285" operator="greaterThan" id="{B54B566C-8DB5-4E8D-892E-EF179F9DEF6E}">
            <xm:f>RESUMEN!$AG$2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AB11</xm:sqref>
        </x14:conditionalFormatting>
        <x14:conditionalFormatting xmlns:xm="http://schemas.microsoft.com/office/excel/2006/main">
          <x14:cfRule type="cellIs" priority="284" operator="greaterThan" id="{D26B18DF-AC4A-4D62-A00B-89A049CE466F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D32</xm:sqref>
        </x14:conditionalFormatting>
        <x14:conditionalFormatting xmlns:xm="http://schemas.microsoft.com/office/excel/2006/main">
          <x14:cfRule type="cellIs" priority="283" operator="greaterThan" id="{83652816-D5D8-4266-8547-68A862328608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D33</xm:sqref>
        </x14:conditionalFormatting>
        <x14:conditionalFormatting xmlns:xm="http://schemas.microsoft.com/office/excel/2006/main">
          <x14:cfRule type="cellIs" priority="282" operator="greaterThan" id="{54440AAD-7043-46A2-A2D8-442FFCF73031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P26</xm:sqref>
        </x14:conditionalFormatting>
        <x14:conditionalFormatting xmlns:xm="http://schemas.microsoft.com/office/excel/2006/main">
          <x14:cfRule type="cellIs" priority="281" operator="greaterThan" id="{3F574F3A-2A69-4A40-8056-CC6E2AA9EB2B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P25</xm:sqref>
        </x14:conditionalFormatting>
        <x14:conditionalFormatting xmlns:xm="http://schemas.microsoft.com/office/excel/2006/main">
          <x14:cfRule type="cellIs" priority="280" operator="greaterThan" id="{CBFA9CF2-E289-442A-B939-966A7B8F223C}">
            <xm:f>RESUMEN!$AG$2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AB12</xm:sqref>
        </x14:conditionalFormatting>
        <x14:conditionalFormatting xmlns:xm="http://schemas.microsoft.com/office/excel/2006/main">
          <x14:cfRule type="cellIs" priority="279" operator="greaterThan" id="{879F2A51-DC77-4FBE-AA71-923930BFA7BF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AB13</xm:sqref>
        </x14:conditionalFormatting>
        <x14:conditionalFormatting xmlns:xm="http://schemas.microsoft.com/office/excel/2006/main">
          <x14:cfRule type="cellIs" priority="277" operator="greaterThan" id="{E1BA2D80-E346-435C-A449-BFEC40F9D441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D34</xm:sqref>
        </x14:conditionalFormatting>
        <x14:conditionalFormatting xmlns:xm="http://schemas.microsoft.com/office/excel/2006/main">
          <x14:cfRule type="cellIs" priority="276" operator="greaterThan" id="{6F8CC63A-6F63-4A06-877D-71BD563DFF5C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P27</xm:sqref>
        </x14:conditionalFormatting>
        <x14:conditionalFormatting xmlns:xm="http://schemas.microsoft.com/office/excel/2006/main">
          <x14:cfRule type="cellIs" priority="275" operator="greaterThan" id="{4E04260A-F212-4C9D-B757-4A2EE93917F2}">
            <xm:f>RESUMEN!$AG$2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AB14</xm:sqref>
        </x14:conditionalFormatting>
        <x14:conditionalFormatting xmlns:xm="http://schemas.microsoft.com/office/excel/2006/main">
          <x14:cfRule type="cellIs" priority="274" operator="greaterThan" id="{13D6264E-19E0-4D52-91D4-1E63F3F9EDFB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AB15</xm:sqref>
        </x14:conditionalFormatting>
        <x14:conditionalFormatting xmlns:xm="http://schemas.microsoft.com/office/excel/2006/main">
          <x14:cfRule type="cellIs" priority="273" operator="greaterThan" id="{3A798D52-CC24-4F53-B4A9-6AAD615502A9}">
            <xm:f>RESUMEN!$AG$2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AN9</xm:sqref>
        </x14:conditionalFormatting>
        <x14:conditionalFormatting xmlns:xm="http://schemas.microsoft.com/office/excel/2006/main">
          <x14:cfRule type="cellIs" priority="272" operator="greaterThan" id="{DE27D091-9062-4AB7-B246-EAD75271289D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D35</xm:sqref>
        </x14:conditionalFormatting>
        <x14:conditionalFormatting xmlns:xm="http://schemas.microsoft.com/office/excel/2006/main">
          <x14:cfRule type="cellIs" priority="271" operator="greaterThan" id="{9A599D6E-BB17-4CD4-9834-D5CA72D87E99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D36</xm:sqref>
        </x14:conditionalFormatting>
        <x14:conditionalFormatting xmlns:xm="http://schemas.microsoft.com/office/excel/2006/main">
          <x14:cfRule type="cellIs" priority="270" operator="greaterThan" id="{D28C1473-7166-4B4F-810F-E7BA0896E012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D37</xm:sqref>
        </x14:conditionalFormatting>
        <x14:conditionalFormatting xmlns:xm="http://schemas.microsoft.com/office/excel/2006/main">
          <x14:cfRule type="cellIs" priority="269" operator="greaterThan" id="{B18068D2-9B03-4DF7-B1AB-F354590340FB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P28</xm:sqref>
        </x14:conditionalFormatting>
        <x14:conditionalFormatting xmlns:xm="http://schemas.microsoft.com/office/excel/2006/main">
          <x14:cfRule type="cellIs" priority="268" operator="greaterThan" id="{D3099A54-CEEA-48C7-B089-099EA8307629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P29</xm:sqref>
        </x14:conditionalFormatting>
        <x14:conditionalFormatting xmlns:xm="http://schemas.microsoft.com/office/excel/2006/main">
          <x14:cfRule type="cellIs" priority="267" operator="greaterThan" id="{76A3D562-198D-47C4-B55D-BF1E3BD05BF9}">
            <xm:f>RESUMEN!$AG$2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AB16</xm:sqref>
        </x14:conditionalFormatting>
        <x14:conditionalFormatting xmlns:xm="http://schemas.microsoft.com/office/excel/2006/main">
          <x14:cfRule type="cellIs" priority="266" operator="greaterThan" id="{53FB1CD6-30A4-43D2-BDAC-696C122A7340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AB17</xm:sqref>
        </x14:conditionalFormatting>
        <x14:conditionalFormatting xmlns:xm="http://schemas.microsoft.com/office/excel/2006/main">
          <x14:cfRule type="cellIs" priority="265" operator="greaterThan" id="{B1B63C55-4D9F-4929-B9C1-BF678A87174D}">
            <xm:f>RESUMEN!$AG$2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AN10</xm:sqref>
        </x14:conditionalFormatting>
        <x14:conditionalFormatting xmlns:xm="http://schemas.microsoft.com/office/excel/2006/main">
          <x14:cfRule type="cellIs" priority="264" operator="greaterThan" id="{B546DC14-111A-4D67-8703-A861C4447EA6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D38</xm:sqref>
        </x14:conditionalFormatting>
        <x14:conditionalFormatting xmlns:xm="http://schemas.microsoft.com/office/excel/2006/main">
          <x14:cfRule type="cellIs" priority="263" operator="greaterThan" id="{E24192E0-A5D7-4B52-9D0C-9DF78BB4FAB7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D39</xm:sqref>
        </x14:conditionalFormatting>
        <x14:conditionalFormatting xmlns:xm="http://schemas.microsoft.com/office/excel/2006/main">
          <x14:cfRule type="cellIs" priority="262" operator="greaterThan" id="{AE474CAA-19CD-41CC-B6FA-0A34ABA53E36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P30</xm:sqref>
        </x14:conditionalFormatting>
        <x14:conditionalFormatting xmlns:xm="http://schemas.microsoft.com/office/excel/2006/main">
          <x14:cfRule type="cellIs" priority="261" operator="greaterThan" id="{E46D150E-0978-4886-9157-4887316E88D4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P31</xm:sqref>
        </x14:conditionalFormatting>
        <x14:conditionalFormatting xmlns:xm="http://schemas.microsoft.com/office/excel/2006/main">
          <x14:cfRule type="cellIs" priority="260" operator="greaterThan" id="{E0ECF3D7-AA34-49AD-9750-2638913C8ABF}">
            <xm:f>RESUMEN!$AG$2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AB18</xm:sqref>
        </x14:conditionalFormatting>
        <x14:conditionalFormatting xmlns:xm="http://schemas.microsoft.com/office/excel/2006/main">
          <x14:cfRule type="cellIs" priority="259" operator="greaterThan" id="{582CBA8A-0628-481E-8DFE-29F6FD4220DA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AB19</xm:sqref>
        </x14:conditionalFormatting>
        <x14:conditionalFormatting xmlns:xm="http://schemas.microsoft.com/office/excel/2006/main">
          <x14:cfRule type="cellIs" priority="258" operator="greaterThan" id="{604F833F-1793-453F-9EC4-0BC7B104ED79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D40</xm:sqref>
        </x14:conditionalFormatting>
        <x14:conditionalFormatting xmlns:xm="http://schemas.microsoft.com/office/excel/2006/main">
          <x14:cfRule type="cellIs" priority="257" operator="greaterThan" id="{8AD3556C-D59F-4ED4-A3A7-87E15075F0E8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D41</xm:sqref>
        </x14:conditionalFormatting>
        <x14:conditionalFormatting xmlns:xm="http://schemas.microsoft.com/office/excel/2006/main">
          <x14:cfRule type="cellIs" priority="256" operator="greaterThan" id="{DB8550D0-AFC7-4841-849A-A05B5483866D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D42</xm:sqref>
        </x14:conditionalFormatting>
        <x14:conditionalFormatting xmlns:xm="http://schemas.microsoft.com/office/excel/2006/main">
          <x14:cfRule type="cellIs" priority="255" operator="greaterThan" id="{749E2C79-B7A3-4E68-9E99-97606494F32F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P32</xm:sqref>
        </x14:conditionalFormatting>
        <x14:conditionalFormatting xmlns:xm="http://schemas.microsoft.com/office/excel/2006/main">
          <x14:cfRule type="cellIs" priority="254" operator="greaterThan" id="{6F153DEF-DBD5-4521-8CDE-F9D5CE066DB0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P33</xm:sqref>
        </x14:conditionalFormatting>
        <x14:conditionalFormatting xmlns:xm="http://schemas.microsoft.com/office/excel/2006/main">
          <x14:cfRule type="cellIs" priority="253" operator="greaterThan" id="{B66E0E1E-8ABE-41BF-B72B-EA57C5849925}">
            <xm:f>RESUMEN!$AG$2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AB20</xm:sqref>
        </x14:conditionalFormatting>
        <x14:conditionalFormatting xmlns:xm="http://schemas.microsoft.com/office/excel/2006/main">
          <x14:cfRule type="cellIs" priority="252" operator="greaterThan" id="{334A05C1-2588-4225-AA16-DB2D9DE9AA33}">
            <xm:f>RESUMEN!$AG$2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AN11</xm:sqref>
        </x14:conditionalFormatting>
        <x14:conditionalFormatting xmlns:xm="http://schemas.microsoft.com/office/excel/2006/main">
          <x14:cfRule type="cellIs" priority="251" operator="greaterThan" id="{1E7F0922-83A7-49A8-AF35-041335A3B5C9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D43</xm:sqref>
        </x14:conditionalFormatting>
        <x14:conditionalFormatting xmlns:xm="http://schemas.microsoft.com/office/excel/2006/main">
          <x14:cfRule type="cellIs" priority="250" operator="greaterThan" id="{E8F48CB2-79C4-4861-9657-8C4C13CCE573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D44</xm:sqref>
        </x14:conditionalFormatting>
        <x14:conditionalFormatting xmlns:xm="http://schemas.microsoft.com/office/excel/2006/main">
          <x14:cfRule type="cellIs" priority="249" operator="greaterThan" id="{CF44E5A7-5F3B-4461-B7C3-4377032DAC01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P34</xm:sqref>
        </x14:conditionalFormatting>
        <x14:conditionalFormatting xmlns:xm="http://schemas.microsoft.com/office/excel/2006/main">
          <x14:cfRule type="cellIs" priority="248" operator="greaterThan" id="{A97B236F-539D-4C53-B0B4-1421C199CD6C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P35</xm:sqref>
        </x14:conditionalFormatting>
        <x14:conditionalFormatting xmlns:xm="http://schemas.microsoft.com/office/excel/2006/main">
          <x14:cfRule type="cellIs" priority="247" operator="greaterThan" id="{7104C4CC-0EF3-423F-9AC8-FF59763381F9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AB21</xm:sqref>
        </x14:conditionalFormatting>
        <x14:conditionalFormatting xmlns:xm="http://schemas.microsoft.com/office/excel/2006/main">
          <x14:cfRule type="cellIs" priority="246" operator="greaterThan" id="{AD01C442-2BAE-45B4-9414-4A5379D708F0}">
            <xm:f>RESUMEN!$AG$2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AB22</xm:sqref>
        </x14:conditionalFormatting>
        <x14:conditionalFormatting xmlns:xm="http://schemas.microsoft.com/office/excel/2006/main">
          <x14:cfRule type="cellIs" priority="245" operator="greaterThan" id="{65E19703-07E0-4702-8D40-55FA3DF6B097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AN12</xm:sqref>
        </x14:conditionalFormatting>
        <x14:conditionalFormatting xmlns:xm="http://schemas.microsoft.com/office/excel/2006/main">
          <x14:cfRule type="cellIs" priority="244" operator="greaterThan" id="{7B738053-D8F5-4F57-B766-5931B6C4803E}">
            <xm:f>RESUMEN!$AG$2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AN13</xm:sqref>
        </x14:conditionalFormatting>
        <x14:conditionalFormatting xmlns:xm="http://schemas.microsoft.com/office/excel/2006/main">
          <x14:cfRule type="cellIs" priority="243" operator="greaterThan" id="{8937A5E2-ECCE-4C4F-ACA6-FB82679A4282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D45</xm:sqref>
        </x14:conditionalFormatting>
        <x14:conditionalFormatting xmlns:xm="http://schemas.microsoft.com/office/excel/2006/main">
          <x14:cfRule type="cellIs" priority="242" operator="greaterThan" id="{8E110EEE-4A9F-4005-B062-B252B27D51E1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D46</xm:sqref>
        </x14:conditionalFormatting>
        <x14:conditionalFormatting xmlns:xm="http://schemas.microsoft.com/office/excel/2006/main">
          <x14:cfRule type="cellIs" priority="238" operator="greaterThan" id="{DB217946-1131-4CEE-B47D-8519B5B08717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P37</xm:sqref>
        </x14:conditionalFormatting>
        <x14:conditionalFormatting xmlns:xm="http://schemas.microsoft.com/office/excel/2006/main">
          <x14:cfRule type="cellIs" priority="237" operator="greaterThan" id="{AA1CF365-9FD6-46D8-BA42-1643B2A1BD85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P38</xm:sqref>
        </x14:conditionalFormatting>
        <x14:conditionalFormatting xmlns:xm="http://schemas.microsoft.com/office/excel/2006/main">
          <x14:cfRule type="cellIs" priority="236" operator="greaterThan" id="{EC4BBFDD-88D2-48A8-8D9C-02E30A43DE5E}">
            <xm:f>RESUMEN!$U$2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P36</xm:sqref>
        </x14:conditionalFormatting>
        <x14:conditionalFormatting xmlns:xm="http://schemas.microsoft.com/office/excel/2006/main">
          <x14:cfRule type="cellIs" priority="235" operator="greaterThan" id="{675BBD68-EDED-47E2-96E1-996FB6ABCB35}">
            <xm:f>RESUMEN!$AG$2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AB23</xm:sqref>
        </x14:conditionalFormatting>
        <x14:conditionalFormatting xmlns:xm="http://schemas.microsoft.com/office/excel/2006/main">
          <x14:cfRule type="cellIs" priority="234" operator="greaterThan" id="{E0BC0A58-498E-407C-A79C-10A4939A1962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AN14</xm:sqref>
        </x14:conditionalFormatting>
        <x14:conditionalFormatting xmlns:xm="http://schemas.microsoft.com/office/excel/2006/main">
          <x14:cfRule type="cellIs" priority="233" operator="greaterThan" id="{3ED8DE4A-77EA-4D5A-AE26-B97E602D55E6}">
            <xm:f>RESUMEN!$AG$2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AN15</xm:sqref>
        </x14:conditionalFormatting>
        <x14:conditionalFormatting xmlns:xm="http://schemas.microsoft.com/office/excel/2006/main">
          <x14:cfRule type="cellIs" priority="231" operator="greaterThan" id="{50954DE9-13E7-4D7B-B6B9-23D6FE4ED87F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D48</xm:sqref>
        </x14:conditionalFormatting>
        <x14:conditionalFormatting xmlns:xm="http://schemas.microsoft.com/office/excel/2006/main">
          <x14:cfRule type="cellIs" priority="230" operator="greaterThan" id="{06FE3521-B4E9-46DD-9D43-FE5E6DAB3696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D49</xm:sqref>
        </x14:conditionalFormatting>
        <x14:conditionalFormatting xmlns:xm="http://schemas.microsoft.com/office/excel/2006/main">
          <x14:cfRule type="cellIs" priority="229" operator="greaterThan" id="{86A798FB-3F48-4AA8-A709-1F5B58A0A83D}">
            <xm:f>RESUMEN!$U$2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P39</xm:sqref>
        </x14:conditionalFormatting>
        <x14:conditionalFormatting xmlns:xm="http://schemas.microsoft.com/office/excel/2006/main">
          <x14:cfRule type="cellIs" priority="228" operator="greaterThan" id="{4C282B6C-FDFA-4E82-9C6E-1476C3588501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P40</xm:sqref>
        </x14:conditionalFormatting>
        <x14:conditionalFormatting xmlns:xm="http://schemas.microsoft.com/office/excel/2006/main">
          <x14:cfRule type="cellIs" priority="227" operator="greaterThan" id="{32B03C74-81BD-4B67-A72B-064BFCB9A6E4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AB24</xm:sqref>
        </x14:conditionalFormatting>
        <x14:conditionalFormatting xmlns:xm="http://schemas.microsoft.com/office/excel/2006/main">
          <x14:cfRule type="cellIs" priority="226" operator="greaterThan" id="{ABF7B7D9-ADD5-4156-9CE5-671AAEB92725}">
            <xm:f>RESUMEN!$AG$2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AB25</xm:sqref>
        </x14:conditionalFormatting>
        <x14:conditionalFormatting xmlns:xm="http://schemas.microsoft.com/office/excel/2006/main">
          <x14:cfRule type="cellIs" priority="225" operator="greaterThan" id="{B7A10344-6FB0-443D-AAC6-772812F38997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AN16</xm:sqref>
        </x14:conditionalFormatting>
        <x14:conditionalFormatting xmlns:xm="http://schemas.microsoft.com/office/excel/2006/main">
          <x14:cfRule type="cellIs" priority="224" operator="greaterThan" id="{170342E7-B5AA-4481-B197-8B5769CFBE4B}">
            <xm:f>RESUMEN!$AG$2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AN17</xm:sqref>
        </x14:conditionalFormatting>
        <x14:conditionalFormatting xmlns:xm="http://schemas.microsoft.com/office/excel/2006/main">
          <x14:cfRule type="cellIs" priority="223" operator="greaterThan" id="{B98E2884-04AC-4898-950F-6183E1E28AF4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D47</xm:sqref>
        </x14:conditionalFormatting>
        <x14:conditionalFormatting xmlns:xm="http://schemas.microsoft.com/office/excel/2006/main">
          <x14:cfRule type="cellIs" priority="222" operator="greaterThan" id="{FEB75E63-48AB-4E65-88E5-068461CBE30E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D50</xm:sqref>
        </x14:conditionalFormatting>
        <x14:conditionalFormatting xmlns:xm="http://schemas.microsoft.com/office/excel/2006/main">
          <x14:cfRule type="cellIs" priority="221" operator="greaterThan" id="{BA5177B8-72FF-47C9-BDC1-70CC10F8EA18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D51</xm:sqref>
        </x14:conditionalFormatting>
        <x14:conditionalFormatting xmlns:xm="http://schemas.microsoft.com/office/excel/2006/main">
          <x14:cfRule type="cellIs" priority="220" operator="greaterThan" id="{2B4E86B6-B3E2-4C85-8B7E-69E3804CA8D7}">
            <xm:f>RESUMEN!$U$2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P41</xm:sqref>
        </x14:conditionalFormatting>
        <x14:conditionalFormatting xmlns:xm="http://schemas.microsoft.com/office/excel/2006/main">
          <x14:cfRule type="cellIs" priority="219" operator="greaterThan" id="{26E8C294-6EFC-407B-B4F0-C37A3DC0898B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P42</xm:sqref>
        </x14:conditionalFormatting>
        <x14:conditionalFormatting xmlns:xm="http://schemas.microsoft.com/office/excel/2006/main">
          <x14:cfRule type="cellIs" priority="218" operator="greaterThan" id="{27CC69DD-6B12-4919-A3B1-195B20E8131E}">
            <xm:f>RESUMEN!$AG$2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AB26</xm:sqref>
        </x14:conditionalFormatting>
        <x14:conditionalFormatting xmlns:xm="http://schemas.microsoft.com/office/excel/2006/main">
          <x14:cfRule type="cellIs" priority="217" operator="greaterThan" id="{D79EB87F-36B1-4AFE-BFCF-07DA3B82A2A6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AZ9</xm:sqref>
        </x14:conditionalFormatting>
        <x14:conditionalFormatting xmlns:xm="http://schemas.microsoft.com/office/excel/2006/main">
          <x14:cfRule type="cellIs" priority="216" operator="greaterThan" id="{A30EFAE3-F5CB-486E-A319-111546E158B5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D52</xm:sqref>
        </x14:conditionalFormatting>
        <x14:conditionalFormatting xmlns:xm="http://schemas.microsoft.com/office/excel/2006/main">
          <x14:cfRule type="cellIs" priority="215" operator="greaterThan" id="{E3971697-EAD3-45DD-B9AA-565E52C50A37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D53</xm:sqref>
        </x14:conditionalFormatting>
        <x14:conditionalFormatting xmlns:xm="http://schemas.microsoft.com/office/excel/2006/main">
          <x14:cfRule type="cellIs" priority="214" operator="greaterThan" id="{7D555866-5C5C-468B-9807-04FB5DCE928F}">
            <xm:f>RESUMEN!$U$2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P43</xm:sqref>
        </x14:conditionalFormatting>
        <x14:conditionalFormatting xmlns:xm="http://schemas.microsoft.com/office/excel/2006/main">
          <x14:cfRule type="cellIs" priority="213" operator="greaterThan" id="{181A4973-84E1-4E07-9322-D374ABAA54EB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P44</xm:sqref>
        </x14:conditionalFormatting>
        <x14:conditionalFormatting xmlns:xm="http://schemas.microsoft.com/office/excel/2006/main">
          <x14:cfRule type="cellIs" priority="212" operator="greaterThan" id="{A3153D1F-A854-44CC-AFDF-75EE530B7D3E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AB28</xm:sqref>
        </x14:conditionalFormatting>
        <x14:conditionalFormatting xmlns:xm="http://schemas.microsoft.com/office/excel/2006/main">
          <x14:cfRule type="cellIs" priority="211" operator="greaterThan" id="{3B83DA20-D7BD-4E50-AA0C-2EFB6F1040F6}">
            <xm:f>RESUMEN!$AG$2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AB29</xm:sqref>
        </x14:conditionalFormatting>
        <x14:conditionalFormatting xmlns:xm="http://schemas.microsoft.com/office/excel/2006/main">
          <x14:cfRule type="cellIs" priority="210" operator="greaterThan" id="{4F97E378-C0C6-4D8D-BD52-14C74B004469}">
            <xm:f>RESUMEN!$AG$2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AN19</xm:sqref>
        </x14:conditionalFormatting>
        <x14:conditionalFormatting xmlns:xm="http://schemas.microsoft.com/office/excel/2006/main">
          <x14:cfRule type="cellIs" priority="209" operator="greaterThan" id="{599200B5-A8FF-44AD-9BF5-32EE83AF8A86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D54</xm:sqref>
        </x14:conditionalFormatting>
        <x14:conditionalFormatting xmlns:xm="http://schemas.microsoft.com/office/excel/2006/main">
          <x14:cfRule type="cellIs" priority="208" operator="greaterThan" id="{632F8C19-B314-454E-BDD1-444E44A37BE6}">
            <xm:f>RESUMEN!$U$2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P45</xm:sqref>
        </x14:conditionalFormatting>
        <x14:conditionalFormatting xmlns:xm="http://schemas.microsoft.com/office/excel/2006/main">
          <x14:cfRule type="cellIs" priority="207" operator="greaterThan" id="{292769ED-E941-4CB8-A273-A95D96986137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P46</xm:sqref>
        </x14:conditionalFormatting>
        <x14:conditionalFormatting xmlns:xm="http://schemas.microsoft.com/office/excel/2006/main">
          <x14:cfRule type="cellIs" priority="206" operator="greaterThan" id="{73A9A430-C0F7-4C73-BB91-3B98C9F67926}">
            <xm:f>RESUMEN!$AG$2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AB30</xm:sqref>
        </x14:conditionalFormatting>
        <x14:conditionalFormatting xmlns:xm="http://schemas.microsoft.com/office/excel/2006/main">
          <x14:cfRule type="cellIs" priority="205" operator="greaterThan" id="{7545F4A0-8BEB-45EA-91BB-09F519BEA306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AB31</xm:sqref>
        </x14:conditionalFormatting>
        <x14:conditionalFormatting xmlns:xm="http://schemas.microsoft.com/office/excel/2006/main">
          <x14:cfRule type="cellIs" priority="204" operator="greaterThan" id="{06835B76-A6F9-462A-9999-433935EA9C66}">
            <xm:f>RESUMEN!$AG$2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AB32</xm:sqref>
        </x14:conditionalFormatting>
        <x14:conditionalFormatting xmlns:xm="http://schemas.microsoft.com/office/excel/2006/main">
          <x14:cfRule type="cellIs" priority="203" operator="greaterThan" id="{5A7EBE6B-44DE-44B1-8B00-F0BF619A87B2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AN20</xm:sqref>
        </x14:conditionalFormatting>
        <x14:conditionalFormatting xmlns:xm="http://schemas.microsoft.com/office/excel/2006/main">
          <x14:cfRule type="cellIs" priority="202" operator="greaterThan" id="{5BE0B7EA-6F2A-4B81-8F22-55974C33A3CA}">
            <xm:f>RESUMEN!$AG$2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AN21</xm:sqref>
        </x14:conditionalFormatting>
        <x14:conditionalFormatting xmlns:xm="http://schemas.microsoft.com/office/excel/2006/main">
          <x14:cfRule type="cellIs" priority="201" operator="greaterThan" id="{825250BA-4D92-4FCA-9BCF-6632904DA6EA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AZ10</xm:sqref>
        </x14:conditionalFormatting>
        <x14:conditionalFormatting xmlns:xm="http://schemas.microsoft.com/office/excel/2006/main">
          <x14:cfRule type="cellIs" priority="200" operator="greaterThan" id="{4428B743-F63A-4AE2-8192-371B7EA57E1E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D55</xm:sqref>
        </x14:conditionalFormatting>
        <x14:conditionalFormatting xmlns:xm="http://schemas.microsoft.com/office/excel/2006/main">
          <x14:cfRule type="cellIs" priority="199" operator="greaterThan" id="{73A65131-B5A5-4429-969D-1CB089316333}">
            <xm:f>RESUMEN!$U$2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P47</xm:sqref>
        </x14:conditionalFormatting>
        <x14:conditionalFormatting xmlns:xm="http://schemas.microsoft.com/office/excel/2006/main">
          <x14:cfRule type="cellIs" priority="198" operator="greaterThan" id="{C2A3DC4E-C255-4E66-A8BA-159866E3BE58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P48</xm:sqref>
        </x14:conditionalFormatting>
        <x14:conditionalFormatting xmlns:xm="http://schemas.microsoft.com/office/excel/2006/main">
          <x14:cfRule type="cellIs" priority="197" operator="greaterThan" id="{767A78CC-8E7B-4B81-9A2E-CC32AED581A5}">
            <xm:f>RESUMEN!$AG$2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AB33</xm:sqref>
        </x14:conditionalFormatting>
        <x14:conditionalFormatting xmlns:xm="http://schemas.microsoft.com/office/excel/2006/main">
          <x14:cfRule type="cellIs" priority="196" operator="greaterThan" id="{90F8F404-464C-4349-BDAD-17B22AA07D00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AB34</xm:sqref>
        </x14:conditionalFormatting>
        <x14:conditionalFormatting xmlns:xm="http://schemas.microsoft.com/office/excel/2006/main">
          <x14:cfRule type="cellIs" priority="195" operator="greaterThan" id="{F5CF6833-4019-4DE1-9CA4-4B5DCF719F52}">
            <xm:f>RESUMEN!$AG$2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AN22</xm:sqref>
        </x14:conditionalFormatting>
        <x14:conditionalFormatting xmlns:xm="http://schemas.microsoft.com/office/excel/2006/main">
          <x14:cfRule type="cellIs" priority="194" operator="greaterThan" id="{8294B06C-883A-4D3E-A6F6-1027062EAB1C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AZ11</xm:sqref>
        </x14:conditionalFormatting>
        <x14:conditionalFormatting xmlns:xm="http://schemas.microsoft.com/office/excel/2006/main">
          <x14:cfRule type="cellIs" priority="193" operator="greaterThan" id="{7AFF9A88-57BF-409C-A92B-537AE6711563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D56</xm:sqref>
        </x14:conditionalFormatting>
        <x14:conditionalFormatting xmlns:xm="http://schemas.microsoft.com/office/excel/2006/main">
          <x14:cfRule type="cellIs" priority="192" operator="greaterThan" id="{B7005926-C153-44BF-BBEC-A0D5680567CB}">
            <xm:f>RESUMEN!$U$2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P49</xm:sqref>
        </x14:conditionalFormatting>
        <x14:conditionalFormatting xmlns:xm="http://schemas.microsoft.com/office/excel/2006/main">
          <x14:cfRule type="cellIs" priority="191" operator="greaterThan" id="{23B89123-E7C6-4350-99AB-B6B3C6E0F86E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P50</xm:sqref>
        </x14:conditionalFormatting>
        <x14:conditionalFormatting xmlns:xm="http://schemas.microsoft.com/office/excel/2006/main">
          <x14:cfRule type="cellIs" priority="190" operator="greaterThan" id="{FCF22FF1-4419-4B49-8E28-4621540DB66C}">
            <xm:f>RESUMEN!$AG$2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AB35</xm:sqref>
        </x14:conditionalFormatting>
        <x14:conditionalFormatting xmlns:xm="http://schemas.microsoft.com/office/excel/2006/main">
          <x14:cfRule type="cellIs" priority="189" operator="greaterThan" id="{3E6A73A2-5DEB-498E-B536-D1751FF8D6A7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AB36</xm:sqref>
        </x14:conditionalFormatting>
        <x14:conditionalFormatting xmlns:xm="http://schemas.microsoft.com/office/excel/2006/main">
          <x14:cfRule type="cellIs" priority="188" operator="greaterThan" id="{9F8F4E08-1DD3-4925-B0E0-B6ACD4E4EEF1}">
            <xm:f>RESUMEN!$AG$2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AN23</xm:sqref>
        </x14:conditionalFormatting>
        <x14:conditionalFormatting xmlns:xm="http://schemas.microsoft.com/office/excel/2006/main">
          <x14:cfRule type="cellIs" priority="187" operator="greaterThan" id="{5ADD7439-0C82-4399-A322-444FEB3DE9E5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AZ12</xm:sqref>
        </x14:conditionalFormatting>
        <x14:conditionalFormatting xmlns:xm="http://schemas.microsoft.com/office/excel/2006/main">
          <x14:cfRule type="cellIs" priority="186" operator="greaterThan" id="{71F7C63C-840C-4209-B063-544C9B8C2A72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AZ13</xm:sqref>
        </x14:conditionalFormatting>
        <x14:conditionalFormatting xmlns:xm="http://schemas.microsoft.com/office/excel/2006/main">
          <x14:cfRule type="cellIs" priority="185" operator="greaterThan" id="{681B6D33-3279-4BFD-8F33-D152A11CBF85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D58</xm:sqref>
        </x14:conditionalFormatting>
        <x14:conditionalFormatting xmlns:xm="http://schemas.microsoft.com/office/excel/2006/main">
          <x14:cfRule type="cellIs" priority="184" operator="greaterThan" id="{9AEA19BE-E31F-4106-B210-DB1BB7A8B76B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D57</xm:sqref>
        </x14:conditionalFormatting>
        <x14:conditionalFormatting xmlns:xm="http://schemas.microsoft.com/office/excel/2006/main">
          <x14:cfRule type="cellIs" priority="183" operator="greaterThan" id="{5BC06BA7-3DFC-4990-AB42-F5C402A90CBD}">
            <xm:f>RESUMEN!$U$2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P51</xm:sqref>
        </x14:conditionalFormatting>
        <x14:conditionalFormatting xmlns:xm="http://schemas.microsoft.com/office/excel/2006/main">
          <x14:cfRule type="cellIs" priority="182" operator="greaterThan" id="{1CBA1F72-F650-4E83-8B8D-E53075DD2286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P52</xm:sqref>
        </x14:conditionalFormatting>
        <x14:conditionalFormatting xmlns:xm="http://schemas.microsoft.com/office/excel/2006/main">
          <x14:cfRule type="cellIs" priority="180" operator="greaterThan" id="{DE3359A1-9CD1-4357-AB7B-CB286A4DC243}">
            <xm:f>RESUMEN!$AG$2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AB37</xm:sqref>
        </x14:conditionalFormatting>
        <x14:conditionalFormatting xmlns:xm="http://schemas.microsoft.com/office/excel/2006/main">
          <x14:cfRule type="cellIs" priority="179" operator="greaterThan" id="{7D08E8B7-63E3-417E-9D0C-5919469962B5}">
            <xm:f>RESUMEN!$AG$2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AN24</xm:sqref>
        </x14:conditionalFormatting>
        <x14:conditionalFormatting xmlns:xm="http://schemas.microsoft.com/office/excel/2006/main">
          <x14:cfRule type="cellIs" priority="178" operator="greaterThan" id="{A616A588-6F46-4FF5-822B-3A74359AB661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D59</xm:sqref>
        </x14:conditionalFormatting>
        <x14:conditionalFormatting xmlns:xm="http://schemas.microsoft.com/office/excel/2006/main">
          <x14:cfRule type="cellIs" priority="177" operator="greaterThan" id="{BB6B84AE-F013-43AF-886C-CF50E9FA8435}">
            <xm:f>RESUMEN!$U$2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P53</xm:sqref>
        </x14:conditionalFormatting>
        <x14:conditionalFormatting xmlns:xm="http://schemas.microsoft.com/office/excel/2006/main">
          <x14:cfRule type="cellIs" priority="176" operator="greaterThan" id="{CB0022BC-8DB1-4EC5-BD2C-967613A5885E}">
            <xm:f>RESUMEN!$AG$2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AB38</xm:sqref>
        </x14:conditionalFormatting>
        <x14:conditionalFormatting xmlns:xm="http://schemas.microsoft.com/office/excel/2006/main">
          <x14:cfRule type="cellIs" priority="175" operator="greaterThan" id="{CAECAC7F-D185-4F52-92BF-154AC8BFF2CD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AN25</xm:sqref>
        </x14:conditionalFormatting>
        <x14:conditionalFormatting xmlns:xm="http://schemas.microsoft.com/office/excel/2006/main">
          <x14:cfRule type="cellIs" priority="174" operator="greaterThan" id="{357033E1-38FA-4428-9CED-76EC3FFC5CC2}">
            <xm:f>RESUMEN!$AG$2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AN26</xm:sqref>
        </x14:conditionalFormatting>
        <x14:conditionalFormatting xmlns:xm="http://schemas.microsoft.com/office/excel/2006/main">
          <x14:cfRule type="cellIs" priority="173" operator="greaterThan" id="{3EA4E73C-C3FF-41DD-B85A-713A772B289A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AZ14</xm:sqref>
        </x14:conditionalFormatting>
        <x14:conditionalFormatting xmlns:xm="http://schemas.microsoft.com/office/excel/2006/main">
          <x14:cfRule type="cellIs" priority="172" operator="greaterThan" id="{5D61EA31-763A-4DED-97ED-D9C64CB10E91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D60</xm:sqref>
        </x14:conditionalFormatting>
        <x14:conditionalFormatting xmlns:xm="http://schemas.microsoft.com/office/excel/2006/main">
          <x14:cfRule type="cellIs" priority="171" operator="greaterThan" id="{1B5C12EF-94DA-4F00-ABC2-D7B0B7F01194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D61</xm:sqref>
        </x14:conditionalFormatting>
        <x14:conditionalFormatting xmlns:xm="http://schemas.microsoft.com/office/excel/2006/main">
          <x14:cfRule type="cellIs" priority="170" operator="greaterThan" id="{11744264-B9AC-42FD-96AC-DD51478833CD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P54</xm:sqref>
        </x14:conditionalFormatting>
        <x14:conditionalFormatting xmlns:xm="http://schemas.microsoft.com/office/excel/2006/main">
          <x14:cfRule type="cellIs" priority="169" operator="greaterThan" id="{6D0C3ECD-3F8E-4FA6-868C-4765F46783E7}">
            <xm:f>RESUMEN!$U$2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P55</xm:sqref>
        </x14:conditionalFormatting>
        <x14:conditionalFormatting xmlns:xm="http://schemas.microsoft.com/office/excel/2006/main">
          <x14:cfRule type="cellIs" priority="168" operator="greaterThan" id="{5F25933D-5DB4-4720-A27E-ED30E1240D96}">
            <xm:f>RESUMEN!$AG$2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AN28</xm:sqref>
        </x14:conditionalFormatting>
        <x14:conditionalFormatting xmlns:xm="http://schemas.microsoft.com/office/excel/2006/main">
          <x14:cfRule type="cellIs" priority="167" operator="greaterThan" id="{BE26F7CD-6CFD-47AE-B101-5DE77C3E2A56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AZ15</xm:sqref>
        </x14:conditionalFormatting>
        <x14:conditionalFormatting xmlns:xm="http://schemas.microsoft.com/office/excel/2006/main">
          <x14:cfRule type="cellIs" priority="166" operator="greaterThan" id="{F1D119B4-FB67-4FFB-95A0-89C075DD7156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D62</xm:sqref>
        </x14:conditionalFormatting>
        <x14:conditionalFormatting xmlns:xm="http://schemas.microsoft.com/office/excel/2006/main">
          <x14:cfRule type="cellIs" priority="164" operator="greaterThan" id="{194A3500-11CC-4A4C-85CE-4F2C8C20DD8E}">
            <xm:f>RESUMEN!$AG$2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AB39</xm:sqref>
        </x14:conditionalFormatting>
        <x14:conditionalFormatting xmlns:xm="http://schemas.microsoft.com/office/excel/2006/main">
          <x14:cfRule type="cellIs" priority="163" operator="greaterThan" id="{AB38761F-2D79-4516-825C-5FD186FC7275}">
            <xm:f>RESUMEN!$AG$2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AB40</xm:sqref>
        </x14:conditionalFormatting>
        <x14:conditionalFormatting xmlns:xm="http://schemas.microsoft.com/office/excel/2006/main">
          <x14:cfRule type="cellIs" priority="162" operator="greaterThan" id="{64024258-492B-4D6D-AB41-C0CE48D1E966}">
            <xm:f>RESUMEN!$AG$2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AN29</xm:sqref>
        </x14:conditionalFormatting>
        <x14:conditionalFormatting xmlns:xm="http://schemas.microsoft.com/office/excel/2006/main">
          <x14:cfRule type="cellIs" priority="161" operator="greaterThan" id="{1E23D491-D059-4A1A-84FD-24DBC346C4EE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AN30</xm:sqref>
        </x14:conditionalFormatting>
        <x14:conditionalFormatting xmlns:xm="http://schemas.microsoft.com/office/excel/2006/main">
          <x14:cfRule type="cellIs" priority="160" operator="greaterThan" id="{A6FC12D4-3803-4232-9BF4-7B192C9B74F1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AZ16</xm:sqref>
        </x14:conditionalFormatting>
        <x14:conditionalFormatting xmlns:xm="http://schemas.microsoft.com/office/excel/2006/main">
          <x14:cfRule type="cellIs" priority="159" operator="greaterThan" id="{5B1E1280-B9A7-4509-86D8-9FF8FAF6EE8D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D63</xm:sqref>
        </x14:conditionalFormatting>
        <x14:conditionalFormatting xmlns:xm="http://schemas.microsoft.com/office/excel/2006/main">
          <x14:cfRule type="cellIs" priority="158" operator="greaterThan" id="{A148D1D5-6D08-4CFC-854C-C148F6DE2830}">
            <xm:f>RESUMEN!$U$2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P57</xm:sqref>
        </x14:conditionalFormatting>
        <x14:conditionalFormatting xmlns:xm="http://schemas.microsoft.com/office/excel/2006/main">
          <x14:cfRule type="cellIs" priority="157" operator="greaterThan" id="{7D6107CD-4D08-4B03-9491-E546C4BB13EF}">
            <xm:f>RESUMEN!$AG$2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AB41</xm:sqref>
        </x14:conditionalFormatting>
        <x14:conditionalFormatting xmlns:xm="http://schemas.microsoft.com/office/excel/2006/main">
          <x14:cfRule type="cellIs" priority="156" operator="greaterThan" id="{4B972C8B-C7BE-4EA3-B0D3-DF1050DC187A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P58</xm:sqref>
        </x14:conditionalFormatting>
        <x14:conditionalFormatting xmlns:xm="http://schemas.microsoft.com/office/excel/2006/main">
          <x14:cfRule type="cellIs" priority="155" operator="greaterThan" id="{DCDB8AF6-8FD8-4188-B275-1326C442717F}">
            <xm:f>RESUMEN!$AG$2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AN31</xm:sqref>
        </x14:conditionalFormatting>
        <x14:conditionalFormatting xmlns:xm="http://schemas.microsoft.com/office/excel/2006/main">
          <x14:cfRule type="cellIs" priority="154" operator="greaterThan" id="{2BC320A5-A5BE-488E-A8B3-1D40BC251868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AZ17</xm:sqref>
        </x14:conditionalFormatting>
        <x14:conditionalFormatting xmlns:xm="http://schemas.microsoft.com/office/excel/2006/main">
          <x14:cfRule type="cellIs" priority="153" operator="greaterThan" id="{14228F7F-A369-4758-8819-46CF956FC110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AZ18</xm:sqref>
        </x14:conditionalFormatting>
        <x14:conditionalFormatting xmlns:xm="http://schemas.microsoft.com/office/excel/2006/main">
          <x14:cfRule type="cellIs" priority="152" operator="greaterThan" id="{48392694-8E3F-49CF-BC8B-FD88F5FE4ACD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D64</xm:sqref>
        </x14:conditionalFormatting>
        <x14:conditionalFormatting xmlns:xm="http://schemas.microsoft.com/office/excel/2006/main">
          <x14:cfRule type="cellIs" priority="151" operator="greaterThan" id="{5C39951E-F977-4DAC-83EE-65B5AADE2662}">
            <xm:f>RESUMEN!$U$2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P59</xm:sqref>
        </x14:conditionalFormatting>
        <x14:conditionalFormatting xmlns:xm="http://schemas.microsoft.com/office/excel/2006/main">
          <x14:cfRule type="cellIs" priority="150" operator="greaterThan" id="{2A5C0B15-36CB-4FCB-9D03-F8755BD76AA7}">
            <xm:f>RESUMEN!$AG$2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AN32</xm:sqref>
        </x14:conditionalFormatting>
        <x14:conditionalFormatting xmlns:xm="http://schemas.microsoft.com/office/excel/2006/main">
          <x14:cfRule type="cellIs" priority="149" operator="greaterThan" id="{7A32723D-3F9A-4616-80E7-F919AA17B4FB}">
            <xm:f>RESUMEN!$AS$2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AN33</xm:sqref>
        </x14:conditionalFormatting>
        <x14:conditionalFormatting xmlns:xm="http://schemas.microsoft.com/office/excel/2006/main">
          <x14:cfRule type="cellIs" priority="148" operator="greaterThan" id="{260F9EAA-6002-4227-8592-81618B3AE1AF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AZ19</xm:sqref>
        </x14:conditionalFormatting>
        <x14:conditionalFormatting xmlns:xm="http://schemas.microsoft.com/office/excel/2006/main">
          <x14:cfRule type="cellIs" priority="147" operator="greaterThan" id="{9F89BA54-8323-4EC6-9465-AF713417373E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AZ20</xm:sqref>
        </x14:conditionalFormatting>
        <x14:conditionalFormatting xmlns:xm="http://schemas.microsoft.com/office/excel/2006/main">
          <x14:cfRule type="cellIs" priority="146" operator="greaterThan" id="{56DA07F3-21D8-41CB-9959-5FC4C89E0BDC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BL9</xm:sqref>
        </x14:conditionalFormatting>
        <x14:conditionalFormatting xmlns:xm="http://schemas.microsoft.com/office/excel/2006/main">
          <x14:cfRule type="cellIs" priority="145" operator="greaterThan" id="{A68D7A36-E81A-405A-A599-F857843919FD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BL10</xm:sqref>
        </x14:conditionalFormatting>
        <x14:conditionalFormatting xmlns:xm="http://schemas.microsoft.com/office/excel/2006/main">
          <x14:cfRule type="cellIs" priority="144" operator="greaterThan" id="{BDF600C6-0B86-41D4-AB91-B8B1E0A373D7}">
            <xm:f>RESUMEN!$U$2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P60</xm:sqref>
        </x14:conditionalFormatting>
        <x14:conditionalFormatting xmlns:xm="http://schemas.microsoft.com/office/excel/2006/main">
          <x14:cfRule type="cellIs" priority="143" operator="greaterThan" id="{4ED800B7-ED5A-49E1-8ECD-639392B6F45B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D65</xm:sqref>
        </x14:conditionalFormatting>
        <x14:conditionalFormatting xmlns:xm="http://schemas.microsoft.com/office/excel/2006/main">
          <x14:cfRule type="cellIs" priority="141" operator="greaterThan" id="{15AF129D-13BE-4FE8-99C8-D59416AC65D4}">
            <xm:f>RESUMEN!$AG$2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AB42</xm:sqref>
        </x14:conditionalFormatting>
        <x14:conditionalFormatting xmlns:xm="http://schemas.microsoft.com/office/excel/2006/main">
          <x14:cfRule type="cellIs" priority="140" operator="greaterThan" id="{A658F515-8E52-40EE-858A-11D27632C4CA}">
            <xm:f>RESUMEN!$AG$2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AB43</xm:sqref>
        </x14:conditionalFormatting>
        <x14:conditionalFormatting xmlns:xm="http://schemas.microsoft.com/office/excel/2006/main">
          <x14:cfRule type="cellIs" priority="139" operator="greaterThan" id="{D142F853-912A-44EA-8B4E-062C9AEEB228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AN34</xm:sqref>
        </x14:conditionalFormatting>
        <x14:conditionalFormatting xmlns:xm="http://schemas.microsoft.com/office/excel/2006/main">
          <x14:cfRule type="cellIs" priority="138" operator="greaterThan" id="{FEC870F1-5BDE-4B77-A056-4E1367ED4221}">
            <xm:f>RESUMEN!$AG$2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AN35</xm:sqref>
        </x14:conditionalFormatting>
        <x14:conditionalFormatting xmlns:xm="http://schemas.microsoft.com/office/excel/2006/main">
          <x14:cfRule type="cellIs" priority="137" operator="greaterThan" id="{19AA2791-3F20-4778-AB6D-F25BFAAE87D9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AZ21</xm:sqref>
        </x14:conditionalFormatting>
        <x14:conditionalFormatting xmlns:xm="http://schemas.microsoft.com/office/excel/2006/main">
          <x14:cfRule type="cellIs" priority="136" operator="greaterThan" id="{7F8E4CED-02BA-4276-85A1-010EB0513921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BL11</xm:sqref>
        </x14:conditionalFormatting>
        <x14:conditionalFormatting xmlns:xm="http://schemas.microsoft.com/office/excel/2006/main">
          <x14:cfRule type="cellIs" priority="135" operator="greaterThan" id="{05309BD6-5997-46BA-AC21-1CC236DA46A3}">
            <xm:f>RESUMEN!$AG$2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AB44</xm:sqref>
        </x14:conditionalFormatting>
        <x14:conditionalFormatting xmlns:xm="http://schemas.microsoft.com/office/excel/2006/main">
          <x14:cfRule type="cellIs" priority="134" operator="greaterThan" id="{0725C3A6-0116-4CF9-B751-5F6FEF1DA6C2}">
            <xm:f>RESUMEN!$AG$2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AB45</xm:sqref>
        </x14:conditionalFormatting>
        <x14:conditionalFormatting xmlns:xm="http://schemas.microsoft.com/office/excel/2006/main">
          <x14:cfRule type="cellIs" priority="133" operator="greaterThan" id="{131A3C21-7F5F-47CB-B1FC-5538F8280AA4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AN36</xm:sqref>
        </x14:conditionalFormatting>
        <x14:conditionalFormatting xmlns:xm="http://schemas.microsoft.com/office/excel/2006/main">
          <x14:cfRule type="cellIs" priority="132" operator="greaterThan" id="{47AB2423-3F2C-469C-8397-C4AB05A68BC1}">
            <xm:f>RESUMEN!$AG$2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AN37</xm:sqref>
        </x14:conditionalFormatting>
        <x14:conditionalFormatting xmlns:xm="http://schemas.microsoft.com/office/excel/2006/main">
          <x14:cfRule type="cellIs" priority="131" operator="greaterThan" id="{4633193F-C0D8-449B-8113-0226D9884671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AZ22</xm:sqref>
        </x14:conditionalFormatting>
        <x14:conditionalFormatting xmlns:xm="http://schemas.microsoft.com/office/excel/2006/main">
          <x14:cfRule type="cellIs" priority="130" operator="greaterThan" id="{93AED91C-4E55-481F-AAF6-34CCC1AF6FE2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AZ23</xm:sqref>
        </x14:conditionalFormatting>
        <x14:conditionalFormatting xmlns:xm="http://schemas.microsoft.com/office/excel/2006/main">
          <x14:cfRule type="cellIs" priority="129" operator="greaterThan" id="{35EE289B-6931-4EB4-A6A2-E279BC64C79F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BL12</xm:sqref>
        </x14:conditionalFormatting>
        <x14:conditionalFormatting xmlns:xm="http://schemas.microsoft.com/office/excel/2006/main">
          <x14:cfRule type="cellIs" priority="125" operator="greaterThan" id="{588C8E54-AABB-4522-8E18-5AC9CA847D4A}">
            <xm:f>RESUMEN!$AG$2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AN40</xm:sqref>
        </x14:conditionalFormatting>
        <x14:conditionalFormatting xmlns:xm="http://schemas.microsoft.com/office/excel/2006/main">
          <x14:cfRule type="cellIs" priority="121" operator="greaterThan" id="{AEA40058-05FA-417F-9F36-8C602829ACC4}">
            <xm:f>RESUMEN!$AS$2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AN38</xm:sqref>
        </x14:conditionalFormatting>
        <x14:conditionalFormatting xmlns:xm="http://schemas.microsoft.com/office/excel/2006/main">
          <x14:cfRule type="cellIs" priority="120" operator="greaterThan" id="{149BEA99-0A57-467E-A68E-BAF13204D730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AN39</xm:sqref>
        </x14:conditionalFormatting>
        <x14:conditionalFormatting xmlns:xm="http://schemas.microsoft.com/office/excel/2006/main">
          <x14:cfRule type="cellIs" priority="119" operator="greaterThan" id="{EFB99BB4-DFBF-4638-9910-88EC597CDF81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AZ24</xm:sqref>
        </x14:conditionalFormatting>
        <x14:conditionalFormatting xmlns:xm="http://schemas.microsoft.com/office/excel/2006/main">
          <x14:cfRule type="cellIs" priority="118" operator="greaterThan" id="{3DC7F570-1EE0-4E53-92C0-1602DFC7CA25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D66</xm:sqref>
        </x14:conditionalFormatting>
        <x14:conditionalFormatting xmlns:xm="http://schemas.microsoft.com/office/excel/2006/main">
          <x14:cfRule type="cellIs" priority="117" operator="greaterThan" id="{AD4422F0-D71C-4A22-9B7E-45F765099F1C}">
            <xm:f>RESUMEN!$U$2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P61</xm:sqref>
        </x14:conditionalFormatting>
        <x14:conditionalFormatting xmlns:xm="http://schemas.microsoft.com/office/excel/2006/main">
          <x14:cfRule type="cellIs" priority="116" operator="greaterThan" id="{94944750-F992-4900-A06A-BB2D6DC4311D}">
            <xm:f>RESUMEN!$AG$2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AB46</xm:sqref>
        </x14:conditionalFormatting>
        <x14:conditionalFormatting xmlns:xm="http://schemas.microsoft.com/office/excel/2006/main">
          <x14:cfRule type="cellIs" priority="115" operator="greaterThan" id="{F6EF7814-F792-42EC-9D76-868E37AF5727}">
            <xm:f>RESUMEN!$AG$2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AB47</xm:sqref>
        </x14:conditionalFormatting>
        <x14:conditionalFormatting xmlns:xm="http://schemas.microsoft.com/office/excel/2006/main">
          <x14:cfRule type="cellIs" priority="114" operator="greaterThan" id="{92E0F3CA-70B3-4AA9-920B-5F8F97A82280}">
            <xm:f>RESUMEN!$AG$2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AN42</xm:sqref>
        </x14:conditionalFormatting>
        <x14:conditionalFormatting xmlns:xm="http://schemas.microsoft.com/office/excel/2006/main">
          <x14:cfRule type="cellIs" priority="113" operator="greaterThan" id="{F3B048D3-CD01-4A27-BC74-89FE12221E29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AN41</xm:sqref>
        </x14:conditionalFormatting>
        <x14:conditionalFormatting xmlns:xm="http://schemas.microsoft.com/office/excel/2006/main">
          <x14:cfRule type="cellIs" priority="112" operator="greaterThan" id="{7A2618EC-F207-4FBB-A65B-B2AAD322298C}">
            <xm:f>RESUMEN!$AS$2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AN43</xm:sqref>
        </x14:conditionalFormatting>
        <x14:conditionalFormatting xmlns:xm="http://schemas.microsoft.com/office/excel/2006/main">
          <x14:cfRule type="cellIs" priority="111" operator="greaterThan" id="{0B399D9D-D971-4568-B690-F08E6220EC4F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AZ25</xm:sqref>
        </x14:conditionalFormatting>
        <x14:conditionalFormatting xmlns:xm="http://schemas.microsoft.com/office/excel/2006/main">
          <x14:cfRule type="cellIs" priority="110" operator="greaterThan" id="{2A88D8EE-EEAE-40FE-A707-0B8D69CA2893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AZ26</xm:sqref>
        </x14:conditionalFormatting>
        <x14:conditionalFormatting xmlns:xm="http://schemas.microsoft.com/office/excel/2006/main">
          <x14:cfRule type="cellIs" priority="109" operator="greaterThan" id="{C85BB008-0891-4CCF-8CFE-C6D3D864A706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BL13</xm:sqref>
        </x14:conditionalFormatting>
        <x14:conditionalFormatting xmlns:xm="http://schemas.microsoft.com/office/excel/2006/main">
          <x14:cfRule type="cellIs" priority="108" operator="greaterThan" id="{A6F64315-50A9-4E7A-B691-9A672731D078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D67</xm:sqref>
        </x14:conditionalFormatting>
        <x14:conditionalFormatting xmlns:xm="http://schemas.microsoft.com/office/excel/2006/main">
          <x14:cfRule type="cellIs" priority="107" operator="greaterThan" id="{F8C5A40E-C772-4CD7-AE61-B14F97C4236C}">
            <xm:f>RESUMEN!$AG$2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AB48</xm:sqref>
        </x14:conditionalFormatting>
        <x14:conditionalFormatting xmlns:xm="http://schemas.microsoft.com/office/excel/2006/main">
          <x14:cfRule type="cellIs" priority="106" operator="greaterThan" id="{99141372-49F3-4668-9086-697179F58E6D}">
            <xm:f>RESUMEN!$AG$2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AN45</xm:sqref>
        </x14:conditionalFormatting>
        <x14:conditionalFormatting xmlns:xm="http://schemas.microsoft.com/office/excel/2006/main">
          <x14:cfRule type="cellIs" priority="105" operator="greaterThan" id="{667F1972-E572-44C8-AD58-D17F13727DE1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AN44</xm:sqref>
        </x14:conditionalFormatting>
        <x14:conditionalFormatting xmlns:xm="http://schemas.microsoft.com/office/excel/2006/main">
          <x14:cfRule type="cellIs" priority="104" operator="greaterThan" id="{9C45F955-D9CB-42EC-AD93-4BCB8D7FD90C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AZ28</xm:sqref>
        </x14:conditionalFormatting>
        <x14:conditionalFormatting xmlns:xm="http://schemas.microsoft.com/office/excel/2006/main">
          <x14:cfRule type="cellIs" priority="103" operator="greaterThan" id="{DFC079CF-05B7-4672-BB32-A4549A7707F0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AZ29</xm:sqref>
        </x14:conditionalFormatting>
        <x14:conditionalFormatting xmlns:xm="http://schemas.microsoft.com/office/excel/2006/main">
          <x14:cfRule type="cellIs" priority="102" operator="greaterThan" id="{E929EB58-8BF0-4AE5-9DC1-D6664174505D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BL15</xm:sqref>
        </x14:conditionalFormatting>
        <x14:conditionalFormatting xmlns:xm="http://schemas.microsoft.com/office/excel/2006/main">
          <x14:cfRule type="cellIs" priority="101" operator="greaterThan" id="{9B5C7407-30B0-434F-87BA-1E3C7669A80E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D68</xm:sqref>
        </x14:conditionalFormatting>
        <x14:conditionalFormatting xmlns:xm="http://schemas.microsoft.com/office/excel/2006/main">
          <x14:cfRule type="cellIs" priority="100" operator="greaterThan" id="{8B7EE6CF-898C-4DF3-A8AF-47DB10A44D46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P56</xm:sqref>
        </x14:conditionalFormatting>
        <x14:conditionalFormatting xmlns:xm="http://schemas.microsoft.com/office/excel/2006/main">
          <x14:cfRule type="cellIs" priority="99" operator="greaterThan" id="{59E8CA13-C2F6-4DB2-861B-EB87E2C108E3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P62</xm:sqref>
        </x14:conditionalFormatting>
        <x14:conditionalFormatting xmlns:xm="http://schemas.microsoft.com/office/excel/2006/main">
          <x14:cfRule type="cellIs" priority="98" operator="greaterThan" id="{6737DC0D-0A57-495C-9DA2-6FF64FDE4A8A}">
            <xm:f>RESUMEN!$AG$2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AB49</xm:sqref>
        </x14:conditionalFormatting>
        <x14:conditionalFormatting xmlns:xm="http://schemas.microsoft.com/office/excel/2006/main">
          <x14:cfRule type="cellIs" priority="97" operator="greaterThan" id="{07B62A63-9E6B-4742-AE38-3823574B823F}">
            <xm:f>RESUMEN!$AG$2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AN47</xm:sqref>
        </x14:conditionalFormatting>
        <x14:conditionalFormatting xmlns:xm="http://schemas.microsoft.com/office/excel/2006/main">
          <x14:cfRule type="cellIs" priority="96" operator="greaterThan" id="{8E331708-0C08-4307-B01A-EC8CB2135667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AN46</xm:sqref>
        </x14:conditionalFormatting>
        <x14:conditionalFormatting xmlns:xm="http://schemas.microsoft.com/office/excel/2006/main">
          <x14:cfRule type="cellIs" priority="95" operator="greaterThan" id="{6805CE10-096A-4F84-95A8-7D5BED8FE14A}">
            <xm:f>RESUMEN!$AS$2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AN49</xm:sqref>
        </x14:conditionalFormatting>
        <x14:conditionalFormatting xmlns:xm="http://schemas.microsoft.com/office/excel/2006/main">
          <x14:cfRule type="cellIs" priority="94" operator="greaterThan" id="{E73B91F3-2D11-49AB-AC7B-DFB46A743621}">
            <xm:f>RESUMEN!$AS$2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AN48</xm:sqref>
        </x14:conditionalFormatting>
        <x14:conditionalFormatting xmlns:xm="http://schemas.microsoft.com/office/excel/2006/main">
          <x14:cfRule type="cellIs" priority="93" operator="greaterThan" id="{F545A7F6-028B-4AA6-815F-9DFAEC4416E5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D69</xm:sqref>
        </x14:conditionalFormatting>
        <x14:conditionalFormatting xmlns:xm="http://schemas.microsoft.com/office/excel/2006/main">
          <x14:cfRule type="cellIs" priority="92" operator="greaterThan" id="{E1906360-1C95-4FC2-83BD-0640DF0C7E7E}">
            <xm:f>RESUMEN!$AG$2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AB51</xm:sqref>
        </x14:conditionalFormatting>
        <x14:conditionalFormatting xmlns:xm="http://schemas.microsoft.com/office/excel/2006/main">
          <x14:cfRule type="cellIs" priority="91" operator="greaterThan" id="{6717B046-09AD-45D1-8E61-2A5889407996}">
            <xm:f>RESUMEN!$AG$2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AN51</xm:sqref>
        </x14:conditionalFormatting>
        <x14:conditionalFormatting xmlns:xm="http://schemas.microsoft.com/office/excel/2006/main">
          <x14:cfRule type="cellIs" priority="90" operator="greaterThan" id="{7FF3BCEB-25A0-449D-99CF-03FB067A9944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AN50</xm:sqref>
        </x14:conditionalFormatting>
        <x14:conditionalFormatting xmlns:xm="http://schemas.microsoft.com/office/excel/2006/main">
          <x14:cfRule type="cellIs" priority="89" operator="greaterThan" id="{46449A84-9F22-4D8F-ADB1-CBAB73938E18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AZ30</xm:sqref>
        </x14:conditionalFormatting>
        <x14:conditionalFormatting xmlns:xm="http://schemas.microsoft.com/office/excel/2006/main">
          <x14:cfRule type="cellIs" priority="88" operator="greaterThan" id="{C2B2A22A-B5B8-4EB3-9391-FCF0E111627D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AZ31</xm:sqref>
        </x14:conditionalFormatting>
        <x14:conditionalFormatting xmlns:xm="http://schemas.microsoft.com/office/excel/2006/main">
          <x14:cfRule type="cellIs" priority="87" operator="greaterThan" id="{4D65D2B4-D411-4FF4-979B-5DC560F71761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BL16</xm:sqref>
        </x14:conditionalFormatting>
        <x14:conditionalFormatting xmlns:xm="http://schemas.microsoft.com/office/excel/2006/main">
          <x14:cfRule type="cellIs" priority="86" operator="greaterThan" id="{D5F6EC4B-EBB2-4B43-8722-EA84A5F7118A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BL17</xm:sqref>
        </x14:conditionalFormatting>
        <x14:conditionalFormatting xmlns:xm="http://schemas.microsoft.com/office/excel/2006/main">
          <x14:cfRule type="cellIs" priority="85" operator="greaterThan" id="{B5023221-1EBB-4FFC-B2D3-743287C101A7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D70</xm:sqref>
        </x14:conditionalFormatting>
        <x14:conditionalFormatting xmlns:xm="http://schemas.microsoft.com/office/excel/2006/main">
          <x14:cfRule type="cellIs" priority="84" operator="greaterThan" id="{9AD6D028-F6C1-4C2F-8276-B83C2C9CDE97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P63</xm:sqref>
        </x14:conditionalFormatting>
        <x14:conditionalFormatting xmlns:xm="http://schemas.microsoft.com/office/excel/2006/main">
          <x14:cfRule type="cellIs" priority="83" operator="greaterThan" id="{A91323BE-1ADA-4F6B-BA75-1ECF9635FE17}">
            <xm:f>RESUMEN!$AG$2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AB52</xm:sqref>
        </x14:conditionalFormatting>
        <x14:conditionalFormatting xmlns:xm="http://schemas.microsoft.com/office/excel/2006/main">
          <x14:cfRule type="cellIs" priority="82" operator="greaterThan" id="{7CBC8984-33BE-4FBA-B3C1-8D9C3D3BD9B5}">
            <xm:f>RESUMEN!$AG$2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AN52</xm:sqref>
        </x14:conditionalFormatting>
        <x14:conditionalFormatting xmlns:xm="http://schemas.microsoft.com/office/excel/2006/main">
          <x14:cfRule type="cellIs" priority="81" operator="greaterThan" id="{55C93530-EAD5-4567-817A-E64A23B9800E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AZ32</xm:sqref>
        </x14:conditionalFormatting>
        <x14:conditionalFormatting xmlns:xm="http://schemas.microsoft.com/office/excel/2006/main">
          <x14:cfRule type="cellIs" priority="80" operator="greaterThan" id="{1BC3508A-0226-47C6-A392-BB79A7E32E11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BL18</xm:sqref>
        </x14:conditionalFormatting>
        <x14:conditionalFormatting xmlns:xm="http://schemas.microsoft.com/office/excel/2006/main">
          <x14:cfRule type="cellIs" priority="79" operator="greaterThan" id="{8C608078-C89E-441B-8689-3C7C89C04F4C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P64</xm:sqref>
        </x14:conditionalFormatting>
        <x14:conditionalFormatting xmlns:xm="http://schemas.microsoft.com/office/excel/2006/main">
          <x14:cfRule type="cellIs" priority="78" operator="greaterThan" id="{356219A9-E18D-48DF-ADB3-A19A35819842}">
            <xm:f>RESUMEN!$AG$2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AB53</xm:sqref>
        </x14:conditionalFormatting>
        <x14:conditionalFormatting xmlns:xm="http://schemas.microsoft.com/office/excel/2006/main">
          <x14:cfRule type="cellIs" priority="77" operator="greaterThan" id="{8D3571C2-6C1F-44FA-B7DA-83744155CBFF}">
            <xm:f>RESUMEN!$AG$2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AN53</xm:sqref>
        </x14:conditionalFormatting>
        <x14:conditionalFormatting xmlns:xm="http://schemas.microsoft.com/office/excel/2006/main">
          <x14:cfRule type="cellIs" priority="76" operator="greaterThan" id="{50B5588E-15E2-4020-A3D1-06CF5BAE2100}">
            <xm:f>RESUMEN!$AS$2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AN54</xm:sqref>
        </x14:conditionalFormatting>
        <x14:conditionalFormatting xmlns:xm="http://schemas.microsoft.com/office/excel/2006/main">
          <x14:cfRule type="cellIs" priority="75" operator="greaterThan" id="{51A09B84-CBF8-41EF-A6B4-4FB98939B8BF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AZ33</xm:sqref>
        </x14:conditionalFormatting>
        <x14:conditionalFormatting xmlns:xm="http://schemas.microsoft.com/office/excel/2006/main">
          <x14:cfRule type="cellIs" priority="74" operator="greaterThan" id="{78359E0A-6FB9-4195-AE0A-A14943090D7A}">
            <xm:f>RESUMEN!$BE$2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AZ34</xm:sqref>
        </x14:conditionalFormatting>
        <x14:conditionalFormatting xmlns:xm="http://schemas.microsoft.com/office/excel/2006/main">
          <x14:cfRule type="cellIs" priority="73" operator="greaterThan" id="{32F8C9C2-653B-45BB-84EA-95D76D247E45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AZ35</xm:sqref>
        </x14:conditionalFormatting>
        <x14:conditionalFormatting xmlns:xm="http://schemas.microsoft.com/office/excel/2006/main">
          <x14:cfRule type="cellIs" priority="72" operator="greaterThan" id="{ED22376B-7386-4DB1-8632-18EE1FFAC261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BL19</xm:sqref>
        </x14:conditionalFormatting>
        <x14:conditionalFormatting xmlns:xm="http://schemas.microsoft.com/office/excel/2006/main">
          <x14:cfRule type="cellIs" priority="71" operator="greaterThan" id="{B3D860F7-E2A5-441A-B335-B3826E1E9410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BL20</xm:sqref>
        </x14:conditionalFormatting>
        <x14:conditionalFormatting xmlns:xm="http://schemas.microsoft.com/office/excel/2006/main">
          <x14:cfRule type="cellIs" priority="70" operator="greaterThan" id="{6C46F617-8EB7-4BCD-88F3-876E32562AB9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D71</xm:sqref>
        </x14:conditionalFormatting>
        <x14:conditionalFormatting xmlns:xm="http://schemas.microsoft.com/office/excel/2006/main">
          <x14:cfRule type="cellIs" priority="69" operator="greaterThan" id="{017F4A58-439C-45FD-8D3D-4B83DE98E139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P65</xm:sqref>
        </x14:conditionalFormatting>
        <x14:conditionalFormatting xmlns:xm="http://schemas.microsoft.com/office/excel/2006/main">
          <x14:cfRule type="cellIs" priority="67" operator="greaterThan" id="{1E3CE475-7CBB-49BB-90F5-03BE1B0624D5}">
            <xm:f>RESUMEN!$AS$2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AN55</xm:sqref>
        </x14:conditionalFormatting>
        <x14:conditionalFormatting xmlns:xm="http://schemas.microsoft.com/office/excel/2006/main">
          <x14:cfRule type="cellIs" priority="66" operator="greaterThan" id="{0D62A5E5-1989-40B9-9A44-DBB2EFA79D96}">
            <xm:f>RESUMEN!$AG$2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AN56</xm:sqref>
        </x14:conditionalFormatting>
        <x14:conditionalFormatting xmlns:xm="http://schemas.microsoft.com/office/excel/2006/main">
          <x14:cfRule type="cellIs" priority="65" operator="greaterThan" id="{9D024CC0-F7CD-4C25-8EB7-7325A7AA1390}">
            <xm:f>RESUMEN!$BE$2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AZ36</xm:sqref>
        </x14:conditionalFormatting>
        <x14:conditionalFormatting xmlns:xm="http://schemas.microsoft.com/office/excel/2006/main">
          <x14:cfRule type="cellIs" priority="64" operator="greaterThan" id="{0022330B-BD94-438F-A043-F0FC651890E3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AZ37</xm:sqref>
        </x14:conditionalFormatting>
        <x14:conditionalFormatting xmlns:xm="http://schemas.microsoft.com/office/excel/2006/main">
          <x14:cfRule type="cellIs" priority="63" operator="greaterThan" id="{3BFF7BB0-B6F5-46AC-B5FC-0222529914CD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BL21</xm:sqref>
        </x14:conditionalFormatting>
        <x14:conditionalFormatting xmlns:xm="http://schemas.microsoft.com/office/excel/2006/main">
          <x14:cfRule type="cellIs" priority="62" operator="greaterThan" id="{AFFCD348-C9D3-4FA4-A50F-91C8E7F48AF5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BL22</xm:sqref>
        </x14:conditionalFormatting>
        <x14:conditionalFormatting xmlns:xm="http://schemas.microsoft.com/office/excel/2006/main">
          <x14:cfRule type="cellIs" priority="59" operator="greaterThan" id="{27621DFC-032B-4C33-8387-698F349D674D}">
            <xm:f>RESUMEN!$AG$2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AN58</xm:sqref>
        </x14:conditionalFormatting>
        <x14:conditionalFormatting xmlns:xm="http://schemas.microsoft.com/office/excel/2006/main">
          <x14:cfRule type="cellIs" priority="58" operator="greaterThan" id="{8DF93B55-99E1-4C60-B808-28B297B9B077}">
            <xm:f>RESUMEN!$AS$2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AN57</xm:sqref>
        </x14:conditionalFormatting>
        <x14:conditionalFormatting xmlns:xm="http://schemas.microsoft.com/office/excel/2006/main">
          <x14:cfRule type="cellIs" priority="57" operator="greaterThan" id="{D6415BC8-D7F5-4DDA-AEF4-538761AD0669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AZ38</xm:sqref>
        </x14:conditionalFormatting>
        <x14:conditionalFormatting xmlns:xm="http://schemas.microsoft.com/office/excel/2006/main">
          <x14:cfRule type="cellIs" priority="56" operator="greaterThan" id="{F62061C6-6B6B-4ADC-9861-717F81418F42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BL23</xm:sqref>
        </x14:conditionalFormatting>
        <x14:conditionalFormatting xmlns:xm="http://schemas.microsoft.com/office/excel/2006/main">
          <x14:cfRule type="cellIs" priority="55" operator="greaterThan" id="{2643CF76-23AA-4BDB-A9C8-E85AD74C7E6A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BL24</xm:sqref>
        </x14:conditionalFormatting>
        <x14:conditionalFormatting xmlns:xm="http://schemas.microsoft.com/office/excel/2006/main">
          <x14:cfRule type="cellIs" priority="54" operator="greaterThan" id="{CE283F26-5CA8-42AE-A878-C17C2D5091F0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D72</xm:sqref>
        </x14:conditionalFormatting>
        <x14:conditionalFormatting xmlns:xm="http://schemas.microsoft.com/office/excel/2006/main">
          <x14:cfRule type="cellIs" priority="53" operator="greaterThan" id="{3CCDF4A7-3084-4E7B-A3A4-AF33AC3F2E2F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P66</xm:sqref>
        </x14:conditionalFormatting>
        <x14:conditionalFormatting xmlns:xm="http://schemas.microsoft.com/office/excel/2006/main">
          <x14:cfRule type="cellIs" priority="52" operator="greaterThan" id="{50CE232A-199F-4A9F-8A83-7DC17B1012A0}">
            <xm:f>RESUMEN!$AS$2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AN59</xm:sqref>
        </x14:conditionalFormatting>
        <x14:conditionalFormatting xmlns:xm="http://schemas.microsoft.com/office/excel/2006/main">
          <x14:cfRule type="cellIs" priority="50" operator="greaterThan" id="{6A14ABAA-79BE-4937-8AAA-C890F79565DE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AZ40</xm:sqref>
        </x14:conditionalFormatting>
        <x14:conditionalFormatting xmlns:xm="http://schemas.microsoft.com/office/excel/2006/main">
          <x14:cfRule type="cellIs" priority="48" operator="greaterThan" id="{CB44D688-BBDC-4FC7-8DEE-88A9906E99A7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AZ39</xm:sqref>
        </x14:conditionalFormatting>
        <x14:conditionalFormatting xmlns:xm="http://schemas.microsoft.com/office/excel/2006/main">
          <x14:cfRule type="cellIs" priority="47" operator="greaterThan" id="{4DF1487F-D455-45D9-BE07-8D75363F2400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BL25</xm:sqref>
        </x14:conditionalFormatting>
        <x14:conditionalFormatting xmlns:xm="http://schemas.microsoft.com/office/excel/2006/main">
          <x14:cfRule type="cellIs" priority="46" operator="greaterThan" id="{0AC05009-907F-496F-B03D-5BF7147AF61A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BL26</xm:sqref>
        </x14:conditionalFormatting>
        <x14:conditionalFormatting xmlns:xm="http://schemas.microsoft.com/office/excel/2006/main">
          <x14:cfRule type="cellIs" priority="45" operator="greaterThan" id="{475E710C-03E5-48AE-816E-240D15CEB375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D73</xm:sqref>
        </x14:conditionalFormatting>
        <x14:conditionalFormatting xmlns:xm="http://schemas.microsoft.com/office/excel/2006/main">
          <x14:cfRule type="cellIs" priority="44" operator="greaterThan" id="{D4D05A8A-59FD-4778-AAB3-EEBBE06FABD5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P67</xm:sqref>
        </x14:conditionalFormatting>
        <x14:conditionalFormatting xmlns:xm="http://schemas.microsoft.com/office/excel/2006/main">
          <x14:cfRule type="cellIs" priority="43" operator="greaterThan" id="{2D27EB13-81B5-456C-9DE3-B112A37FF01E}">
            <xm:f>RESUMEN!$AS$2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AN60</xm:sqref>
        </x14:conditionalFormatting>
        <x14:conditionalFormatting xmlns:xm="http://schemas.microsoft.com/office/excel/2006/main">
          <x14:cfRule type="cellIs" priority="41" operator="greaterThan" id="{C571EA4D-DAAC-42D7-8552-119C583F1E53}">
            <xm:f>RESUMEN!$BE$2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AZ41</xm:sqref>
        </x14:conditionalFormatting>
        <x14:conditionalFormatting xmlns:xm="http://schemas.microsoft.com/office/excel/2006/main">
          <x14:cfRule type="cellIs" priority="37" operator="greaterThan" id="{E2A7F644-815B-49E9-BFD4-12EA2CDE54B2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BT25:BT26</xm:sqref>
        </x14:conditionalFormatting>
        <x14:conditionalFormatting xmlns:xm="http://schemas.microsoft.com/office/excel/2006/main">
          <x14:cfRule type="cellIs" priority="36" operator="greaterThan" id="{58CA2F29-80A9-4034-A4CD-AABCBA0E32C3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BR25</xm:sqref>
        </x14:conditionalFormatting>
        <x14:conditionalFormatting xmlns:xm="http://schemas.microsoft.com/office/excel/2006/main">
          <x14:cfRule type="cellIs" priority="35" operator="greaterThan" id="{DCE66CE4-BE53-42FB-857B-7DED2774A070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BR26</xm:sqref>
        </x14:conditionalFormatting>
        <x14:conditionalFormatting xmlns:xm="http://schemas.microsoft.com/office/excel/2006/main">
          <x14:cfRule type="cellIs" priority="34" operator="greaterThan" id="{6EE8A8D7-A8F3-4AF9-9D27-DDAA7AC969C6}">
            <xm:f>RESUMEN!$BQ$2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BI27</xm:sqref>
        </x14:conditionalFormatting>
        <x14:conditionalFormatting xmlns:xm="http://schemas.microsoft.com/office/excel/2006/main">
          <x14:cfRule type="cellIs" priority="33" operator="greaterThan" id="{980F5176-DB53-421C-B0F5-497530FC9458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BN27</xm:sqref>
        </x14:conditionalFormatting>
        <x14:conditionalFormatting xmlns:xm="http://schemas.microsoft.com/office/excel/2006/main">
          <x14:cfRule type="cellIs" priority="32" operator="greaterThan" id="{6471B048-483A-45C6-9D80-DC4D2A5DE3EF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BL27</xm:sqref>
        </x14:conditionalFormatting>
        <x14:conditionalFormatting xmlns:xm="http://schemas.microsoft.com/office/excel/2006/main">
          <x14:cfRule type="cellIs" priority="31" operator="greaterThan" id="{44E3EBED-4550-4747-9809-DA167008C856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D74</xm:sqref>
        </x14:conditionalFormatting>
        <x14:conditionalFormatting xmlns:xm="http://schemas.microsoft.com/office/excel/2006/main">
          <x14:cfRule type="cellIs" priority="30" operator="greaterThan" id="{E4AD6FAC-A589-4612-A3B8-A020696488CE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P68</xm:sqref>
        </x14:conditionalFormatting>
        <x14:conditionalFormatting xmlns:xm="http://schemas.microsoft.com/office/excel/2006/main">
          <x14:cfRule type="cellIs" priority="29" operator="greaterThan" id="{8B905DD7-9040-40FE-8660-D711C1950E68}">
            <xm:f>RESUMEN!$AS$2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AN61</xm:sqref>
        </x14:conditionalFormatting>
        <x14:conditionalFormatting xmlns:xm="http://schemas.microsoft.com/office/excel/2006/main">
          <x14:cfRule type="cellIs" priority="28" operator="greaterThan" id="{7EF095B6-046B-4770-B5BD-D8D7FCEFFE69}">
            <xm:f>RESUMEN!$AS$2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AU72</xm:sqref>
        </x14:conditionalFormatting>
        <x14:conditionalFormatting xmlns:xm="http://schemas.microsoft.com/office/excel/2006/main">
          <x14:cfRule type="cellIs" priority="27" operator="greaterThan" id="{5040B7D4-40EE-4CFB-A6CF-6B0B109A680C}">
            <xm:f>RESUMEN!$BE$2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AZ42</xm:sqref>
        </x14:conditionalFormatting>
        <x14:conditionalFormatting xmlns:xm="http://schemas.microsoft.com/office/excel/2006/main">
          <x14:cfRule type="cellIs" priority="25" operator="greaterThan" id="{FEF98B37-6086-406A-8FAC-B877B86124B5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AZ43</xm:sqref>
        </x14:conditionalFormatting>
        <x14:conditionalFormatting xmlns:xm="http://schemas.microsoft.com/office/excel/2006/main">
          <x14:cfRule type="cellIs" priority="24" operator="greaterThan" id="{C2745F31-3019-4045-8DB3-3695E307E7E8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BL28</xm:sqref>
        </x14:conditionalFormatting>
        <x14:conditionalFormatting xmlns:xm="http://schemas.microsoft.com/office/excel/2006/main">
          <x14:cfRule type="cellIs" priority="23" operator="greaterThan" id="{B3A9D982-7358-4B2A-9AFC-7ADB9FC2887B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D75</xm:sqref>
        </x14:conditionalFormatting>
        <x14:conditionalFormatting xmlns:xm="http://schemas.microsoft.com/office/excel/2006/main">
          <x14:cfRule type="cellIs" priority="22" operator="greaterThan" id="{1AE78A6C-75B5-49BA-BCBB-F957A58550E6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P69</xm:sqref>
        </x14:conditionalFormatting>
        <x14:conditionalFormatting xmlns:xm="http://schemas.microsoft.com/office/excel/2006/main">
          <x14:cfRule type="cellIs" priority="21" operator="greaterThan" id="{FD602767-F2B9-4FC3-91F8-27BCCCE96E56}">
            <xm:f>RESUMEN!$AS$2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AN62</xm:sqref>
        </x14:conditionalFormatting>
        <x14:conditionalFormatting xmlns:xm="http://schemas.microsoft.com/office/excel/2006/main">
          <x14:cfRule type="cellIs" priority="20" operator="greaterThan" id="{33160F15-BAC1-469B-804E-38339D5C03CF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D76</xm:sqref>
        </x14:conditionalFormatting>
        <x14:conditionalFormatting xmlns:xm="http://schemas.microsoft.com/office/excel/2006/main">
          <x14:cfRule type="cellIs" priority="19" operator="greaterThan" id="{647770A6-99AB-4028-8593-3ECC2FC5E775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P70</xm:sqref>
        </x14:conditionalFormatting>
        <x14:conditionalFormatting xmlns:xm="http://schemas.microsoft.com/office/excel/2006/main">
          <x14:cfRule type="cellIs" priority="18" operator="greaterThan" id="{0670436B-3B26-4CBE-A7C5-568A76D5D098}">
            <xm:f>RESUMEN!$AS$2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AN63</xm:sqref>
        </x14:conditionalFormatting>
        <x14:conditionalFormatting xmlns:xm="http://schemas.microsoft.com/office/excel/2006/main">
          <x14:cfRule type="cellIs" priority="17" operator="greaterThan" id="{31945DB4-0161-4FEF-993B-FA6883E55904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AZ45</xm:sqref>
        </x14:conditionalFormatting>
        <x14:conditionalFormatting xmlns:xm="http://schemas.microsoft.com/office/excel/2006/main">
          <x14:cfRule type="cellIs" priority="16" operator="greaterThan" id="{800604C4-9C17-40FC-8309-4AE31DDD1FEA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AZ44</xm:sqref>
        </x14:conditionalFormatting>
        <x14:conditionalFormatting xmlns:xm="http://schemas.microsoft.com/office/excel/2006/main">
          <x14:cfRule type="cellIs" priority="15" operator="greaterThan" id="{B30A3609-F2DA-41FF-83BB-374451DAE153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BL30</xm:sqref>
        </x14:conditionalFormatting>
        <x14:conditionalFormatting xmlns:xm="http://schemas.microsoft.com/office/excel/2006/main">
          <x14:cfRule type="cellIs" priority="14" operator="greaterThan" id="{22811095-524E-4151-A9F3-42A446B79AD9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P71</xm:sqref>
        </x14:conditionalFormatting>
        <x14:conditionalFormatting xmlns:xm="http://schemas.microsoft.com/office/excel/2006/main">
          <x14:cfRule type="cellIs" priority="13" operator="greaterThan" id="{613AD69F-842C-4AEB-BAD5-47FCB3C67361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P72</xm:sqref>
        </x14:conditionalFormatting>
        <x14:conditionalFormatting xmlns:xm="http://schemas.microsoft.com/office/excel/2006/main">
          <x14:cfRule type="cellIs" priority="12" operator="greaterThan" id="{FC86EF93-72F4-4CF4-A55C-CD818E24C556}">
            <xm:f>RESUMEN!$AS$2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AN64</xm:sqref>
        </x14:conditionalFormatting>
        <x14:conditionalFormatting xmlns:xm="http://schemas.microsoft.com/office/excel/2006/main">
          <x14:cfRule type="cellIs" priority="11" operator="greaterThan" id="{42FC6C1B-BE00-487E-8157-CEE2BAE4F14C}">
            <xm:f>RESUMEN!$AS$2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AN65</xm:sqref>
        </x14:conditionalFormatting>
        <x14:conditionalFormatting xmlns:xm="http://schemas.microsoft.com/office/excel/2006/main">
          <x14:cfRule type="cellIs" priority="10" operator="greaterThan" id="{9B624446-03CE-4C9F-B2AF-D06F248BA3E2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AZ46</xm:sqref>
        </x14:conditionalFormatting>
        <x14:conditionalFormatting xmlns:xm="http://schemas.microsoft.com/office/excel/2006/main">
          <x14:cfRule type="cellIs" priority="9" operator="greaterThan" id="{758FE123-356C-43D4-981A-51755A7F5133}">
            <xm:f>RESUMEN!$BE$2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AZ47</xm:sqref>
        </x14:conditionalFormatting>
        <x14:conditionalFormatting xmlns:xm="http://schemas.microsoft.com/office/excel/2006/main">
          <x14:cfRule type="cellIs" priority="8" operator="greaterThan" id="{DA6203F8-6F21-4CE8-892F-971EFD74006B}">
            <xm:f>RESUMEN!$BQ$2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BL33</xm:sqref>
        </x14:conditionalFormatting>
        <x14:conditionalFormatting xmlns:xm="http://schemas.microsoft.com/office/excel/2006/main">
          <x14:cfRule type="cellIs" priority="7" operator="greaterThan" id="{5CA13887-A4D8-432F-9B7B-A471474C54F2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P73</xm:sqref>
        </x14:conditionalFormatting>
        <x14:conditionalFormatting xmlns:xm="http://schemas.microsoft.com/office/excel/2006/main">
          <x14:cfRule type="cellIs" priority="6" operator="greaterThan" id="{43C5BF1C-D6E7-4B25-A244-C5915C720DAA}">
            <xm:f>RESUMEN!$AS$2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AN66</xm:sqref>
        </x14:conditionalFormatting>
        <x14:conditionalFormatting xmlns:xm="http://schemas.microsoft.com/office/excel/2006/main">
          <x14:cfRule type="cellIs" priority="5" operator="greaterThan" id="{69C07C4E-0518-4642-91BE-AC0D0869EE3A}">
            <xm:f>RESUMEN!$BE$2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AZ48</xm:sqref>
        </x14:conditionalFormatting>
        <x14:conditionalFormatting xmlns:xm="http://schemas.microsoft.com/office/excel/2006/main">
          <x14:cfRule type="cellIs" priority="4" operator="greaterThan" id="{6C252FF2-3D41-4E4B-A0CD-F2CAC6B45D3B}">
            <xm:f>RESUMEN!$BQ$2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BL34</xm:sqref>
        </x14:conditionalFormatting>
        <x14:conditionalFormatting xmlns:xm="http://schemas.microsoft.com/office/excel/2006/main">
          <x14:cfRule type="cellIs" priority="3" operator="greaterThan" id="{B4F2C319-1DE7-47A4-B238-323D4A8B99C7}">
            <xm:f>RESUMEN!$I$2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P74</xm:sqref>
        </x14:conditionalFormatting>
        <x14:conditionalFormatting xmlns:xm="http://schemas.microsoft.com/office/excel/2006/main">
          <x14:cfRule type="cellIs" priority="2" operator="greaterThan" id="{872E48E9-0094-45C0-81CD-11EB2D36E927}">
            <xm:f>RESUMEN!$AS$2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AN67</xm:sqref>
        </x14:conditionalFormatting>
        <x14:conditionalFormatting xmlns:xm="http://schemas.microsoft.com/office/excel/2006/main">
          <x14:cfRule type="cellIs" priority="1" operator="greaterThan" id="{6AF23A89-1380-4735-B384-7C98CEC9394F}">
            <xm:f>RESUMEN!$BQ$2</xm:f>
            <x14:dxf>
              <font>
                <b/>
                <i val="0"/>
              </font>
              <fill>
                <patternFill>
                  <bgColor theme="4" tint="0.79998168889431442"/>
                </patternFill>
              </fill>
            </x14:dxf>
          </x14:cfRule>
          <xm:sqref>BL35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FORMULAS!$A:$A</xm:f>
          </x14:formula1>
          <xm:sqref>AN6:AN306 D6:D306 AZ6:AZ306 AU72 P6:P306 BR25:BR26 AB6:AB306 BL6:BL306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BS54"/>
  <sheetViews>
    <sheetView showGridLines="0" topLeftCell="AF1" zoomScaleNormal="100" workbookViewId="0">
      <selection activeCell="AL44" sqref="AK3:AL44"/>
    </sheetView>
  </sheetViews>
  <sheetFormatPr baseColWidth="10" defaultRowHeight="15" x14ac:dyDescent="0.25"/>
  <cols>
    <col min="1" max="1" width="11.5703125" bestFit="1" customWidth="1"/>
    <col min="2" max="2" width="23.85546875" customWidth="1"/>
    <col min="4" max="4" width="9.42578125" bestFit="1" customWidth="1"/>
    <col min="5" max="5" width="7.140625" bestFit="1" customWidth="1"/>
    <col min="6" max="6" width="12.7109375" bestFit="1" customWidth="1"/>
    <col min="7" max="7" width="9.140625" bestFit="1" customWidth="1"/>
    <col min="9" max="9" width="10.7109375" bestFit="1" customWidth="1"/>
    <col min="10" max="10" width="9.42578125" bestFit="1" customWidth="1"/>
    <col min="11" max="11" width="7" bestFit="1" customWidth="1"/>
    <col min="15" max="15" width="11.85546875" bestFit="1" customWidth="1"/>
    <col min="17" max="17" width="11.85546875" bestFit="1" customWidth="1"/>
    <col min="27" max="27" width="11.85546875" bestFit="1" customWidth="1"/>
    <col min="34" max="34" width="11.85546875" bestFit="1" customWidth="1"/>
    <col min="39" max="39" width="11.85546875" bestFit="1" customWidth="1"/>
    <col min="51" max="51" width="11.85546875" bestFit="1" customWidth="1"/>
    <col min="63" max="63" width="11.85546875" bestFit="1" customWidth="1"/>
  </cols>
  <sheetData>
    <row r="1" spans="1:71" ht="30.75" thickBot="1" x14ac:dyDescent="0.3">
      <c r="A1" s="167" t="s">
        <v>284</v>
      </c>
      <c r="B1" s="168">
        <f>RESUMEN!K2</f>
        <v>1460</v>
      </c>
      <c r="C1" s="216">
        <f>RESUMEN!F5</f>
        <v>18044</v>
      </c>
      <c r="D1" s="217"/>
      <c r="E1" s="217"/>
      <c r="F1" s="217"/>
      <c r="G1" s="217"/>
      <c r="H1" s="217"/>
      <c r="I1" s="217"/>
      <c r="J1" s="217"/>
      <c r="K1" s="218"/>
      <c r="M1" s="167" t="s">
        <v>284</v>
      </c>
      <c r="N1" s="182">
        <f>RESUMEN!W2</f>
        <v>1520</v>
      </c>
      <c r="O1" s="213">
        <f>RESUMEN!R5</f>
        <v>18045</v>
      </c>
      <c r="P1" s="214"/>
      <c r="Q1" s="214"/>
      <c r="R1" s="214"/>
      <c r="S1" s="214"/>
      <c r="T1" s="214"/>
      <c r="U1" s="214"/>
      <c r="V1" s="214"/>
      <c r="W1" s="215"/>
      <c r="Y1" s="167" t="s">
        <v>284</v>
      </c>
      <c r="Z1" s="168">
        <f>RESUMEN!AI2</f>
        <v>1724</v>
      </c>
      <c r="AA1" s="213">
        <f>RESUMEN!AD5</f>
        <v>18046</v>
      </c>
      <c r="AB1" s="214"/>
      <c r="AC1" s="214"/>
      <c r="AD1" s="214"/>
      <c r="AE1" s="214"/>
      <c r="AF1" s="214"/>
      <c r="AG1" s="214"/>
      <c r="AH1" s="214"/>
      <c r="AI1" s="215"/>
      <c r="AK1" s="167" t="s">
        <v>284</v>
      </c>
      <c r="AL1" s="168">
        <f>RESUMEN!AU2</f>
        <v>2076</v>
      </c>
      <c r="AM1" s="213">
        <f>RESUMEN!AP5</f>
        <v>18047</v>
      </c>
      <c r="AN1" s="214"/>
      <c r="AO1" s="214"/>
      <c r="AP1" s="214"/>
      <c r="AQ1" s="214"/>
      <c r="AR1" s="214"/>
      <c r="AS1" s="214"/>
      <c r="AT1" s="214"/>
      <c r="AU1" s="215"/>
      <c r="AW1" s="167" t="s">
        <v>284</v>
      </c>
      <c r="AX1" s="168">
        <f>RESUMEN!BG2</f>
        <v>2081</v>
      </c>
      <c r="AY1" s="213">
        <f>RESUMEN!BB5</f>
        <v>18048</v>
      </c>
      <c r="AZ1" s="214"/>
      <c r="BA1" s="214"/>
      <c r="BB1" s="214"/>
      <c r="BC1" s="214"/>
      <c r="BD1" s="214"/>
      <c r="BE1" s="214"/>
      <c r="BF1" s="214"/>
      <c r="BG1" s="215"/>
      <c r="BI1" s="167" t="s">
        <v>284</v>
      </c>
      <c r="BJ1" s="168">
        <f>RESUMEN!BS2</f>
        <v>2241</v>
      </c>
      <c r="BK1" s="213">
        <f>RESUMEN!BN5</f>
        <v>18049</v>
      </c>
      <c r="BL1" s="214"/>
      <c r="BM1" s="214"/>
      <c r="BN1" s="214"/>
      <c r="BO1" s="214"/>
      <c r="BP1" s="214"/>
      <c r="BQ1" s="214"/>
      <c r="BR1" s="214"/>
      <c r="BS1" s="215"/>
    </row>
    <row r="2" spans="1:71" ht="15.75" thickBot="1" x14ac:dyDescent="0.3">
      <c r="A2" s="169" t="s">
        <v>81</v>
      </c>
      <c r="B2" s="170" t="s">
        <v>82</v>
      </c>
      <c r="C2" s="171" t="s">
        <v>285</v>
      </c>
      <c r="D2" s="172" t="s">
        <v>286</v>
      </c>
      <c r="E2" s="172" t="s">
        <v>287</v>
      </c>
      <c r="F2" s="172" t="s">
        <v>288</v>
      </c>
      <c r="G2" s="172" t="s">
        <v>289</v>
      </c>
      <c r="H2" s="172" t="s">
        <v>290</v>
      </c>
      <c r="I2" s="172" t="s">
        <v>291</v>
      </c>
      <c r="J2" s="172" t="s">
        <v>292</v>
      </c>
      <c r="K2" s="173" t="s">
        <v>293</v>
      </c>
      <c r="M2" s="169" t="s">
        <v>81</v>
      </c>
      <c r="N2" s="170" t="s">
        <v>82</v>
      </c>
      <c r="O2" s="171" t="s">
        <v>285</v>
      </c>
      <c r="P2" s="172" t="s">
        <v>286</v>
      </c>
      <c r="Q2" s="172" t="s">
        <v>287</v>
      </c>
      <c r="R2" s="172" t="s">
        <v>288</v>
      </c>
      <c r="S2" s="172" t="s">
        <v>289</v>
      </c>
      <c r="T2" s="172" t="s">
        <v>290</v>
      </c>
      <c r="U2" s="172" t="s">
        <v>291</v>
      </c>
      <c r="V2" s="172" t="s">
        <v>292</v>
      </c>
      <c r="W2" s="173" t="s">
        <v>293</v>
      </c>
      <c r="Y2" s="169" t="s">
        <v>81</v>
      </c>
      <c r="Z2" s="170" t="s">
        <v>82</v>
      </c>
      <c r="AA2" s="171" t="s">
        <v>285</v>
      </c>
      <c r="AB2" s="172" t="s">
        <v>286</v>
      </c>
      <c r="AC2" s="172" t="s">
        <v>287</v>
      </c>
      <c r="AD2" s="172" t="s">
        <v>288</v>
      </c>
      <c r="AE2" s="172" t="s">
        <v>289</v>
      </c>
      <c r="AF2" s="172" t="s">
        <v>290</v>
      </c>
      <c r="AG2" s="172" t="s">
        <v>291</v>
      </c>
      <c r="AH2" s="172" t="s">
        <v>292</v>
      </c>
      <c r="AI2" s="173" t="s">
        <v>293</v>
      </c>
      <c r="AK2" s="169" t="s">
        <v>81</v>
      </c>
      <c r="AL2" s="170" t="s">
        <v>82</v>
      </c>
      <c r="AM2" s="171" t="s">
        <v>285</v>
      </c>
      <c r="AN2" s="172" t="s">
        <v>286</v>
      </c>
      <c r="AO2" s="172" t="s">
        <v>287</v>
      </c>
      <c r="AP2" s="172" t="s">
        <v>288</v>
      </c>
      <c r="AQ2" s="172" t="s">
        <v>289</v>
      </c>
      <c r="AR2" s="172" t="s">
        <v>290</v>
      </c>
      <c r="AS2" s="172" t="s">
        <v>291</v>
      </c>
      <c r="AT2" s="172" t="s">
        <v>292</v>
      </c>
      <c r="AU2" s="173" t="s">
        <v>293</v>
      </c>
      <c r="AW2" s="169" t="s">
        <v>81</v>
      </c>
      <c r="AX2" s="170" t="s">
        <v>82</v>
      </c>
      <c r="AY2" s="171" t="s">
        <v>285</v>
      </c>
      <c r="AZ2" s="172" t="s">
        <v>286</v>
      </c>
      <c r="BA2" s="172" t="s">
        <v>287</v>
      </c>
      <c r="BB2" s="172" t="s">
        <v>288</v>
      </c>
      <c r="BC2" s="172" t="s">
        <v>289</v>
      </c>
      <c r="BD2" s="172" t="s">
        <v>290</v>
      </c>
      <c r="BE2" s="172" t="s">
        <v>291</v>
      </c>
      <c r="BF2" s="172" t="s">
        <v>292</v>
      </c>
      <c r="BG2" s="173" t="s">
        <v>293</v>
      </c>
      <c r="BI2" s="169" t="s">
        <v>81</v>
      </c>
      <c r="BJ2" s="170" t="s">
        <v>82</v>
      </c>
      <c r="BK2" s="171" t="s">
        <v>285</v>
      </c>
      <c r="BL2" s="172" t="s">
        <v>286</v>
      </c>
      <c r="BM2" s="172" t="s">
        <v>287</v>
      </c>
      <c r="BN2" s="172" t="s">
        <v>288</v>
      </c>
      <c r="BO2" s="172" t="s">
        <v>289</v>
      </c>
      <c r="BP2" s="172" t="s">
        <v>290</v>
      </c>
      <c r="BQ2" s="172" t="s">
        <v>291</v>
      </c>
      <c r="BR2" s="172" t="s">
        <v>292</v>
      </c>
      <c r="BS2" s="173" t="s">
        <v>293</v>
      </c>
    </row>
    <row r="3" spans="1:71" x14ac:dyDescent="0.25">
      <c r="A3" s="174">
        <v>10120162</v>
      </c>
      <c r="B3" s="41" t="s">
        <v>83</v>
      </c>
      <c r="C3" s="175">
        <f>E3-D3</f>
        <v>0</v>
      </c>
      <c r="D3" s="112">
        <f t="array" ref="D3">MIN(IF(ALIMENTO_NUEVO!$D$6:$D$306=LABORATORIO!A3,ALIMENTO_NUEVO!$C$6:$C$306))</f>
        <v>0</v>
      </c>
      <c r="E3" s="112">
        <f t="array" ref="E3">MAX(IF(ALIMENTO_NUEVO!$D$6:$D$306=LABORATORIO!A3,ALIMENTO_NUEVO!$C$6:$C$306))</f>
        <v>0</v>
      </c>
      <c r="F3" s="112"/>
      <c r="G3" s="73"/>
      <c r="H3" s="73"/>
      <c r="I3" s="112">
        <f>G3*H3</f>
        <v>0</v>
      </c>
      <c r="J3" s="112">
        <f>SUMIF(ALIMENTO_NUEVO!$D$6:$D$306,A3,ALIMENTO_NUEVO!$F$6:$F$306)</f>
        <v>0</v>
      </c>
      <c r="K3" s="176">
        <f>I3-J3</f>
        <v>0</v>
      </c>
      <c r="M3" s="174">
        <v>10120162</v>
      </c>
      <c r="N3" s="41" t="s">
        <v>83</v>
      </c>
      <c r="O3" s="175">
        <f>Q3-P3</f>
        <v>0</v>
      </c>
      <c r="P3" s="112">
        <f t="array" ref="P3">MIN(IF(ALIMENTO_NUEVO!$P$6:$P$306=LABORATORIO!M3,ALIMENTO_NUEVO!$O$6:$O$306))</f>
        <v>0</v>
      </c>
      <c r="Q3" s="112">
        <f t="array" ref="Q3">MAX(IF(ALIMENTO_NUEVO!$P$6:$P$306=LABORATORIO!M3,ALIMENTO_NUEVO!$O$6:$O$306))</f>
        <v>0</v>
      </c>
      <c r="R3" s="112"/>
      <c r="S3" s="73"/>
      <c r="T3" s="73"/>
      <c r="U3" s="112">
        <f>S3*T3</f>
        <v>0</v>
      </c>
      <c r="V3" s="112">
        <f ca="1">SUMIF(ALIMENTO_NUEVO!$P$6:$P$306,LABORATORIO!M3,ALIMENTO_NUEVO!$R6:$R302)</f>
        <v>0</v>
      </c>
      <c r="W3" s="176">
        <f ca="1">U3-V3</f>
        <v>0</v>
      </c>
      <c r="Y3" s="174">
        <v>10120162</v>
      </c>
      <c r="Z3" s="41" t="s">
        <v>83</v>
      </c>
      <c r="AA3" s="175">
        <f>+AC3-AB3</f>
        <v>0</v>
      </c>
      <c r="AB3" s="112">
        <f t="array" ref="AB3">MIN(IF(ALIMENTO_NUEVO!$AB$6:$AB$306=LABORATORIO!Y3,ALIMENTO_NUEVO!$AA$6:$AA$306))</f>
        <v>0</v>
      </c>
      <c r="AC3" s="112">
        <f t="array" ref="AC3">MAX(IF(ALIMENTO_NUEVO!$AB$6:$AB$306=LABORATORIO!Y3,ALIMENTO_NUEVO!$AA$6:$AA$306))</f>
        <v>0</v>
      </c>
      <c r="AD3" s="112"/>
      <c r="AE3" s="73"/>
      <c r="AF3" s="73"/>
      <c r="AG3" s="112">
        <f>AE3*AF3</f>
        <v>0</v>
      </c>
      <c r="AH3" s="112">
        <f>SUMIF(ALIMENTO_NUEVO!$AB$6:$AB$306,LABORATORIO!Y3,ALIMENTO_NUEVO!$AD$6:$AD$306)</f>
        <v>0</v>
      </c>
      <c r="AI3" s="176">
        <f>AG3-AH3</f>
        <v>0</v>
      </c>
      <c r="AK3" s="174">
        <v>10120162</v>
      </c>
      <c r="AL3" s="41" t="s">
        <v>83</v>
      </c>
      <c r="AM3" s="175">
        <f>AO3-AN3</f>
        <v>0</v>
      </c>
      <c r="AN3" s="112">
        <f t="array" ref="AN3">MIN(IF(ALIMENTO_NUEVO!$AN$6:$AN$306=LABORATORIO!AK3,ALIMENTO_NUEVO!$AM$6:$AM$306))</f>
        <v>0</v>
      </c>
      <c r="AO3" s="112">
        <f t="array" ref="AO3">MAX(IF(ALIMENTO_NUEVO!$AN$6:$AN$306=LABORATORIO!AK3,ALIMENTO_NUEVO!$AM$6:$AM$306))</f>
        <v>0</v>
      </c>
      <c r="AP3" s="112"/>
      <c r="AQ3" s="73"/>
      <c r="AR3" s="73"/>
      <c r="AS3" s="112">
        <f>AQ3*AR3</f>
        <v>0</v>
      </c>
      <c r="AT3" s="112">
        <f>SUMIF(ALIMENTO_NUEVO!$AN$6:$AN$306,LABORATORIO!AK3,ALIMENTO_NUEVO!$AP$6:$AP$306)</f>
        <v>0</v>
      </c>
      <c r="AU3" s="176">
        <f>AS3-AT3</f>
        <v>0</v>
      </c>
      <c r="AW3" s="174">
        <v>10120162</v>
      </c>
      <c r="AX3" s="41" t="s">
        <v>83</v>
      </c>
      <c r="AY3" s="175">
        <f>BA3-AZ3</f>
        <v>0</v>
      </c>
      <c r="AZ3" s="112">
        <f t="array" ref="AZ3">MIN(IF(ALIMENTO_NUEVO!$AZ$6:$AZ$306=LABORATORIO!AW3,ALIMENTO_NUEVO!$AY$6:$AY$306))</f>
        <v>0</v>
      </c>
      <c r="BA3" s="112">
        <f t="array" ref="BA3">MAX(IF(ALIMENTO_NUEVO!$AZ$6:$AZ$306=LABORATORIO!AW3,ALIMENTO_NUEVO!$AY$6:$AY$306))</f>
        <v>0</v>
      </c>
      <c r="BB3" s="112"/>
      <c r="BC3" s="73"/>
      <c r="BD3" s="73"/>
      <c r="BE3" s="112">
        <f>BC3*BD3</f>
        <v>0</v>
      </c>
      <c r="BF3" s="112">
        <f ca="1">SUMIF(ALIMENTO_NUEVO!$AZ$6:$AZ$307,LABORATORIO!AW3,ALIMENTO_NUEVO!$BB$6:$BB$306)</f>
        <v>0</v>
      </c>
      <c r="BG3" s="176">
        <f ca="1">BE3-BF3</f>
        <v>0</v>
      </c>
      <c r="BI3" s="174">
        <v>10120162</v>
      </c>
      <c r="BJ3" s="41" t="s">
        <v>83</v>
      </c>
      <c r="BK3" s="175">
        <f>BM3-BL3</f>
        <v>0</v>
      </c>
      <c r="BL3" s="112">
        <f t="array" ref="BL3">MIN(IF(ALIMENTO_NUEVO!$BL$6:$BL$306=LABORATORIO!BI3,ALIMENTO_NUEVO!$BK$6:$BK$306))</f>
        <v>0</v>
      </c>
      <c r="BM3" s="112">
        <f t="array" ref="BM3">MAX(IF(ALIMENTO_NUEVO!$BL$6:$BL$306=LABORATORIO!BI3,ALIMENTO_NUEVO!$BK$6:$BK$306))</f>
        <v>0</v>
      </c>
      <c r="BN3" s="112"/>
      <c r="BO3" s="73"/>
      <c r="BP3" s="73"/>
      <c r="BQ3" s="112">
        <f>BO3*BP3</f>
        <v>0</v>
      </c>
      <c r="BR3" s="112">
        <f>SUMIF(ALIMENTO_NUEVO!$BL$6:$BL$306,LABORATORIO!BI3,ALIMENTO_NUEVO!$BN$6:$BN$306)</f>
        <v>0</v>
      </c>
      <c r="BS3" s="176">
        <f>BQ3-BR3</f>
        <v>0</v>
      </c>
    </row>
    <row r="4" spans="1:71" x14ac:dyDescent="0.25">
      <c r="A4" s="174">
        <v>10130146</v>
      </c>
      <c r="B4" s="41" t="s">
        <v>84</v>
      </c>
      <c r="C4" s="175">
        <f t="shared" ref="C4:C53" si="0">E4-D4</f>
        <v>0</v>
      </c>
      <c r="D4" s="112">
        <f t="array" ref="D4">MIN(IF(ALIMENTO_NUEVO!$D$6:$D$306=LABORATORIO!A4,ALIMENTO_NUEVO!$C$6:$C$306))</f>
        <v>0</v>
      </c>
      <c r="E4" s="112">
        <f t="array" ref="E4">MAX(IF(ALIMENTO_NUEVO!$D$6:$D$306=LABORATORIO!A4,ALIMENTO_NUEVO!$C$6:$C$306))</f>
        <v>0</v>
      </c>
      <c r="F4" s="112"/>
      <c r="G4" s="73"/>
      <c r="H4" s="73"/>
      <c r="I4" s="112">
        <f t="shared" ref="I4:I53" si="1">G4*H4</f>
        <v>0</v>
      </c>
      <c r="J4" s="112">
        <f>SUMIF(ALIMENTO_NUEVO!$D$6:$D$306,A4,ALIMENTO_NUEVO!$F$6:$F$306)</f>
        <v>0</v>
      </c>
      <c r="K4" s="176">
        <f t="shared" ref="K4:K53" si="2">I4-J4</f>
        <v>0</v>
      </c>
      <c r="M4" s="174">
        <v>10130146</v>
      </c>
      <c r="N4" s="41" t="s">
        <v>84</v>
      </c>
      <c r="O4" s="175">
        <f t="shared" ref="O4:O53" si="3">Q4-P4</f>
        <v>0</v>
      </c>
      <c r="P4" s="112">
        <f t="array" ref="P4">MIN(IF(ALIMENTO_NUEVO!$P$6:$P$306=LABORATORIO!M4,ALIMENTO_NUEVO!$O$6:$O$306))</f>
        <v>0</v>
      </c>
      <c r="Q4" s="112">
        <f t="array" ref="Q4">MAX(IF(ALIMENTO_NUEVO!$P$6:$P$306=LABORATORIO!M4,ALIMENTO_NUEVO!$O$6:$O$306))</f>
        <v>0</v>
      </c>
      <c r="R4" s="112"/>
      <c r="S4" s="73"/>
      <c r="T4" s="73"/>
      <c r="U4" s="112">
        <f t="shared" ref="U4:U53" si="4">S4*T4</f>
        <v>0</v>
      </c>
      <c r="V4" s="112">
        <f ca="1">SUMIF(ALIMENTO_NUEVO!$P$6:$P$306,LABORATORIO!M4,ALIMENTO_NUEVO!$R7:$R303)</f>
        <v>0</v>
      </c>
      <c r="W4" s="176">
        <f t="shared" ref="W4:W53" ca="1" si="5">U4-V4</f>
        <v>0</v>
      </c>
      <c r="Y4" s="174">
        <v>10130146</v>
      </c>
      <c r="Z4" s="41" t="s">
        <v>84</v>
      </c>
      <c r="AA4" s="175">
        <f t="shared" ref="AA4:AA53" si="6">+AC4-AB4</f>
        <v>0</v>
      </c>
      <c r="AB4" s="112">
        <f t="array" ref="AB4">MIN(IF(ALIMENTO_NUEVO!$AB$6:$AB$306=LABORATORIO!Y4,ALIMENTO_NUEVO!$AA$6:$AA$306))</f>
        <v>0</v>
      </c>
      <c r="AC4" s="112">
        <f t="array" ref="AC4">MAX(IF(ALIMENTO_NUEVO!$AB$6:$AB$306=LABORATORIO!Y4,ALIMENTO_NUEVO!$AA$6:$AA$306))</f>
        <v>0</v>
      </c>
      <c r="AD4" s="112"/>
      <c r="AE4" s="73"/>
      <c r="AF4" s="73"/>
      <c r="AG4" s="112">
        <f t="shared" ref="AG4:AG53" si="7">AE4*AF4</f>
        <v>0</v>
      </c>
      <c r="AH4" s="112">
        <f>SUMIF(ALIMENTO_NUEVO!$AB$6:$AB$306,LABORATORIO!Y4,ALIMENTO_NUEVO!$AD$6:$AD$306)</f>
        <v>0</v>
      </c>
      <c r="AI4" s="176">
        <f t="shared" ref="AI4:AI53" si="8">AG4-AH4</f>
        <v>0</v>
      </c>
      <c r="AK4" s="174">
        <v>10130146</v>
      </c>
      <c r="AL4" s="41" t="s">
        <v>84</v>
      </c>
      <c r="AM4" s="175">
        <f t="shared" ref="AM4:AM53" si="9">AO4-AN4</f>
        <v>0</v>
      </c>
      <c r="AN4" s="112">
        <f t="array" ref="AN4">MIN(IF(ALIMENTO_NUEVO!$AN$6:$AN$306=LABORATORIO!AK4,ALIMENTO_NUEVO!$AM$6:$AM$306))</f>
        <v>0</v>
      </c>
      <c r="AO4" s="112">
        <f t="array" ref="AO4">MAX(IF(ALIMENTO_NUEVO!$AN$6:$AN$306=LABORATORIO!AK4,ALIMENTO_NUEVO!$AM$6:$AM$306))</f>
        <v>0</v>
      </c>
      <c r="AP4" s="112"/>
      <c r="AQ4" s="73"/>
      <c r="AR4" s="73"/>
      <c r="AS4" s="112">
        <f t="shared" ref="AS4:AS53" si="10">AQ4*AR4</f>
        <v>0</v>
      </c>
      <c r="AT4" s="112">
        <f>SUMIF(ALIMENTO_NUEVO!$AN$6:$AN$306,LABORATORIO!AK4,ALIMENTO_NUEVO!$AP$6:$AP$306)</f>
        <v>0</v>
      </c>
      <c r="AU4" s="176">
        <f t="shared" ref="AU4:AU53" si="11">AS4-AT4</f>
        <v>0</v>
      </c>
      <c r="AW4" s="174">
        <v>10130146</v>
      </c>
      <c r="AX4" s="41" t="s">
        <v>84</v>
      </c>
      <c r="AY4" s="175">
        <f t="shared" ref="AY4:AY53" si="12">BA4-AZ4</f>
        <v>0</v>
      </c>
      <c r="AZ4" s="112">
        <f t="array" ref="AZ4">MIN(IF(ALIMENTO_NUEVO!$AZ$6:$AZ$306=LABORATORIO!AW4,ALIMENTO_NUEVO!$AY$6:$AY$306))</f>
        <v>0</v>
      </c>
      <c r="BA4" s="112">
        <f t="array" ref="BA4">MAX(IF(ALIMENTO_NUEVO!$AZ$6:$AZ$306=LABORATORIO!AW4,ALIMENTO_NUEVO!$AY$6:$AY$306))</f>
        <v>0</v>
      </c>
      <c r="BB4" s="112"/>
      <c r="BC4" s="73"/>
      <c r="BD4" s="73"/>
      <c r="BE4" s="112">
        <f t="shared" ref="BE4:BE53" si="13">BC4*BD4</f>
        <v>0</v>
      </c>
      <c r="BF4" s="112">
        <f ca="1">SUMIF(ALIMENTO_NUEVO!$AZ$6:$AZ$307,LABORATORIO!AW4,ALIMENTO_NUEVO!$BB$6:$BB$306)</f>
        <v>0</v>
      </c>
      <c r="BG4" s="176">
        <f t="shared" ref="BG4:BG53" ca="1" si="14">BE4-BF4</f>
        <v>0</v>
      </c>
      <c r="BI4" s="174">
        <v>10130146</v>
      </c>
      <c r="BJ4" s="41" t="s">
        <v>84</v>
      </c>
      <c r="BK4" s="175">
        <f t="shared" ref="BK4:BK53" si="15">BM4-BL4</f>
        <v>0</v>
      </c>
      <c r="BL4" s="112">
        <f t="array" ref="BL4">MIN(IF(ALIMENTO_NUEVO!$BL$6:$BL$306=LABORATORIO!BI4,ALIMENTO_NUEVO!$BK$6:$BK$306))</f>
        <v>0</v>
      </c>
      <c r="BM4" s="112">
        <f t="array" ref="BM4">MAX(IF(ALIMENTO_NUEVO!$BL$6:$BL$306=LABORATORIO!BI4,ALIMENTO_NUEVO!$BK$6:$BK$306))</f>
        <v>0</v>
      </c>
      <c r="BN4" s="112"/>
      <c r="BO4" s="73"/>
      <c r="BP4" s="73"/>
      <c r="BQ4" s="112">
        <f t="shared" ref="BQ4:BQ53" si="16">BO4*BP4</f>
        <v>0</v>
      </c>
      <c r="BR4" s="112">
        <f>SUMIF(ALIMENTO_NUEVO!$BL$6:$BL$306,LABORATORIO!BI4,ALIMENTO_NUEVO!$BN$6:$BN$306)</f>
        <v>0</v>
      </c>
      <c r="BS4" s="176">
        <f t="shared" ref="BS4:BS53" si="17">BQ4-BR4</f>
        <v>0</v>
      </c>
    </row>
    <row r="5" spans="1:71" x14ac:dyDescent="0.25">
      <c r="A5" s="174">
        <v>10130147</v>
      </c>
      <c r="B5" s="41" t="s">
        <v>85</v>
      </c>
      <c r="C5" s="175">
        <f t="shared" si="0"/>
        <v>19</v>
      </c>
      <c r="D5" s="112">
        <f t="array" ref="D5">MIN(IF(ALIMENTO_NUEVO!$D$6:$D$306=LABORATORIO!A5,ALIMENTO_NUEVO!$C$6:$C$306))</f>
        <v>24</v>
      </c>
      <c r="E5" s="112">
        <f t="array" ref="E5">MAX(IF(ALIMENTO_NUEVO!$D$6:$D$306=LABORATORIO!A5,ALIMENTO_NUEVO!$C$6:$C$306))</f>
        <v>43</v>
      </c>
      <c r="F5" s="112"/>
      <c r="G5" s="73">
        <v>1819</v>
      </c>
      <c r="H5" s="73">
        <v>0.3</v>
      </c>
      <c r="I5" s="112">
        <f t="shared" si="1"/>
        <v>545.69999999999993</v>
      </c>
      <c r="J5" s="112">
        <f>SUMIF(ALIMENTO_NUEVO!$D$6:$D$306,A5,ALIMENTO_NUEVO!$F$6:$F$306)</f>
        <v>600</v>
      </c>
      <c r="K5" s="176">
        <f t="shared" si="2"/>
        <v>-54.300000000000068</v>
      </c>
      <c r="M5" s="174">
        <v>10130147</v>
      </c>
      <c r="N5" s="41" t="s">
        <v>85</v>
      </c>
      <c r="O5" s="175">
        <f t="shared" si="3"/>
        <v>19</v>
      </c>
      <c r="P5" s="112">
        <f t="array" ref="P5">MIN(IF(ALIMENTO_NUEVO!$P$6:$P$306=LABORATORIO!M5,ALIMENTO_NUEVO!$O$6:$O$306))</f>
        <v>20</v>
      </c>
      <c r="Q5" s="112">
        <f t="array" ref="Q5">MAX(IF(ALIMENTO_NUEVO!$P$6:$P$306=LABORATORIO!M5,ALIMENTO_NUEVO!$O$6:$O$306))</f>
        <v>39</v>
      </c>
      <c r="R5" s="112"/>
      <c r="S5" s="73">
        <v>2000</v>
      </c>
      <c r="T5" s="73">
        <v>0.3</v>
      </c>
      <c r="U5" s="112">
        <f t="shared" si="4"/>
        <v>600</v>
      </c>
      <c r="V5" s="112">
        <f ca="1">SUMIF(ALIMENTO_NUEVO!$P$6:$P$306,LABORATORIO!M5,ALIMENTO_NUEVO!$R8:$R304)</f>
        <v>0</v>
      </c>
      <c r="W5" s="176">
        <f t="shared" ca="1" si="5"/>
        <v>600</v>
      </c>
      <c r="Y5" s="174">
        <v>10130147</v>
      </c>
      <c r="Z5" s="41" t="s">
        <v>85</v>
      </c>
      <c r="AA5" s="175">
        <f t="shared" si="6"/>
        <v>25</v>
      </c>
      <c r="AB5" s="112">
        <f t="array" ref="AB5">MIN(IF(ALIMENTO_NUEVO!$AB$6:$AB$306=LABORATORIO!Y5,ALIMENTO_NUEVO!$AA$6:$AA$306))</f>
        <v>15</v>
      </c>
      <c r="AC5" s="112">
        <f t="array" ref="AC5">MAX(IF(ALIMENTO_NUEVO!$AB$6:$AB$306=LABORATORIO!Y5,ALIMENTO_NUEVO!$AA$6:$AA$306))</f>
        <v>40</v>
      </c>
      <c r="AD5" s="112"/>
      <c r="AE5" s="73">
        <v>2098</v>
      </c>
      <c r="AF5" s="73">
        <v>0.3</v>
      </c>
      <c r="AG5" s="112">
        <f t="shared" si="7"/>
        <v>629.4</v>
      </c>
      <c r="AH5" s="112">
        <f>SUMIF(ALIMENTO_NUEVO!$AB$6:$AB$306,LABORATORIO!Y5,ALIMENTO_NUEVO!$AD$6:$AD$306)</f>
        <v>600</v>
      </c>
      <c r="AI5" s="176">
        <f t="shared" si="8"/>
        <v>29.399999999999977</v>
      </c>
      <c r="AK5" s="174">
        <v>10130147</v>
      </c>
      <c r="AL5" s="41" t="s">
        <v>85</v>
      </c>
      <c r="AM5" s="175">
        <f t="shared" si="9"/>
        <v>38</v>
      </c>
      <c r="AN5" s="112">
        <f t="array" ref="AN5">MIN(IF(ALIMENTO_NUEVO!$AN$6:$AN$306=LABORATORIO!AK5,ALIMENTO_NUEVO!$AM$6:$AM$306))</f>
        <v>8</v>
      </c>
      <c r="AO5" s="112">
        <f t="array" ref="AO5">MAX(IF(ALIMENTO_NUEVO!$AN$6:$AN$306=LABORATORIO!AK5,ALIMENTO_NUEVO!$AM$6:$AM$306))</f>
        <v>46</v>
      </c>
      <c r="AP5" s="112"/>
      <c r="AQ5" s="73">
        <v>2183</v>
      </c>
      <c r="AR5" s="73">
        <v>0.3</v>
      </c>
      <c r="AS5" s="112">
        <f t="shared" si="10"/>
        <v>654.9</v>
      </c>
      <c r="AT5" s="112">
        <f>SUMIF(ALIMENTO_NUEVO!$AN$6:$AN$306,LABORATORIO!AK5,ALIMENTO_NUEVO!$AP$6:$AP$306)</f>
        <v>600</v>
      </c>
      <c r="AU5" s="176">
        <f t="shared" si="11"/>
        <v>54.899999999999977</v>
      </c>
      <c r="AW5" s="174">
        <v>10130147</v>
      </c>
      <c r="AX5" s="41" t="s">
        <v>85</v>
      </c>
      <c r="AY5" s="175">
        <f t="shared" si="12"/>
        <v>47</v>
      </c>
      <c r="AZ5" s="112">
        <f t="array" ref="AZ5">MIN(IF(ALIMENTO_NUEVO!$AZ$6:$AZ$306=LABORATORIO!AW5,ALIMENTO_NUEVO!$AY$6:$AY$306))</f>
        <v>1</v>
      </c>
      <c r="BA5" s="112">
        <f t="array" ref="BA5">MAX(IF(ALIMENTO_NUEVO!$AZ$6:$AZ$306=LABORATORIO!AW5,ALIMENTO_NUEVO!$AY$6:$AY$306))</f>
        <v>48</v>
      </c>
      <c r="BB5" s="112"/>
      <c r="BC5" s="73">
        <v>2185</v>
      </c>
      <c r="BD5" s="73">
        <v>0.3</v>
      </c>
      <c r="BE5" s="112">
        <f t="shared" si="13"/>
        <v>655.5</v>
      </c>
      <c r="BF5" s="112">
        <f ca="1">SUMIF(ALIMENTO_NUEVO!$AZ$6:$AZ$307,LABORATORIO!AW5,ALIMENTO_NUEVO!$BB$6:$BB$306)</f>
        <v>600</v>
      </c>
      <c r="BG5" s="176">
        <f t="shared" ca="1" si="14"/>
        <v>55.5</v>
      </c>
      <c r="BI5" s="174">
        <v>10130147</v>
      </c>
      <c r="BJ5" s="41" t="s">
        <v>85</v>
      </c>
      <c r="BK5" s="175">
        <f t="shared" si="15"/>
        <v>47</v>
      </c>
      <c r="BL5" s="112">
        <f t="array" ref="BL5">MIN(IF(ALIMENTO_NUEVO!$BL$6:$BL$306=LABORATORIO!BI5,ALIMENTO_NUEVO!$BK$6:$BK$306))</f>
        <v>-5</v>
      </c>
      <c r="BM5" s="112">
        <f t="array" ref="BM5">MAX(IF(ALIMENTO_NUEVO!$BL$6:$BL$306=LABORATORIO!BI5,ALIMENTO_NUEVO!$BK$6:$BK$306))</f>
        <v>42</v>
      </c>
      <c r="BN5" s="112"/>
      <c r="BO5" s="73">
        <v>998</v>
      </c>
      <c r="BP5" s="73">
        <v>0.3</v>
      </c>
      <c r="BQ5" s="112">
        <f t="shared" si="16"/>
        <v>299.39999999999998</v>
      </c>
      <c r="BR5" s="112">
        <f>SUMIF(ALIMENTO_NUEVO!$BL$6:$BL$306,LABORATORIO!BI5,ALIMENTO_NUEVO!$BN$6:$BN$306)</f>
        <v>600</v>
      </c>
      <c r="BS5" s="176">
        <f t="shared" si="17"/>
        <v>-300.60000000000002</v>
      </c>
    </row>
    <row r="6" spans="1:71" x14ac:dyDescent="0.25">
      <c r="A6" s="174">
        <v>10130148</v>
      </c>
      <c r="B6" s="41" t="s">
        <v>86</v>
      </c>
      <c r="C6" s="175">
        <f t="shared" si="0"/>
        <v>0</v>
      </c>
      <c r="D6" s="112">
        <f t="array" ref="D6">MIN(IF(ALIMENTO_NUEVO!$D$6:$D$306=LABORATORIO!A6,ALIMENTO_NUEVO!$C$6:$C$306))</f>
        <v>0</v>
      </c>
      <c r="E6" s="112">
        <f t="array" ref="E6">MAX(IF(ALIMENTO_NUEVO!$D$6:$D$306=LABORATORIO!A6,ALIMENTO_NUEVO!$C$6:$C$306))</f>
        <v>0</v>
      </c>
      <c r="F6" s="112"/>
      <c r="G6" s="73"/>
      <c r="H6" s="73"/>
      <c r="I6" s="112">
        <f t="shared" si="1"/>
        <v>0</v>
      </c>
      <c r="J6" s="112">
        <f>SUMIF(ALIMENTO_NUEVO!$D$6:$D$306,A6,ALIMENTO_NUEVO!$F$6:$F$306)</f>
        <v>0</v>
      </c>
      <c r="K6" s="176">
        <f t="shared" si="2"/>
        <v>0</v>
      </c>
      <c r="M6" s="174">
        <v>10130148</v>
      </c>
      <c r="N6" s="41" t="s">
        <v>86</v>
      </c>
      <c r="O6" s="175">
        <f t="shared" si="3"/>
        <v>0</v>
      </c>
      <c r="P6" s="112">
        <f t="array" ref="P6">MIN(IF(ALIMENTO_NUEVO!$P$6:$P$306=LABORATORIO!M6,ALIMENTO_NUEVO!$O$6:$O$306))</f>
        <v>0</v>
      </c>
      <c r="Q6" s="112">
        <f t="array" ref="Q6">MAX(IF(ALIMENTO_NUEVO!$P$6:$P$306=LABORATORIO!M6,ALIMENTO_NUEVO!$O$6:$O$306))</f>
        <v>0</v>
      </c>
      <c r="R6" s="112"/>
      <c r="S6" s="73"/>
      <c r="T6" s="73"/>
      <c r="U6" s="112">
        <f t="shared" si="4"/>
        <v>0</v>
      </c>
      <c r="V6" s="112">
        <f ca="1">SUMIF(ALIMENTO_NUEVO!$P$6:$P$306,LABORATORIO!M6,ALIMENTO_NUEVO!$R9:$R305)</f>
        <v>0</v>
      </c>
      <c r="W6" s="176">
        <f t="shared" ca="1" si="5"/>
        <v>0</v>
      </c>
      <c r="Y6" s="174">
        <v>10130148</v>
      </c>
      <c r="Z6" s="41" t="s">
        <v>86</v>
      </c>
      <c r="AA6" s="175">
        <f t="shared" si="6"/>
        <v>0</v>
      </c>
      <c r="AB6" s="112">
        <f t="array" ref="AB6">MIN(IF(ALIMENTO_NUEVO!$AB$6:$AB$306=LABORATORIO!Y6,ALIMENTO_NUEVO!$AA$6:$AA$306))</f>
        <v>0</v>
      </c>
      <c r="AC6" s="112">
        <f t="array" ref="AC6">MAX(IF(ALIMENTO_NUEVO!$AB$6:$AB$306=LABORATORIO!Y6,ALIMENTO_NUEVO!$AA$6:$AA$306))</f>
        <v>0</v>
      </c>
      <c r="AD6" s="112"/>
      <c r="AE6" s="73"/>
      <c r="AF6" s="73"/>
      <c r="AG6" s="112">
        <f t="shared" si="7"/>
        <v>0</v>
      </c>
      <c r="AH6" s="112">
        <f>SUMIF(ALIMENTO_NUEVO!$AB$6:$AB$306,LABORATORIO!Y6,ALIMENTO_NUEVO!$AD$6:$AD$306)</f>
        <v>0</v>
      </c>
      <c r="AI6" s="176">
        <f t="shared" si="8"/>
        <v>0</v>
      </c>
      <c r="AK6" s="174">
        <v>10130148</v>
      </c>
      <c r="AL6" s="41" t="s">
        <v>86</v>
      </c>
      <c r="AM6" s="175">
        <f t="shared" si="9"/>
        <v>0</v>
      </c>
      <c r="AN6" s="112">
        <f t="array" ref="AN6">MIN(IF(ALIMENTO_NUEVO!$AN$6:$AN$306=LABORATORIO!AK6,ALIMENTO_NUEVO!$AM$6:$AM$306))</f>
        <v>0</v>
      </c>
      <c r="AO6" s="112">
        <f t="array" ref="AO6">MAX(IF(ALIMENTO_NUEVO!$AN$6:$AN$306=LABORATORIO!AK6,ALIMENTO_NUEVO!$AM$6:$AM$306))</f>
        <v>0</v>
      </c>
      <c r="AP6" s="112"/>
      <c r="AQ6" s="73"/>
      <c r="AR6" s="73"/>
      <c r="AS6" s="112">
        <f t="shared" si="10"/>
        <v>0</v>
      </c>
      <c r="AT6" s="112">
        <f>SUMIF(ALIMENTO_NUEVO!$AN$6:$AN$306,LABORATORIO!AK6,ALIMENTO_NUEVO!$AP$6:$AP$306)</f>
        <v>0</v>
      </c>
      <c r="AU6" s="176">
        <f t="shared" si="11"/>
        <v>0</v>
      </c>
      <c r="AW6" s="174">
        <v>10130148</v>
      </c>
      <c r="AX6" s="41" t="s">
        <v>86</v>
      </c>
      <c r="AY6" s="175">
        <f t="shared" si="12"/>
        <v>0</v>
      </c>
      <c r="AZ6" s="112">
        <f t="array" ref="AZ6">MIN(IF(ALIMENTO_NUEVO!$AZ$6:$AZ$306=LABORATORIO!AW6,ALIMENTO_NUEVO!$AY$6:$AY$306))</f>
        <v>0</v>
      </c>
      <c r="BA6" s="112">
        <f t="array" ref="BA6">MAX(IF(ALIMENTO_NUEVO!$AZ$6:$AZ$306=LABORATORIO!AW6,ALIMENTO_NUEVO!$AY$6:$AY$306))</f>
        <v>0</v>
      </c>
      <c r="BB6" s="112"/>
      <c r="BC6" s="73"/>
      <c r="BD6" s="73"/>
      <c r="BE6" s="112">
        <f t="shared" si="13"/>
        <v>0</v>
      </c>
      <c r="BF6" s="112">
        <f ca="1">SUMIF(ALIMENTO_NUEVO!$AZ$6:$AZ$307,LABORATORIO!AW6,ALIMENTO_NUEVO!$BB$6:$BB$306)</f>
        <v>0</v>
      </c>
      <c r="BG6" s="176">
        <f t="shared" ca="1" si="14"/>
        <v>0</v>
      </c>
      <c r="BI6" s="174">
        <v>10130148</v>
      </c>
      <c r="BJ6" s="41" t="s">
        <v>86</v>
      </c>
      <c r="BK6" s="175">
        <f t="shared" si="15"/>
        <v>0</v>
      </c>
      <c r="BL6" s="112">
        <f t="array" ref="BL6">MIN(IF(ALIMENTO_NUEVO!$BL$6:$BL$306=LABORATORIO!BI6,ALIMENTO_NUEVO!$BK$6:$BK$306))</f>
        <v>0</v>
      </c>
      <c r="BM6" s="112">
        <f t="array" ref="BM6">MAX(IF(ALIMENTO_NUEVO!$BL$6:$BL$306=LABORATORIO!BI6,ALIMENTO_NUEVO!$BK$6:$BK$306))</f>
        <v>0</v>
      </c>
      <c r="BN6" s="112"/>
      <c r="BO6" s="73"/>
      <c r="BP6" s="73"/>
      <c r="BQ6" s="112">
        <f t="shared" si="16"/>
        <v>0</v>
      </c>
      <c r="BR6" s="112">
        <f>SUMIF(ALIMENTO_NUEVO!$BL$6:$BL$306,LABORATORIO!BI6,ALIMENTO_NUEVO!$BN$6:$BN$306)</f>
        <v>0</v>
      </c>
      <c r="BS6" s="176">
        <f t="shared" si="17"/>
        <v>0</v>
      </c>
    </row>
    <row r="7" spans="1:71" x14ac:dyDescent="0.25">
      <c r="A7" s="174">
        <v>10130149</v>
      </c>
      <c r="B7" s="41" t="s">
        <v>87</v>
      </c>
      <c r="C7" s="175">
        <f t="shared" si="0"/>
        <v>28</v>
      </c>
      <c r="D7" s="112">
        <f t="array" ref="D7">MIN(IF(ALIMENTO_NUEVO!$D$6:$D$306=LABORATORIO!A7,ALIMENTO_NUEVO!$C$6:$C$306))</f>
        <v>24</v>
      </c>
      <c r="E7" s="112">
        <f t="array" ref="E7">MAX(IF(ALIMENTO_NUEVO!$D$6:$D$306=LABORATORIO!A7,ALIMENTO_NUEVO!$C$6:$C$306))</f>
        <v>52</v>
      </c>
      <c r="F7" s="112"/>
      <c r="G7" s="73">
        <v>1819</v>
      </c>
      <c r="H7" s="73">
        <v>3.5</v>
      </c>
      <c r="I7" s="112">
        <f t="shared" si="1"/>
        <v>6366.5</v>
      </c>
      <c r="J7" s="112">
        <f>SUMIF(ALIMENTO_NUEVO!$D$6:$D$306,A7,ALIMENTO_NUEVO!$F$6:$F$306)</f>
        <v>4500</v>
      </c>
      <c r="K7" s="176">
        <f t="shared" si="2"/>
        <v>1866.5</v>
      </c>
      <c r="M7" s="174">
        <v>10130149</v>
      </c>
      <c r="N7" s="41" t="s">
        <v>87</v>
      </c>
      <c r="O7" s="175">
        <f t="shared" si="3"/>
        <v>30</v>
      </c>
      <c r="P7" s="112">
        <f t="array" ref="P7">MIN(IF(ALIMENTO_NUEVO!$P$6:$P$306=LABORATORIO!M7,ALIMENTO_NUEVO!$O$6:$O$306))</f>
        <v>20</v>
      </c>
      <c r="Q7" s="112">
        <f t="array" ref="Q7">MAX(IF(ALIMENTO_NUEVO!$P$6:$P$306=LABORATORIO!M7,ALIMENTO_NUEVO!$O$6:$O$306))</f>
        <v>50</v>
      </c>
      <c r="R7" s="112"/>
      <c r="S7" s="73">
        <v>2000</v>
      </c>
      <c r="T7" s="73">
        <v>3.5</v>
      </c>
      <c r="U7" s="112">
        <f t="shared" si="4"/>
        <v>7000</v>
      </c>
      <c r="V7" s="112">
        <f ca="1">SUMIF(ALIMENTO_NUEVO!$P$6:$P$306,LABORATORIO!M7,ALIMENTO_NUEVO!$R10:$R306)</f>
        <v>23760</v>
      </c>
      <c r="W7" s="176">
        <f t="shared" ca="1" si="5"/>
        <v>-16760</v>
      </c>
      <c r="Y7" s="174">
        <v>10130149</v>
      </c>
      <c r="Z7" s="41" t="s">
        <v>87</v>
      </c>
      <c r="AA7" s="175">
        <f t="shared" si="6"/>
        <v>36</v>
      </c>
      <c r="AB7" s="112">
        <f t="array" ref="AB7">MIN(IF(ALIMENTO_NUEVO!$AB$6:$AB$306=LABORATORIO!Y7,ALIMENTO_NUEVO!$AA$6:$AA$306))</f>
        <v>15</v>
      </c>
      <c r="AC7" s="112">
        <f t="array" ref="AC7">MAX(IF(ALIMENTO_NUEVO!$AB$6:$AB$306=LABORATORIO!Y7,ALIMENTO_NUEVO!$AA$6:$AA$306))</f>
        <v>51</v>
      </c>
      <c r="AD7" s="112"/>
      <c r="AE7" s="73">
        <v>2098</v>
      </c>
      <c r="AF7" s="73">
        <v>3.5</v>
      </c>
      <c r="AG7" s="112">
        <f t="shared" si="7"/>
        <v>7343</v>
      </c>
      <c r="AH7" s="112">
        <f>SUMIF(ALIMENTO_NUEVO!$AB$6:$AB$306,LABORATORIO!Y7,ALIMENTO_NUEVO!$AD$6:$AD$306)</f>
        <v>4500</v>
      </c>
      <c r="AI7" s="176">
        <f t="shared" si="8"/>
        <v>2843</v>
      </c>
      <c r="AK7" s="174">
        <v>10130149</v>
      </c>
      <c r="AL7" s="41" t="s">
        <v>87</v>
      </c>
      <c r="AM7" s="175">
        <f t="shared" si="9"/>
        <v>42</v>
      </c>
      <c r="AN7" s="112">
        <f t="array" ref="AN7">MIN(IF(ALIMENTO_NUEVO!$AN$6:$AN$306=LABORATORIO!AK7,ALIMENTO_NUEVO!$AM$6:$AM$306))</f>
        <v>8</v>
      </c>
      <c r="AO7" s="112">
        <f t="array" ref="AO7">MAX(IF(ALIMENTO_NUEVO!$AN$6:$AN$306=LABORATORIO!AK7,ALIMENTO_NUEVO!$AM$6:$AM$306))</f>
        <v>50</v>
      </c>
      <c r="AP7" s="112"/>
      <c r="AQ7" s="73">
        <v>2183</v>
      </c>
      <c r="AR7" s="73">
        <v>3.5</v>
      </c>
      <c r="AS7" s="112">
        <f t="shared" si="10"/>
        <v>7640.5</v>
      </c>
      <c r="AT7" s="112">
        <f>SUMIF(ALIMENTO_NUEVO!$AN$6:$AN$306,LABORATORIO!AK7,ALIMENTO_NUEVO!$AP$6:$AP$306)</f>
        <v>4500</v>
      </c>
      <c r="AU7" s="176">
        <f t="shared" si="11"/>
        <v>3140.5</v>
      </c>
      <c r="AW7" s="174">
        <v>10130149</v>
      </c>
      <c r="AX7" s="41" t="s">
        <v>87</v>
      </c>
      <c r="AY7" s="175">
        <f t="shared" si="12"/>
        <v>49</v>
      </c>
      <c r="AZ7" s="112">
        <f t="array" ref="AZ7">MIN(IF(ALIMENTO_NUEVO!$AZ$6:$AZ$306=LABORATORIO!AW7,ALIMENTO_NUEVO!$AY$6:$AY$306))</f>
        <v>1</v>
      </c>
      <c r="BA7" s="112">
        <f t="array" ref="BA7">MAX(IF(ALIMENTO_NUEVO!$AZ$6:$AZ$306=LABORATORIO!AW7,ALIMENTO_NUEVO!$AY$6:$AY$306))</f>
        <v>50</v>
      </c>
      <c r="BB7" s="112"/>
      <c r="BC7" s="73">
        <v>2185</v>
      </c>
      <c r="BD7" s="73">
        <v>3.5</v>
      </c>
      <c r="BE7" s="112">
        <f t="shared" si="13"/>
        <v>7647.5</v>
      </c>
      <c r="BF7" s="112">
        <f ca="1">SUMIF(ALIMENTO_NUEVO!$AZ$6:$AZ$307,LABORATORIO!AW7,ALIMENTO_NUEVO!$BB$6:$BB$306)</f>
        <v>4500</v>
      </c>
      <c r="BG7" s="176">
        <f t="shared" ca="1" si="14"/>
        <v>3147.5</v>
      </c>
      <c r="BI7" s="174">
        <v>10130149</v>
      </c>
      <c r="BJ7" s="41" t="s">
        <v>87</v>
      </c>
      <c r="BK7" s="175">
        <f t="shared" si="15"/>
        <v>45</v>
      </c>
      <c r="BL7" s="112">
        <f t="array" ref="BL7">MIN(IF(ALIMENTO_NUEVO!$BL$6:$BL$306=LABORATORIO!BI7,ALIMENTO_NUEVO!$BK$6:$BK$306))</f>
        <v>-5</v>
      </c>
      <c r="BM7" s="112">
        <f t="array" ref="BM7">MAX(IF(ALIMENTO_NUEVO!$BL$6:$BL$306=LABORATORIO!BI7,ALIMENTO_NUEVO!$BK$6:$BK$306))</f>
        <v>40</v>
      </c>
      <c r="BN7" s="112"/>
      <c r="BO7" s="73">
        <v>998</v>
      </c>
      <c r="BP7" s="73">
        <v>3.5</v>
      </c>
      <c r="BQ7" s="112">
        <f t="shared" si="16"/>
        <v>3493</v>
      </c>
      <c r="BR7" s="112">
        <f>SUMIF(ALIMENTO_NUEVO!$BL$6:$BL$306,LABORATORIO!BI7,ALIMENTO_NUEVO!$BN$6:$BN$306)</f>
        <v>4500</v>
      </c>
      <c r="BS7" s="176">
        <f t="shared" si="17"/>
        <v>-1007</v>
      </c>
    </row>
    <row r="8" spans="1:71" hidden="1" x14ac:dyDescent="0.25">
      <c r="A8" s="42">
        <v>21111106</v>
      </c>
      <c r="B8" s="1" t="s">
        <v>34</v>
      </c>
      <c r="C8" s="175">
        <f t="shared" si="0"/>
        <v>0</v>
      </c>
      <c r="D8" s="112">
        <f t="array" ref="D8">MIN(IF(ALIMENTO_NUEVO!$D$6:$D$306=LABORATORIO!A8,ALIMENTO_NUEVO!$C$6:$C$306))</f>
        <v>0</v>
      </c>
      <c r="E8" s="112">
        <f t="array" ref="E8">MAX(IF(ALIMENTO_NUEVO!$D$6:$D$306=LABORATORIO!A8,ALIMENTO_NUEVO!$C$6:$C$306))</f>
        <v>0</v>
      </c>
      <c r="F8" s="112"/>
      <c r="G8" s="73"/>
      <c r="H8" s="73"/>
      <c r="I8" s="112">
        <f t="shared" si="1"/>
        <v>0</v>
      </c>
      <c r="J8" s="112">
        <f>SUMIF(ALIMENTO_NUEVO!$D$6:$D$306,A8,ALIMENTO_NUEVO!$F$6:$F$306)</f>
        <v>0</v>
      </c>
      <c r="K8" s="176">
        <f t="shared" si="2"/>
        <v>0</v>
      </c>
      <c r="M8" s="42">
        <v>21111106</v>
      </c>
      <c r="N8" s="1" t="s">
        <v>34</v>
      </c>
      <c r="O8" s="175">
        <f t="shared" si="3"/>
        <v>0</v>
      </c>
      <c r="P8" s="112">
        <f t="array" ref="P8">MIN(IF(ALIMENTO_NUEVO!$P$6:$P$306=LABORATORIO!M8,ALIMENTO_NUEVO!$O$6:$O$306))</f>
        <v>0</v>
      </c>
      <c r="Q8" s="112">
        <f t="array" ref="Q8">MAX(IF(ALIMENTO_NUEVO!$P$6:$P$306=LABORATORIO!M8,ALIMENTO_NUEVO!$O$6:$O$306))</f>
        <v>0</v>
      </c>
      <c r="R8" s="112"/>
      <c r="S8" s="73"/>
      <c r="T8" s="73"/>
      <c r="U8" s="112">
        <f t="shared" si="4"/>
        <v>0</v>
      </c>
      <c r="V8" s="112">
        <f ca="1">SUMIF(ALIMENTO_NUEVO!$P$6:$P$306,LABORATORIO!M8,ALIMENTO_NUEVO!$R11:$R307)</f>
        <v>0</v>
      </c>
      <c r="W8" s="176">
        <f t="shared" ca="1" si="5"/>
        <v>0</v>
      </c>
      <c r="Y8" s="42">
        <v>21111106</v>
      </c>
      <c r="Z8" s="1" t="s">
        <v>34</v>
      </c>
      <c r="AA8" s="175">
        <f t="shared" si="6"/>
        <v>0</v>
      </c>
      <c r="AB8" s="112">
        <f t="array" ref="AB8">MIN(IF(ALIMENTO_NUEVO!$AB$6:$AB$306=LABORATORIO!Y8,ALIMENTO_NUEVO!$AA$6:$AA$306))</f>
        <v>0</v>
      </c>
      <c r="AC8" s="112">
        <f t="array" ref="AC8">MAX(IF(ALIMENTO_NUEVO!$AB$6:$AB$306=LABORATORIO!Y8,ALIMENTO_NUEVO!$AA$6:$AA$306))</f>
        <v>0</v>
      </c>
      <c r="AD8" s="112"/>
      <c r="AE8" s="73"/>
      <c r="AF8" s="73"/>
      <c r="AG8" s="112">
        <f t="shared" si="7"/>
        <v>0</v>
      </c>
      <c r="AH8" s="112">
        <f>SUMIF(ALIMENTO_NUEVO!$AB$6:$AB$306,LABORATORIO!Y8,ALIMENTO_NUEVO!$AD$6:$AD$306)</f>
        <v>0</v>
      </c>
      <c r="AI8" s="176">
        <f t="shared" si="8"/>
        <v>0</v>
      </c>
      <c r="AK8" s="42">
        <v>21111106</v>
      </c>
      <c r="AL8" s="1" t="s">
        <v>34</v>
      </c>
      <c r="AM8" s="175">
        <f t="shared" si="9"/>
        <v>0</v>
      </c>
      <c r="AN8" s="112">
        <f t="array" ref="AN8">MIN(IF(ALIMENTO_NUEVO!$AN$6:$AN$306=LABORATORIO!AK8,ALIMENTO_NUEVO!$AM$6:$AM$306))</f>
        <v>0</v>
      </c>
      <c r="AO8" s="112">
        <f t="array" ref="AO8">MAX(IF(ALIMENTO_NUEVO!$AN$6:$AN$306=LABORATORIO!AK8,ALIMENTO_NUEVO!$AM$6:$AM$306))</f>
        <v>0</v>
      </c>
      <c r="AP8" s="112"/>
      <c r="AQ8" s="73"/>
      <c r="AR8" s="73"/>
      <c r="AS8" s="112">
        <f t="shared" si="10"/>
        <v>0</v>
      </c>
      <c r="AT8" s="112">
        <f>SUMIF(ALIMENTO_NUEVO!$AN$6:$AN$306,LABORATORIO!AK8,ALIMENTO_NUEVO!$AP$6:$AP$306)</f>
        <v>0</v>
      </c>
      <c r="AU8" s="176">
        <f t="shared" si="11"/>
        <v>0</v>
      </c>
      <c r="AW8" s="42">
        <v>21111106</v>
      </c>
      <c r="AX8" s="1" t="s">
        <v>34</v>
      </c>
      <c r="AY8" s="175">
        <f t="shared" si="12"/>
        <v>0</v>
      </c>
      <c r="AZ8" s="112">
        <f t="array" ref="AZ8">MIN(IF(ALIMENTO_NUEVO!$AZ$6:$AZ$306=LABORATORIO!AW8,ALIMENTO_NUEVO!$AY$6:$AY$306))</f>
        <v>0</v>
      </c>
      <c r="BA8" s="112">
        <f t="array" ref="BA8">MAX(IF(ALIMENTO_NUEVO!$AZ$6:$AZ$306=LABORATORIO!AW8,ALIMENTO_NUEVO!$AY$6:$AY$306))</f>
        <v>0</v>
      </c>
      <c r="BB8" s="112"/>
      <c r="BC8" s="73"/>
      <c r="BD8" s="73"/>
      <c r="BE8" s="112">
        <f t="shared" si="13"/>
        <v>0</v>
      </c>
      <c r="BF8" s="112">
        <f ca="1">SUMIF(ALIMENTO_NUEVO!$AZ$6:$AZ$307,LABORATORIO!AW8,ALIMENTO_NUEVO!$BB$6:$BB$306)</f>
        <v>0</v>
      </c>
      <c r="BG8" s="176">
        <f t="shared" ca="1" si="14"/>
        <v>0</v>
      </c>
      <c r="BI8" s="42">
        <v>21111106</v>
      </c>
      <c r="BJ8" s="1" t="s">
        <v>34</v>
      </c>
      <c r="BK8" s="175">
        <f t="shared" si="15"/>
        <v>0</v>
      </c>
      <c r="BL8" s="112">
        <f t="array" ref="BL8">MIN(IF(ALIMENTO_NUEVO!$BL$6:$BL$306=LABORATORIO!BI8,ALIMENTO_NUEVO!$BK$6:$BK$306))</f>
        <v>0</v>
      </c>
      <c r="BM8" s="112">
        <f t="array" ref="BM8">MAX(IF(ALIMENTO_NUEVO!$BL$6:$BL$306=LABORATORIO!BI8,ALIMENTO_NUEVO!$BK$6:$BK$306))</f>
        <v>0</v>
      </c>
      <c r="BN8" s="112"/>
      <c r="BO8" s="73"/>
      <c r="BP8" s="73"/>
      <c r="BQ8" s="112">
        <f t="shared" si="16"/>
        <v>0</v>
      </c>
      <c r="BR8" s="112">
        <f>SUMIF(ALIMENTO_NUEVO!$BL$6:$BL$306,LABORATORIO!BI8,ALIMENTO_NUEVO!$BN$6:$BN$306)</f>
        <v>0</v>
      </c>
      <c r="BS8" s="176">
        <f t="shared" si="17"/>
        <v>0</v>
      </c>
    </row>
    <row r="9" spans="1:71" x14ac:dyDescent="0.25">
      <c r="A9" s="42">
        <v>21111107</v>
      </c>
      <c r="B9" s="1" t="s">
        <v>35</v>
      </c>
      <c r="C9" s="175">
        <f t="shared" si="0"/>
        <v>0</v>
      </c>
      <c r="D9" s="112">
        <f t="array" ref="D9">MIN(IF(ALIMENTO_NUEVO!$D$6:$D$306=LABORATORIO!A9,ALIMENTO_NUEVO!$C$6:$C$306))</f>
        <v>0</v>
      </c>
      <c r="E9" s="112">
        <f t="array" ref="E9">MAX(IF(ALIMENTO_NUEVO!$D$6:$D$306=LABORATORIO!A9,ALIMENTO_NUEVO!$C$6:$C$306))</f>
        <v>0</v>
      </c>
      <c r="F9" s="112"/>
      <c r="G9" s="73"/>
      <c r="H9" s="73"/>
      <c r="I9" s="112">
        <f t="shared" si="1"/>
        <v>0</v>
      </c>
      <c r="J9" s="112">
        <f>SUMIF(ALIMENTO_NUEVO!$D$6:$D$306,A9,ALIMENTO_NUEVO!$F$6:$F$306)</f>
        <v>0</v>
      </c>
      <c r="K9" s="176">
        <f t="shared" si="2"/>
        <v>0</v>
      </c>
      <c r="M9" s="42">
        <v>21111107</v>
      </c>
      <c r="N9" s="1" t="s">
        <v>35</v>
      </c>
      <c r="O9" s="175">
        <f t="shared" si="3"/>
        <v>0</v>
      </c>
      <c r="P9" s="112">
        <f t="array" ref="P9">MIN(IF(ALIMENTO_NUEVO!$P$6:$P$306=LABORATORIO!M9,ALIMENTO_NUEVO!$O$6:$O$306))</f>
        <v>0</v>
      </c>
      <c r="Q9" s="112">
        <f t="array" ref="Q9">MAX(IF(ALIMENTO_NUEVO!$P$6:$P$306=LABORATORIO!M9,ALIMENTO_NUEVO!$O$6:$O$306))</f>
        <v>0</v>
      </c>
      <c r="R9" s="112"/>
      <c r="S9" s="73"/>
      <c r="T9" s="73"/>
      <c r="U9" s="112">
        <f t="shared" si="4"/>
        <v>0</v>
      </c>
      <c r="V9" s="112">
        <f ca="1">SUMIF(ALIMENTO_NUEVO!$P$6:$P$306,LABORATORIO!M9,ALIMENTO_NUEVO!$R12:$R308)</f>
        <v>0</v>
      </c>
      <c r="W9" s="176">
        <f t="shared" ca="1" si="5"/>
        <v>0</v>
      </c>
      <c r="Y9" s="42">
        <v>21111107</v>
      </c>
      <c r="Z9" s="1" t="s">
        <v>35</v>
      </c>
      <c r="AA9" s="175">
        <f t="shared" si="6"/>
        <v>0</v>
      </c>
      <c r="AB9" s="112">
        <f t="array" ref="AB9">MIN(IF(ALIMENTO_NUEVO!$AB$6:$AB$306=LABORATORIO!Y9,ALIMENTO_NUEVO!$AA$6:$AA$306))</f>
        <v>0</v>
      </c>
      <c r="AC9" s="112">
        <f t="array" ref="AC9">MAX(IF(ALIMENTO_NUEVO!$AB$6:$AB$306=LABORATORIO!Y9,ALIMENTO_NUEVO!$AA$6:$AA$306))</f>
        <v>0</v>
      </c>
      <c r="AD9" s="112"/>
      <c r="AE9" s="73"/>
      <c r="AF9" s="73"/>
      <c r="AG9" s="112">
        <f t="shared" si="7"/>
        <v>0</v>
      </c>
      <c r="AH9" s="112">
        <f>SUMIF(ALIMENTO_NUEVO!$AB$6:$AB$306,LABORATORIO!Y9,ALIMENTO_NUEVO!$AD$6:$AD$306)</f>
        <v>0</v>
      </c>
      <c r="AI9" s="176">
        <f t="shared" si="8"/>
        <v>0</v>
      </c>
      <c r="AK9" s="42">
        <v>21111107</v>
      </c>
      <c r="AL9" s="1" t="s">
        <v>35</v>
      </c>
      <c r="AM9" s="175">
        <f t="shared" si="9"/>
        <v>0</v>
      </c>
      <c r="AN9" s="112">
        <f t="array" ref="AN9">MIN(IF(ALIMENTO_NUEVO!$AN$6:$AN$306=LABORATORIO!AK9,ALIMENTO_NUEVO!$AM$6:$AM$306))</f>
        <v>0</v>
      </c>
      <c r="AO9" s="112">
        <f t="array" ref="AO9">MAX(IF(ALIMENTO_NUEVO!$AN$6:$AN$306=LABORATORIO!AK9,ALIMENTO_NUEVO!$AM$6:$AM$306))</f>
        <v>0</v>
      </c>
      <c r="AP9" s="112"/>
      <c r="AQ9" s="73"/>
      <c r="AR9" s="73"/>
      <c r="AS9" s="112">
        <f t="shared" si="10"/>
        <v>0</v>
      </c>
      <c r="AT9" s="112">
        <f>SUMIF(ALIMENTO_NUEVO!$AN$6:$AN$306,LABORATORIO!AK9,ALIMENTO_NUEVO!$AP$6:$AP$306)</f>
        <v>0</v>
      </c>
      <c r="AU9" s="176">
        <f t="shared" si="11"/>
        <v>0</v>
      </c>
      <c r="AW9" s="42">
        <v>21111107</v>
      </c>
      <c r="AX9" s="1" t="s">
        <v>35</v>
      </c>
      <c r="AY9" s="175">
        <f t="shared" si="12"/>
        <v>0</v>
      </c>
      <c r="AZ9" s="112">
        <f t="array" ref="AZ9">MIN(IF(ALIMENTO_NUEVO!$AZ$6:$AZ$306=LABORATORIO!AW9,ALIMENTO_NUEVO!$AY$6:$AY$306))</f>
        <v>0</v>
      </c>
      <c r="BA9" s="112">
        <f t="array" ref="BA9">MAX(IF(ALIMENTO_NUEVO!$AZ$6:$AZ$306=LABORATORIO!AW9,ALIMENTO_NUEVO!$AY$6:$AY$306))</f>
        <v>0</v>
      </c>
      <c r="BB9" s="112"/>
      <c r="BC9" s="73"/>
      <c r="BD9" s="73"/>
      <c r="BE9" s="112">
        <f t="shared" si="13"/>
        <v>0</v>
      </c>
      <c r="BF9" s="112">
        <f ca="1">SUMIF(ALIMENTO_NUEVO!$AZ$6:$AZ$307,LABORATORIO!AW9,ALIMENTO_NUEVO!$BB$6:$BB$306)</f>
        <v>0</v>
      </c>
      <c r="BG9" s="176">
        <f t="shared" ca="1" si="14"/>
        <v>0</v>
      </c>
      <c r="BI9" s="42">
        <v>21111107</v>
      </c>
      <c r="BJ9" s="1" t="s">
        <v>35</v>
      </c>
      <c r="BK9" s="175">
        <f t="shared" si="15"/>
        <v>0</v>
      </c>
      <c r="BL9" s="112">
        <f t="array" ref="BL9">MIN(IF(ALIMENTO_NUEVO!$BL$6:$BL$306=LABORATORIO!BI9,ALIMENTO_NUEVO!$BK$6:$BK$306))</f>
        <v>0</v>
      </c>
      <c r="BM9" s="112">
        <f t="array" ref="BM9">MAX(IF(ALIMENTO_NUEVO!$BL$6:$BL$306=LABORATORIO!BI9,ALIMENTO_NUEVO!$BK$6:$BK$306))</f>
        <v>0</v>
      </c>
      <c r="BN9" s="112"/>
      <c r="BO9" s="73"/>
      <c r="BP9" s="73"/>
      <c r="BQ9" s="112">
        <f t="shared" si="16"/>
        <v>0</v>
      </c>
      <c r="BR9" s="112">
        <f>SUMIF(ALIMENTO_NUEVO!$BL$6:$BL$306,LABORATORIO!BI9,ALIMENTO_NUEVO!$BN$6:$BN$306)</f>
        <v>0</v>
      </c>
      <c r="BS9" s="176">
        <f t="shared" si="17"/>
        <v>0</v>
      </c>
    </row>
    <row r="10" spans="1:71" x14ac:dyDescent="0.25">
      <c r="A10" s="42">
        <v>21111108</v>
      </c>
      <c r="B10" s="1" t="s">
        <v>36</v>
      </c>
      <c r="C10" s="175">
        <f t="shared" si="0"/>
        <v>0</v>
      </c>
      <c r="D10" s="112">
        <f t="array" ref="D10">MIN(IF(ALIMENTO_NUEVO!$D$6:$D$306=LABORATORIO!A10,ALIMENTO_NUEVO!$C$6:$C$306))</f>
        <v>0</v>
      </c>
      <c r="E10" s="112">
        <f t="array" ref="E10">MAX(IF(ALIMENTO_NUEVO!$D$6:$D$306=LABORATORIO!A10,ALIMENTO_NUEVO!$C$6:$C$306))</f>
        <v>0</v>
      </c>
      <c r="F10" s="112"/>
      <c r="G10" s="73"/>
      <c r="H10" s="73"/>
      <c r="I10" s="112">
        <f t="shared" si="1"/>
        <v>0</v>
      </c>
      <c r="J10" s="112">
        <f>SUMIF(ALIMENTO_NUEVO!$D$6:$D$306,A10,ALIMENTO_NUEVO!$F$6:$F$306)</f>
        <v>0</v>
      </c>
      <c r="K10" s="176">
        <f t="shared" si="2"/>
        <v>0</v>
      </c>
      <c r="M10" s="42">
        <v>21111108</v>
      </c>
      <c r="N10" s="1" t="s">
        <v>36</v>
      </c>
      <c r="O10" s="175">
        <f t="shared" si="3"/>
        <v>0</v>
      </c>
      <c r="P10" s="112">
        <f t="array" ref="P10">MIN(IF(ALIMENTO_NUEVO!$P$6:$P$306=LABORATORIO!M10,ALIMENTO_NUEVO!$O$6:$O$306))</f>
        <v>0</v>
      </c>
      <c r="Q10" s="112">
        <f t="array" ref="Q10">MAX(IF(ALIMENTO_NUEVO!$P$6:$P$306=LABORATORIO!M10,ALIMENTO_NUEVO!$O$6:$O$306))</f>
        <v>0</v>
      </c>
      <c r="R10" s="112"/>
      <c r="S10" s="73"/>
      <c r="T10" s="73"/>
      <c r="U10" s="112">
        <f t="shared" si="4"/>
        <v>0</v>
      </c>
      <c r="V10" s="112">
        <f ca="1">SUMIF(ALIMENTO_NUEVO!$P$6:$P$306,LABORATORIO!M10,ALIMENTO_NUEVO!$R13:$R309)</f>
        <v>0</v>
      </c>
      <c r="W10" s="176">
        <f t="shared" ca="1" si="5"/>
        <v>0</v>
      </c>
      <c r="Y10" s="42">
        <v>21111108</v>
      </c>
      <c r="Z10" s="1" t="s">
        <v>36</v>
      </c>
      <c r="AA10" s="175">
        <f t="shared" si="6"/>
        <v>0</v>
      </c>
      <c r="AB10" s="112">
        <f t="array" ref="AB10">MIN(IF(ALIMENTO_NUEVO!$AB$6:$AB$306=LABORATORIO!Y10,ALIMENTO_NUEVO!$AA$6:$AA$306))</f>
        <v>0</v>
      </c>
      <c r="AC10" s="112">
        <f t="array" ref="AC10">MAX(IF(ALIMENTO_NUEVO!$AB$6:$AB$306=LABORATORIO!Y10,ALIMENTO_NUEVO!$AA$6:$AA$306))</f>
        <v>0</v>
      </c>
      <c r="AD10" s="112"/>
      <c r="AE10" s="73"/>
      <c r="AF10" s="73"/>
      <c r="AG10" s="112">
        <f t="shared" si="7"/>
        <v>0</v>
      </c>
      <c r="AH10" s="112">
        <f>SUMIF(ALIMENTO_NUEVO!$AB$6:$AB$306,LABORATORIO!Y10,ALIMENTO_NUEVO!$AD$6:$AD$306)</f>
        <v>0</v>
      </c>
      <c r="AI10" s="176">
        <f t="shared" si="8"/>
        <v>0</v>
      </c>
      <c r="AK10" s="42">
        <v>21111108</v>
      </c>
      <c r="AL10" s="1" t="s">
        <v>36</v>
      </c>
      <c r="AM10" s="175">
        <f t="shared" si="9"/>
        <v>0</v>
      </c>
      <c r="AN10" s="112">
        <f t="array" ref="AN10">MIN(IF(ALIMENTO_NUEVO!$AN$6:$AN$306=LABORATORIO!AK10,ALIMENTO_NUEVO!$AM$6:$AM$306))</f>
        <v>0</v>
      </c>
      <c r="AO10" s="112">
        <f t="array" ref="AO10">MAX(IF(ALIMENTO_NUEVO!$AN$6:$AN$306=LABORATORIO!AK10,ALIMENTO_NUEVO!$AM$6:$AM$306))</f>
        <v>0</v>
      </c>
      <c r="AP10" s="112"/>
      <c r="AQ10" s="73"/>
      <c r="AR10" s="73"/>
      <c r="AS10" s="112">
        <f t="shared" si="10"/>
        <v>0</v>
      </c>
      <c r="AT10" s="112">
        <f>SUMIF(ALIMENTO_NUEVO!$AN$6:$AN$306,LABORATORIO!AK10,ALIMENTO_NUEVO!$AP$6:$AP$306)</f>
        <v>0</v>
      </c>
      <c r="AU10" s="176">
        <f t="shared" si="11"/>
        <v>0</v>
      </c>
      <c r="AW10" s="42">
        <v>21111108</v>
      </c>
      <c r="AX10" s="1" t="s">
        <v>36</v>
      </c>
      <c r="AY10" s="175">
        <f t="shared" si="12"/>
        <v>0</v>
      </c>
      <c r="AZ10" s="112">
        <f t="array" ref="AZ10">MIN(IF(ALIMENTO_NUEVO!$AZ$6:$AZ$306=LABORATORIO!AW10,ALIMENTO_NUEVO!$AY$6:$AY$306))</f>
        <v>0</v>
      </c>
      <c r="BA10" s="112">
        <f t="array" ref="BA10">MAX(IF(ALIMENTO_NUEVO!$AZ$6:$AZ$306=LABORATORIO!AW10,ALIMENTO_NUEVO!$AY$6:$AY$306))</f>
        <v>0</v>
      </c>
      <c r="BB10" s="112"/>
      <c r="BC10" s="73"/>
      <c r="BD10" s="73"/>
      <c r="BE10" s="112">
        <f t="shared" si="13"/>
        <v>0</v>
      </c>
      <c r="BF10" s="112">
        <f ca="1">SUMIF(ALIMENTO_NUEVO!$AZ$6:$AZ$307,LABORATORIO!AW10,ALIMENTO_NUEVO!$BB$6:$BB$306)</f>
        <v>0</v>
      </c>
      <c r="BG10" s="176">
        <f t="shared" ca="1" si="14"/>
        <v>0</v>
      </c>
      <c r="BI10" s="42">
        <v>21111108</v>
      </c>
      <c r="BJ10" s="1" t="s">
        <v>36</v>
      </c>
      <c r="BK10" s="175">
        <f t="shared" si="15"/>
        <v>0</v>
      </c>
      <c r="BL10" s="112">
        <f t="array" ref="BL10">MIN(IF(ALIMENTO_NUEVO!$BL$6:$BL$306=LABORATORIO!BI10,ALIMENTO_NUEVO!$BK$6:$BK$306))</f>
        <v>0</v>
      </c>
      <c r="BM10" s="112">
        <f t="array" ref="BM10">MAX(IF(ALIMENTO_NUEVO!$BL$6:$BL$306=LABORATORIO!BI10,ALIMENTO_NUEVO!$BK$6:$BK$306))</f>
        <v>0</v>
      </c>
      <c r="BN10" s="112"/>
      <c r="BO10" s="73"/>
      <c r="BP10" s="73"/>
      <c r="BQ10" s="112">
        <f t="shared" si="16"/>
        <v>0</v>
      </c>
      <c r="BR10" s="112">
        <f>SUMIF(ALIMENTO_NUEVO!$BL$6:$BL$306,LABORATORIO!BI10,ALIMENTO_NUEVO!$BN$6:$BN$306)</f>
        <v>0</v>
      </c>
      <c r="BS10" s="176">
        <f t="shared" si="17"/>
        <v>0</v>
      </c>
    </row>
    <row r="11" spans="1:71" hidden="1" x14ac:dyDescent="0.25">
      <c r="A11" s="42">
        <v>21111109</v>
      </c>
      <c r="B11" s="1" t="s">
        <v>37</v>
      </c>
      <c r="C11" s="175">
        <f t="shared" si="0"/>
        <v>0</v>
      </c>
      <c r="D11" s="112">
        <f t="array" ref="D11">MIN(IF(ALIMENTO_NUEVO!$D$6:$D$306=LABORATORIO!A11,ALIMENTO_NUEVO!$C$6:$C$306))</f>
        <v>0</v>
      </c>
      <c r="E11" s="112">
        <f t="array" ref="E11">MAX(IF(ALIMENTO_NUEVO!$D$6:$D$306=LABORATORIO!A11,ALIMENTO_NUEVO!$C$6:$C$306))</f>
        <v>0</v>
      </c>
      <c r="F11" s="112"/>
      <c r="G11" s="73"/>
      <c r="H11" s="73"/>
      <c r="I11" s="112">
        <f t="shared" si="1"/>
        <v>0</v>
      </c>
      <c r="J11" s="112">
        <f>SUMIF(ALIMENTO_NUEVO!$D$6:$D$306,A11,ALIMENTO_NUEVO!$F$6:$F$306)</f>
        <v>0</v>
      </c>
      <c r="K11" s="176">
        <f t="shared" si="2"/>
        <v>0</v>
      </c>
      <c r="M11" s="42">
        <v>21111109</v>
      </c>
      <c r="N11" s="1" t="s">
        <v>37</v>
      </c>
      <c r="O11" s="175">
        <f t="shared" si="3"/>
        <v>0</v>
      </c>
      <c r="P11" s="112">
        <f t="array" ref="P11">MIN(IF(ALIMENTO_NUEVO!$P$6:$P$306=LABORATORIO!M11,ALIMENTO_NUEVO!$O$6:$O$306))</f>
        <v>0</v>
      </c>
      <c r="Q11" s="112">
        <f t="array" ref="Q11">MAX(IF(ALIMENTO_NUEVO!$P$6:$P$306=LABORATORIO!M11,ALIMENTO_NUEVO!$O$6:$O$306))</f>
        <v>0</v>
      </c>
      <c r="R11" s="112"/>
      <c r="S11" s="73"/>
      <c r="T11" s="73"/>
      <c r="U11" s="112">
        <f t="shared" si="4"/>
        <v>0</v>
      </c>
      <c r="V11" s="112">
        <f ca="1">SUMIF(ALIMENTO_NUEVO!$P$6:$P$306,LABORATORIO!M11,ALIMENTO_NUEVO!$R14:$R310)</f>
        <v>0</v>
      </c>
      <c r="W11" s="176">
        <f t="shared" ca="1" si="5"/>
        <v>0</v>
      </c>
      <c r="Y11" s="42">
        <v>21111109</v>
      </c>
      <c r="Z11" s="1" t="s">
        <v>37</v>
      </c>
      <c r="AA11" s="175">
        <f t="shared" si="6"/>
        <v>0</v>
      </c>
      <c r="AB11" s="112">
        <f t="array" ref="AB11">MIN(IF(ALIMENTO_NUEVO!$AB$6:$AB$306=LABORATORIO!Y11,ALIMENTO_NUEVO!$AA$6:$AA$306))</f>
        <v>0</v>
      </c>
      <c r="AC11" s="112">
        <f t="array" ref="AC11">MAX(IF(ALIMENTO_NUEVO!$AB$6:$AB$306=LABORATORIO!Y11,ALIMENTO_NUEVO!$AA$6:$AA$306))</f>
        <v>0</v>
      </c>
      <c r="AD11" s="112"/>
      <c r="AE11" s="73"/>
      <c r="AF11" s="73"/>
      <c r="AG11" s="112">
        <f t="shared" si="7"/>
        <v>0</v>
      </c>
      <c r="AH11" s="112">
        <f>SUMIF(ALIMENTO_NUEVO!$AB$6:$AB$306,LABORATORIO!Y11,ALIMENTO_NUEVO!$AD$6:$AD$306)</f>
        <v>0</v>
      </c>
      <c r="AI11" s="176">
        <f t="shared" si="8"/>
        <v>0</v>
      </c>
      <c r="AK11" s="42">
        <v>21111109</v>
      </c>
      <c r="AL11" s="1" t="s">
        <v>37</v>
      </c>
      <c r="AM11" s="175">
        <f t="shared" si="9"/>
        <v>0</v>
      </c>
      <c r="AN11" s="112">
        <f t="array" ref="AN11">MIN(IF(ALIMENTO_NUEVO!$AN$6:$AN$306=LABORATORIO!AK11,ALIMENTO_NUEVO!$AM$6:$AM$306))</f>
        <v>0</v>
      </c>
      <c r="AO11" s="112">
        <f t="array" ref="AO11">MAX(IF(ALIMENTO_NUEVO!$AN$6:$AN$306=LABORATORIO!AK11,ALIMENTO_NUEVO!$AM$6:$AM$306))</f>
        <v>0</v>
      </c>
      <c r="AP11" s="112"/>
      <c r="AQ11" s="73"/>
      <c r="AR11" s="73"/>
      <c r="AS11" s="112">
        <f t="shared" si="10"/>
        <v>0</v>
      </c>
      <c r="AT11" s="112">
        <f>SUMIF(ALIMENTO_NUEVO!$AN$6:$AN$306,LABORATORIO!AK11,ALIMENTO_NUEVO!$AP$6:$AP$306)</f>
        <v>0</v>
      </c>
      <c r="AU11" s="176">
        <f t="shared" si="11"/>
        <v>0</v>
      </c>
      <c r="AW11" s="42">
        <v>21111109</v>
      </c>
      <c r="AX11" s="1" t="s">
        <v>37</v>
      </c>
      <c r="AY11" s="175">
        <f t="shared" si="12"/>
        <v>0</v>
      </c>
      <c r="AZ11" s="112">
        <f t="array" ref="AZ11">MIN(IF(ALIMENTO_NUEVO!$AZ$6:$AZ$306=LABORATORIO!AW11,ALIMENTO_NUEVO!$AY$6:$AY$306))</f>
        <v>0</v>
      </c>
      <c r="BA11" s="112">
        <f t="array" ref="BA11">MAX(IF(ALIMENTO_NUEVO!$AZ$6:$AZ$306=LABORATORIO!AW11,ALIMENTO_NUEVO!$AY$6:$AY$306))</f>
        <v>0</v>
      </c>
      <c r="BB11" s="112"/>
      <c r="BC11" s="73"/>
      <c r="BD11" s="73"/>
      <c r="BE11" s="112">
        <f t="shared" si="13"/>
        <v>0</v>
      </c>
      <c r="BF11" s="112">
        <f ca="1">SUMIF(ALIMENTO_NUEVO!$AZ$6:$AZ$307,LABORATORIO!AW11,ALIMENTO_NUEVO!$BB$6:$BB$306)</f>
        <v>0</v>
      </c>
      <c r="BG11" s="176">
        <f t="shared" ca="1" si="14"/>
        <v>0</v>
      </c>
      <c r="BI11" s="42">
        <v>21111109</v>
      </c>
      <c r="BJ11" s="1" t="s">
        <v>37</v>
      </c>
      <c r="BK11" s="175">
        <f t="shared" si="15"/>
        <v>0</v>
      </c>
      <c r="BL11" s="112">
        <f t="array" ref="BL11">MIN(IF(ALIMENTO_NUEVO!$BL$6:$BL$306=LABORATORIO!BI11,ALIMENTO_NUEVO!$BK$6:$BK$306))</f>
        <v>0</v>
      </c>
      <c r="BM11" s="112">
        <f t="array" ref="BM11">MAX(IF(ALIMENTO_NUEVO!$BL$6:$BL$306=LABORATORIO!BI11,ALIMENTO_NUEVO!$BK$6:$BK$306))</f>
        <v>0</v>
      </c>
      <c r="BN11" s="112"/>
      <c r="BO11" s="73"/>
      <c r="BP11" s="73"/>
      <c r="BQ11" s="112">
        <f t="shared" si="16"/>
        <v>0</v>
      </c>
      <c r="BR11" s="112">
        <f>SUMIF(ALIMENTO_NUEVO!$BL$6:$BL$306,LABORATORIO!BI11,ALIMENTO_NUEVO!$BN$6:$BN$306)</f>
        <v>0</v>
      </c>
      <c r="BS11" s="176">
        <f t="shared" si="17"/>
        <v>0</v>
      </c>
    </row>
    <row r="12" spans="1:71" hidden="1" x14ac:dyDescent="0.25">
      <c r="A12" s="42">
        <v>21111110</v>
      </c>
      <c r="B12" s="1" t="s">
        <v>38</v>
      </c>
      <c r="C12" s="175">
        <f t="shared" si="0"/>
        <v>0</v>
      </c>
      <c r="D12" s="112">
        <f t="array" ref="D12">MIN(IF(ALIMENTO_NUEVO!$D$6:$D$306=LABORATORIO!A12,ALIMENTO_NUEVO!$C$6:$C$306))</f>
        <v>0</v>
      </c>
      <c r="E12" s="112">
        <f t="array" ref="E12">MAX(IF(ALIMENTO_NUEVO!$D$6:$D$306=LABORATORIO!A12,ALIMENTO_NUEVO!$C$6:$C$306))</f>
        <v>0</v>
      </c>
      <c r="F12" s="112"/>
      <c r="G12" s="73"/>
      <c r="H12" s="73"/>
      <c r="I12" s="112">
        <f t="shared" si="1"/>
        <v>0</v>
      </c>
      <c r="J12" s="112">
        <f>SUMIF(ALIMENTO_NUEVO!$D$6:$D$306,A12,ALIMENTO_NUEVO!$F$6:$F$306)</f>
        <v>0</v>
      </c>
      <c r="K12" s="176">
        <f t="shared" si="2"/>
        <v>0</v>
      </c>
      <c r="M12" s="42">
        <v>21111110</v>
      </c>
      <c r="N12" s="1" t="s">
        <v>38</v>
      </c>
      <c r="O12" s="175">
        <f t="shared" si="3"/>
        <v>0</v>
      </c>
      <c r="P12" s="112">
        <f t="array" ref="P12">MIN(IF(ALIMENTO_NUEVO!$P$6:$P$306=LABORATORIO!M12,ALIMENTO_NUEVO!$O$6:$O$306))</f>
        <v>0</v>
      </c>
      <c r="Q12" s="112">
        <f t="array" ref="Q12">MAX(IF(ALIMENTO_NUEVO!$P$6:$P$306=LABORATORIO!M12,ALIMENTO_NUEVO!$O$6:$O$306))</f>
        <v>0</v>
      </c>
      <c r="R12" s="112"/>
      <c r="S12" s="73"/>
      <c r="T12" s="73"/>
      <c r="U12" s="112">
        <f t="shared" si="4"/>
        <v>0</v>
      </c>
      <c r="V12" s="112">
        <f ca="1">SUMIF(ALIMENTO_NUEVO!$P$6:$P$306,LABORATORIO!M12,ALIMENTO_NUEVO!$R15:$R311)</f>
        <v>0</v>
      </c>
      <c r="W12" s="176">
        <f t="shared" ca="1" si="5"/>
        <v>0</v>
      </c>
      <c r="Y12" s="42">
        <v>21111110</v>
      </c>
      <c r="Z12" s="1" t="s">
        <v>38</v>
      </c>
      <c r="AA12" s="175">
        <f t="shared" si="6"/>
        <v>0</v>
      </c>
      <c r="AB12" s="112">
        <f t="array" ref="AB12">MIN(IF(ALIMENTO_NUEVO!$AB$6:$AB$306=LABORATORIO!Y12,ALIMENTO_NUEVO!$AA$6:$AA$306))</f>
        <v>0</v>
      </c>
      <c r="AC12" s="112">
        <f t="array" ref="AC12">MAX(IF(ALIMENTO_NUEVO!$AB$6:$AB$306=LABORATORIO!Y12,ALIMENTO_NUEVO!$AA$6:$AA$306))</f>
        <v>0</v>
      </c>
      <c r="AD12" s="112"/>
      <c r="AE12" s="73"/>
      <c r="AF12" s="73"/>
      <c r="AG12" s="112">
        <f t="shared" si="7"/>
        <v>0</v>
      </c>
      <c r="AH12" s="112">
        <f>SUMIF(ALIMENTO_NUEVO!$AB$6:$AB$306,LABORATORIO!Y12,ALIMENTO_NUEVO!$AD$6:$AD$306)</f>
        <v>0</v>
      </c>
      <c r="AI12" s="176">
        <f t="shared" si="8"/>
        <v>0</v>
      </c>
      <c r="AK12" s="42">
        <v>21111110</v>
      </c>
      <c r="AL12" s="1" t="s">
        <v>38</v>
      </c>
      <c r="AM12" s="175">
        <f t="shared" si="9"/>
        <v>0</v>
      </c>
      <c r="AN12" s="112">
        <f t="array" ref="AN12">MIN(IF(ALIMENTO_NUEVO!$AN$6:$AN$306=LABORATORIO!AK12,ALIMENTO_NUEVO!$AM$6:$AM$306))</f>
        <v>0</v>
      </c>
      <c r="AO12" s="112">
        <f t="array" ref="AO12">MAX(IF(ALIMENTO_NUEVO!$AN$6:$AN$306=LABORATORIO!AK12,ALIMENTO_NUEVO!$AM$6:$AM$306))</f>
        <v>0</v>
      </c>
      <c r="AP12" s="112"/>
      <c r="AQ12" s="73"/>
      <c r="AR12" s="73"/>
      <c r="AS12" s="112">
        <f t="shared" si="10"/>
        <v>0</v>
      </c>
      <c r="AT12" s="112">
        <f>SUMIF(ALIMENTO_NUEVO!$AN$6:$AN$306,LABORATORIO!AK12,ALIMENTO_NUEVO!$AP$6:$AP$306)</f>
        <v>0</v>
      </c>
      <c r="AU12" s="176">
        <f t="shared" si="11"/>
        <v>0</v>
      </c>
      <c r="AW12" s="42">
        <v>21111110</v>
      </c>
      <c r="AX12" s="1" t="s">
        <v>38</v>
      </c>
      <c r="AY12" s="175">
        <f t="shared" si="12"/>
        <v>0</v>
      </c>
      <c r="AZ12" s="112">
        <f t="array" ref="AZ12">MIN(IF(ALIMENTO_NUEVO!$AZ$6:$AZ$306=LABORATORIO!AW12,ALIMENTO_NUEVO!$AY$6:$AY$306))</f>
        <v>0</v>
      </c>
      <c r="BA12" s="112">
        <f t="array" ref="BA12">MAX(IF(ALIMENTO_NUEVO!$AZ$6:$AZ$306=LABORATORIO!AW12,ALIMENTO_NUEVO!$AY$6:$AY$306))</f>
        <v>0</v>
      </c>
      <c r="BB12" s="112"/>
      <c r="BC12" s="73"/>
      <c r="BD12" s="73"/>
      <c r="BE12" s="112">
        <f t="shared" si="13"/>
        <v>0</v>
      </c>
      <c r="BF12" s="112">
        <f ca="1">SUMIF(ALIMENTO_NUEVO!$AZ$6:$AZ$307,LABORATORIO!AW12,ALIMENTO_NUEVO!$BB$6:$BB$306)</f>
        <v>0</v>
      </c>
      <c r="BG12" s="176">
        <f t="shared" ca="1" si="14"/>
        <v>0</v>
      </c>
      <c r="BI12" s="42">
        <v>21111110</v>
      </c>
      <c r="BJ12" s="1" t="s">
        <v>38</v>
      </c>
      <c r="BK12" s="175">
        <f t="shared" si="15"/>
        <v>0</v>
      </c>
      <c r="BL12" s="112">
        <f t="array" ref="BL12">MIN(IF(ALIMENTO_NUEVO!$BL$6:$BL$306=LABORATORIO!BI12,ALIMENTO_NUEVO!$BK$6:$BK$306))</f>
        <v>0</v>
      </c>
      <c r="BM12" s="112">
        <f t="array" ref="BM12">MAX(IF(ALIMENTO_NUEVO!$BL$6:$BL$306=LABORATORIO!BI12,ALIMENTO_NUEVO!$BK$6:$BK$306))</f>
        <v>0</v>
      </c>
      <c r="BN12" s="112"/>
      <c r="BO12" s="73"/>
      <c r="BP12" s="73"/>
      <c r="BQ12" s="112">
        <f t="shared" si="16"/>
        <v>0</v>
      </c>
      <c r="BR12" s="112">
        <f>SUMIF(ALIMENTO_NUEVO!$BL$6:$BL$306,LABORATORIO!BI12,ALIMENTO_NUEVO!$BN$6:$BN$306)</f>
        <v>0</v>
      </c>
      <c r="BS12" s="176">
        <f t="shared" si="17"/>
        <v>0</v>
      </c>
    </row>
    <row r="13" spans="1:71" x14ac:dyDescent="0.25">
      <c r="A13" s="42">
        <v>21111111.030000001</v>
      </c>
      <c r="B13" s="1" t="s">
        <v>39</v>
      </c>
      <c r="C13" s="175">
        <f t="shared" si="0"/>
        <v>0</v>
      </c>
      <c r="D13" s="112">
        <f t="array" ref="D13">MIN(IF(ALIMENTO_NUEVO!$D$6:$D$306=LABORATORIO!A13,ALIMENTO_NUEVO!$C$6:$C$306))</f>
        <v>0</v>
      </c>
      <c r="E13" s="112">
        <f t="array" ref="E13">MAX(IF(ALIMENTO_NUEVO!$D$6:$D$306=LABORATORIO!A13,ALIMENTO_NUEVO!$C$6:$C$306))</f>
        <v>0</v>
      </c>
      <c r="F13" s="112"/>
      <c r="G13" s="73"/>
      <c r="H13" s="73"/>
      <c r="I13" s="112">
        <f t="shared" si="1"/>
        <v>0</v>
      </c>
      <c r="J13" s="112">
        <f>SUMIF(ALIMENTO_NUEVO!$D$6:$D$306,A13,ALIMENTO_NUEVO!$F$6:$F$306)</f>
        <v>0</v>
      </c>
      <c r="K13" s="176">
        <f t="shared" si="2"/>
        <v>0</v>
      </c>
      <c r="M13" s="42">
        <v>21111111.030000001</v>
      </c>
      <c r="N13" s="1" t="s">
        <v>39</v>
      </c>
      <c r="O13" s="175">
        <f t="shared" si="3"/>
        <v>0</v>
      </c>
      <c r="P13" s="112">
        <f t="array" ref="P13">MIN(IF(ALIMENTO_NUEVO!$P$6:$P$306=LABORATORIO!M13,ALIMENTO_NUEVO!$O$6:$O$306))</f>
        <v>0</v>
      </c>
      <c r="Q13" s="112">
        <f t="array" ref="Q13">MAX(IF(ALIMENTO_NUEVO!$P$6:$P$306=LABORATORIO!M13,ALIMENTO_NUEVO!$O$6:$O$306))</f>
        <v>0</v>
      </c>
      <c r="R13" s="112"/>
      <c r="S13" s="73"/>
      <c r="T13" s="73"/>
      <c r="U13" s="112">
        <f t="shared" si="4"/>
        <v>0</v>
      </c>
      <c r="V13" s="112">
        <f ca="1">SUMIF(ALIMENTO_NUEVO!$P$6:$P$306,LABORATORIO!M13,ALIMENTO_NUEVO!$R16:$R312)</f>
        <v>0</v>
      </c>
      <c r="W13" s="176">
        <f t="shared" ca="1" si="5"/>
        <v>0</v>
      </c>
      <c r="Y13" s="42">
        <v>21111111.030000001</v>
      </c>
      <c r="Z13" s="1" t="s">
        <v>39</v>
      </c>
      <c r="AA13" s="175">
        <f t="shared" si="6"/>
        <v>0</v>
      </c>
      <c r="AB13" s="112">
        <f t="array" ref="AB13">MIN(IF(ALIMENTO_NUEVO!$AB$6:$AB$306=LABORATORIO!Y13,ALIMENTO_NUEVO!$AA$6:$AA$306))</f>
        <v>0</v>
      </c>
      <c r="AC13" s="112">
        <f t="array" ref="AC13">MAX(IF(ALIMENTO_NUEVO!$AB$6:$AB$306=LABORATORIO!Y13,ALIMENTO_NUEVO!$AA$6:$AA$306))</f>
        <v>0</v>
      </c>
      <c r="AD13" s="112"/>
      <c r="AE13" s="73"/>
      <c r="AF13" s="73"/>
      <c r="AG13" s="112">
        <f t="shared" si="7"/>
        <v>0</v>
      </c>
      <c r="AH13" s="112">
        <f>SUMIF(ALIMENTO_NUEVO!$AB$6:$AB$306,LABORATORIO!Y13,ALIMENTO_NUEVO!$AD$6:$AD$306)</f>
        <v>0</v>
      </c>
      <c r="AI13" s="176">
        <f t="shared" si="8"/>
        <v>0</v>
      </c>
      <c r="AK13" s="42">
        <v>21111111.030000001</v>
      </c>
      <c r="AL13" s="1" t="s">
        <v>39</v>
      </c>
      <c r="AM13" s="175">
        <f t="shared" si="9"/>
        <v>0</v>
      </c>
      <c r="AN13" s="112">
        <f t="array" ref="AN13">MIN(IF(ALIMENTO_NUEVO!$AN$6:$AN$306=LABORATORIO!AK13,ALIMENTO_NUEVO!$AM$6:$AM$306))</f>
        <v>0</v>
      </c>
      <c r="AO13" s="112">
        <f t="array" ref="AO13">MAX(IF(ALIMENTO_NUEVO!$AN$6:$AN$306=LABORATORIO!AK13,ALIMENTO_NUEVO!$AM$6:$AM$306))</f>
        <v>0</v>
      </c>
      <c r="AP13" s="112"/>
      <c r="AQ13" s="73"/>
      <c r="AR13" s="73"/>
      <c r="AS13" s="112">
        <f t="shared" si="10"/>
        <v>0</v>
      </c>
      <c r="AT13" s="112">
        <f>SUMIF(ALIMENTO_NUEVO!$AN$6:$AN$306,LABORATORIO!AK13,ALIMENTO_NUEVO!$AP$6:$AP$306)</f>
        <v>0</v>
      </c>
      <c r="AU13" s="176">
        <f t="shared" si="11"/>
        <v>0</v>
      </c>
      <c r="AW13" s="42">
        <v>21111111.030000001</v>
      </c>
      <c r="AX13" s="1" t="s">
        <v>39</v>
      </c>
      <c r="AY13" s="175">
        <f t="shared" si="12"/>
        <v>0</v>
      </c>
      <c r="AZ13" s="112">
        <f t="array" ref="AZ13">MIN(IF(ALIMENTO_NUEVO!$AZ$6:$AZ$306=LABORATORIO!AW13,ALIMENTO_NUEVO!$AY$6:$AY$306))</f>
        <v>0</v>
      </c>
      <c r="BA13" s="112">
        <f t="array" ref="BA13">MAX(IF(ALIMENTO_NUEVO!$AZ$6:$AZ$306=LABORATORIO!AW13,ALIMENTO_NUEVO!$AY$6:$AY$306))</f>
        <v>0</v>
      </c>
      <c r="BB13" s="112"/>
      <c r="BC13" s="73"/>
      <c r="BD13" s="73"/>
      <c r="BE13" s="112">
        <f t="shared" si="13"/>
        <v>0</v>
      </c>
      <c r="BF13" s="112">
        <f ca="1">SUMIF(ALIMENTO_NUEVO!$AZ$6:$AZ$307,LABORATORIO!AW13,ALIMENTO_NUEVO!$BB$6:$BB$306)</f>
        <v>0</v>
      </c>
      <c r="BG13" s="176">
        <f t="shared" ca="1" si="14"/>
        <v>0</v>
      </c>
      <c r="BI13" s="42">
        <v>21111111.030000001</v>
      </c>
      <c r="BJ13" s="1" t="s">
        <v>39</v>
      </c>
      <c r="BK13" s="175">
        <f t="shared" si="15"/>
        <v>0</v>
      </c>
      <c r="BL13" s="112">
        <f t="array" ref="BL13">MIN(IF(ALIMENTO_NUEVO!$BL$6:$BL$306=LABORATORIO!BI13,ALIMENTO_NUEVO!$BK$6:$BK$306))</f>
        <v>0</v>
      </c>
      <c r="BM13" s="112">
        <f t="array" ref="BM13">MAX(IF(ALIMENTO_NUEVO!$BL$6:$BL$306=LABORATORIO!BI13,ALIMENTO_NUEVO!$BK$6:$BK$306))</f>
        <v>0</v>
      </c>
      <c r="BN13" s="112"/>
      <c r="BO13" s="73"/>
      <c r="BP13" s="73"/>
      <c r="BQ13" s="112">
        <f t="shared" si="16"/>
        <v>0</v>
      </c>
      <c r="BR13" s="112">
        <f>SUMIF(ALIMENTO_NUEVO!$BL$6:$BL$306,LABORATORIO!BI13,ALIMENTO_NUEVO!$BN$6:$BN$306)</f>
        <v>0</v>
      </c>
      <c r="BS13" s="176">
        <f t="shared" si="17"/>
        <v>0</v>
      </c>
    </row>
    <row r="14" spans="1:71" x14ac:dyDescent="0.25">
      <c r="A14" s="42">
        <v>21111112.030000001</v>
      </c>
      <c r="B14" s="1" t="s">
        <v>40</v>
      </c>
      <c r="C14" s="175">
        <f t="shared" si="0"/>
        <v>0</v>
      </c>
      <c r="D14" s="112">
        <f t="array" ref="D14">MIN(IF(ALIMENTO_NUEVO!$D$6:$D$306=LABORATORIO!A14,ALIMENTO_NUEVO!$C$6:$C$306))</f>
        <v>0</v>
      </c>
      <c r="E14" s="112">
        <f t="array" ref="E14">MAX(IF(ALIMENTO_NUEVO!$D$6:$D$306=LABORATORIO!A14,ALIMENTO_NUEVO!$C$6:$C$306))</f>
        <v>0</v>
      </c>
      <c r="F14" s="112"/>
      <c r="G14" s="73"/>
      <c r="H14" s="73"/>
      <c r="I14" s="112">
        <f t="shared" si="1"/>
        <v>0</v>
      </c>
      <c r="J14" s="112">
        <f>SUMIF(ALIMENTO_NUEVO!$D$6:$D$306,A14,ALIMENTO_NUEVO!$F$6:$F$306)</f>
        <v>0</v>
      </c>
      <c r="K14" s="176">
        <f t="shared" si="2"/>
        <v>0</v>
      </c>
      <c r="M14" s="42">
        <v>21111112.030000001</v>
      </c>
      <c r="N14" s="1" t="s">
        <v>40</v>
      </c>
      <c r="O14" s="175">
        <f t="shared" si="3"/>
        <v>0</v>
      </c>
      <c r="P14" s="112">
        <f t="array" ref="P14">MIN(IF(ALIMENTO_NUEVO!$P$6:$P$306=LABORATORIO!M14,ALIMENTO_NUEVO!$O$6:$O$306))</f>
        <v>0</v>
      </c>
      <c r="Q14" s="112">
        <f t="array" ref="Q14">MAX(IF(ALIMENTO_NUEVO!$P$6:$P$306=LABORATORIO!M14,ALIMENTO_NUEVO!$O$6:$O$306))</f>
        <v>0</v>
      </c>
      <c r="R14" s="112"/>
      <c r="S14" s="73"/>
      <c r="T14" s="73"/>
      <c r="U14" s="112">
        <f t="shared" si="4"/>
        <v>0</v>
      </c>
      <c r="V14" s="112">
        <f ca="1">SUMIF(ALIMENTO_NUEVO!$P$6:$P$306,LABORATORIO!M14,ALIMENTO_NUEVO!$R17:$R313)</f>
        <v>0</v>
      </c>
      <c r="W14" s="176">
        <f t="shared" ca="1" si="5"/>
        <v>0</v>
      </c>
      <c r="Y14" s="42">
        <v>21111112.030000001</v>
      </c>
      <c r="Z14" s="1" t="s">
        <v>40</v>
      </c>
      <c r="AA14" s="175">
        <f t="shared" si="6"/>
        <v>0</v>
      </c>
      <c r="AB14" s="112">
        <f t="array" ref="AB14">MIN(IF(ALIMENTO_NUEVO!$AB$6:$AB$306=LABORATORIO!Y14,ALIMENTO_NUEVO!$AA$6:$AA$306))</f>
        <v>0</v>
      </c>
      <c r="AC14" s="112">
        <f t="array" ref="AC14">MAX(IF(ALIMENTO_NUEVO!$AB$6:$AB$306=LABORATORIO!Y14,ALIMENTO_NUEVO!$AA$6:$AA$306))</f>
        <v>0</v>
      </c>
      <c r="AD14" s="112"/>
      <c r="AE14" s="73"/>
      <c r="AF14" s="73"/>
      <c r="AG14" s="112">
        <f t="shared" si="7"/>
        <v>0</v>
      </c>
      <c r="AH14" s="112">
        <f>SUMIF(ALIMENTO_NUEVO!$AB$6:$AB$306,LABORATORIO!Y14,ALIMENTO_NUEVO!$AD$6:$AD$306)</f>
        <v>0</v>
      </c>
      <c r="AI14" s="176">
        <f t="shared" si="8"/>
        <v>0</v>
      </c>
      <c r="AK14" s="42">
        <v>21111112.030000001</v>
      </c>
      <c r="AL14" s="1" t="s">
        <v>40</v>
      </c>
      <c r="AM14" s="175">
        <f t="shared" si="9"/>
        <v>0</v>
      </c>
      <c r="AN14" s="112">
        <f t="array" ref="AN14">MIN(IF(ALIMENTO_NUEVO!$AN$6:$AN$306=LABORATORIO!AK14,ALIMENTO_NUEVO!$AM$6:$AM$306))</f>
        <v>0</v>
      </c>
      <c r="AO14" s="112">
        <f t="array" ref="AO14">MAX(IF(ALIMENTO_NUEVO!$AN$6:$AN$306=LABORATORIO!AK14,ALIMENTO_NUEVO!$AM$6:$AM$306))</f>
        <v>0</v>
      </c>
      <c r="AP14" s="112"/>
      <c r="AQ14" s="73"/>
      <c r="AR14" s="73"/>
      <c r="AS14" s="112">
        <f t="shared" si="10"/>
        <v>0</v>
      </c>
      <c r="AT14" s="112">
        <f>SUMIF(ALIMENTO_NUEVO!$AN$6:$AN$306,LABORATORIO!AK14,ALIMENTO_NUEVO!$AP$6:$AP$306)</f>
        <v>0</v>
      </c>
      <c r="AU14" s="176">
        <f t="shared" si="11"/>
        <v>0</v>
      </c>
      <c r="AW14" s="42">
        <v>21111112.030000001</v>
      </c>
      <c r="AX14" s="1" t="s">
        <v>40</v>
      </c>
      <c r="AY14" s="175">
        <f t="shared" si="12"/>
        <v>0</v>
      </c>
      <c r="AZ14" s="112">
        <f t="array" ref="AZ14">MIN(IF(ALIMENTO_NUEVO!$AZ$6:$AZ$306=LABORATORIO!AW14,ALIMENTO_NUEVO!$AY$6:$AY$306))</f>
        <v>0</v>
      </c>
      <c r="BA14" s="112">
        <f t="array" ref="BA14">MAX(IF(ALIMENTO_NUEVO!$AZ$6:$AZ$306=LABORATORIO!AW14,ALIMENTO_NUEVO!$AY$6:$AY$306))</f>
        <v>0</v>
      </c>
      <c r="BB14" s="112"/>
      <c r="BC14" s="73"/>
      <c r="BD14" s="73"/>
      <c r="BE14" s="112">
        <f t="shared" si="13"/>
        <v>0</v>
      </c>
      <c r="BF14" s="112">
        <f ca="1">SUMIF(ALIMENTO_NUEVO!$AZ$6:$AZ$307,LABORATORIO!AW14,ALIMENTO_NUEVO!$BB$6:$BB$306)</f>
        <v>0</v>
      </c>
      <c r="BG14" s="176">
        <f t="shared" ca="1" si="14"/>
        <v>0</v>
      </c>
      <c r="BI14" s="42">
        <v>21111112.030000001</v>
      </c>
      <c r="BJ14" s="1" t="s">
        <v>40</v>
      </c>
      <c r="BK14" s="175">
        <f t="shared" si="15"/>
        <v>0</v>
      </c>
      <c r="BL14" s="112">
        <f t="array" ref="BL14">MIN(IF(ALIMENTO_NUEVO!$BL$6:$BL$306=LABORATORIO!BI14,ALIMENTO_NUEVO!$BK$6:$BK$306))</f>
        <v>0</v>
      </c>
      <c r="BM14" s="112">
        <f t="array" ref="BM14">MAX(IF(ALIMENTO_NUEVO!$BL$6:$BL$306=LABORATORIO!BI14,ALIMENTO_NUEVO!$BK$6:$BK$306))</f>
        <v>0</v>
      </c>
      <c r="BN14" s="112"/>
      <c r="BO14" s="73"/>
      <c r="BP14" s="73"/>
      <c r="BQ14" s="112">
        <f t="shared" si="16"/>
        <v>0</v>
      </c>
      <c r="BR14" s="112">
        <f>SUMIF(ALIMENTO_NUEVO!$BL$6:$BL$306,LABORATORIO!BI14,ALIMENTO_NUEVO!$BN$6:$BN$306)</f>
        <v>0</v>
      </c>
      <c r="BS14" s="176">
        <f t="shared" si="17"/>
        <v>0</v>
      </c>
    </row>
    <row r="15" spans="1:71" x14ac:dyDescent="0.25">
      <c r="A15" s="42">
        <v>21111113.030000001</v>
      </c>
      <c r="B15" s="1" t="s">
        <v>41</v>
      </c>
      <c r="C15" s="175">
        <f t="shared" si="0"/>
        <v>0</v>
      </c>
      <c r="D15" s="112">
        <f t="array" ref="D15">MIN(IF(ALIMENTO_NUEVO!$D$6:$D$306=LABORATORIO!A15,ALIMENTO_NUEVO!$C$6:$C$306))</f>
        <v>0</v>
      </c>
      <c r="E15" s="112">
        <f t="array" ref="E15">MAX(IF(ALIMENTO_NUEVO!$D$6:$D$306=LABORATORIO!A15,ALIMENTO_NUEVO!$C$6:$C$306))</f>
        <v>0</v>
      </c>
      <c r="F15" s="112"/>
      <c r="G15" s="73"/>
      <c r="H15" s="73"/>
      <c r="I15" s="112">
        <f t="shared" si="1"/>
        <v>0</v>
      </c>
      <c r="J15" s="112">
        <f>SUMIF(ALIMENTO_NUEVO!$D$6:$D$306,A15,ALIMENTO_NUEVO!$F$6:$F$306)</f>
        <v>0</v>
      </c>
      <c r="K15" s="176">
        <f t="shared" si="2"/>
        <v>0</v>
      </c>
      <c r="M15" s="42">
        <v>21111113.030000001</v>
      </c>
      <c r="N15" s="1" t="s">
        <v>41</v>
      </c>
      <c r="O15" s="175">
        <f t="shared" si="3"/>
        <v>0</v>
      </c>
      <c r="P15" s="112">
        <f t="array" ref="P15">MIN(IF(ALIMENTO_NUEVO!$P$6:$P$306=LABORATORIO!M15,ALIMENTO_NUEVO!$O$6:$O$306))</f>
        <v>0</v>
      </c>
      <c r="Q15" s="112">
        <f t="array" ref="Q15">MAX(IF(ALIMENTO_NUEVO!$P$6:$P$306=LABORATORIO!M15,ALIMENTO_NUEVO!$O$6:$O$306))</f>
        <v>0</v>
      </c>
      <c r="R15" s="112"/>
      <c r="S15" s="73"/>
      <c r="T15" s="73"/>
      <c r="U15" s="112">
        <f t="shared" si="4"/>
        <v>0</v>
      </c>
      <c r="V15" s="112">
        <f ca="1">SUMIF(ALIMENTO_NUEVO!$P$6:$P$306,LABORATORIO!M15,ALIMENTO_NUEVO!$R18:$R314)</f>
        <v>0</v>
      </c>
      <c r="W15" s="176">
        <f t="shared" ca="1" si="5"/>
        <v>0</v>
      </c>
      <c r="Y15" s="42">
        <v>21111113.030000001</v>
      </c>
      <c r="Z15" s="1" t="s">
        <v>41</v>
      </c>
      <c r="AA15" s="175">
        <f t="shared" si="6"/>
        <v>0</v>
      </c>
      <c r="AB15" s="112">
        <f t="array" ref="AB15">MIN(IF(ALIMENTO_NUEVO!$AB$6:$AB$306=LABORATORIO!Y15,ALIMENTO_NUEVO!$AA$6:$AA$306))</f>
        <v>0</v>
      </c>
      <c r="AC15" s="112">
        <f t="array" ref="AC15">MAX(IF(ALIMENTO_NUEVO!$AB$6:$AB$306=LABORATORIO!Y15,ALIMENTO_NUEVO!$AA$6:$AA$306))</f>
        <v>0</v>
      </c>
      <c r="AD15" s="112"/>
      <c r="AE15" s="73"/>
      <c r="AF15" s="73"/>
      <c r="AG15" s="112">
        <f t="shared" si="7"/>
        <v>0</v>
      </c>
      <c r="AH15" s="112">
        <f>SUMIF(ALIMENTO_NUEVO!$AB$6:$AB$306,LABORATORIO!Y15,ALIMENTO_NUEVO!$AD$6:$AD$306)</f>
        <v>0</v>
      </c>
      <c r="AI15" s="176">
        <f t="shared" si="8"/>
        <v>0</v>
      </c>
      <c r="AK15" s="42">
        <v>21111113.030000001</v>
      </c>
      <c r="AL15" s="1" t="s">
        <v>41</v>
      </c>
      <c r="AM15" s="175">
        <f t="shared" si="9"/>
        <v>0</v>
      </c>
      <c r="AN15" s="112">
        <f t="array" ref="AN15">MIN(IF(ALIMENTO_NUEVO!$AN$6:$AN$306=LABORATORIO!AK15,ALIMENTO_NUEVO!$AM$6:$AM$306))</f>
        <v>0</v>
      </c>
      <c r="AO15" s="112">
        <f t="array" ref="AO15">MAX(IF(ALIMENTO_NUEVO!$AN$6:$AN$306=LABORATORIO!AK15,ALIMENTO_NUEVO!$AM$6:$AM$306))</f>
        <v>0</v>
      </c>
      <c r="AP15" s="112"/>
      <c r="AQ15" s="73"/>
      <c r="AR15" s="73"/>
      <c r="AS15" s="112">
        <f t="shared" si="10"/>
        <v>0</v>
      </c>
      <c r="AT15" s="112">
        <f>SUMIF(ALIMENTO_NUEVO!$AN$6:$AN$306,LABORATORIO!AK15,ALIMENTO_NUEVO!$AP$6:$AP$306)</f>
        <v>0</v>
      </c>
      <c r="AU15" s="176">
        <f t="shared" si="11"/>
        <v>0</v>
      </c>
      <c r="AW15" s="42">
        <v>21111113.030000001</v>
      </c>
      <c r="AX15" s="1" t="s">
        <v>41</v>
      </c>
      <c r="AY15" s="175">
        <f t="shared" si="12"/>
        <v>0</v>
      </c>
      <c r="AZ15" s="112">
        <f t="array" ref="AZ15">MIN(IF(ALIMENTO_NUEVO!$AZ$6:$AZ$306=LABORATORIO!AW15,ALIMENTO_NUEVO!$AY$6:$AY$306))</f>
        <v>0</v>
      </c>
      <c r="BA15" s="112">
        <f t="array" ref="BA15">MAX(IF(ALIMENTO_NUEVO!$AZ$6:$AZ$306=LABORATORIO!AW15,ALIMENTO_NUEVO!$AY$6:$AY$306))</f>
        <v>0</v>
      </c>
      <c r="BB15" s="112"/>
      <c r="BC15" s="73"/>
      <c r="BD15" s="73"/>
      <c r="BE15" s="112">
        <f t="shared" si="13"/>
        <v>0</v>
      </c>
      <c r="BF15" s="112">
        <f ca="1">SUMIF(ALIMENTO_NUEVO!$AZ$6:$AZ$307,LABORATORIO!AW15,ALIMENTO_NUEVO!$BB$6:$BB$306)</f>
        <v>0</v>
      </c>
      <c r="BG15" s="176">
        <f t="shared" ca="1" si="14"/>
        <v>0</v>
      </c>
      <c r="BI15" s="42">
        <v>21111113.030000001</v>
      </c>
      <c r="BJ15" s="1" t="s">
        <v>41</v>
      </c>
      <c r="BK15" s="175">
        <f t="shared" si="15"/>
        <v>0</v>
      </c>
      <c r="BL15" s="112">
        <f t="array" ref="BL15">MIN(IF(ALIMENTO_NUEVO!$BL$6:$BL$306=LABORATORIO!BI15,ALIMENTO_NUEVO!$BK$6:$BK$306))</f>
        <v>0</v>
      </c>
      <c r="BM15" s="112">
        <f t="array" ref="BM15">MAX(IF(ALIMENTO_NUEVO!$BL$6:$BL$306=LABORATORIO!BI15,ALIMENTO_NUEVO!$BK$6:$BK$306))</f>
        <v>0</v>
      </c>
      <c r="BN15" s="112"/>
      <c r="BO15" s="73"/>
      <c r="BP15" s="73"/>
      <c r="BQ15" s="112">
        <f t="shared" si="16"/>
        <v>0</v>
      </c>
      <c r="BR15" s="112">
        <f>SUMIF(ALIMENTO_NUEVO!$BL$6:$BL$306,LABORATORIO!BI15,ALIMENTO_NUEVO!$BN$6:$BN$306)</f>
        <v>0</v>
      </c>
      <c r="BS15" s="176">
        <f t="shared" si="17"/>
        <v>0</v>
      </c>
    </row>
    <row r="16" spans="1:71" x14ac:dyDescent="0.25">
      <c r="A16" s="42">
        <v>21111114.030000001</v>
      </c>
      <c r="B16" s="1" t="s">
        <v>42</v>
      </c>
      <c r="C16" s="175">
        <f t="shared" si="0"/>
        <v>0</v>
      </c>
      <c r="D16" s="112">
        <f t="array" ref="D16">MIN(IF(ALIMENTO_NUEVO!$D$6:$D$306=LABORATORIO!A16,ALIMENTO_NUEVO!$C$6:$C$306))</f>
        <v>0</v>
      </c>
      <c r="E16" s="112">
        <f t="array" ref="E16">MAX(IF(ALIMENTO_NUEVO!$D$6:$D$306=LABORATORIO!A16,ALIMENTO_NUEVO!$C$6:$C$306))</f>
        <v>0</v>
      </c>
      <c r="F16" s="112"/>
      <c r="G16" s="73"/>
      <c r="H16" s="73"/>
      <c r="I16" s="112">
        <f t="shared" si="1"/>
        <v>0</v>
      </c>
      <c r="J16" s="112">
        <f>SUMIF(ALIMENTO_NUEVO!$D$6:$D$306,A16,ALIMENTO_NUEVO!$F$6:$F$306)</f>
        <v>0</v>
      </c>
      <c r="K16" s="176">
        <f t="shared" si="2"/>
        <v>0</v>
      </c>
      <c r="M16" s="42">
        <v>21111114.030000001</v>
      </c>
      <c r="N16" s="1" t="s">
        <v>42</v>
      </c>
      <c r="O16" s="175">
        <f t="shared" si="3"/>
        <v>0</v>
      </c>
      <c r="P16" s="112">
        <f t="array" ref="P16">MIN(IF(ALIMENTO_NUEVO!$P$6:$P$306=LABORATORIO!M16,ALIMENTO_NUEVO!$O$6:$O$306))</f>
        <v>0</v>
      </c>
      <c r="Q16" s="112">
        <f t="array" ref="Q16">MAX(IF(ALIMENTO_NUEVO!$P$6:$P$306=LABORATORIO!M16,ALIMENTO_NUEVO!$O$6:$O$306))</f>
        <v>0</v>
      </c>
      <c r="R16" s="112"/>
      <c r="S16" s="73"/>
      <c r="T16" s="73"/>
      <c r="U16" s="112">
        <f t="shared" si="4"/>
        <v>0</v>
      </c>
      <c r="V16" s="112">
        <f ca="1">SUMIF(ALIMENTO_NUEVO!$P$6:$P$306,LABORATORIO!M16,ALIMENTO_NUEVO!$R19:$R315)</f>
        <v>0</v>
      </c>
      <c r="W16" s="176">
        <f t="shared" ca="1" si="5"/>
        <v>0</v>
      </c>
      <c r="Y16" s="42">
        <v>21111114.030000001</v>
      </c>
      <c r="Z16" s="1" t="s">
        <v>42</v>
      </c>
      <c r="AA16" s="175">
        <f t="shared" si="6"/>
        <v>0</v>
      </c>
      <c r="AB16" s="112">
        <f t="array" ref="AB16">MIN(IF(ALIMENTO_NUEVO!$AB$6:$AB$306=LABORATORIO!Y16,ALIMENTO_NUEVO!$AA$6:$AA$306))</f>
        <v>0</v>
      </c>
      <c r="AC16" s="112">
        <f t="array" ref="AC16">MAX(IF(ALIMENTO_NUEVO!$AB$6:$AB$306=LABORATORIO!Y16,ALIMENTO_NUEVO!$AA$6:$AA$306))</f>
        <v>0</v>
      </c>
      <c r="AD16" s="112"/>
      <c r="AE16" s="73"/>
      <c r="AF16" s="73"/>
      <c r="AG16" s="112">
        <f t="shared" si="7"/>
        <v>0</v>
      </c>
      <c r="AH16" s="112">
        <f>SUMIF(ALIMENTO_NUEVO!$AB$6:$AB$306,LABORATORIO!Y16,ALIMENTO_NUEVO!$AD$6:$AD$306)</f>
        <v>0</v>
      </c>
      <c r="AI16" s="176">
        <f t="shared" si="8"/>
        <v>0</v>
      </c>
      <c r="AK16" s="42">
        <v>21111114.030000001</v>
      </c>
      <c r="AL16" s="1" t="s">
        <v>42</v>
      </c>
      <c r="AM16" s="175">
        <f t="shared" si="9"/>
        <v>0</v>
      </c>
      <c r="AN16" s="112">
        <f t="array" ref="AN16">MIN(IF(ALIMENTO_NUEVO!$AN$6:$AN$306=LABORATORIO!AK16,ALIMENTO_NUEVO!$AM$6:$AM$306))</f>
        <v>0</v>
      </c>
      <c r="AO16" s="112">
        <f t="array" ref="AO16">MAX(IF(ALIMENTO_NUEVO!$AN$6:$AN$306=LABORATORIO!AK16,ALIMENTO_NUEVO!$AM$6:$AM$306))</f>
        <v>0</v>
      </c>
      <c r="AP16" s="112"/>
      <c r="AQ16" s="73"/>
      <c r="AR16" s="73"/>
      <c r="AS16" s="112">
        <f t="shared" si="10"/>
        <v>0</v>
      </c>
      <c r="AT16" s="112">
        <f>SUMIF(ALIMENTO_NUEVO!$AN$6:$AN$306,LABORATORIO!AK16,ALIMENTO_NUEVO!$AP$6:$AP$306)</f>
        <v>0</v>
      </c>
      <c r="AU16" s="176">
        <f t="shared" si="11"/>
        <v>0</v>
      </c>
      <c r="AW16" s="42">
        <v>21111114.030000001</v>
      </c>
      <c r="AX16" s="1" t="s">
        <v>42</v>
      </c>
      <c r="AY16" s="175">
        <f t="shared" si="12"/>
        <v>0</v>
      </c>
      <c r="AZ16" s="112">
        <f t="array" ref="AZ16">MIN(IF(ALIMENTO_NUEVO!$AZ$6:$AZ$306=LABORATORIO!AW16,ALIMENTO_NUEVO!$AY$6:$AY$306))</f>
        <v>0</v>
      </c>
      <c r="BA16" s="112">
        <f t="array" ref="BA16">MAX(IF(ALIMENTO_NUEVO!$AZ$6:$AZ$306=LABORATORIO!AW16,ALIMENTO_NUEVO!$AY$6:$AY$306))</f>
        <v>0</v>
      </c>
      <c r="BB16" s="112"/>
      <c r="BC16" s="73"/>
      <c r="BD16" s="73"/>
      <c r="BE16" s="112">
        <f t="shared" si="13"/>
        <v>0</v>
      </c>
      <c r="BF16" s="112">
        <f ca="1">SUMIF(ALIMENTO_NUEVO!$AZ$6:$AZ$307,LABORATORIO!AW16,ALIMENTO_NUEVO!$BB$6:$BB$306)</f>
        <v>0</v>
      </c>
      <c r="BG16" s="176">
        <f t="shared" ca="1" si="14"/>
        <v>0</v>
      </c>
      <c r="BI16" s="42">
        <v>21111114.030000001</v>
      </c>
      <c r="BJ16" s="1" t="s">
        <v>42</v>
      </c>
      <c r="BK16" s="175">
        <f t="shared" si="15"/>
        <v>0</v>
      </c>
      <c r="BL16" s="112">
        <f t="array" ref="BL16">MIN(IF(ALIMENTO_NUEVO!$BL$6:$BL$306=LABORATORIO!BI16,ALIMENTO_NUEVO!$BK$6:$BK$306))</f>
        <v>0</v>
      </c>
      <c r="BM16" s="112">
        <f t="array" ref="BM16">MAX(IF(ALIMENTO_NUEVO!$BL$6:$BL$306=LABORATORIO!BI16,ALIMENTO_NUEVO!$BK$6:$BK$306))</f>
        <v>0</v>
      </c>
      <c r="BN16" s="112"/>
      <c r="BO16" s="73"/>
      <c r="BP16" s="73"/>
      <c r="BQ16" s="112">
        <f t="shared" si="16"/>
        <v>0</v>
      </c>
      <c r="BR16" s="112">
        <f>SUMIF(ALIMENTO_NUEVO!$BL$6:$BL$306,LABORATORIO!BI16,ALIMENTO_NUEVO!$BN$6:$BN$306)</f>
        <v>0</v>
      </c>
      <c r="BS16" s="176">
        <f t="shared" si="17"/>
        <v>0</v>
      </c>
    </row>
    <row r="17" spans="1:71" x14ac:dyDescent="0.25">
      <c r="A17" s="42">
        <v>21111115.030000001</v>
      </c>
      <c r="B17" s="1" t="s">
        <v>43</v>
      </c>
      <c r="C17" s="175">
        <f t="shared" si="0"/>
        <v>0</v>
      </c>
      <c r="D17" s="112">
        <f t="array" ref="D17">MIN(IF(ALIMENTO_NUEVO!$D$6:$D$306=LABORATORIO!A17,ALIMENTO_NUEVO!$C$6:$C$306))</f>
        <v>0</v>
      </c>
      <c r="E17" s="112">
        <f t="array" ref="E17">MAX(IF(ALIMENTO_NUEVO!$D$6:$D$306=LABORATORIO!A17,ALIMENTO_NUEVO!$C$6:$C$306))</f>
        <v>0</v>
      </c>
      <c r="F17" s="112"/>
      <c r="G17" s="73"/>
      <c r="H17" s="73"/>
      <c r="I17" s="112">
        <f t="shared" si="1"/>
        <v>0</v>
      </c>
      <c r="J17" s="112">
        <f>SUMIF(ALIMENTO_NUEVO!$D$6:$D$306,A17,ALIMENTO_NUEVO!$F$6:$F$306)</f>
        <v>0</v>
      </c>
      <c r="K17" s="176">
        <f t="shared" si="2"/>
        <v>0</v>
      </c>
      <c r="M17" s="42">
        <v>21111115.030000001</v>
      </c>
      <c r="N17" s="1" t="s">
        <v>43</v>
      </c>
      <c r="O17" s="175">
        <f t="shared" si="3"/>
        <v>0</v>
      </c>
      <c r="P17" s="112">
        <f t="array" ref="P17">MIN(IF(ALIMENTO_NUEVO!$P$6:$P$306=LABORATORIO!M17,ALIMENTO_NUEVO!$O$6:$O$306))</f>
        <v>0</v>
      </c>
      <c r="Q17" s="112">
        <f t="array" ref="Q17">MAX(IF(ALIMENTO_NUEVO!$P$6:$P$306=LABORATORIO!M17,ALIMENTO_NUEVO!$O$6:$O$306))</f>
        <v>0</v>
      </c>
      <c r="R17" s="112"/>
      <c r="S17" s="73"/>
      <c r="T17" s="73"/>
      <c r="U17" s="112">
        <f t="shared" si="4"/>
        <v>0</v>
      </c>
      <c r="V17" s="112">
        <f ca="1">SUMIF(ALIMENTO_NUEVO!$P$6:$P$306,LABORATORIO!M17,ALIMENTO_NUEVO!$R20:$R316)</f>
        <v>0</v>
      </c>
      <c r="W17" s="176">
        <f t="shared" ca="1" si="5"/>
        <v>0</v>
      </c>
      <c r="Y17" s="42">
        <v>21111115.030000001</v>
      </c>
      <c r="Z17" s="1" t="s">
        <v>43</v>
      </c>
      <c r="AA17" s="175">
        <f t="shared" si="6"/>
        <v>0</v>
      </c>
      <c r="AB17" s="112">
        <f t="array" ref="AB17">MIN(IF(ALIMENTO_NUEVO!$AB$6:$AB$306=LABORATORIO!Y17,ALIMENTO_NUEVO!$AA$6:$AA$306))</f>
        <v>0</v>
      </c>
      <c r="AC17" s="112">
        <f t="array" ref="AC17">MAX(IF(ALIMENTO_NUEVO!$AB$6:$AB$306=LABORATORIO!Y17,ALIMENTO_NUEVO!$AA$6:$AA$306))</f>
        <v>0</v>
      </c>
      <c r="AD17" s="112"/>
      <c r="AE17" s="73"/>
      <c r="AF17" s="73"/>
      <c r="AG17" s="112">
        <f t="shared" si="7"/>
        <v>0</v>
      </c>
      <c r="AH17" s="112">
        <f>SUMIF(ALIMENTO_NUEVO!$AB$6:$AB$306,LABORATORIO!Y17,ALIMENTO_NUEVO!$AD$6:$AD$306)</f>
        <v>0</v>
      </c>
      <c r="AI17" s="176">
        <f t="shared" si="8"/>
        <v>0</v>
      </c>
      <c r="AK17" s="42">
        <v>21111115.030000001</v>
      </c>
      <c r="AL17" s="1" t="s">
        <v>43</v>
      </c>
      <c r="AM17" s="175">
        <f t="shared" si="9"/>
        <v>0</v>
      </c>
      <c r="AN17" s="112">
        <f t="array" ref="AN17">MIN(IF(ALIMENTO_NUEVO!$AN$6:$AN$306=LABORATORIO!AK17,ALIMENTO_NUEVO!$AM$6:$AM$306))</f>
        <v>0</v>
      </c>
      <c r="AO17" s="112">
        <f t="array" ref="AO17">MAX(IF(ALIMENTO_NUEVO!$AN$6:$AN$306=LABORATORIO!AK17,ALIMENTO_NUEVO!$AM$6:$AM$306))</f>
        <v>0</v>
      </c>
      <c r="AP17" s="112"/>
      <c r="AQ17" s="73"/>
      <c r="AR17" s="73"/>
      <c r="AS17" s="112">
        <f t="shared" si="10"/>
        <v>0</v>
      </c>
      <c r="AT17" s="112">
        <f>SUMIF(ALIMENTO_NUEVO!$AN$6:$AN$306,LABORATORIO!AK17,ALIMENTO_NUEVO!$AP$6:$AP$306)</f>
        <v>0</v>
      </c>
      <c r="AU17" s="176">
        <f t="shared" si="11"/>
        <v>0</v>
      </c>
      <c r="AW17" s="42">
        <v>21111115.030000001</v>
      </c>
      <c r="AX17" s="1" t="s">
        <v>43</v>
      </c>
      <c r="AY17" s="175">
        <f t="shared" si="12"/>
        <v>0</v>
      </c>
      <c r="AZ17" s="112">
        <f t="array" ref="AZ17">MIN(IF(ALIMENTO_NUEVO!$AZ$6:$AZ$306=LABORATORIO!AW17,ALIMENTO_NUEVO!$AY$6:$AY$306))</f>
        <v>0</v>
      </c>
      <c r="BA17" s="112">
        <f t="array" ref="BA17">MAX(IF(ALIMENTO_NUEVO!$AZ$6:$AZ$306=LABORATORIO!AW17,ALIMENTO_NUEVO!$AY$6:$AY$306))</f>
        <v>0</v>
      </c>
      <c r="BB17" s="112"/>
      <c r="BC17" s="73"/>
      <c r="BD17" s="73"/>
      <c r="BE17" s="112">
        <f t="shared" si="13"/>
        <v>0</v>
      </c>
      <c r="BF17" s="112">
        <f ca="1">SUMIF(ALIMENTO_NUEVO!$AZ$6:$AZ$307,LABORATORIO!AW17,ALIMENTO_NUEVO!$BB$6:$BB$306)</f>
        <v>0</v>
      </c>
      <c r="BG17" s="176">
        <f t="shared" ca="1" si="14"/>
        <v>0</v>
      </c>
      <c r="BI17" s="42">
        <v>21111115.030000001</v>
      </c>
      <c r="BJ17" s="1" t="s">
        <v>43</v>
      </c>
      <c r="BK17" s="175">
        <f t="shared" si="15"/>
        <v>0</v>
      </c>
      <c r="BL17" s="112">
        <f t="array" ref="BL17">MIN(IF(ALIMENTO_NUEVO!$BL$6:$BL$306=LABORATORIO!BI17,ALIMENTO_NUEVO!$BK$6:$BK$306))</f>
        <v>0</v>
      </c>
      <c r="BM17" s="112">
        <f t="array" ref="BM17">MAX(IF(ALIMENTO_NUEVO!$BL$6:$BL$306=LABORATORIO!BI17,ALIMENTO_NUEVO!$BK$6:$BK$306))</f>
        <v>0</v>
      </c>
      <c r="BN17" s="112"/>
      <c r="BO17" s="73"/>
      <c r="BP17" s="73"/>
      <c r="BQ17" s="112">
        <f t="shared" si="16"/>
        <v>0</v>
      </c>
      <c r="BR17" s="112">
        <f>SUMIF(ALIMENTO_NUEVO!$BL$6:$BL$306,LABORATORIO!BI17,ALIMENTO_NUEVO!$BN$6:$BN$306)</f>
        <v>0</v>
      </c>
      <c r="BS17" s="176">
        <f t="shared" si="17"/>
        <v>0</v>
      </c>
    </row>
    <row r="18" spans="1:71" x14ac:dyDescent="0.25">
      <c r="A18" s="42">
        <v>21111214</v>
      </c>
      <c r="B18" s="1" t="s">
        <v>44</v>
      </c>
      <c r="C18" s="175">
        <f t="shared" si="0"/>
        <v>19</v>
      </c>
      <c r="D18" s="112">
        <f t="array" ref="D18">MIN(IF(ALIMENTO_NUEVO!$D$6:$D$306=LABORATORIO!A18,ALIMENTO_NUEVO!$C$6:$C$306))</f>
        <v>33</v>
      </c>
      <c r="E18" s="112">
        <f t="array" ref="E18">MAX(IF(ALIMENTO_NUEVO!$D$6:$D$306=LABORATORIO!A18,ALIMENTO_NUEVO!$C$6:$C$306))</f>
        <v>52</v>
      </c>
      <c r="F18" s="112"/>
      <c r="G18" s="73">
        <v>1819</v>
      </c>
      <c r="H18" s="73">
        <v>5.5</v>
      </c>
      <c r="I18" s="112">
        <f t="shared" si="1"/>
        <v>10004.5</v>
      </c>
      <c r="J18" s="112">
        <f>SUMIF(ALIMENTO_NUEVO!$D$6:$D$306,A18,ALIMENTO_NUEVO!$F$6:$F$306)</f>
        <v>10000</v>
      </c>
      <c r="K18" s="176">
        <f t="shared" si="2"/>
        <v>4.5</v>
      </c>
      <c r="M18" s="42">
        <v>21111214</v>
      </c>
      <c r="N18" s="1" t="s">
        <v>44</v>
      </c>
      <c r="O18" s="175">
        <f t="shared" si="3"/>
        <v>26</v>
      </c>
      <c r="P18" s="112">
        <f t="array" ref="P18">MIN(IF(ALIMENTO_NUEVO!$P$6:$P$306=LABORATORIO!M18,ALIMENTO_NUEVO!$O$6:$O$306))</f>
        <v>29</v>
      </c>
      <c r="Q18" s="112">
        <f t="array" ref="Q18">MAX(IF(ALIMENTO_NUEVO!$P$6:$P$306=LABORATORIO!M18,ALIMENTO_NUEVO!$O$6:$O$306))</f>
        <v>55</v>
      </c>
      <c r="R18" s="112"/>
      <c r="S18" s="73">
        <v>2000</v>
      </c>
      <c r="T18" s="73">
        <v>5.5</v>
      </c>
      <c r="U18" s="112">
        <f t="shared" si="4"/>
        <v>11000</v>
      </c>
      <c r="V18" s="112">
        <f ca="1">SUMIF(ALIMENTO_NUEVO!$P$6:$P$306,LABORATORIO!M18,ALIMENTO_NUEVO!$R21:$R317)</f>
        <v>14110</v>
      </c>
      <c r="W18" s="176">
        <f t="shared" ca="1" si="5"/>
        <v>-3110</v>
      </c>
      <c r="Y18" s="42">
        <v>21111214</v>
      </c>
      <c r="Z18" s="1" t="s">
        <v>44</v>
      </c>
      <c r="AA18" s="175">
        <f t="shared" si="6"/>
        <v>19</v>
      </c>
      <c r="AB18" s="112">
        <f t="array" ref="AB18">MIN(IF(ALIMENTO_NUEVO!$AB$6:$AB$306=LABORATORIO!Y18,ALIMENTO_NUEVO!$AA$6:$AA$306))</f>
        <v>36</v>
      </c>
      <c r="AC18" s="112">
        <f t="array" ref="AC18">MAX(IF(ALIMENTO_NUEVO!$AB$6:$AB$306=LABORATORIO!Y18,ALIMENTO_NUEVO!$AA$6:$AA$306))</f>
        <v>55</v>
      </c>
      <c r="AD18" s="112"/>
      <c r="AE18" s="73">
        <v>2098</v>
      </c>
      <c r="AF18" s="73">
        <v>5.5</v>
      </c>
      <c r="AG18" s="112">
        <f t="shared" si="7"/>
        <v>11539</v>
      </c>
      <c r="AH18" s="112">
        <f>SUMIF(ALIMENTO_NUEVO!$AB$6:$AB$306,LABORATORIO!Y18,ALIMENTO_NUEVO!$AD$6:$AD$306)</f>
        <v>12780</v>
      </c>
      <c r="AI18" s="176">
        <f t="shared" si="8"/>
        <v>-1241</v>
      </c>
      <c r="AK18" s="42">
        <v>21111214</v>
      </c>
      <c r="AL18" s="1" t="s">
        <v>44</v>
      </c>
      <c r="AM18" s="175">
        <f t="shared" si="9"/>
        <v>20</v>
      </c>
      <c r="AN18" s="112">
        <f t="array" ref="AN18">MIN(IF(ALIMENTO_NUEVO!$AN$6:$AN$306=LABORATORIO!AK18,ALIMENTO_NUEVO!$AM$6:$AM$306))</f>
        <v>29</v>
      </c>
      <c r="AO18" s="112">
        <f t="array" ref="AO18">MAX(IF(ALIMENTO_NUEVO!$AN$6:$AN$306=LABORATORIO!AK18,ALIMENTO_NUEVO!$AM$6:$AM$306))</f>
        <v>49</v>
      </c>
      <c r="AP18" s="112"/>
      <c r="AQ18" s="73">
        <v>2183</v>
      </c>
      <c r="AR18" s="73">
        <v>5.5</v>
      </c>
      <c r="AS18" s="112">
        <f t="shared" si="10"/>
        <v>12006.5</v>
      </c>
      <c r="AT18" s="112">
        <f>SUMIF(ALIMENTO_NUEVO!$AN$6:$AN$306,LABORATORIO!AK18,ALIMENTO_NUEVO!$AP$6:$AP$306)</f>
        <v>6740</v>
      </c>
      <c r="AU18" s="176">
        <f t="shared" si="11"/>
        <v>5266.5</v>
      </c>
      <c r="AW18" s="42">
        <v>21111214</v>
      </c>
      <c r="AX18" s="1" t="s">
        <v>44</v>
      </c>
      <c r="AY18" s="175">
        <f t="shared" si="12"/>
        <v>15</v>
      </c>
      <c r="AZ18" s="112">
        <f t="array" ref="AZ18">MIN(IF(ALIMENTO_NUEVO!$AZ$6:$AZ$306=LABORATORIO!AW18,ALIMENTO_NUEVO!$AY$6:$AY$306))</f>
        <v>36</v>
      </c>
      <c r="BA18" s="112">
        <f t="array" ref="BA18">MAX(IF(ALIMENTO_NUEVO!$AZ$6:$AZ$306=LABORATORIO!AW18,ALIMENTO_NUEVO!$AY$6:$AY$306))</f>
        <v>51</v>
      </c>
      <c r="BB18" s="112"/>
      <c r="BC18" s="73">
        <v>2185</v>
      </c>
      <c r="BD18" s="73">
        <v>5.5</v>
      </c>
      <c r="BE18" s="112">
        <f t="shared" si="13"/>
        <v>12017.5</v>
      </c>
      <c r="BF18" s="112">
        <f ca="1">SUMIF(ALIMENTO_NUEVO!$AZ$6:$AZ$307,LABORATORIO!AW18,ALIMENTO_NUEVO!$BB$6:$BB$306)</f>
        <v>9310</v>
      </c>
      <c r="BG18" s="176">
        <f t="shared" ca="1" si="14"/>
        <v>2707.5</v>
      </c>
      <c r="BI18" s="42">
        <v>21111214</v>
      </c>
      <c r="BJ18" s="1" t="s">
        <v>44</v>
      </c>
      <c r="BK18" s="175">
        <f t="shared" si="15"/>
        <v>16</v>
      </c>
      <c r="BL18" s="112">
        <f t="array" ref="BL18">MIN(IF(ALIMENTO_NUEVO!$BL$6:$BL$306=LABORATORIO!BI18,ALIMENTO_NUEVO!$BK$6:$BK$306))</f>
        <v>30</v>
      </c>
      <c r="BM18" s="112">
        <f t="array" ref="BM18">MAX(IF(ALIMENTO_NUEVO!$BL$6:$BL$306=LABORATORIO!BI18,ALIMENTO_NUEVO!$BK$6:$BK$306))</f>
        <v>46</v>
      </c>
      <c r="BN18" s="112"/>
      <c r="BO18" s="73">
        <v>998</v>
      </c>
      <c r="BP18" s="73">
        <v>5.5</v>
      </c>
      <c r="BQ18" s="112">
        <f t="shared" si="16"/>
        <v>5489</v>
      </c>
      <c r="BR18" s="112">
        <f>SUMIF(ALIMENTO_NUEVO!$BL$6:$BL$306,LABORATORIO!BI18,ALIMENTO_NUEVO!$BN$6:$BN$306)</f>
        <v>10000</v>
      </c>
      <c r="BS18" s="176">
        <f t="shared" si="17"/>
        <v>-4511</v>
      </c>
    </row>
    <row r="19" spans="1:71" x14ac:dyDescent="0.25">
      <c r="A19" s="42">
        <v>21111215</v>
      </c>
      <c r="B19" s="1" t="s">
        <v>45</v>
      </c>
      <c r="C19" s="175">
        <f t="shared" si="0"/>
        <v>0</v>
      </c>
      <c r="D19" s="112">
        <f t="array" ref="D19">MIN(IF(ALIMENTO_NUEVO!$D$6:$D$306=LABORATORIO!A19,ALIMENTO_NUEVO!$C$6:$C$306))</f>
        <v>0</v>
      </c>
      <c r="E19" s="112">
        <f t="array" ref="E19">MAX(IF(ALIMENTO_NUEVO!$D$6:$D$306=LABORATORIO!A19,ALIMENTO_NUEVO!$C$6:$C$306))</f>
        <v>0</v>
      </c>
      <c r="F19" s="112"/>
      <c r="G19" s="73"/>
      <c r="H19" s="73"/>
      <c r="I19" s="112">
        <f t="shared" si="1"/>
        <v>0</v>
      </c>
      <c r="J19" s="112">
        <f>SUMIF(ALIMENTO_NUEVO!$D$6:$D$306,A19,ALIMENTO_NUEVO!$F$6:$F$306)</f>
        <v>0</v>
      </c>
      <c r="K19" s="176">
        <f t="shared" si="2"/>
        <v>0</v>
      </c>
      <c r="M19" s="42">
        <v>21111215</v>
      </c>
      <c r="N19" s="1" t="s">
        <v>45</v>
      </c>
      <c r="O19" s="175">
        <f t="shared" si="3"/>
        <v>0</v>
      </c>
      <c r="P19" s="112">
        <f t="array" ref="P19">MIN(IF(ALIMENTO_NUEVO!$P$6:$P$306=LABORATORIO!M19,ALIMENTO_NUEVO!$O$6:$O$306))</f>
        <v>0</v>
      </c>
      <c r="Q19" s="112">
        <f t="array" ref="Q19">MAX(IF(ALIMENTO_NUEVO!$P$6:$P$306=LABORATORIO!M19,ALIMENTO_NUEVO!$O$6:$O$306))</f>
        <v>0</v>
      </c>
      <c r="R19" s="112"/>
      <c r="S19" s="73"/>
      <c r="T19" s="73"/>
      <c r="U19" s="112">
        <f t="shared" si="4"/>
        <v>0</v>
      </c>
      <c r="V19" s="112">
        <f ca="1">SUMIF(ALIMENTO_NUEVO!$P$6:$P$306,LABORATORIO!M19,ALIMENTO_NUEVO!$R22:$R318)</f>
        <v>0</v>
      </c>
      <c r="W19" s="176">
        <f t="shared" ca="1" si="5"/>
        <v>0</v>
      </c>
      <c r="Y19" s="42">
        <v>21111215</v>
      </c>
      <c r="Z19" s="1" t="s">
        <v>45</v>
      </c>
      <c r="AA19" s="175">
        <f t="shared" si="6"/>
        <v>0</v>
      </c>
      <c r="AB19" s="112">
        <f t="array" ref="AB19">MIN(IF(ALIMENTO_NUEVO!$AB$6:$AB$306=LABORATORIO!Y19,ALIMENTO_NUEVO!$AA$6:$AA$306))</f>
        <v>0</v>
      </c>
      <c r="AC19" s="112">
        <f t="array" ref="AC19">MAX(IF(ALIMENTO_NUEVO!$AB$6:$AB$306=LABORATORIO!Y19,ALIMENTO_NUEVO!$AA$6:$AA$306))</f>
        <v>0</v>
      </c>
      <c r="AD19" s="112"/>
      <c r="AE19" s="73"/>
      <c r="AF19" s="73"/>
      <c r="AG19" s="112">
        <f t="shared" si="7"/>
        <v>0</v>
      </c>
      <c r="AH19" s="112">
        <f>SUMIF(ALIMENTO_NUEVO!$AB$6:$AB$306,LABORATORIO!Y19,ALIMENTO_NUEVO!$AD$6:$AD$306)</f>
        <v>0</v>
      </c>
      <c r="AI19" s="176">
        <f t="shared" si="8"/>
        <v>0</v>
      </c>
      <c r="AK19" s="42">
        <v>21111215</v>
      </c>
      <c r="AL19" s="1" t="s">
        <v>45</v>
      </c>
      <c r="AM19" s="175">
        <f t="shared" si="9"/>
        <v>0</v>
      </c>
      <c r="AN19" s="112">
        <f t="array" ref="AN19">MIN(IF(ALIMENTO_NUEVO!$AN$6:$AN$306=LABORATORIO!AK19,ALIMENTO_NUEVO!$AM$6:$AM$306))</f>
        <v>0</v>
      </c>
      <c r="AO19" s="112">
        <f t="array" ref="AO19">MAX(IF(ALIMENTO_NUEVO!$AN$6:$AN$306=LABORATORIO!AK19,ALIMENTO_NUEVO!$AM$6:$AM$306))</f>
        <v>0</v>
      </c>
      <c r="AP19" s="112"/>
      <c r="AQ19" s="73"/>
      <c r="AR19" s="73"/>
      <c r="AS19" s="112">
        <f t="shared" si="10"/>
        <v>0</v>
      </c>
      <c r="AT19" s="112">
        <f>SUMIF(ALIMENTO_NUEVO!$AN$6:$AN$306,LABORATORIO!AK19,ALIMENTO_NUEVO!$AP$6:$AP$306)</f>
        <v>0</v>
      </c>
      <c r="AU19" s="176">
        <f t="shared" si="11"/>
        <v>0</v>
      </c>
      <c r="AW19" s="42">
        <v>21111215</v>
      </c>
      <c r="AX19" s="1" t="s">
        <v>45</v>
      </c>
      <c r="AY19" s="175">
        <f t="shared" si="12"/>
        <v>0</v>
      </c>
      <c r="AZ19" s="112">
        <f t="array" ref="AZ19">MIN(IF(ALIMENTO_NUEVO!$AZ$6:$AZ$306=LABORATORIO!AW19,ALIMENTO_NUEVO!$AY$6:$AY$306))</f>
        <v>0</v>
      </c>
      <c r="BA19" s="112">
        <f t="array" ref="BA19">MAX(IF(ALIMENTO_NUEVO!$AZ$6:$AZ$306=LABORATORIO!AW19,ALIMENTO_NUEVO!$AY$6:$AY$306))</f>
        <v>0</v>
      </c>
      <c r="BB19" s="112"/>
      <c r="BC19" s="73"/>
      <c r="BD19" s="73"/>
      <c r="BE19" s="112">
        <f t="shared" si="13"/>
        <v>0</v>
      </c>
      <c r="BF19" s="112">
        <f ca="1">SUMIF(ALIMENTO_NUEVO!$AZ$6:$AZ$307,LABORATORIO!AW19,ALIMENTO_NUEVO!$BB$6:$BB$306)</f>
        <v>0</v>
      </c>
      <c r="BG19" s="176">
        <f t="shared" ca="1" si="14"/>
        <v>0</v>
      </c>
      <c r="BI19" s="42">
        <v>21111215</v>
      </c>
      <c r="BJ19" s="1" t="s">
        <v>45</v>
      </c>
      <c r="BK19" s="175">
        <f t="shared" si="15"/>
        <v>0</v>
      </c>
      <c r="BL19" s="112">
        <f t="array" ref="BL19">MIN(IF(ALIMENTO_NUEVO!$BL$6:$BL$306=LABORATORIO!BI19,ALIMENTO_NUEVO!$BK$6:$BK$306))</f>
        <v>0</v>
      </c>
      <c r="BM19" s="112">
        <f t="array" ref="BM19">MAX(IF(ALIMENTO_NUEVO!$BL$6:$BL$306=LABORATORIO!BI19,ALIMENTO_NUEVO!$BK$6:$BK$306))</f>
        <v>0</v>
      </c>
      <c r="BN19" s="112"/>
      <c r="BO19" s="73"/>
      <c r="BP19" s="73"/>
      <c r="BQ19" s="112">
        <f t="shared" si="16"/>
        <v>0</v>
      </c>
      <c r="BR19" s="112">
        <f>SUMIF(ALIMENTO_NUEVO!$BL$6:$BL$306,LABORATORIO!BI19,ALIMENTO_NUEVO!$BN$6:$BN$306)</f>
        <v>0</v>
      </c>
      <c r="BS19" s="176">
        <f t="shared" si="17"/>
        <v>0</v>
      </c>
    </row>
    <row r="20" spans="1:71" hidden="1" x14ac:dyDescent="0.25">
      <c r="A20" s="43">
        <v>21111216</v>
      </c>
      <c r="B20" s="35" t="s">
        <v>46</v>
      </c>
      <c r="C20" s="175">
        <f t="shared" si="0"/>
        <v>0</v>
      </c>
      <c r="D20" s="112">
        <f t="array" ref="D20">MIN(IF(ALIMENTO_NUEVO!$D$6:$D$306=LABORATORIO!A20,ALIMENTO_NUEVO!$C$6:$C$306))</f>
        <v>0</v>
      </c>
      <c r="E20" s="112">
        <f t="array" ref="E20">MAX(IF(ALIMENTO_NUEVO!$D$6:$D$306=LABORATORIO!A20,ALIMENTO_NUEVO!$C$6:$C$306))</f>
        <v>0</v>
      </c>
      <c r="F20" s="112"/>
      <c r="G20" s="73"/>
      <c r="H20" s="73"/>
      <c r="I20" s="112">
        <f t="shared" si="1"/>
        <v>0</v>
      </c>
      <c r="J20" s="112">
        <f>SUMIF(ALIMENTO_NUEVO!$D$6:$D$306,A20,ALIMENTO_NUEVO!$F$6:$F$306)</f>
        <v>0</v>
      </c>
      <c r="K20" s="176">
        <f t="shared" si="2"/>
        <v>0</v>
      </c>
      <c r="M20" s="43">
        <v>21111216</v>
      </c>
      <c r="N20" s="35" t="s">
        <v>46</v>
      </c>
      <c r="O20" s="175">
        <f t="shared" si="3"/>
        <v>0</v>
      </c>
      <c r="P20" s="112">
        <f t="array" ref="P20">MIN(IF(ALIMENTO_NUEVO!$P$6:$P$306=LABORATORIO!M20,ALIMENTO_NUEVO!$O$6:$O$306))</f>
        <v>0</v>
      </c>
      <c r="Q20" s="112">
        <f t="array" ref="Q20">MAX(IF(ALIMENTO_NUEVO!$P$6:$P$306=LABORATORIO!M20,ALIMENTO_NUEVO!$O$6:$O$306))</f>
        <v>0</v>
      </c>
      <c r="R20" s="112"/>
      <c r="S20" s="73"/>
      <c r="T20" s="73"/>
      <c r="U20" s="112">
        <f t="shared" si="4"/>
        <v>0</v>
      </c>
      <c r="V20" s="112">
        <f ca="1">SUMIF(ALIMENTO_NUEVO!$P$6:$P$306,LABORATORIO!M20,ALIMENTO_NUEVO!$R23:$R319)</f>
        <v>0</v>
      </c>
      <c r="W20" s="176">
        <f t="shared" ca="1" si="5"/>
        <v>0</v>
      </c>
      <c r="Y20" s="43">
        <v>21111216</v>
      </c>
      <c r="Z20" s="35" t="s">
        <v>46</v>
      </c>
      <c r="AA20" s="175">
        <f t="shared" si="6"/>
        <v>0</v>
      </c>
      <c r="AB20" s="112">
        <f t="array" ref="AB20">MIN(IF(ALIMENTO_NUEVO!$AB$6:$AB$306=LABORATORIO!Y20,ALIMENTO_NUEVO!$AA$6:$AA$306))</f>
        <v>0</v>
      </c>
      <c r="AC20" s="112">
        <f t="array" ref="AC20">MAX(IF(ALIMENTO_NUEVO!$AB$6:$AB$306=LABORATORIO!Y20,ALIMENTO_NUEVO!$AA$6:$AA$306))</f>
        <v>0</v>
      </c>
      <c r="AD20" s="112"/>
      <c r="AE20" s="73"/>
      <c r="AF20" s="73"/>
      <c r="AG20" s="112">
        <f t="shared" si="7"/>
        <v>0</v>
      </c>
      <c r="AH20" s="112">
        <f>SUMIF(ALIMENTO_NUEVO!$AB$6:$AB$306,LABORATORIO!Y20,ALIMENTO_NUEVO!$AD$6:$AD$306)</f>
        <v>0</v>
      </c>
      <c r="AI20" s="176">
        <f t="shared" si="8"/>
        <v>0</v>
      </c>
      <c r="AK20" s="43">
        <v>21111216</v>
      </c>
      <c r="AL20" s="35" t="s">
        <v>46</v>
      </c>
      <c r="AM20" s="175">
        <f t="shared" si="9"/>
        <v>0</v>
      </c>
      <c r="AN20" s="112">
        <f t="array" ref="AN20">MIN(IF(ALIMENTO_NUEVO!$AN$6:$AN$306=LABORATORIO!AK20,ALIMENTO_NUEVO!$AM$6:$AM$306))</f>
        <v>0</v>
      </c>
      <c r="AO20" s="112">
        <f t="array" ref="AO20">MAX(IF(ALIMENTO_NUEVO!$AN$6:$AN$306=LABORATORIO!AK20,ALIMENTO_NUEVO!$AM$6:$AM$306))</f>
        <v>0</v>
      </c>
      <c r="AP20" s="112"/>
      <c r="AQ20" s="73"/>
      <c r="AR20" s="73"/>
      <c r="AS20" s="112">
        <f t="shared" si="10"/>
        <v>0</v>
      </c>
      <c r="AT20" s="112">
        <f>SUMIF(ALIMENTO_NUEVO!$AN$6:$AN$306,LABORATORIO!AK20,ALIMENTO_NUEVO!$AP$6:$AP$306)</f>
        <v>0</v>
      </c>
      <c r="AU20" s="176">
        <f t="shared" si="11"/>
        <v>0</v>
      </c>
      <c r="AW20" s="43">
        <v>21111216</v>
      </c>
      <c r="AX20" s="35" t="s">
        <v>46</v>
      </c>
      <c r="AY20" s="175">
        <f t="shared" si="12"/>
        <v>0</v>
      </c>
      <c r="AZ20" s="112">
        <f t="array" ref="AZ20">MIN(IF(ALIMENTO_NUEVO!$AZ$6:$AZ$306=LABORATORIO!AW20,ALIMENTO_NUEVO!$AY$6:$AY$306))</f>
        <v>0</v>
      </c>
      <c r="BA20" s="112">
        <f t="array" ref="BA20">MAX(IF(ALIMENTO_NUEVO!$AZ$6:$AZ$306=LABORATORIO!AW20,ALIMENTO_NUEVO!$AY$6:$AY$306))</f>
        <v>0</v>
      </c>
      <c r="BB20" s="112"/>
      <c r="BC20" s="73"/>
      <c r="BD20" s="73"/>
      <c r="BE20" s="112">
        <f t="shared" si="13"/>
        <v>0</v>
      </c>
      <c r="BF20" s="112">
        <f ca="1">SUMIF(ALIMENTO_NUEVO!$AZ$6:$AZ$307,LABORATORIO!AW20,ALIMENTO_NUEVO!$BB$6:$BB$306)</f>
        <v>0</v>
      </c>
      <c r="BG20" s="176">
        <f t="shared" ca="1" si="14"/>
        <v>0</v>
      </c>
      <c r="BI20" s="43">
        <v>21111216</v>
      </c>
      <c r="BJ20" s="35" t="s">
        <v>46</v>
      </c>
      <c r="BK20" s="175">
        <f t="shared" si="15"/>
        <v>0</v>
      </c>
      <c r="BL20" s="112">
        <f t="array" ref="BL20">MIN(IF(ALIMENTO_NUEVO!$BL$6:$BL$306=LABORATORIO!BI20,ALIMENTO_NUEVO!$BK$6:$BK$306))</f>
        <v>0</v>
      </c>
      <c r="BM20" s="112">
        <f t="array" ref="BM20">MAX(IF(ALIMENTO_NUEVO!$BL$6:$BL$306=LABORATORIO!BI20,ALIMENTO_NUEVO!$BK$6:$BK$306))</f>
        <v>0</v>
      </c>
      <c r="BN20" s="112"/>
      <c r="BO20" s="73"/>
      <c r="BP20" s="73"/>
      <c r="BQ20" s="112">
        <f t="shared" si="16"/>
        <v>0</v>
      </c>
      <c r="BR20" s="112">
        <f>SUMIF(ALIMENTO_NUEVO!$BL$6:$BL$306,LABORATORIO!BI20,ALIMENTO_NUEVO!$BN$6:$BN$306)</f>
        <v>0</v>
      </c>
      <c r="BS20" s="176">
        <f t="shared" si="17"/>
        <v>0</v>
      </c>
    </row>
    <row r="21" spans="1:71" x14ac:dyDescent="0.25">
      <c r="A21" s="43">
        <v>21111217</v>
      </c>
      <c r="B21" s="35" t="s">
        <v>47</v>
      </c>
      <c r="C21" s="175">
        <f t="shared" si="0"/>
        <v>0</v>
      </c>
      <c r="D21" s="112">
        <f t="array" ref="D21">MIN(IF(ALIMENTO_NUEVO!$D$6:$D$306=LABORATORIO!A21,ALIMENTO_NUEVO!$C$6:$C$306))</f>
        <v>0</v>
      </c>
      <c r="E21" s="112">
        <f t="array" ref="E21">MAX(IF(ALIMENTO_NUEVO!$D$6:$D$306=LABORATORIO!A21,ALIMENTO_NUEVO!$C$6:$C$306))</f>
        <v>0</v>
      </c>
      <c r="F21" s="112"/>
      <c r="G21" s="73"/>
      <c r="H21" s="73"/>
      <c r="I21" s="112">
        <f t="shared" si="1"/>
        <v>0</v>
      </c>
      <c r="J21" s="112">
        <f>SUMIF(ALIMENTO_NUEVO!$D$6:$D$306,A21,ALIMENTO_NUEVO!$F$6:$F$306)</f>
        <v>0</v>
      </c>
      <c r="K21" s="176">
        <f t="shared" si="2"/>
        <v>0</v>
      </c>
      <c r="M21" s="43">
        <v>21111217</v>
      </c>
      <c r="N21" s="35" t="s">
        <v>47</v>
      </c>
      <c r="O21" s="175">
        <f t="shared" si="3"/>
        <v>0</v>
      </c>
      <c r="P21" s="112">
        <f t="array" ref="P21">MIN(IF(ALIMENTO_NUEVO!$P$6:$P$306=LABORATORIO!M21,ALIMENTO_NUEVO!$O$6:$O$306))</f>
        <v>0</v>
      </c>
      <c r="Q21" s="112">
        <f t="array" ref="Q21">MAX(IF(ALIMENTO_NUEVO!$P$6:$P$306=LABORATORIO!M21,ALIMENTO_NUEVO!$O$6:$O$306))</f>
        <v>0</v>
      </c>
      <c r="R21" s="112"/>
      <c r="S21" s="73"/>
      <c r="T21" s="73"/>
      <c r="U21" s="112">
        <f t="shared" si="4"/>
        <v>0</v>
      </c>
      <c r="V21" s="112">
        <f ca="1">SUMIF(ALIMENTO_NUEVO!$P$6:$P$306,LABORATORIO!M21,ALIMENTO_NUEVO!$R24:$R320)</f>
        <v>0</v>
      </c>
      <c r="W21" s="176">
        <f t="shared" ca="1" si="5"/>
        <v>0</v>
      </c>
      <c r="Y21" s="43">
        <v>21111217</v>
      </c>
      <c r="Z21" s="35" t="s">
        <v>47</v>
      </c>
      <c r="AA21" s="175">
        <f t="shared" si="6"/>
        <v>0</v>
      </c>
      <c r="AB21" s="112">
        <f t="array" ref="AB21">MIN(IF(ALIMENTO_NUEVO!$AB$6:$AB$306=LABORATORIO!Y21,ALIMENTO_NUEVO!$AA$6:$AA$306))</f>
        <v>0</v>
      </c>
      <c r="AC21" s="112">
        <f t="array" ref="AC21">MAX(IF(ALIMENTO_NUEVO!$AB$6:$AB$306=LABORATORIO!Y21,ALIMENTO_NUEVO!$AA$6:$AA$306))</f>
        <v>0</v>
      </c>
      <c r="AD21" s="112"/>
      <c r="AE21" s="73"/>
      <c r="AF21" s="73"/>
      <c r="AG21" s="112">
        <f t="shared" si="7"/>
        <v>0</v>
      </c>
      <c r="AH21" s="112">
        <f>SUMIF(ALIMENTO_NUEVO!$AB$6:$AB$306,LABORATORIO!Y21,ALIMENTO_NUEVO!$AD$6:$AD$306)</f>
        <v>0</v>
      </c>
      <c r="AI21" s="176">
        <f t="shared" si="8"/>
        <v>0</v>
      </c>
      <c r="AK21" s="43">
        <v>21111217</v>
      </c>
      <c r="AL21" s="35" t="s">
        <v>47</v>
      </c>
      <c r="AM21" s="175">
        <f t="shared" si="9"/>
        <v>0</v>
      </c>
      <c r="AN21" s="112">
        <f t="array" ref="AN21">MIN(IF(ALIMENTO_NUEVO!$AN$6:$AN$306=LABORATORIO!AK21,ALIMENTO_NUEVO!$AM$6:$AM$306))</f>
        <v>0</v>
      </c>
      <c r="AO21" s="112">
        <f t="array" ref="AO21">MAX(IF(ALIMENTO_NUEVO!$AN$6:$AN$306=LABORATORIO!AK21,ALIMENTO_NUEVO!$AM$6:$AM$306))</f>
        <v>0</v>
      </c>
      <c r="AP21" s="112"/>
      <c r="AQ21" s="73"/>
      <c r="AR21" s="73"/>
      <c r="AS21" s="112">
        <f t="shared" si="10"/>
        <v>0</v>
      </c>
      <c r="AT21" s="112">
        <f>SUMIF(ALIMENTO_NUEVO!$AN$6:$AN$306,LABORATORIO!AK21,ALIMENTO_NUEVO!$AP$6:$AP$306)</f>
        <v>0</v>
      </c>
      <c r="AU21" s="176">
        <f t="shared" si="11"/>
        <v>0</v>
      </c>
      <c r="AW21" s="43">
        <v>21111217</v>
      </c>
      <c r="AX21" s="35" t="s">
        <v>47</v>
      </c>
      <c r="AY21" s="175">
        <f t="shared" si="12"/>
        <v>0</v>
      </c>
      <c r="AZ21" s="112">
        <f t="array" ref="AZ21">MIN(IF(ALIMENTO_NUEVO!$AZ$6:$AZ$306=LABORATORIO!AW21,ALIMENTO_NUEVO!$AY$6:$AY$306))</f>
        <v>0</v>
      </c>
      <c r="BA21" s="112">
        <f t="array" ref="BA21">MAX(IF(ALIMENTO_NUEVO!$AZ$6:$AZ$306=LABORATORIO!AW21,ALIMENTO_NUEVO!$AY$6:$AY$306))</f>
        <v>0</v>
      </c>
      <c r="BB21" s="112"/>
      <c r="BC21" s="73"/>
      <c r="BD21" s="73"/>
      <c r="BE21" s="112">
        <f t="shared" si="13"/>
        <v>0</v>
      </c>
      <c r="BF21" s="112">
        <f ca="1">SUMIF(ALIMENTO_NUEVO!$AZ$6:$AZ$307,LABORATORIO!AW21,ALIMENTO_NUEVO!$BB$6:$BB$306)</f>
        <v>0</v>
      </c>
      <c r="BG21" s="176">
        <f t="shared" ca="1" si="14"/>
        <v>0</v>
      </c>
      <c r="BI21" s="43">
        <v>21111217</v>
      </c>
      <c r="BJ21" s="35" t="s">
        <v>47</v>
      </c>
      <c r="BK21" s="175">
        <f t="shared" si="15"/>
        <v>0</v>
      </c>
      <c r="BL21" s="112">
        <f t="array" ref="BL21">MIN(IF(ALIMENTO_NUEVO!$BL$6:$BL$306=LABORATORIO!BI21,ALIMENTO_NUEVO!$BK$6:$BK$306))</f>
        <v>0</v>
      </c>
      <c r="BM21" s="112">
        <f t="array" ref="BM21">MAX(IF(ALIMENTO_NUEVO!$BL$6:$BL$306=LABORATORIO!BI21,ALIMENTO_NUEVO!$BK$6:$BK$306))</f>
        <v>0</v>
      </c>
      <c r="BN21" s="112"/>
      <c r="BO21" s="73"/>
      <c r="BP21" s="73"/>
      <c r="BQ21" s="112">
        <f t="shared" si="16"/>
        <v>0</v>
      </c>
      <c r="BR21" s="112">
        <f>SUMIF(ALIMENTO_NUEVO!$BL$6:$BL$306,LABORATORIO!BI21,ALIMENTO_NUEVO!$BN$6:$BN$306)</f>
        <v>0</v>
      </c>
      <c r="BS21" s="176">
        <f t="shared" si="17"/>
        <v>0</v>
      </c>
    </row>
    <row r="22" spans="1:71" x14ac:dyDescent="0.25">
      <c r="A22" s="43">
        <v>21111218</v>
      </c>
      <c r="B22" s="35" t="s">
        <v>48</v>
      </c>
      <c r="C22" s="175">
        <f t="shared" si="0"/>
        <v>0</v>
      </c>
      <c r="D22" s="112">
        <f t="array" ref="D22">MIN(IF(ALIMENTO_NUEVO!$D$6:$D$306=LABORATORIO!A22,ALIMENTO_NUEVO!$C$6:$C$306))</f>
        <v>0</v>
      </c>
      <c r="E22" s="112">
        <f t="array" ref="E22">MAX(IF(ALIMENTO_NUEVO!$D$6:$D$306=LABORATORIO!A22,ALIMENTO_NUEVO!$C$6:$C$306))</f>
        <v>0</v>
      </c>
      <c r="F22" s="112"/>
      <c r="G22" s="73"/>
      <c r="H22" s="73"/>
      <c r="I22" s="112">
        <f t="shared" si="1"/>
        <v>0</v>
      </c>
      <c r="J22" s="112">
        <f>SUMIF(ALIMENTO_NUEVO!$D$6:$D$306,A22,ALIMENTO_NUEVO!$F$6:$F$306)</f>
        <v>0</v>
      </c>
      <c r="K22" s="176">
        <f t="shared" si="2"/>
        <v>0</v>
      </c>
      <c r="M22" s="43">
        <v>21111218</v>
      </c>
      <c r="N22" s="35" t="s">
        <v>48</v>
      </c>
      <c r="O22" s="175">
        <f t="shared" si="3"/>
        <v>0</v>
      </c>
      <c r="P22" s="112">
        <f t="array" ref="P22">MIN(IF(ALIMENTO_NUEVO!$P$6:$P$306=LABORATORIO!M22,ALIMENTO_NUEVO!$O$6:$O$306))</f>
        <v>0</v>
      </c>
      <c r="Q22" s="112">
        <f t="array" ref="Q22">MAX(IF(ALIMENTO_NUEVO!$P$6:$P$306=LABORATORIO!M22,ALIMENTO_NUEVO!$O$6:$O$306))</f>
        <v>0</v>
      </c>
      <c r="R22" s="112"/>
      <c r="S22" s="73"/>
      <c r="T22" s="73"/>
      <c r="U22" s="112">
        <f t="shared" si="4"/>
        <v>0</v>
      </c>
      <c r="V22" s="112">
        <f ca="1">SUMIF(ALIMENTO_NUEVO!$P$6:$P$306,LABORATORIO!M22,ALIMENTO_NUEVO!$R25:$R321)</f>
        <v>0</v>
      </c>
      <c r="W22" s="176">
        <f t="shared" ca="1" si="5"/>
        <v>0</v>
      </c>
      <c r="Y22" s="43">
        <v>21111218</v>
      </c>
      <c r="Z22" s="35" t="s">
        <v>48</v>
      </c>
      <c r="AA22" s="175">
        <f t="shared" si="6"/>
        <v>0</v>
      </c>
      <c r="AB22" s="112">
        <f t="array" ref="AB22">MIN(IF(ALIMENTO_NUEVO!$AB$6:$AB$306=LABORATORIO!Y22,ALIMENTO_NUEVO!$AA$6:$AA$306))</f>
        <v>0</v>
      </c>
      <c r="AC22" s="112">
        <f t="array" ref="AC22">MAX(IF(ALIMENTO_NUEVO!$AB$6:$AB$306=LABORATORIO!Y22,ALIMENTO_NUEVO!$AA$6:$AA$306))</f>
        <v>0</v>
      </c>
      <c r="AD22" s="112"/>
      <c r="AE22" s="73"/>
      <c r="AF22" s="73"/>
      <c r="AG22" s="112">
        <f t="shared" si="7"/>
        <v>0</v>
      </c>
      <c r="AH22" s="112">
        <f>SUMIF(ALIMENTO_NUEVO!$AB$6:$AB$306,LABORATORIO!Y22,ALIMENTO_NUEVO!$AD$6:$AD$306)</f>
        <v>0</v>
      </c>
      <c r="AI22" s="176">
        <f t="shared" si="8"/>
        <v>0</v>
      </c>
      <c r="AK22" s="43">
        <v>21111218</v>
      </c>
      <c r="AL22" s="35" t="s">
        <v>48</v>
      </c>
      <c r="AM22" s="175">
        <f t="shared" si="9"/>
        <v>0</v>
      </c>
      <c r="AN22" s="112">
        <f t="array" ref="AN22">MIN(IF(ALIMENTO_NUEVO!$AN$6:$AN$306=LABORATORIO!AK22,ALIMENTO_NUEVO!$AM$6:$AM$306))</f>
        <v>0</v>
      </c>
      <c r="AO22" s="112">
        <f t="array" ref="AO22">MAX(IF(ALIMENTO_NUEVO!$AN$6:$AN$306=LABORATORIO!AK22,ALIMENTO_NUEVO!$AM$6:$AM$306))</f>
        <v>0</v>
      </c>
      <c r="AP22" s="112"/>
      <c r="AQ22" s="73"/>
      <c r="AR22" s="73"/>
      <c r="AS22" s="112">
        <f t="shared" si="10"/>
        <v>0</v>
      </c>
      <c r="AT22" s="112">
        <f>SUMIF(ALIMENTO_NUEVO!$AN$6:$AN$306,LABORATORIO!AK22,ALIMENTO_NUEVO!$AP$6:$AP$306)</f>
        <v>0</v>
      </c>
      <c r="AU22" s="176">
        <f t="shared" si="11"/>
        <v>0</v>
      </c>
      <c r="AW22" s="43">
        <v>21111218</v>
      </c>
      <c r="AX22" s="35" t="s">
        <v>48</v>
      </c>
      <c r="AY22" s="175">
        <f t="shared" si="12"/>
        <v>0</v>
      </c>
      <c r="AZ22" s="112">
        <f t="array" ref="AZ22">MIN(IF(ALIMENTO_NUEVO!$AZ$6:$AZ$306=LABORATORIO!AW22,ALIMENTO_NUEVO!$AY$6:$AY$306))</f>
        <v>0</v>
      </c>
      <c r="BA22" s="112">
        <f t="array" ref="BA22">MAX(IF(ALIMENTO_NUEVO!$AZ$6:$AZ$306=LABORATORIO!AW22,ALIMENTO_NUEVO!$AY$6:$AY$306))</f>
        <v>0</v>
      </c>
      <c r="BB22" s="112"/>
      <c r="BC22" s="73"/>
      <c r="BD22" s="73"/>
      <c r="BE22" s="112">
        <f t="shared" si="13"/>
        <v>0</v>
      </c>
      <c r="BF22" s="112">
        <f ca="1">SUMIF(ALIMENTO_NUEVO!$AZ$6:$AZ$307,LABORATORIO!AW22,ALIMENTO_NUEVO!$BB$6:$BB$306)</f>
        <v>0</v>
      </c>
      <c r="BG22" s="176">
        <f t="shared" ca="1" si="14"/>
        <v>0</v>
      </c>
      <c r="BI22" s="43">
        <v>21111218</v>
      </c>
      <c r="BJ22" s="35" t="s">
        <v>48</v>
      </c>
      <c r="BK22" s="175">
        <f t="shared" si="15"/>
        <v>0</v>
      </c>
      <c r="BL22" s="112">
        <f t="array" ref="BL22">MIN(IF(ALIMENTO_NUEVO!$BL$6:$BL$306=LABORATORIO!BI22,ALIMENTO_NUEVO!$BK$6:$BK$306))</f>
        <v>0</v>
      </c>
      <c r="BM22" s="112">
        <f t="array" ref="BM22">MAX(IF(ALIMENTO_NUEVO!$BL$6:$BL$306=LABORATORIO!BI22,ALIMENTO_NUEVO!$BK$6:$BK$306))</f>
        <v>0</v>
      </c>
      <c r="BN22" s="112"/>
      <c r="BO22" s="73"/>
      <c r="BP22" s="73"/>
      <c r="BQ22" s="112">
        <f t="shared" si="16"/>
        <v>0</v>
      </c>
      <c r="BR22" s="112">
        <f>SUMIF(ALIMENTO_NUEVO!$BL$6:$BL$306,LABORATORIO!BI22,ALIMENTO_NUEVO!$BN$6:$BN$306)</f>
        <v>0</v>
      </c>
      <c r="BS22" s="176">
        <f t="shared" si="17"/>
        <v>0</v>
      </c>
    </row>
    <row r="23" spans="1:71" hidden="1" x14ac:dyDescent="0.25">
      <c r="A23" s="43">
        <v>21111219</v>
      </c>
      <c r="B23" s="35" t="s">
        <v>49</v>
      </c>
      <c r="C23" s="175">
        <f t="shared" si="0"/>
        <v>0</v>
      </c>
      <c r="D23" s="112">
        <f t="array" ref="D23">MIN(IF(ALIMENTO_NUEVO!$D$6:$D$306=LABORATORIO!A23,ALIMENTO_NUEVO!$C$6:$C$306))</f>
        <v>0</v>
      </c>
      <c r="E23" s="112">
        <f t="array" ref="E23">MAX(IF(ALIMENTO_NUEVO!$D$6:$D$306=LABORATORIO!A23,ALIMENTO_NUEVO!$C$6:$C$306))</f>
        <v>0</v>
      </c>
      <c r="F23" s="112"/>
      <c r="G23" s="73"/>
      <c r="H23" s="177"/>
      <c r="I23" s="112">
        <f t="shared" si="1"/>
        <v>0</v>
      </c>
      <c r="J23" s="112">
        <f>SUMIF(ALIMENTO_NUEVO!$D$6:$D$306,A23,ALIMENTO_NUEVO!$F$6:$F$306)</f>
        <v>0</v>
      </c>
      <c r="K23" s="176">
        <f t="shared" si="2"/>
        <v>0</v>
      </c>
      <c r="M23" s="43">
        <v>21111219</v>
      </c>
      <c r="N23" s="35" t="s">
        <v>49</v>
      </c>
      <c r="O23" s="175">
        <f t="shared" si="3"/>
        <v>0</v>
      </c>
      <c r="P23" s="112">
        <f t="array" ref="P23">MIN(IF(ALIMENTO_NUEVO!$P$6:$P$306=LABORATORIO!M23,ALIMENTO_NUEVO!$O$6:$O$306))</f>
        <v>0</v>
      </c>
      <c r="Q23" s="112">
        <f t="array" ref="Q23">MAX(IF(ALIMENTO_NUEVO!$P$6:$P$306=LABORATORIO!M23,ALIMENTO_NUEVO!$O$6:$O$306))</f>
        <v>0</v>
      </c>
      <c r="R23" s="112"/>
      <c r="S23" s="73"/>
      <c r="T23" s="177"/>
      <c r="U23" s="112">
        <f t="shared" si="4"/>
        <v>0</v>
      </c>
      <c r="V23" s="112">
        <f ca="1">SUMIF(ALIMENTO_NUEVO!$P$6:$P$306,LABORATORIO!M23,ALIMENTO_NUEVO!$R26:$R322)</f>
        <v>0</v>
      </c>
      <c r="W23" s="176">
        <f t="shared" ca="1" si="5"/>
        <v>0</v>
      </c>
      <c r="Y23" s="43">
        <v>21111219</v>
      </c>
      <c r="Z23" s="35" t="s">
        <v>49</v>
      </c>
      <c r="AA23" s="175">
        <f t="shared" si="6"/>
        <v>0</v>
      </c>
      <c r="AB23" s="112">
        <f t="array" ref="AB23">MIN(IF(ALIMENTO_NUEVO!$AB$6:$AB$306=LABORATORIO!Y23,ALIMENTO_NUEVO!$AA$6:$AA$306))</f>
        <v>0</v>
      </c>
      <c r="AC23" s="112">
        <f t="array" ref="AC23">MAX(IF(ALIMENTO_NUEVO!$AB$6:$AB$306=LABORATORIO!Y23,ALIMENTO_NUEVO!$AA$6:$AA$306))</f>
        <v>0</v>
      </c>
      <c r="AD23" s="112"/>
      <c r="AE23" s="73"/>
      <c r="AF23" s="177"/>
      <c r="AG23" s="112">
        <f t="shared" si="7"/>
        <v>0</v>
      </c>
      <c r="AH23" s="112">
        <f>SUMIF(ALIMENTO_NUEVO!$AB$6:$AB$306,LABORATORIO!Y23,ALIMENTO_NUEVO!$AD$6:$AD$306)</f>
        <v>0</v>
      </c>
      <c r="AI23" s="176">
        <f t="shared" si="8"/>
        <v>0</v>
      </c>
      <c r="AK23" s="43">
        <v>21111219</v>
      </c>
      <c r="AL23" s="35" t="s">
        <v>49</v>
      </c>
      <c r="AM23" s="175">
        <f t="shared" si="9"/>
        <v>0</v>
      </c>
      <c r="AN23" s="112">
        <f t="array" ref="AN23">MIN(IF(ALIMENTO_NUEVO!$AN$6:$AN$306=LABORATORIO!AK23,ALIMENTO_NUEVO!$AM$6:$AM$306))</f>
        <v>0</v>
      </c>
      <c r="AO23" s="112">
        <f t="array" ref="AO23">MAX(IF(ALIMENTO_NUEVO!$AN$6:$AN$306=LABORATORIO!AK23,ALIMENTO_NUEVO!$AM$6:$AM$306))</f>
        <v>0</v>
      </c>
      <c r="AP23" s="112"/>
      <c r="AQ23" s="73"/>
      <c r="AR23" s="177"/>
      <c r="AS23" s="112">
        <f t="shared" si="10"/>
        <v>0</v>
      </c>
      <c r="AT23" s="112">
        <f>SUMIF(ALIMENTO_NUEVO!$AN$6:$AN$306,LABORATORIO!AK23,ALIMENTO_NUEVO!$AP$6:$AP$306)</f>
        <v>0</v>
      </c>
      <c r="AU23" s="176">
        <f t="shared" si="11"/>
        <v>0</v>
      </c>
      <c r="AW23" s="43">
        <v>21111219</v>
      </c>
      <c r="AX23" s="35" t="s">
        <v>49</v>
      </c>
      <c r="AY23" s="175">
        <f t="shared" si="12"/>
        <v>0</v>
      </c>
      <c r="AZ23" s="112">
        <f t="array" ref="AZ23">MIN(IF(ALIMENTO_NUEVO!$AZ$6:$AZ$306=LABORATORIO!AW23,ALIMENTO_NUEVO!$AY$6:$AY$306))</f>
        <v>0</v>
      </c>
      <c r="BA23" s="112">
        <f t="array" ref="BA23">MAX(IF(ALIMENTO_NUEVO!$AZ$6:$AZ$306=LABORATORIO!AW23,ALIMENTO_NUEVO!$AY$6:$AY$306))</f>
        <v>0</v>
      </c>
      <c r="BB23" s="112"/>
      <c r="BC23" s="73">
        <v>2185</v>
      </c>
      <c r="BD23" s="177"/>
      <c r="BE23" s="112">
        <f t="shared" si="13"/>
        <v>0</v>
      </c>
      <c r="BF23" s="112">
        <f ca="1">SUMIF(ALIMENTO_NUEVO!$AZ$6:$AZ$307,LABORATORIO!AW23,ALIMENTO_NUEVO!$BB$6:$BB$306)</f>
        <v>0</v>
      </c>
      <c r="BG23" s="176">
        <f t="shared" ca="1" si="14"/>
        <v>0</v>
      </c>
      <c r="BI23" s="43">
        <v>21111219</v>
      </c>
      <c r="BJ23" s="35" t="s">
        <v>49</v>
      </c>
      <c r="BK23" s="175">
        <f t="shared" si="15"/>
        <v>0</v>
      </c>
      <c r="BL23" s="112">
        <f t="array" ref="BL23">MIN(IF(ALIMENTO_NUEVO!$BL$6:$BL$306=LABORATORIO!BI23,ALIMENTO_NUEVO!$BK$6:$BK$306))</f>
        <v>0</v>
      </c>
      <c r="BM23" s="112">
        <f t="array" ref="BM23">MAX(IF(ALIMENTO_NUEVO!$BL$6:$BL$306=LABORATORIO!BI23,ALIMENTO_NUEVO!$BK$6:$BK$306))</f>
        <v>0</v>
      </c>
      <c r="BN23" s="112"/>
      <c r="BO23" s="73"/>
      <c r="BP23" s="177"/>
      <c r="BQ23" s="112">
        <f t="shared" si="16"/>
        <v>0</v>
      </c>
      <c r="BR23" s="112">
        <f>SUMIF(ALIMENTO_NUEVO!$BL$6:$BL$306,LABORATORIO!BI23,ALIMENTO_NUEVO!$BN$6:$BN$306)</f>
        <v>0</v>
      </c>
      <c r="BS23" s="176">
        <f t="shared" si="17"/>
        <v>0</v>
      </c>
    </row>
    <row r="24" spans="1:71" hidden="1" x14ac:dyDescent="0.25">
      <c r="A24" s="43">
        <v>21111220</v>
      </c>
      <c r="B24" s="35" t="s">
        <v>50</v>
      </c>
      <c r="C24" s="175">
        <f t="shared" si="0"/>
        <v>0</v>
      </c>
      <c r="D24" s="112">
        <f t="array" ref="D24">MIN(IF(ALIMENTO_NUEVO!$D$6:$D$306=LABORATORIO!A24,ALIMENTO_NUEVO!$C$6:$C$306))</f>
        <v>0</v>
      </c>
      <c r="E24" s="112">
        <f t="array" ref="E24">MAX(IF(ALIMENTO_NUEVO!$D$6:$D$306=LABORATORIO!A24,ALIMENTO_NUEVO!$C$6:$C$306))</f>
        <v>0</v>
      </c>
      <c r="F24" s="112"/>
      <c r="G24" s="73"/>
      <c r="H24" s="73"/>
      <c r="I24" s="112">
        <f t="shared" si="1"/>
        <v>0</v>
      </c>
      <c r="J24" s="112">
        <f>SUMIF(ALIMENTO_NUEVO!$D$6:$D$306,A24,ALIMENTO_NUEVO!$F$6:$F$306)</f>
        <v>0</v>
      </c>
      <c r="K24" s="176">
        <f t="shared" si="2"/>
        <v>0</v>
      </c>
      <c r="M24" s="43">
        <v>21111220</v>
      </c>
      <c r="N24" s="35" t="s">
        <v>50</v>
      </c>
      <c r="O24" s="175">
        <f t="shared" si="3"/>
        <v>0</v>
      </c>
      <c r="P24" s="112">
        <f t="array" ref="P24">MIN(IF(ALIMENTO_NUEVO!$P$6:$P$306=LABORATORIO!M24,ALIMENTO_NUEVO!$O$6:$O$306))</f>
        <v>0</v>
      </c>
      <c r="Q24" s="112">
        <f t="array" ref="Q24">MAX(IF(ALIMENTO_NUEVO!$P$6:$P$306=LABORATORIO!M24,ALIMENTO_NUEVO!$O$6:$O$306))</f>
        <v>0</v>
      </c>
      <c r="R24" s="112"/>
      <c r="S24" s="73"/>
      <c r="T24" s="73"/>
      <c r="U24" s="112">
        <f t="shared" si="4"/>
        <v>0</v>
      </c>
      <c r="V24" s="112">
        <f ca="1">SUMIF(ALIMENTO_NUEVO!$P$6:$P$306,LABORATORIO!M24,ALIMENTO_NUEVO!$R27:$R323)</f>
        <v>0</v>
      </c>
      <c r="W24" s="176">
        <f t="shared" ca="1" si="5"/>
        <v>0</v>
      </c>
      <c r="Y24" s="43">
        <v>21111220</v>
      </c>
      <c r="Z24" s="35" t="s">
        <v>50</v>
      </c>
      <c r="AA24" s="175">
        <f t="shared" si="6"/>
        <v>0</v>
      </c>
      <c r="AB24" s="112">
        <f t="array" ref="AB24">MIN(IF(ALIMENTO_NUEVO!$AB$6:$AB$306=LABORATORIO!Y24,ALIMENTO_NUEVO!$AA$6:$AA$306))</f>
        <v>0</v>
      </c>
      <c r="AC24" s="112">
        <f t="array" ref="AC24">MAX(IF(ALIMENTO_NUEVO!$AB$6:$AB$306=LABORATORIO!Y24,ALIMENTO_NUEVO!$AA$6:$AA$306))</f>
        <v>0</v>
      </c>
      <c r="AD24" s="112"/>
      <c r="AE24" s="73"/>
      <c r="AF24" s="73"/>
      <c r="AG24" s="112">
        <f t="shared" si="7"/>
        <v>0</v>
      </c>
      <c r="AH24" s="112">
        <f>SUMIF(ALIMENTO_NUEVO!$AB$6:$AB$306,LABORATORIO!Y24,ALIMENTO_NUEVO!$AD$6:$AD$306)</f>
        <v>0</v>
      </c>
      <c r="AI24" s="176">
        <f t="shared" si="8"/>
        <v>0</v>
      </c>
      <c r="AK24" s="43">
        <v>21111220</v>
      </c>
      <c r="AL24" s="35" t="s">
        <v>50</v>
      </c>
      <c r="AM24" s="175">
        <f t="shared" si="9"/>
        <v>0</v>
      </c>
      <c r="AN24" s="112">
        <f t="array" ref="AN24">MIN(IF(ALIMENTO_NUEVO!$AN$6:$AN$306=LABORATORIO!AK24,ALIMENTO_NUEVO!$AM$6:$AM$306))</f>
        <v>0</v>
      </c>
      <c r="AO24" s="112">
        <f t="array" ref="AO24">MAX(IF(ALIMENTO_NUEVO!$AN$6:$AN$306=LABORATORIO!AK24,ALIMENTO_NUEVO!$AM$6:$AM$306))</f>
        <v>0</v>
      </c>
      <c r="AP24" s="112"/>
      <c r="AQ24" s="73"/>
      <c r="AR24" s="73"/>
      <c r="AS24" s="112">
        <f t="shared" si="10"/>
        <v>0</v>
      </c>
      <c r="AT24" s="112">
        <f>SUMIF(ALIMENTO_NUEVO!$AN$6:$AN$306,LABORATORIO!AK24,ALIMENTO_NUEVO!$AP$6:$AP$306)</f>
        <v>0</v>
      </c>
      <c r="AU24" s="176">
        <f t="shared" si="11"/>
        <v>0</v>
      </c>
      <c r="AW24" s="43">
        <v>21111220</v>
      </c>
      <c r="AX24" s="35" t="s">
        <v>50</v>
      </c>
      <c r="AY24" s="175">
        <f t="shared" si="12"/>
        <v>0</v>
      </c>
      <c r="AZ24" s="112">
        <f t="array" ref="AZ24">MIN(IF(ALIMENTO_NUEVO!$AZ$6:$AZ$306=LABORATORIO!AW24,ALIMENTO_NUEVO!$AY$6:$AY$306))</f>
        <v>0</v>
      </c>
      <c r="BA24" s="112">
        <f t="array" ref="BA24">MAX(IF(ALIMENTO_NUEVO!$AZ$6:$AZ$306=LABORATORIO!AW24,ALIMENTO_NUEVO!$AY$6:$AY$306))</f>
        <v>0</v>
      </c>
      <c r="BB24" s="112"/>
      <c r="BC24" s="73">
        <v>2185</v>
      </c>
      <c r="BD24" s="73"/>
      <c r="BE24" s="112">
        <f t="shared" si="13"/>
        <v>0</v>
      </c>
      <c r="BF24" s="112">
        <f ca="1">SUMIF(ALIMENTO_NUEVO!$AZ$6:$AZ$307,LABORATORIO!AW24,ALIMENTO_NUEVO!$BB$6:$BB$306)</f>
        <v>0</v>
      </c>
      <c r="BG24" s="176">
        <f t="shared" ca="1" si="14"/>
        <v>0</v>
      </c>
      <c r="BI24" s="43">
        <v>21111220</v>
      </c>
      <c r="BJ24" s="35" t="s">
        <v>50</v>
      </c>
      <c r="BK24" s="175">
        <f t="shared" si="15"/>
        <v>0</v>
      </c>
      <c r="BL24" s="112">
        <f t="array" ref="BL24">MIN(IF(ALIMENTO_NUEVO!$BL$6:$BL$306=LABORATORIO!BI24,ALIMENTO_NUEVO!$BK$6:$BK$306))</f>
        <v>0</v>
      </c>
      <c r="BM24" s="112">
        <f t="array" ref="BM24">MAX(IF(ALIMENTO_NUEVO!$BL$6:$BL$306=LABORATORIO!BI24,ALIMENTO_NUEVO!$BK$6:$BK$306))</f>
        <v>0</v>
      </c>
      <c r="BN24" s="112"/>
      <c r="BO24" s="73"/>
      <c r="BP24" s="73"/>
      <c r="BQ24" s="112">
        <f t="shared" si="16"/>
        <v>0</v>
      </c>
      <c r="BR24" s="112">
        <f>SUMIF(ALIMENTO_NUEVO!$BL$6:$BL$306,LABORATORIO!BI24,ALIMENTO_NUEVO!$BN$6:$BN$306)</f>
        <v>0</v>
      </c>
      <c r="BS24" s="176">
        <f t="shared" si="17"/>
        <v>0</v>
      </c>
    </row>
    <row r="25" spans="1:71" x14ac:dyDescent="0.25">
      <c r="A25" s="43">
        <v>21111226.030000001</v>
      </c>
      <c r="B25" s="35" t="s">
        <v>51</v>
      </c>
      <c r="C25" s="175">
        <f t="shared" si="0"/>
        <v>0</v>
      </c>
      <c r="D25" s="112">
        <f t="array" ref="D25">MIN(IF(ALIMENTO_NUEVO!$D$6:$D$306=LABORATORIO!A25,ALIMENTO_NUEVO!$C$6:$C$306))</f>
        <v>0</v>
      </c>
      <c r="E25" s="112">
        <f t="array" ref="E25">MAX(IF(ALIMENTO_NUEVO!$D$6:$D$306=LABORATORIO!A25,ALIMENTO_NUEVO!$C$6:$C$306))</f>
        <v>0</v>
      </c>
      <c r="F25" s="112"/>
      <c r="G25" s="73">
        <v>1819</v>
      </c>
      <c r="H25" s="73">
        <v>18</v>
      </c>
      <c r="I25" s="112">
        <f t="shared" si="1"/>
        <v>32742</v>
      </c>
      <c r="J25" s="112">
        <f>SUMIF(ALIMENTO_NUEVO!$D$6:$D$306,A25,ALIMENTO_NUEVO!$F$6:$F$306)</f>
        <v>0</v>
      </c>
      <c r="K25" s="176">
        <f t="shared" si="2"/>
        <v>32742</v>
      </c>
      <c r="M25" s="43">
        <v>21111226.030000001</v>
      </c>
      <c r="N25" s="35" t="s">
        <v>51</v>
      </c>
      <c r="O25" s="175">
        <f t="shared" si="3"/>
        <v>0</v>
      </c>
      <c r="P25" s="112">
        <f t="array" ref="P25">MIN(IF(ALIMENTO_NUEVO!$P$6:$P$306=LABORATORIO!M25,ALIMENTO_NUEVO!$O$6:$O$306))</f>
        <v>0</v>
      </c>
      <c r="Q25" s="112">
        <f t="array" ref="Q25">MAX(IF(ALIMENTO_NUEVO!$P$6:$P$306=LABORATORIO!M25,ALIMENTO_NUEVO!$O$6:$O$306))</f>
        <v>0</v>
      </c>
      <c r="R25" s="112"/>
      <c r="S25" s="73">
        <v>2000</v>
      </c>
      <c r="T25" s="73">
        <v>18</v>
      </c>
      <c r="U25" s="112">
        <f t="shared" si="4"/>
        <v>36000</v>
      </c>
      <c r="V25" s="112">
        <f ca="1">SUMIF(ALIMENTO_NUEVO!$P$6:$P$306,LABORATORIO!M25,ALIMENTO_NUEVO!$R28:$R324)</f>
        <v>0</v>
      </c>
      <c r="W25" s="176">
        <f t="shared" ca="1" si="5"/>
        <v>36000</v>
      </c>
      <c r="Y25" s="43">
        <v>21111226.030000001</v>
      </c>
      <c r="Z25" s="35" t="s">
        <v>51</v>
      </c>
      <c r="AA25" s="175">
        <f t="shared" si="6"/>
        <v>0</v>
      </c>
      <c r="AB25" s="112">
        <f t="array" ref="AB25">MIN(IF(ALIMENTO_NUEVO!$AB$6:$AB$306=LABORATORIO!Y25,ALIMENTO_NUEVO!$AA$6:$AA$306))</f>
        <v>0</v>
      </c>
      <c r="AC25" s="112">
        <f t="array" ref="AC25">MAX(IF(ALIMENTO_NUEVO!$AB$6:$AB$306=LABORATORIO!Y25,ALIMENTO_NUEVO!$AA$6:$AA$306))</f>
        <v>0</v>
      </c>
      <c r="AD25" s="112"/>
      <c r="AE25" s="73">
        <v>2098</v>
      </c>
      <c r="AF25" s="73">
        <v>18</v>
      </c>
      <c r="AG25" s="112">
        <f t="shared" si="7"/>
        <v>37764</v>
      </c>
      <c r="AH25" s="112">
        <f>SUMIF(ALIMENTO_NUEVO!$AB$6:$AB$306,LABORATORIO!Y25,ALIMENTO_NUEVO!$AD$6:$AD$306)</f>
        <v>0</v>
      </c>
      <c r="AI25" s="176">
        <f t="shared" si="8"/>
        <v>37764</v>
      </c>
      <c r="AK25" s="43">
        <v>21111226.030000001</v>
      </c>
      <c r="AL25" s="35" t="s">
        <v>51</v>
      </c>
      <c r="AM25" s="175">
        <f t="shared" si="9"/>
        <v>0</v>
      </c>
      <c r="AN25" s="112">
        <f t="array" ref="AN25">MIN(IF(ALIMENTO_NUEVO!$AN$6:$AN$306=LABORATORIO!AK25,ALIMENTO_NUEVO!$AM$6:$AM$306))</f>
        <v>0</v>
      </c>
      <c r="AO25" s="112">
        <f t="array" ref="AO25">MAX(IF(ALIMENTO_NUEVO!$AN$6:$AN$306=LABORATORIO!AK25,ALIMENTO_NUEVO!$AM$6:$AM$306))</f>
        <v>0</v>
      </c>
      <c r="AP25" s="112"/>
      <c r="AQ25" s="73">
        <v>2183</v>
      </c>
      <c r="AR25" s="73">
        <v>18</v>
      </c>
      <c r="AS25" s="112">
        <f t="shared" si="10"/>
        <v>39294</v>
      </c>
      <c r="AT25" s="112">
        <f>SUMIF(ALIMENTO_NUEVO!$AN$6:$AN$306,LABORATORIO!AK25,ALIMENTO_NUEVO!$AP$6:$AP$306)</f>
        <v>0</v>
      </c>
      <c r="AU25" s="176">
        <f t="shared" si="11"/>
        <v>39294</v>
      </c>
      <c r="AW25" s="43">
        <v>21111226.030000001</v>
      </c>
      <c r="AX25" s="35" t="s">
        <v>51</v>
      </c>
      <c r="AY25" s="175">
        <f t="shared" si="12"/>
        <v>0</v>
      </c>
      <c r="AZ25" s="112">
        <f t="array" ref="AZ25">MIN(IF(ALIMENTO_NUEVO!$AZ$6:$AZ$306=LABORATORIO!AW25,ALIMENTO_NUEVO!$AY$6:$AY$306))</f>
        <v>0</v>
      </c>
      <c r="BA25" s="112">
        <f t="array" ref="BA25">MAX(IF(ALIMENTO_NUEVO!$AZ$6:$AZ$306=LABORATORIO!AW25,ALIMENTO_NUEVO!$AY$6:$AY$306))</f>
        <v>0</v>
      </c>
      <c r="BB25" s="112"/>
      <c r="BC25" s="73">
        <v>2185</v>
      </c>
      <c r="BD25" s="73">
        <v>18</v>
      </c>
      <c r="BE25" s="112">
        <f t="shared" si="13"/>
        <v>39330</v>
      </c>
      <c r="BF25" s="112">
        <f ca="1">SUMIF(ALIMENTO_NUEVO!$AZ$6:$AZ$307,LABORATORIO!AW25,ALIMENTO_NUEVO!$BB$6:$BB$306)</f>
        <v>0</v>
      </c>
      <c r="BG25" s="176">
        <f t="shared" ca="1" si="14"/>
        <v>39330</v>
      </c>
      <c r="BI25" s="43">
        <v>21111226.030000001</v>
      </c>
      <c r="BJ25" s="35" t="s">
        <v>51</v>
      </c>
      <c r="BK25" s="175">
        <f t="shared" si="15"/>
        <v>0</v>
      </c>
      <c r="BL25" s="112">
        <f t="array" ref="BL25">MIN(IF(ALIMENTO_NUEVO!$BL$6:$BL$306=LABORATORIO!BI25,ALIMENTO_NUEVO!$BK$6:$BK$306))</f>
        <v>0</v>
      </c>
      <c r="BM25" s="112">
        <f t="array" ref="BM25">MAX(IF(ALIMENTO_NUEVO!$BL$6:$BL$306=LABORATORIO!BI25,ALIMENTO_NUEVO!$BK$6:$BK$306))</f>
        <v>0</v>
      </c>
      <c r="BN25" s="112"/>
      <c r="BO25" s="73">
        <v>998</v>
      </c>
      <c r="BP25" s="73">
        <v>18</v>
      </c>
      <c r="BQ25" s="112">
        <f t="shared" si="16"/>
        <v>17964</v>
      </c>
      <c r="BR25" s="112">
        <f>SUMIF(ALIMENTO_NUEVO!$BL$6:$BL$306,LABORATORIO!BI25,ALIMENTO_NUEVO!$BN$6:$BN$306)</f>
        <v>0</v>
      </c>
      <c r="BS25" s="176">
        <f t="shared" si="17"/>
        <v>17964</v>
      </c>
    </row>
    <row r="26" spans="1:71" x14ac:dyDescent="0.25">
      <c r="A26" s="43">
        <v>21111227.030000001</v>
      </c>
      <c r="B26" s="35" t="s">
        <v>52</v>
      </c>
      <c r="C26" s="175">
        <f t="shared" si="0"/>
        <v>0</v>
      </c>
      <c r="D26" s="112">
        <f t="array" ref="D26">MIN(IF(ALIMENTO_NUEVO!$D$6:$D$306=LABORATORIO!A26,ALIMENTO_NUEVO!$C$6:$C$306))</f>
        <v>0</v>
      </c>
      <c r="E26" s="112">
        <f t="array" ref="E26">MAX(IF(ALIMENTO_NUEVO!$D$6:$D$306=LABORATORIO!A26,ALIMENTO_NUEVO!$C$6:$C$306))</f>
        <v>0</v>
      </c>
      <c r="F26" s="112"/>
      <c r="G26" s="73">
        <v>1819</v>
      </c>
      <c r="H26" s="73">
        <v>40</v>
      </c>
      <c r="I26" s="112">
        <f t="shared" si="1"/>
        <v>72760</v>
      </c>
      <c r="J26" s="112">
        <f>SUMIF(ALIMENTO_NUEVO!$D$6:$D$306,A26,ALIMENTO_NUEVO!$F$6:$F$306)</f>
        <v>0</v>
      </c>
      <c r="K26" s="176">
        <f t="shared" si="2"/>
        <v>72760</v>
      </c>
      <c r="M26" s="43">
        <v>21111227.030000001</v>
      </c>
      <c r="N26" s="35" t="s">
        <v>52</v>
      </c>
      <c r="O26" s="175">
        <f t="shared" si="3"/>
        <v>0</v>
      </c>
      <c r="P26" s="112">
        <f t="array" ref="P26">MIN(IF(ALIMENTO_NUEVO!$P$6:$P$306=LABORATORIO!M26,ALIMENTO_NUEVO!$O$6:$O$306))</f>
        <v>0</v>
      </c>
      <c r="Q26" s="112">
        <f t="array" ref="Q26">MAX(IF(ALIMENTO_NUEVO!$P$6:$P$306=LABORATORIO!M26,ALIMENTO_NUEVO!$O$6:$O$306))</f>
        <v>0</v>
      </c>
      <c r="R26" s="112"/>
      <c r="S26" s="73">
        <v>2000</v>
      </c>
      <c r="T26" s="73">
        <v>40</v>
      </c>
      <c r="U26" s="112">
        <f t="shared" si="4"/>
        <v>80000</v>
      </c>
      <c r="V26" s="112">
        <f ca="1">SUMIF(ALIMENTO_NUEVO!$P$6:$P$306,LABORATORIO!M26,ALIMENTO_NUEVO!$R29:$R325)</f>
        <v>0</v>
      </c>
      <c r="W26" s="176">
        <f t="shared" ca="1" si="5"/>
        <v>80000</v>
      </c>
      <c r="Y26" s="43">
        <v>21111227.030000001</v>
      </c>
      <c r="Z26" s="35" t="s">
        <v>52</v>
      </c>
      <c r="AA26" s="175">
        <f t="shared" si="6"/>
        <v>0</v>
      </c>
      <c r="AB26" s="112">
        <f t="array" ref="AB26">MIN(IF(ALIMENTO_NUEVO!$AB$6:$AB$306=LABORATORIO!Y26,ALIMENTO_NUEVO!$AA$6:$AA$306))</f>
        <v>0</v>
      </c>
      <c r="AC26" s="112">
        <f t="array" ref="AC26">MAX(IF(ALIMENTO_NUEVO!$AB$6:$AB$306=LABORATORIO!Y26,ALIMENTO_NUEVO!$AA$6:$AA$306))</f>
        <v>0</v>
      </c>
      <c r="AD26" s="112"/>
      <c r="AE26" s="73">
        <v>2098</v>
      </c>
      <c r="AF26" s="73">
        <v>40</v>
      </c>
      <c r="AG26" s="112">
        <f t="shared" si="7"/>
        <v>83920</v>
      </c>
      <c r="AH26" s="112">
        <f>SUMIF(ALIMENTO_NUEVO!$AB$6:$AB$306,LABORATORIO!Y26,ALIMENTO_NUEVO!$AD$6:$AD$306)</f>
        <v>0</v>
      </c>
      <c r="AI26" s="176">
        <f t="shared" si="8"/>
        <v>83920</v>
      </c>
      <c r="AK26" s="43">
        <v>21111227.030000001</v>
      </c>
      <c r="AL26" s="35" t="s">
        <v>52</v>
      </c>
      <c r="AM26" s="175">
        <f t="shared" si="9"/>
        <v>0</v>
      </c>
      <c r="AN26" s="112">
        <f t="array" ref="AN26">MIN(IF(ALIMENTO_NUEVO!$AN$6:$AN$306=LABORATORIO!AK26,ALIMENTO_NUEVO!$AM$6:$AM$306))</f>
        <v>0</v>
      </c>
      <c r="AO26" s="112">
        <f t="array" ref="AO26">MAX(IF(ALIMENTO_NUEVO!$AN$6:$AN$306=LABORATORIO!AK26,ALIMENTO_NUEVO!$AM$6:$AM$306))</f>
        <v>0</v>
      </c>
      <c r="AP26" s="112"/>
      <c r="AQ26" s="73">
        <v>2183</v>
      </c>
      <c r="AR26" s="73">
        <v>40</v>
      </c>
      <c r="AS26" s="112">
        <f t="shared" si="10"/>
        <v>87320</v>
      </c>
      <c r="AT26" s="112">
        <f>SUMIF(ALIMENTO_NUEVO!$AN$6:$AN$306,LABORATORIO!AK26,ALIMENTO_NUEVO!$AP$6:$AP$306)</f>
        <v>0</v>
      </c>
      <c r="AU26" s="176">
        <f t="shared" si="11"/>
        <v>87320</v>
      </c>
      <c r="AW26" s="43">
        <v>21111227.030000001</v>
      </c>
      <c r="AX26" s="35" t="s">
        <v>52</v>
      </c>
      <c r="AY26" s="175">
        <f t="shared" si="12"/>
        <v>0</v>
      </c>
      <c r="AZ26" s="112">
        <f t="array" ref="AZ26">MIN(IF(ALIMENTO_NUEVO!$AZ$6:$AZ$306=LABORATORIO!AW26,ALIMENTO_NUEVO!$AY$6:$AY$306))</f>
        <v>0</v>
      </c>
      <c r="BA26" s="112">
        <f t="array" ref="BA26">MAX(IF(ALIMENTO_NUEVO!$AZ$6:$AZ$306=LABORATORIO!AW26,ALIMENTO_NUEVO!$AY$6:$AY$306))</f>
        <v>0</v>
      </c>
      <c r="BB26" s="112"/>
      <c r="BC26" s="73">
        <v>2185</v>
      </c>
      <c r="BD26" s="73">
        <v>40</v>
      </c>
      <c r="BE26" s="112">
        <f t="shared" si="13"/>
        <v>87400</v>
      </c>
      <c r="BF26" s="112">
        <f ca="1">SUMIF(ALIMENTO_NUEVO!$AZ$6:$AZ$307,LABORATORIO!AW26,ALIMENTO_NUEVO!$BB$6:$BB$306)</f>
        <v>0</v>
      </c>
      <c r="BG26" s="176">
        <f t="shared" ca="1" si="14"/>
        <v>87400</v>
      </c>
      <c r="BI26" s="43">
        <v>21111227.030000001</v>
      </c>
      <c r="BJ26" s="35" t="s">
        <v>52</v>
      </c>
      <c r="BK26" s="175">
        <f t="shared" si="15"/>
        <v>0</v>
      </c>
      <c r="BL26" s="112">
        <f t="array" ref="BL26">MIN(IF(ALIMENTO_NUEVO!$BL$6:$BL$306=LABORATORIO!BI26,ALIMENTO_NUEVO!$BK$6:$BK$306))</f>
        <v>0</v>
      </c>
      <c r="BM26" s="112">
        <f t="array" ref="BM26">MAX(IF(ALIMENTO_NUEVO!$BL$6:$BL$306=LABORATORIO!BI26,ALIMENTO_NUEVO!$BK$6:$BK$306))</f>
        <v>0</v>
      </c>
      <c r="BN26" s="112"/>
      <c r="BO26" s="73">
        <v>998</v>
      </c>
      <c r="BP26" s="73">
        <v>40</v>
      </c>
      <c r="BQ26" s="112">
        <f t="shared" si="16"/>
        <v>39920</v>
      </c>
      <c r="BR26" s="112">
        <f>SUMIF(ALIMENTO_NUEVO!$BL$6:$BL$306,LABORATORIO!BI26,ALIMENTO_NUEVO!$BN$6:$BN$306)</f>
        <v>0</v>
      </c>
      <c r="BS26" s="176">
        <f t="shared" si="17"/>
        <v>39920</v>
      </c>
    </row>
    <row r="27" spans="1:71" x14ac:dyDescent="0.25">
      <c r="A27" s="43">
        <v>21111228.030000001</v>
      </c>
      <c r="B27" s="35" t="s">
        <v>53</v>
      </c>
      <c r="C27" s="175">
        <f t="shared" si="0"/>
        <v>0</v>
      </c>
      <c r="D27" s="112">
        <f t="array" ref="D27">MIN(IF(ALIMENTO_NUEVO!$D$6:$D$306=LABORATORIO!A27,ALIMENTO_NUEVO!$C$6:$C$306))</f>
        <v>0</v>
      </c>
      <c r="E27" s="112">
        <f t="array" ref="E27">MAX(IF(ALIMENTO_NUEVO!$D$6:$D$306=LABORATORIO!A27,ALIMENTO_NUEVO!$C$6:$C$306))</f>
        <v>0</v>
      </c>
      <c r="F27" s="112"/>
      <c r="G27" s="73">
        <v>1819</v>
      </c>
      <c r="H27" s="73">
        <v>55</v>
      </c>
      <c r="I27" s="112">
        <f t="shared" si="1"/>
        <v>100045</v>
      </c>
      <c r="J27" s="112">
        <f>SUMIF(ALIMENTO_NUEVO!$D$6:$D$306,A27,ALIMENTO_NUEVO!$F$6:$F$306)</f>
        <v>0</v>
      </c>
      <c r="K27" s="176">
        <f t="shared" si="2"/>
        <v>100045</v>
      </c>
      <c r="M27" s="43">
        <v>21111228.030000001</v>
      </c>
      <c r="N27" s="35" t="s">
        <v>53</v>
      </c>
      <c r="O27" s="175">
        <f t="shared" si="3"/>
        <v>0</v>
      </c>
      <c r="P27" s="112">
        <f t="array" ref="P27">MIN(IF(ALIMENTO_NUEVO!$P$6:$P$306=LABORATORIO!M27,ALIMENTO_NUEVO!$O$6:$O$306))</f>
        <v>0</v>
      </c>
      <c r="Q27" s="112">
        <f t="array" ref="Q27">MAX(IF(ALIMENTO_NUEVO!$P$6:$P$306=LABORATORIO!M27,ALIMENTO_NUEVO!$O$6:$O$306))</f>
        <v>0</v>
      </c>
      <c r="R27" s="112"/>
      <c r="S27" s="73">
        <v>2000</v>
      </c>
      <c r="T27" s="73">
        <v>55</v>
      </c>
      <c r="U27" s="112">
        <f t="shared" si="4"/>
        <v>110000</v>
      </c>
      <c r="V27" s="112">
        <f ca="1">SUMIF(ALIMENTO_NUEVO!$P$6:$P$306,LABORATORIO!M27,ALIMENTO_NUEVO!$R30:$R326)</f>
        <v>0</v>
      </c>
      <c r="W27" s="176">
        <f t="shared" ca="1" si="5"/>
        <v>110000</v>
      </c>
      <c r="Y27" s="43">
        <v>21111228.030000001</v>
      </c>
      <c r="Z27" s="35" t="s">
        <v>53</v>
      </c>
      <c r="AA27" s="175">
        <f t="shared" si="6"/>
        <v>0</v>
      </c>
      <c r="AB27" s="112">
        <f t="array" ref="AB27">MIN(IF(ALIMENTO_NUEVO!$AB$6:$AB$306=LABORATORIO!Y27,ALIMENTO_NUEVO!$AA$6:$AA$306))</f>
        <v>0</v>
      </c>
      <c r="AC27" s="112">
        <f t="array" ref="AC27">MAX(IF(ALIMENTO_NUEVO!$AB$6:$AB$306=LABORATORIO!Y27,ALIMENTO_NUEVO!$AA$6:$AA$306))</f>
        <v>0</v>
      </c>
      <c r="AD27" s="112"/>
      <c r="AE27" s="73">
        <v>2098</v>
      </c>
      <c r="AF27" s="73">
        <v>55</v>
      </c>
      <c r="AG27" s="112">
        <f t="shared" si="7"/>
        <v>115390</v>
      </c>
      <c r="AH27" s="112">
        <f>SUMIF(ALIMENTO_NUEVO!$AB$6:$AB$306,LABORATORIO!Y27,ALIMENTO_NUEVO!$AD$6:$AD$306)</f>
        <v>0</v>
      </c>
      <c r="AI27" s="176">
        <f t="shared" si="8"/>
        <v>115390</v>
      </c>
      <c r="AK27" s="43">
        <v>21111228.030000001</v>
      </c>
      <c r="AL27" s="35" t="s">
        <v>53</v>
      </c>
      <c r="AM27" s="175">
        <f t="shared" si="9"/>
        <v>0</v>
      </c>
      <c r="AN27" s="112">
        <f t="array" ref="AN27">MIN(IF(ALIMENTO_NUEVO!$AN$6:$AN$306=LABORATORIO!AK27,ALIMENTO_NUEVO!$AM$6:$AM$306))</f>
        <v>0</v>
      </c>
      <c r="AO27" s="112">
        <f t="array" ref="AO27">MAX(IF(ALIMENTO_NUEVO!$AN$6:$AN$306=LABORATORIO!AK27,ALIMENTO_NUEVO!$AM$6:$AM$306))</f>
        <v>0</v>
      </c>
      <c r="AP27" s="112"/>
      <c r="AQ27" s="73">
        <v>2183</v>
      </c>
      <c r="AR27" s="73">
        <v>55</v>
      </c>
      <c r="AS27" s="112">
        <f t="shared" si="10"/>
        <v>120065</v>
      </c>
      <c r="AT27" s="112">
        <f>SUMIF(ALIMENTO_NUEVO!$AN$6:$AN$306,LABORATORIO!AK27,ALIMENTO_NUEVO!$AP$6:$AP$306)</f>
        <v>0</v>
      </c>
      <c r="AU27" s="176">
        <f t="shared" si="11"/>
        <v>120065</v>
      </c>
      <c r="AW27" s="43">
        <v>21111228.030000001</v>
      </c>
      <c r="AX27" s="35" t="s">
        <v>53</v>
      </c>
      <c r="AY27" s="175">
        <f t="shared" si="12"/>
        <v>0</v>
      </c>
      <c r="AZ27" s="112">
        <f t="array" ref="AZ27">MIN(IF(ALIMENTO_NUEVO!$AZ$6:$AZ$306=LABORATORIO!AW27,ALIMENTO_NUEVO!$AY$6:$AY$306))</f>
        <v>0</v>
      </c>
      <c r="BA27" s="112">
        <f t="array" ref="BA27">MAX(IF(ALIMENTO_NUEVO!$AZ$6:$AZ$306=LABORATORIO!AW27,ALIMENTO_NUEVO!$AY$6:$AY$306))</f>
        <v>0</v>
      </c>
      <c r="BB27" s="112"/>
      <c r="BC27" s="73">
        <v>2185</v>
      </c>
      <c r="BD27" s="73">
        <v>55</v>
      </c>
      <c r="BE27" s="112">
        <f t="shared" si="13"/>
        <v>120175</v>
      </c>
      <c r="BF27" s="112">
        <f ca="1">SUMIF(ALIMENTO_NUEVO!$AZ$6:$AZ$307,LABORATORIO!AW27,ALIMENTO_NUEVO!$BB$6:$BB$306)</f>
        <v>0</v>
      </c>
      <c r="BG27" s="176">
        <f t="shared" ca="1" si="14"/>
        <v>120175</v>
      </c>
      <c r="BI27" s="43">
        <v>21111228.030000001</v>
      </c>
      <c r="BJ27" s="35" t="s">
        <v>53</v>
      </c>
      <c r="BK27" s="175">
        <f t="shared" si="15"/>
        <v>0</v>
      </c>
      <c r="BL27" s="112">
        <f t="array" ref="BL27">MIN(IF(ALIMENTO_NUEVO!$BL$6:$BL$306=LABORATORIO!BI27,ALIMENTO_NUEVO!$BK$6:$BK$306))</f>
        <v>0</v>
      </c>
      <c r="BM27" s="112">
        <f t="array" ref="BM27">MAX(IF(ALIMENTO_NUEVO!$BL$6:$BL$306=LABORATORIO!BI27,ALIMENTO_NUEVO!$BK$6:$BK$306))</f>
        <v>0</v>
      </c>
      <c r="BN27" s="112"/>
      <c r="BO27" s="73">
        <v>998</v>
      </c>
      <c r="BP27" s="73">
        <v>55</v>
      </c>
      <c r="BQ27" s="112">
        <f t="shared" si="16"/>
        <v>54890</v>
      </c>
      <c r="BR27" s="112">
        <f>SUMIF(ALIMENTO_NUEVO!$BL$6:$BL$306,LABORATORIO!BI27,ALIMENTO_NUEVO!$BN$6:$BN$306)</f>
        <v>0</v>
      </c>
      <c r="BS27" s="176">
        <f t="shared" si="17"/>
        <v>54890</v>
      </c>
    </row>
    <row r="28" spans="1:71" x14ac:dyDescent="0.25">
      <c r="A28" s="43">
        <v>21111229.030000001</v>
      </c>
      <c r="B28" s="35" t="s">
        <v>54</v>
      </c>
      <c r="C28" s="175">
        <f t="shared" si="0"/>
        <v>0</v>
      </c>
      <c r="D28" s="112">
        <f t="array" ref="D28">MIN(IF(ALIMENTO_NUEVO!$D$6:$D$306=LABORATORIO!A28,ALIMENTO_NUEVO!$C$6:$C$306))</f>
        <v>0</v>
      </c>
      <c r="E28" s="112">
        <f t="array" ref="E28">MAX(IF(ALIMENTO_NUEVO!$D$6:$D$306=LABORATORIO!A28,ALIMENTO_NUEVO!$C$6:$C$306))</f>
        <v>0</v>
      </c>
      <c r="F28" s="112"/>
      <c r="G28" s="73">
        <v>1819</v>
      </c>
      <c r="H28" s="73">
        <v>30</v>
      </c>
      <c r="I28" s="112">
        <f t="shared" si="1"/>
        <v>54570</v>
      </c>
      <c r="J28" s="112">
        <f>SUMIF(ALIMENTO_NUEVO!$D$6:$D$306,A28,ALIMENTO_NUEVO!$F$6:$F$306)</f>
        <v>0</v>
      </c>
      <c r="K28" s="176">
        <f t="shared" si="2"/>
        <v>54570</v>
      </c>
      <c r="M28" s="43">
        <v>21111229.030000001</v>
      </c>
      <c r="N28" s="35" t="s">
        <v>54</v>
      </c>
      <c r="O28" s="175">
        <f t="shared" si="3"/>
        <v>0</v>
      </c>
      <c r="P28" s="112">
        <f t="array" ref="P28">MIN(IF(ALIMENTO_NUEVO!$P$6:$P$306=LABORATORIO!M28,ALIMENTO_NUEVO!$O$6:$O$306))</f>
        <v>0</v>
      </c>
      <c r="Q28" s="112">
        <f t="array" ref="Q28">MAX(IF(ALIMENTO_NUEVO!$P$6:$P$306=LABORATORIO!M28,ALIMENTO_NUEVO!$O$6:$O$306))</f>
        <v>0</v>
      </c>
      <c r="R28" s="112"/>
      <c r="S28" s="73">
        <v>2000</v>
      </c>
      <c r="T28" s="73">
        <v>30</v>
      </c>
      <c r="U28" s="112">
        <f t="shared" si="4"/>
        <v>60000</v>
      </c>
      <c r="V28" s="112">
        <f ca="1">SUMIF(ALIMENTO_NUEVO!$P$6:$P$306,LABORATORIO!M28,ALIMENTO_NUEVO!$R31:$R327)</f>
        <v>0</v>
      </c>
      <c r="W28" s="176">
        <f t="shared" ca="1" si="5"/>
        <v>60000</v>
      </c>
      <c r="Y28" s="43">
        <v>21111229.030000001</v>
      </c>
      <c r="Z28" s="35" t="s">
        <v>54</v>
      </c>
      <c r="AA28" s="175">
        <f t="shared" si="6"/>
        <v>0</v>
      </c>
      <c r="AB28" s="112">
        <f t="array" ref="AB28">MIN(IF(ALIMENTO_NUEVO!$AB$6:$AB$306=LABORATORIO!Y28,ALIMENTO_NUEVO!$AA$6:$AA$306))</f>
        <v>0</v>
      </c>
      <c r="AC28" s="112">
        <f t="array" ref="AC28">MAX(IF(ALIMENTO_NUEVO!$AB$6:$AB$306=LABORATORIO!Y28,ALIMENTO_NUEVO!$AA$6:$AA$306))</f>
        <v>0</v>
      </c>
      <c r="AD28" s="112"/>
      <c r="AE28" s="73">
        <v>2098</v>
      </c>
      <c r="AF28" s="73">
        <v>30</v>
      </c>
      <c r="AG28" s="112">
        <f t="shared" si="7"/>
        <v>62940</v>
      </c>
      <c r="AH28" s="112">
        <f>SUMIF(ALIMENTO_NUEVO!$AB$6:$AB$306,LABORATORIO!Y28,ALIMENTO_NUEVO!$AD$6:$AD$306)</f>
        <v>0</v>
      </c>
      <c r="AI28" s="176">
        <f t="shared" si="8"/>
        <v>62940</v>
      </c>
      <c r="AK28" s="43">
        <v>21111229.030000001</v>
      </c>
      <c r="AL28" s="35" t="s">
        <v>54</v>
      </c>
      <c r="AM28" s="175">
        <f t="shared" si="9"/>
        <v>0</v>
      </c>
      <c r="AN28" s="112">
        <f t="array" ref="AN28">MIN(IF(ALIMENTO_NUEVO!$AN$6:$AN$306=LABORATORIO!AK28,ALIMENTO_NUEVO!$AM$6:$AM$306))</f>
        <v>0</v>
      </c>
      <c r="AO28" s="112">
        <f t="array" ref="AO28">MAX(IF(ALIMENTO_NUEVO!$AN$6:$AN$306=LABORATORIO!AK28,ALIMENTO_NUEVO!$AM$6:$AM$306))</f>
        <v>0</v>
      </c>
      <c r="AP28" s="112"/>
      <c r="AQ28" s="73">
        <v>2183</v>
      </c>
      <c r="AR28" s="73">
        <v>30</v>
      </c>
      <c r="AS28" s="112">
        <f t="shared" si="10"/>
        <v>65490</v>
      </c>
      <c r="AT28" s="112">
        <f>SUMIF(ALIMENTO_NUEVO!$AN$6:$AN$306,LABORATORIO!AK28,ALIMENTO_NUEVO!$AP$6:$AP$306)</f>
        <v>0</v>
      </c>
      <c r="AU28" s="176">
        <f t="shared" si="11"/>
        <v>65490</v>
      </c>
      <c r="AW28" s="43">
        <v>21111229.030000001</v>
      </c>
      <c r="AX28" s="35" t="s">
        <v>54</v>
      </c>
      <c r="AY28" s="175">
        <f t="shared" si="12"/>
        <v>0</v>
      </c>
      <c r="AZ28" s="112">
        <f t="array" ref="AZ28">MIN(IF(ALIMENTO_NUEVO!$AZ$6:$AZ$306=LABORATORIO!AW28,ALIMENTO_NUEVO!$AY$6:$AY$306))</f>
        <v>0</v>
      </c>
      <c r="BA28" s="112">
        <f t="array" ref="BA28">MAX(IF(ALIMENTO_NUEVO!$AZ$6:$AZ$306=LABORATORIO!AW28,ALIMENTO_NUEVO!$AY$6:$AY$306))</f>
        <v>0</v>
      </c>
      <c r="BB28" s="112"/>
      <c r="BC28" s="73">
        <v>2185</v>
      </c>
      <c r="BD28" s="73">
        <v>30</v>
      </c>
      <c r="BE28" s="112">
        <f t="shared" si="13"/>
        <v>65550</v>
      </c>
      <c r="BF28" s="112">
        <f ca="1">SUMIF(ALIMENTO_NUEVO!$AZ$6:$AZ$307,LABORATORIO!AW28,ALIMENTO_NUEVO!$BB$6:$BB$306)</f>
        <v>0</v>
      </c>
      <c r="BG28" s="176">
        <f t="shared" ca="1" si="14"/>
        <v>65550</v>
      </c>
      <c r="BI28" s="43">
        <v>21111229.030000001</v>
      </c>
      <c r="BJ28" s="35" t="s">
        <v>54</v>
      </c>
      <c r="BK28" s="175">
        <f t="shared" si="15"/>
        <v>0</v>
      </c>
      <c r="BL28" s="112">
        <f t="array" ref="BL28">MIN(IF(ALIMENTO_NUEVO!$BL$6:$BL$306=LABORATORIO!BI28,ALIMENTO_NUEVO!$BK$6:$BK$306))</f>
        <v>0</v>
      </c>
      <c r="BM28" s="112">
        <f t="array" ref="BM28">MAX(IF(ALIMENTO_NUEVO!$BL$6:$BL$306=LABORATORIO!BI28,ALIMENTO_NUEVO!$BK$6:$BK$306))</f>
        <v>0</v>
      </c>
      <c r="BN28" s="112"/>
      <c r="BO28" s="73">
        <v>998</v>
      </c>
      <c r="BP28" s="73">
        <v>30</v>
      </c>
      <c r="BQ28" s="112">
        <f t="shared" si="16"/>
        <v>29940</v>
      </c>
      <c r="BR28" s="112">
        <f>SUMIF(ALIMENTO_NUEVO!$BL$6:$BL$306,LABORATORIO!BI28,ALIMENTO_NUEVO!$BN$6:$BN$306)</f>
        <v>0</v>
      </c>
      <c r="BS28" s="176">
        <f t="shared" si="17"/>
        <v>29940</v>
      </c>
    </row>
    <row r="29" spans="1:71" x14ac:dyDescent="0.25">
      <c r="A29" s="43">
        <v>21111230.030000001</v>
      </c>
      <c r="B29" s="35" t="s">
        <v>55</v>
      </c>
      <c r="C29" s="175">
        <f t="shared" si="0"/>
        <v>0</v>
      </c>
      <c r="D29" s="112">
        <f t="array" ref="D29">MIN(IF(ALIMENTO_NUEVO!$D$6:$D$306=LABORATORIO!A29,ALIMENTO_NUEVO!$C$6:$C$306))</f>
        <v>0</v>
      </c>
      <c r="E29" s="112">
        <f t="array" ref="E29">MAX(IF(ALIMENTO_NUEVO!$D$6:$D$306=LABORATORIO!A29,ALIMENTO_NUEVO!$C$6:$C$306))</f>
        <v>0</v>
      </c>
      <c r="F29" s="112"/>
      <c r="G29" s="73">
        <v>1819</v>
      </c>
      <c r="H29" s="73">
        <v>75</v>
      </c>
      <c r="I29" s="112">
        <f t="shared" si="1"/>
        <v>136425</v>
      </c>
      <c r="J29" s="112">
        <f>SUMIF(ALIMENTO_NUEVO!$D$6:$D$306,A29,ALIMENTO_NUEVO!$F$6:$F$306)</f>
        <v>0</v>
      </c>
      <c r="K29" s="176">
        <f t="shared" si="2"/>
        <v>136425</v>
      </c>
      <c r="M29" s="43">
        <v>21111230.030000001</v>
      </c>
      <c r="N29" s="35" t="s">
        <v>55</v>
      </c>
      <c r="O29" s="175">
        <f t="shared" si="3"/>
        <v>0</v>
      </c>
      <c r="P29" s="112">
        <f t="array" ref="P29">MIN(IF(ALIMENTO_NUEVO!$P$6:$P$306=LABORATORIO!M29,ALIMENTO_NUEVO!$O$6:$O$306))</f>
        <v>0</v>
      </c>
      <c r="Q29" s="112">
        <f t="array" ref="Q29">MAX(IF(ALIMENTO_NUEVO!$P$6:$P$306=LABORATORIO!M29,ALIMENTO_NUEVO!$O$6:$O$306))</f>
        <v>0</v>
      </c>
      <c r="R29" s="112"/>
      <c r="S29" s="73">
        <v>2000</v>
      </c>
      <c r="T29" s="73">
        <v>75</v>
      </c>
      <c r="U29" s="112">
        <f t="shared" si="4"/>
        <v>150000</v>
      </c>
      <c r="V29" s="112">
        <f ca="1">SUMIF(ALIMENTO_NUEVO!$P$6:$P$306,LABORATORIO!M29,ALIMENTO_NUEVO!$R32:$R328)</f>
        <v>0</v>
      </c>
      <c r="W29" s="176">
        <f t="shared" ca="1" si="5"/>
        <v>150000</v>
      </c>
      <c r="Y29" s="43">
        <v>21111230.030000001</v>
      </c>
      <c r="Z29" s="35" t="s">
        <v>55</v>
      </c>
      <c r="AA29" s="175">
        <f t="shared" si="6"/>
        <v>0</v>
      </c>
      <c r="AB29" s="112">
        <f t="array" ref="AB29">MIN(IF(ALIMENTO_NUEVO!$AB$6:$AB$306=LABORATORIO!Y29,ALIMENTO_NUEVO!$AA$6:$AA$306))</f>
        <v>0</v>
      </c>
      <c r="AC29" s="112">
        <f t="array" ref="AC29">MAX(IF(ALIMENTO_NUEVO!$AB$6:$AB$306=LABORATORIO!Y29,ALIMENTO_NUEVO!$AA$6:$AA$306))</f>
        <v>0</v>
      </c>
      <c r="AD29" s="112"/>
      <c r="AE29" s="73">
        <v>2098</v>
      </c>
      <c r="AF29" s="73">
        <v>75</v>
      </c>
      <c r="AG29" s="112">
        <f t="shared" si="7"/>
        <v>157350</v>
      </c>
      <c r="AH29" s="112">
        <f>SUMIF(ALIMENTO_NUEVO!$AB$6:$AB$306,LABORATORIO!Y29,ALIMENTO_NUEVO!$AD$6:$AD$306)</f>
        <v>0</v>
      </c>
      <c r="AI29" s="176">
        <f t="shared" si="8"/>
        <v>157350</v>
      </c>
      <c r="AK29" s="43">
        <v>21111230.030000001</v>
      </c>
      <c r="AL29" s="35" t="s">
        <v>55</v>
      </c>
      <c r="AM29" s="175">
        <f t="shared" si="9"/>
        <v>0</v>
      </c>
      <c r="AN29" s="112">
        <f t="array" ref="AN29">MIN(IF(ALIMENTO_NUEVO!$AN$6:$AN$306=LABORATORIO!AK29,ALIMENTO_NUEVO!$AM$6:$AM$306))</f>
        <v>0</v>
      </c>
      <c r="AO29" s="112">
        <f t="array" ref="AO29">MAX(IF(ALIMENTO_NUEVO!$AN$6:$AN$306=LABORATORIO!AK29,ALIMENTO_NUEVO!$AM$6:$AM$306))</f>
        <v>0</v>
      </c>
      <c r="AP29" s="112"/>
      <c r="AQ29" s="73">
        <v>2183</v>
      </c>
      <c r="AR29" s="73">
        <v>75</v>
      </c>
      <c r="AS29" s="112">
        <f t="shared" si="10"/>
        <v>163725</v>
      </c>
      <c r="AT29" s="112">
        <f>SUMIF(ALIMENTO_NUEVO!$AN$6:$AN$306,LABORATORIO!AK29,ALIMENTO_NUEVO!$AP$6:$AP$306)</f>
        <v>0</v>
      </c>
      <c r="AU29" s="176">
        <f t="shared" si="11"/>
        <v>163725</v>
      </c>
      <c r="AW29" s="43">
        <v>21111230.030000001</v>
      </c>
      <c r="AX29" s="35" t="s">
        <v>55</v>
      </c>
      <c r="AY29" s="175">
        <f t="shared" si="12"/>
        <v>0</v>
      </c>
      <c r="AZ29" s="112">
        <f t="array" ref="AZ29">MIN(IF(ALIMENTO_NUEVO!$AZ$6:$AZ$306=LABORATORIO!AW29,ALIMENTO_NUEVO!$AY$6:$AY$306))</f>
        <v>0</v>
      </c>
      <c r="BA29" s="112">
        <f t="array" ref="BA29">MAX(IF(ALIMENTO_NUEVO!$AZ$6:$AZ$306=LABORATORIO!AW29,ALIMENTO_NUEVO!$AY$6:$AY$306))</f>
        <v>0</v>
      </c>
      <c r="BB29" s="112"/>
      <c r="BC29" s="73">
        <v>2185</v>
      </c>
      <c r="BD29" s="73">
        <v>75</v>
      </c>
      <c r="BE29" s="112">
        <f t="shared" si="13"/>
        <v>163875</v>
      </c>
      <c r="BF29" s="112">
        <f ca="1">SUMIF(ALIMENTO_NUEVO!$AZ$6:$AZ$307,LABORATORIO!AW29,ALIMENTO_NUEVO!$BB$6:$BB$306)</f>
        <v>0</v>
      </c>
      <c r="BG29" s="176">
        <f t="shared" ca="1" si="14"/>
        <v>163875</v>
      </c>
      <c r="BI29" s="43">
        <v>21111230.030000001</v>
      </c>
      <c r="BJ29" s="35" t="s">
        <v>55</v>
      </c>
      <c r="BK29" s="175">
        <f t="shared" si="15"/>
        <v>0</v>
      </c>
      <c r="BL29" s="112">
        <f t="array" ref="BL29">MIN(IF(ALIMENTO_NUEVO!$BL$6:$BL$306=LABORATORIO!BI29,ALIMENTO_NUEVO!$BK$6:$BK$306))</f>
        <v>0</v>
      </c>
      <c r="BM29" s="112">
        <f t="array" ref="BM29">MAX(IF(ALIMENTO_NUEVO!$BL$6:$BL$306=LABORATORIO!BI29,ALIMENTO_NUEVO!$BK$6:$BK$306))</f>
        <v>0</v>
      </c>
      <c r="BN29" s="112"/>
      <c r="BO29" s="73">
        <v>998</v>
      </c>
      <c r="BP29" s="73">
        <v>75</v>
      </c>
      <c r="BQ29" s="112">
        <f t="shared" si="16"/>
        <v>74850</v>
      </c>
      <c r="BR29" s="112">
        <f>SUMIF(ALIMENTO_NUEVO!$BL$6:$BL$306,LABORATORIO!BI29,ALIMENTO_NUEVO!$BN$6:$BN$306)</f>
        <v>0</v>
      </c>
      <c r="BS29" s="176">
        <f t="shared" si="17"/>
        <v>74850</v>
      </c>
    </row>
    <row r="30" spans="1:71" x14ac:dyDescent="0.25">
      <c r="A30" s="43">
        <v>21111231.02</v>
      </c>
      <c r="B30" s="35" t="s">
        <v>56</v>
      </c>
      <c r="C30" s="175">
        <f t="shared" si="0"/>
        <v>0</v>
      </c>
      <c r="D30" s="112">
        <f t="array" ref="D30">MIN(IF(ALIMENTO_NUEVO!$D$6:$D$306=LABORATORIO!A30,ALIMENTO_NUEVO!$C$6:$C$306))</f>
        <v>0</v>
      </c>
      <c r="E30" s="112">
        <f t="array" ref="E30">MAX(IF(ALIMENTO_NUEVO!$D$6:$D$306=LABORATORIO!A30,ALIMENTO_NUEVO!$C$6:$C$306))</f>
        <v>0</v>
      </c>
      <c r="F30" s="112"/>
      <c r="G30" s="73"/>
      <c r="H30" s="73"/>
      <c r="I30" s="112">
        <f t="shared" si="1"/>
        <v>0</v>
      </c>
      <c r="J30" s="112">
        <f>SUMIF(ALIMENTO_NUEVO!$D$6:$D$306,A30,ALIMENTO_NUEVO!$F$6:$F$306)</f>
        <v>0</v>
      </c>
      <c r="K30" s="176">
        <f t="shared" si="2"/>
        <v>0</v>
      </c>
      <c r="M30" s="43">
        <v>21111231.02</v>
      </c>
      <c r="N30" s="35" t="s">
        <v>56</v>
      </c>
      <c r="O30" s="175">
        <f t="shared" si="3"/>
        <v>0</v>
      </c>
      <c r="P30" s="112">
        <f t="array" ref="P30">MIN(IF(ALIMENTO_NUEVO!$P$6:$P$306=LABORATORIO!M30,ALIMENTO_NUEVO!$O$6:$O$306))</f>
        <v>0</v>
      </c>
      <c r="Q30" s="112">
        <f t="array" ref="Q30">MAX(IF(ALIMENTO_NUEVO!$P$6:$P$306=LABORATORIO!M30,ALIMENTO_NUEVO!$O$6:$O$306))</f>
        <v>0</v>
      </c>
      <c r="R30" s="112"/>
      <c r="S30" s="73"/>
      <c r="T30" s="73"/>
      <c r="U30" s="112">
        <f t="shared" si="4"/>
        <v>0</v>
      </c>
      <c r="V30" s="112">
        <f ca="1">SUMIF(ALIMENTO_NUEVO!$P$6:$P$306,LABORATORIO!M30,ALIMENTO_NUEVO!$R33:$R329)</f>
        <v>0</v>
      </c>
      <c r="W30" s="176">
        <f t="shared" ca="1" si="5"/>
        <v>0</v>
      </c>
      <c r="Y30" s="43">
        <v>21111231.02</v>
      </c>
      <c r="Z30" s="35" t="s">
        <v>56</v>
      </c>
      <c r="AA30" s="175">
        <f t="shared" si="6"/>
        <v>0</v>
      </c>
      <c r="AB30" s="112">
        <f t="array" ref="AB30">MIN(IF(ALIMENTO_NUEVO!$AB$6:$AB$306=LABORATORIO!Y30,ALIMENTO_NUEVO!$AA$6:$AA$306))</f>
        <v>0</v>
      </c>
      <c r="AC30" s="112">
        <f t="array" ref="AC30">MAX(IF(ALIMENTO_NUEVO!$AB$6:$AB$306=LABORATORIO!Y30,ALIMENTO_NUEVO!$AA$6:$AA$306))</f>
        <v>0</v>
      </c>
      <c r="AD30" s="112"/>
      <c r="AE30" s="73"/>
      <c r="AF30" s="73"/>
      <c r="AG30" s="112">
        <f t="shared" si="7"/>
        <v>0</v>
      </c>
      <c r="AH30" s="112">
        <f>SUMIF(ALIMENTO_NUEVO!$AB$6:$AB$306,LABORATORIO!Y30,ALIMENTO_NUEVO!$AD$6:$AD$306)</f>
        <v>0</v>
      </c>
      <c r="AI30" s="176">
        <f t="shared" si="8"/>
        <v>0</v>
      </c>
      <c r="AK30" s="43">
        <v>21111231.02</v>
      </c>
      <c r="AL30" s="35" t="s">
        <v>56</v>
      </c>
      <c r="AM30" s="175">
        <f t="shared" si="9"/>
        <v>0</v>
      </c>
      <c r="AN30" s="112">
        <f t="array" ref="AN30">MIN(IF(ALIMENTO_NUEVO!$AN$6:$AN$306=LABORATORIO!AK30,ALIMENTO_NUEVO!$AM$6:$AM$306))</f>
        <v>0</v>
      </c>
      <c r="AO30" s="112">
        <f t="array" ref="AO30">MAX(IF(ALIMENTO_NUEVO!$AN$6:$AN$306=LABORATORIO!AK30,ALIMENTO_NUEVO!$AM$6:$AM$306))</f>
        <v>0</v>
      </c>
      <c r="AP30" s="112"/>
      <c r="AQ30" s="73"/>
      <c r="AR30" s="73"/>
      <c r="AS30" s="112">
        <f t="shared" si="10"/>
        <v>0</v>
      </c>
      <c r="AT30" s="112">
        <f>SUMIF(ALIMENTO_NUEVO!$AN$6:$AN$306,LABORATORIO!AK30,ALIMENTO_NUEVO!$AP$6:$AP$306)</f>
        <v>0</v>
      </c>
      <c r="AU30" s="176">
        <f t="shared" si="11"/>
        <v>0</v>
      </c>
      <c r="AW30" s="43">
        <v>21111231.02</v>
      </c>
      <c r="AX30" s="35" t="s">
        <v>56</v>
      </c>
      <c r="AY30" s="175">
        <f t="shared" si="12"/>
        <v>0</v>
      </c>
      <c r="AZ30" s="112">
        <f t="array" ref="AZ30">MIN(IF(ALIMENTO_NUEVO!$AZ$6:$AZ$306=LABORATORIO!AW30,ALIMENTO_NUEVO!$AY$6:$AY$306))</f>
        <v>0</v>
      </c>
      <c r="BA30" s="112">
        <f t="array" ref="BA30">MAX(IF(ALIMENTO_NUEVO!$AZ$6:$AZ$306=LABORATORIO!AW30,ALIMENTO_NUEVO!$AY$6:$AY$306))</f>
        <v>0</v>
      </c>
      <c r="BB30" s="112"/>
      <c r="BC30" s="73"/>
      <c r="BD30" s="73"/>
      <c r="BE30" s="112">
        <f t="shared" si="13"/>
        <v>0</v>
      </c>
      <c r="BF30" s="112">
        <f ca="1">SUMIF(ALIMENTO_NUEVO!$AZ$6:$AZ$307,LABORATORIO!AW30,ALIMENTO_NUEVO!$BB$6:$BB$306)</f>
        <v>0</v>
      </c>
      <c r="BG30" s="176">
        <f t="shared" ca="1" si="14"/>
        <v>0</v>
      </c>
      <c r="BI30" s="43">
        <v>21111231.02</v>
      </c>
      <c r="BJ30" s="35" t="s">
        <v>56</v>
      </c>
      <c r="BK30" s="175">
        <f t="shared" si="15"/>
        <v>0</v>
      </c>
      <c r="BL30" s="112">
        <f t="array" ref="BL30">MIN(IF(ALIMENTO_NUEVO!$BL$6:$BL$306=LABORATORIO!BI30,ALIMENTO_NUEVO!$BK$6:$BK$306))</f>
        <v>0</v>
      </c>
      <c r="BM30" s="112">
        <f t="array" ref="BM30">MAX(IF(ALIMENTO_NUEVO!$BL$6:$BL$306=LABORATORIO!BI30,ALIMENTO_NUEVO!$BK$6:$BK$306))</f>
        <v>0</v>
      </c>
      <c r="BN30" s="112"/>
      <c r="BO30" s="73"/>
      <c r="BP30" s="73"/>
      <c r="BQ30" s="112">
        <f t="shared" si="16"/>
        <v>0</v>
      </c>
      <c r="BR30" s="112">
        <f>SUMIF(ALIMENTO_NUEVO!$BL$6:$BL$306,LABORATORIO!BI30,ALIMENTO_NUEVO!$BN$6:$BN$306)</f>
        <v>0</v>
      </c>
      <c r="BS30" s="176">
        <f t="shared" si="17"/>
        <v>0</v>
      </c>
    </row>
    <row r="31" spans="1:71" hidden="1" x14ac:dyDescent="0.25">
      <c r="A31" s="43">
        <v>21111231.039999999</v>
      </c>
      <c r="B31" s="35" t="s">
        <v>57</v>
      </c>
      <c r="C31" s="175">
        <f t="shared" si="0"/>
        <v>0</v>
      </c>
      <c r="D31" s="112">
        <f t="array" ref="D31">MIN(IF(ALIMENTO_NUEVO!$D$6:$D$306=LABORATORIO!A31,ALIMENTO_NUEVO!$C$6:$C$306))</f>
        <v>0</v>
      </c>
      <c r="E31" s="112">
        <f t="array" ref="E31">MAX(IF(ALIMENTO_NUEVO!$D$6:$D$306=LABORATORIO!A31,ALIMENTO_NUEVO!$C$6:$C$306))</f>
        <v>0</v>
      </c>
      <c r="F31" s="112"/>
      <c r="G31" s="73"/>
      <c r="H31" s="73"/>
      <c r="I31" s="112">
        <f t="shared" si="1"/>
        <v>0</v>
      </c>
      <c r="J31" s="112">
        <f>SUMIF(ALIMENTO_NUEVO!$D$6:$D$306,A31,ALIMENTO_NUEVO!$F$6:$F$306)</f>
        <v>0</v>
      </c>
      <c r="K31" s="176">
        <f t="shared" si="2"/>
        <v>0</v>
      </c>
      <c r="M31" s="43">
        <v>21111231.039999999</v>
      </c>
      <c r="N31" s="35" t="s">
        <v>57</v>
      </c>
      <c r="O31" s="175">
        <f t="shared" si="3"/>
        <v>0</v>
      </c>
      <c r="P31" s="112">
        <f t="array" ref="P31">MIN(IF(ALIMENTO_NUEVO!$P$6:$P$306=LABORATORIO!M31,ALIMENTO_NUEVO!$O$6:$O$306))</f>
        <v>0</v>
      </c>
      <c r="Q31" s="112">
        <f t="array" ref="Q31">MAX(IF(ALIMENTO_NUEVO!$P$6:$P$306=LABORATORIO!M31,ALIMENTO_NUEVO!$O$6:$O$306))</f>
        <v>0</v>
      </c>
      <c r="R31" s="112"/>
      <c r="S31" s="73"/>
      <c r="T31" s="73"/>
      <c r="U31" s="112">
        <f t="shared" si="4"/>
        <v>0</v>
      </c>
      <c r="V31" s="112">
        <f ca="1">SUMIF(ALIMENTO_NUEVO!$P$6:$P$306,LABORATORIO!M31,ALIMENTO_NUEVO!$R34:$R330)</f>
        <v>0</v>
      </c>
      <c r="W31" s="176">
        <f t="shared" ca="1" si="5"/>
        <v>0</v>
      </c>
      <c r="Y31" s="43">
        <v>21111231.039999999</v>
      </c>
      <c r="Z31" s="35" t="s">
        <v>57</v>
      </c>
      <c r="AA31" s="175">
        <f t="shared" si="6"/>
        <v>0</v>
      </c>
      <c r="AB31" s="112">
        <f t="array" ref="AB31">MIN(IF(ALIMENTO_NUEVO!$AB$6:$AB$306=LABORATORIO!Y31,ALIMENTO_NUEVO!$AA$6:$AA$306))</f>
        <v>0</v>
      </c>
      <c r="AC31" s="112">
        <f t="array" ref="AC31">MAX(IF(ALIMENTO_NUEVO!$AB$6:$AB$306=LABORATORIO!Y31,ALIMENTO_NUEVO!$AA$6:$AA$306))</f>
        <v>0</v>
      </c>
      <c r="AD31" s="112"/>
      <c r="AE31" s="73"/>
      <c r="AF31" s="73"/>
      <c r="AG31" s="112">
        <f t="shared" si="7"/>
        <v>0</v>
      </c>
      <c r="AH31" s="112">
        <f>SUMIF(ALIMENTO_NUEVO!$AB$6:$AB$306,LABORATORIO!Y31,ALIMENTO_NUEVO!$AD$6:$AD$306)</f>
        <v>0</v>
      </c>
      <c r="AI31" s="176">
        <f t="shared" si="8"/>
        <v>0</v>
      </c>
      <c r="AK31" s="43">
        <v>21111231.039999999</v>
      </c>
      <c r="AL31" s="35" t="s">
        <v>57</v>
      </c>
      <c r="AM31" s="175">
        <f t="shared" si="9"/>
        <v>0</v>
      </c>
      <c r="AN31" s="112">
        <f t="array" ref="AN31">MIN(IF(ALIMENTO_NUEVO!$AN$6:$AN$306=LABORATORIO!AK31,ALIMENTO_NUEVO!$AM$6:$AM$306))</f>
        <v>0</v>
      </c>
      <c r="AO31" s="112">
        <f t="array" ref="AO31">MAX(IF(ALIMENTO_NUEVO!$AN$6:$AN$306=LABORATORIO!AK31,ALIMENTO_NUEVO!$AM$6:$AM$306))</f>
        <v>0</v>
      </c>
      <c r="AP31" s="112"/>
      <c r="AQ31" s="73"/>
      <c r="AR31" s="73"/>
      <c r="AS31" s="112">
        <f t="shared" si="10"/>
        <v>0</v>
      </c>
      <c r="AT31" s="112">
        <f>SUMIF(ALIMENTO_NUEVO!$AN$6:$AN$306,LABORATORIO!AK31,ALIMENTO_NUEVO!$AP$6:$AP$306)</f>
        <v>0</v>
      </c>
      <c r="AU31" s="176">
        <f t="shared" si="11"/>
        <v>0</v>
      </c>
      <c r="AW31" s="43">
        <v>21111231.039999999</v>
      </c>
      <c r="AX31" s="35" t="s">
        <v>57</v>
      </c>
      <c r="AY31" s="175">
        <f t="shared" si="12"/>
        <v>0</v>
      </c>
      <c r="AZ31" s="112">
        <f t="array" ref="AZ31">MIN(IF(ALIMENTO_NUEVO!$AZ$6:$AZ$306=LABORATORIO!AW31,ALIMENTO_NUEVO!$AY$6:$AY$306))</f>
        <v>0</v>
      </c>
      <c r="BA31" s="112">
        <f t="array" ref="BA31">MAX(IF(ALIMENTO_NUEVO!$AZ$6:$AZ$306=LABORATORIO!AW31,ALIMENTO_NUEVO!$AY$6:$AY$306))</f>
        <v>0</v>
      </c>
      <c r="BB31" s="112"/>
      <c r="BC31" s="73"/>
      <c r="BD31" s="73"/>
      <c r="BE31" s="112">
        <f t="shared" si="13"/>
        <v>0</v>
      </c>
      <c r="BF31" s="112">
        <f ca="1">SUMIF(ALIMENTO_NUEVO!$AZ$6:$AZ$307,LABORATORIO!AW31,ALIMENTO_NUEVO!$BB$6:$BB$306)</f>
        <v>0</v>
      </c>
      <c r="BG31" s="176">
        <f t="shared" ca="1" si="14"/>
        <v>0</v>
      </c>
      <c r="BI31" s="43">
        <v>21111231.039999999</v>
      </c>
      <c r="BJ31" s="35" t="s">
        <v>57</v>
      </c>
      <c r="BK31" s="175">
        <f t="shared" si="15"/>
        <v>0</v>
      </c>
      <c r="BL31" s="112">
        <f t="array" ref="BL31">MIN(IF(ALIMENTO_NUEVO!$BL$6:$BL$306=LABORATORIO!BI31,ALIMENTO_NUEVO!$BK$6:$BK$306))</f>
        <v>0</v>
      </c>
      <c r="BM31" s="112">
        <f t="array" ref="BM31">MAX(IF(ALIMENTO_NUEVO!$BL$6:$BL$306=LABORATORIO!BI31,ALIMENTO_NUEVO!$BK$6:$BK$306))</f>
        <v>0</v>
      </c>
      <c r="BN31" s="112"/>
      <c r="BO31" s="73"/>
      <c r="BP31" s="73"/>
      <c r="BQ31" s="112">
        <f t="shared" si="16"/>
        <v>0</v>
      </c>
      <c r="BR31" s="112">
        <f>SUMIF(ALIMENTO_NUEVO!$BL$6:$BL$306,LABORATORIO!BI31,ALIMENTO_NUEVO!$BN$6:$BN$306)</f>
        <v>0</v>
      </c>
      <c r="BS31" s="176">
        <f t="shared" si="17"/>
        <v>0</v>
      </c>
    </row>
    <row r="32" spans="1:71" x14ac:dyDescent="0.25">
      <c r="A32" s="42">
        <v>21111232.079999998</v>
      </c>
      <c r="B32" s="1" t="s">
        <v>88</v>
      </c>
      <c r="C32" s="175">
        <f t="shared" si="0"/>
        <v>0</v>
      </c>
      <c r="D32" s="112">
        <f t="array" ref="D32">MIN(IF(ALIMENTO_NUEVO!$D$6:$D$306=LABORATORIO!A32,ALIMENTO_NUEVO!$C$6:$C$306))</f>
        <v>0</v>
      </c>
      <c r="E32" s="112">
        <f t="array" ref="E32">MAX(IF(ALIMENTO_NUEVO!$D$6:$D$306=LABORATORIO!A32,ALIMENTO_NUEVO!$C$6:$C$306))</f>
        <v>0</v>
      </c>
      <c r="F32" s="112"/>
      <c r="G32" s="73"/>
      <c r="H32" s="73"/>
      <c r="I32" s="112">
        <f t="shared" si="1"/>
        <v>0</v>
      </c>
      <c r="J32" s="112">
        <f>SUMIF(ALIMENTO_NUEVO!$D$6:$D$306,A32,ALIMENTO_NUEVO!$F$6:$F$306)</f>
        <v>0</v>
      </c>
      <c r="K32" s="176">
        <f t="shared" si="2"/>
        <v>0</v>
      </c>
      <c r="M32" s="42">
        <v>21111232.079999998</v>
      </c>
      <c r="N32" s="1" t="s">
        <v>88</v>
      </c>
      <c r="O32" s="175">
        <f t="shared" si="3"/>
        <v>0</v>
      </c>
      <c r="P32" s="112">
        <f t="array" ref="P32">MIN(IF(ALIMENTO_NUEVO!$P$6:$P$306=LABORATORIO!M32,ALIMENTO_NUEVO!$O$6:$O$306))</f>
        <v>0</v>
      </c>
      <c r="Q32" s="112">
        <f t="array" ref="Q32">MAX(IF(ALIMENTO_NUEVO!$P$6:$P$306=LABORATORIO!M32,ALIMENTO_NUEVO!$O$6:$O$306))</f>
        <v>0</v>
      </c>
      <c r="R32" s="112"/>
      <c r="S32" s="73"/>
      <c r="T32" s="73"/>
      <c r="U32" s="112">
        <f t="shared" si="4"/>
        <v>0</v>
      </c>
      <c r="V32" s="112">
        <f ca="1">SUMIF(ALIMENTO_NUEVO!$P$6:$P$306,LABORATORIO!M32,ALIMENTO_NUEVO!$R35:$R331)</f>
        <v>0</v>
      </c>
      <c r="W32" s="176">
        <f t="shared" ca="1" si="5"/>
        <v>0</v>
      </c>
      <c r="Y32" s="42">
        <v>21111232.079999998</v>
      </c>
      <c r="Z32" s="1" t="s">
        <v>88</v>
      </c>
      <c r="AA32" s="175">
        <f t="shared" si="6"/>
        <v>0</v>
      </c>
      <c r="AB32" s="112">
        <f t="array" ref="AB32">MIN(IF(ALIMENTO_NUEVO!$AB$6:$AB$306=LABORATORIO!Y32,ALIMENTO_NUEVO!$AA$6:$AA$306))</f>
        <v>0</v>
      </c>
      <c r="AC32" s="112">
        <f t="array" ref="AC32">MAX(IF(ALIMENTO_NUEVO!$AB$6:$AB$306=LABORATORIO!Y32,ALIMENTO_NUEVO!$AA$6:$AA$306))</f>
        <v>0</v>
      </c>
      <c r="AD32" s="112"/>
      <c r="AE32" s="73"/>
      <c r="AF32" s="73"/>
      <c r="AG32" s="112">
        <f t="shared" si="7"/>
        <v>0</v>
      </c>
      <c r="AH32" s="112">
        <f>SUMIF(ALIMENTO_NUEVO!$AB$6:$AB$306,LABORATORIO!Y32,ALIMENTO_NUEVO!$AD$6:$AD$306)</f>
        <v>0</v>
      </c>
      <c r="AI32" s="176">
        <f t="shared" si="8"/>
        <v>0</v>
      </c>
      <c r="AK32" s="42">
        <v>21111232.079999998</v>
      </c>
      <c r="AL32" s="1" t="s">
        <v>88</v>
      </c>
      <c r="AM32" s="175">
        <f t="shared" si="9"/>
        <v>0</v>
      </c>
      <c r="AN32" s="112">
        <f t="array" ref="AN32">MIN(IF(ALIMENTO_NUEVO!$AN$6:$AN$306=LABORATORIO!AK32,ALIMENTO_NUEVO!$AM$6:$AM$306))</f>
        <v>0</v>
      </c>
      <c r="AO32" s="112">
        <f t="array" ref="AO32">MAX(IF(ALIMENTO_NUEVO!$AN$6:$AN$306=LABORATORIO!AK32,ALIMENTO_NUEVO!$AM$6:$AM$306))</f>
        <v>0</v>
      </c>
      <c r="AP32" s="112"/>
      <c r="AQ32" s="73"/>
      <c r="AR32" s="73"/>
      <c r="AS32" s="112">
        <f t="shared" si="10"/>
        <v>0</v>
      </c>
      <c r="AT32" s="112">
        <f>SUMIF(ALIMENTO_NUEVO!$AN$6:$AN$306,LABORATORIO!AK32,ALIMENTO_NUEVO!$AP$6:$AP$306)</f>
        <v>0</v>
      </c>
      <c r="AU32" s="176">
        <f t="shared" si="11"/>
        <v>0</v>
      </c>
      <c r="AW32" s="42">
        <v>21111232.079999998</v>
      </c>
      <c r="AX32" s="1" t="s">
        <v>88</v>
      </c>
      <c r="AY32" s="175">
        <f t="shared" si="12"/>
        <v>0</v>
      </c>
      <c r="AZ32" s="112">
        <f t="array" ref="AZ32">MIN(IF(ALIMENTO_NUEVO!$AZ$6:$AZ$306=LABORATORIO!AW32,ALIMENTO_NUEVO!$AY$6:$AY$306))</f>
        <v>0</v>
      </c>
      <c r="BA32" s="112">
        <f t="array" ref="BA32">MAX(IF(ALIMENTO_NUEVO!$AZ$6:$AZ$306=LABORATORIO!AW32,ALIMENTO_NUEVO!$AY$6:$AY$306))</f>
        <v>0</v>
      </c>
      <c r="BB32" s="112"/>
      <c r="BC32" s="73"/>
      <c r="BD32" s="73"/>
      <c r="BE32" s="112">
        <f t="shared" si="13"/>
        <v>0</v>
      </c>
      <c r="BF32" s="112">
        <f ca="1">SUMIF(ALIMENTO_NUEVO!$AZ$6:$AZ$307,LABORATORIO!AW32,ALIMENTO_NUEVO!$BB$6:$BB$306)</f>
        <v>0</v>
      </c>
      <c r="BG32" s="176">
        <f t="shared" ca="1" si="14"/>
        <v>0</v>
      </c>
      <c r="BI32" s="42">
        <v>21111232.079999998</v>
      </c>
      <c r="BJ32" s="1" t="s">
        <v>88</v>
      </c>
      <c r="BK32" s="175">
        <f t="shared" si="15"/>
        <v>0</v>
      </c>
      <c r="BL32" s="112">
        <f t="array" ref="BL32">MIN(IF(ALIMENTO_NUEVO!$BL$6:$BL$306=LABORATORIO!BI32,ALIMENTO_NUEVO!$BK$6:$BK$306))</f>
        <v>0</v>
      </c>
      <c r="BM32" s="112">
        <f t="array" ref="BM32">MAX(IF(ALIMENTO_NUEVO!$BL$6:$BL$306=LABORATORIO!BI32,ALIMENTO_NUEVO!$BK$6:$BK$306))</f>
        <v>0</v>
      </c>
      <c r="BN32" s="112"/>
      <c r="BO32" s="73"/>
      <c r="BP32" s="73"/>
      <c r="BQ32" s="112">
        <f t="shared" si="16"/>
        <v>0</v>
      </c>
      <c r="BR32" s="112">
        <f>SUMIF(ALIMENTO_NUEVO!$BL$6:$BL$306,LABORATORIO!BI32,ALIMENTO_NUEVO!$BN$6:$BN$306)</f>
        <v>0</v>
      </c>
      <c r="BS32" s="176">
        <f t="shared" si="17"/>
        <v>0</v>
      </c>
    </row>
    <row r="33" spans="1:71" x14ac:dyDescent="0.25">
      <c r="A33" s="43">
        <v>21121101</v>
      </c>
      <c r="B33" s="35" t="s">
        <v>58</v>
      </c>
      <c r="C33" s="175">
        <f t="shared" si="0"/>
        <v>0</v>
      </c>
      <c r="D33" s="112">
        <f t="array" ref="D33">MIN(IF(ALIMENTO_NUEVO!$D$6:$D$306=LABORATORIO!A33,ALIMENTO_NUEVO!$C$6:$C$306))</f>
        <v>0</v>
      </c>
      <c r="E33" s="112">
        <f t="array" ref="E33">MAX(IF(ALIMENTO_NUEVO!$D$6:$D$306=LABORATORIO!A33,ALIMENTO_NUEVO!$C$6:$C$306))</f>
        <v>0</v>
      </c>
      <c r="F33" s="112"/>
      <c r="G33" s="73"/>
      <c r="H33" s="73"/>
      <c r="I33" s="112">
        <f t="shared" si="1"/>
        <v>0</v>
      </c>
      <c r="J33" s="112">
        <f>SUMIF(ALIMENTO_NUEVO!$D$6:$D$306,A33,ALIMENTO_NUEVO!$F$6:$F$306)</f>
        <v>0</v>
      </c>
      <c r="K33" s="176">
        <f t="shared" si="2"/>
        <v>0</v>
      </c>
      <c r="M33" s="43">
        <v>21121101</v>
      </c>
      <c r="N33" s="35" t="s">
        <v>58</v>
      </c>
      <c r="O33" s="175">
        <f t="shared" si="3"/>
        <v>0</v>
      </c>
      <c r="P33" s="112">
        <f t="array" ref="P33">MIN(IF(ALIMENTO_NUEVO!$P$6:$P$306=LABORATORIO!M33,ALIMENTO_NUEVO!$O$6:$O$306))</f>
        <v>0</v>
      </c>
      <c r="Q33" s="112">
        <f t="array" ref="Q33">MAX(IF(ALIMENTO_NUEVO!$P$6:$P$306=LABORATORIO!M33,ALIMENTO_NUEVO!$O$6:$O$306))</f>
        <v>0</v>
      </c>
      <c r="R33" s="112"/>
      <c r="S33" s="73"/>
      <c r="T33" s="73"/>
      <c r="U33" s="112">
        <f t="shared" si="4"/>
        <v>0</v>
      </c>
      <c r="V33" s="112">
        <f ca="1">SUMIF(ALIMENTO_NUEVO!$P$6:$P$306,LABORATORIO!M33,ALIMENTO_NUEVO!$R36:$R332)</f>
        <v>0</v>
      </c>
      <c r="W33" s="176">
        <f t="shared" ca="1" si="5"/>
        <v>0</v>
      </c>
      <c r="Y33" s="43">
        <v>21121101</v>
      </c>
      <c r="Z33" s="35" t="s">
        <v>58</v>
      </c>
      <c r="AA33" s="175">
        <f t="shared" si="6"/>
        <v>0</v>
      </c>
      <c r="AB33" s="112">
        <f t="array" ref="AB33">MIN(IF(ALIMENTO_NUEVO!$AB$6:$AB$306=LABORATORIO!Y33,ALIMENTO_NUEVO!$AA$6:$AA$306))</f>
        <v>0</v>
      </c>
      <c r="AC33" s="112">
        <f t="array" ref="AC33">MAX(IF(ALIMENTO_NUEVO!$AB$6:$AB$306=LABORATORIO!Y33,ALIMENTO_NUEVO!$AA$6:$AA$306))</f>
        <v>0</v>
      </c>
      <c r="AD33" s="112"/>
      <c r="AE33" s="73"/>
      <c r="AF33" s="73"/>
      <c r="AG33" s="112">
        <f t="shared" si="7"/>
        <v>0</v>
      </c>
      <c r="AH33" s="112">
        <f>SUMIF(ALIMENTO_NUEVO!$AB$6:$AB$306,LABORATORIO!Y33,ALIMENTO_NUEVO!$AD$6:$AD$306)</f>
        <v>0</v>
      </c>
      <c r="AI33" s="176">
        <f t="shared" si="8"/>
        <v>0</v>
      </c>
      <c r="AK33" s="43">
        <v>21121101</v>
      </c>
      <c r="AL33" s="35" t="s">
        <v>58</v>
      </c>
      <c r="AM33" s="175">
        <f t="shared" si="9"/>
        <v>0</v>
      </c>
      <c r="AN33" s="112">
        <f t="array" ref="AN33">MIN(IF(ALIMENTO_NUEVO!$AN$6:$AN$306=LABORATORIO!AK33,ALIMENTO_NUEVO!$AM$6:$AM$306))</f>
        <v>0</v>
      </c>
      <c r="AO33" s="112">
        <f t="array" ref="AO33">MAX(IF(ALIMENTO_NUEVO!$AN$6:$AN$306=LABORATORIO!AK33,ALIMENTO_NUEVO!$AM$6:$AM$306))</f>
        <v>0</v>
      </c>
      <c r="AP33" s="112"/>
      <c r="AQ33" s="73"/>
      <c r="AR33" s="73"/>
      <c r="AS33" s="112">
        <f t="shared" si="10"/>
        <v>0</v>
      </c>
      <c r="AT33" s="112">
        <f>SUMIF(ALIMENTO_NUEVO!$AN$6:$AN$306,LABORATORIO!AK33,ALIMENTO_NUEVO!$AP$6:$AP$306)</f>
        <v>0</v>
      </c>
      <c r="AU33" s="176">
        <f t="shared" si="11"/>
        <v>0</v>
      </c>
      <c r="AW33" s="43">
        <v>21121101</v>
      </c>
      <c r="AX33" s="35" t="s">
        <v>58</v>
      </c>
      <c r="AY33" s="175">
        <f t="shared" si="12"/>
        <v>0</v>
      </c>
      <c r="AZ33" s="112">
        <f t="array" ref="AZ33">MIN(IF(ALIMENTO_NUEVO!$AZ$6:$AZ$306=LABORATORIO!AW33,ALIMENTO_NUEVO!$AY$6:$AY$306))</f>
        <v>0</v>
      </c>
      <c r="BA33" s="112">
        <f t="array" ref="BA33">MAX(IF(ALIMENTO_NUEVO!$AZ$6:$AZ$306=LABORATORIO!AW33,ALIMENTO_NUEVO!$AY$6:$AY$306))</f>
        <v>0</v>
      </c>
      <c r="BB33" s="112"/>
      <c r="BC33" s="73"/>
      <c r="BD33" s="73"/>
      <c r="BE33" s="112">
        <f t="shared" si="13"/>
        <v>0</v>
      </c>
      <c r="BF33" s="112">
        <f ca="1">SUMIF(ALIMENTO_NUEVO!$AZ$6:$AZ$307,LABORATORIO!AW33,ALIMENTO_NUEVO!$BB$6:$BB$306)</f>
        <v>0</v>
      </c>
      <c r="BG33" s="176">
        <f t="shared" ca="1" si="14"/>
        <v>0</v>
      </c>
      <c r="BI33" s="43">
        <v>21121101</v>
      </c>
      <c r="BJ33" s="35" t="s">
        <v>58</v>
      </c>
      <c r="BK33" s="175">
        <f t="shared" si="15"/>
        <v>0</v>
      </c>
      <c r="BL33" s="112">
        <f t="array" ref="BL33">MIN(IF(ALIMENTO_NUEVO!$BL$6:$BL$306=LABORATORIO!BI33,ALIMENTO_NUEVO!$BK$6:$BK$306))</f>
        <v>0</v>
      </c>
      <c r="BM33" s="112">
        <f t="array" ref="BM33">MAX(IF(ALIMENTO_NUEVO!$BL$6:$BL$306=LABORATORIO!BI33,ALIMENTO_NUEVO!$BK$6:$BK$306))</f>
        <v>0</v>
      </c>
      <c r="BN33" s="112"/>
      <c r="BO33" s="73"/>
      <c r="BP33" s="73"/>
      <c r="BQ33" s="112">
        <f t="shared" si="16"/>
        <v>0</v>
      </c>
      <c r="BR33" s="112">
        <f>SUMIF(ALIMENTO_NUEVO!$BL$6:$BL$306,LABORATORIO!BI33,ALIMENTO_NUEVO!$BN$6:$BN$306)</f>
        <v>0</v>
      </c>
      <c r="BS33" s="176">
        <f t="shared" si="17"/>
        <v>0</v>
      </c>
    </row>
    <row r="34" spans="1:71" x14ac:dyDescent="0.25">
      <c r="A34" s="43">
        <v>21121102</v>
      </c>
      <c r="B34" s="35" t="s">
        <v>59</v>
      </c>
      <c r="C34" s="175">
        <f t="shared" si="0"/>
        <v>0</v>
      </c>
      <c r="D34" s="112">
        <f t="array" ref="D34">MIN(IF(ALIMENTO_NUEVO!$D$6:$D$306=LABORATORIO!A34,ALIMENTO_NUEVO!$C$6:$C$306))</f>
        <v>0</v>
      </c>
      <c r="E34" s="112">
        <f t="array" ref="E34">MAX(IF(ALIMENTO_NUEVO!$D$6:$D$306=LABORATORIO!A34,ALIMENTO_NUEVO!$C$6:$C$306))</f>
        <v>0</v>
      </c>
      <c r="F34" s="112"/>
      <c r="G34" s="73"/>
      <c r="H34" s="73"/>
      <c r="I34" s="112">
        <f t="shared" si="1"/>
        <v>0</v>
      </c>
      <c r="J34" s="112">
        <f>SUMIF(ALIMENTO_NUEVO!$D$6:$D$306,A34,ALIMENTO_NUEVO!$F$6:$F$306)</f>
        <v>0</v>
      </c>
      <c r="K34" s="176">
        <f t="shared" si="2"/>
        <v>0</v>
      </c>
      <c r="M34" s="43">
        <v>21121102</v>
      </c>
      <c r="N34" s="35" t="s">
        <v>59</v>
      </c>
      <c r="O34" s="175">
        <f t="shared" si="3"/>
        <v>0</v>
      </c>
      <c r="P34" s="112">
        <f t="array" ref="P34">MIN(IF(ALIMENTO_NUEVO!$P$6:$P$306=LABORATORIO!M34,ALIMENTO_NUEVO!$O$6:$O$306))</f>
        <v>0</v>
      </c>
      <c r="Q34" s="112">
        <f t="array" ref="Q34">MAX(IF(ALIMENTO_NUEVO!$P$6:$P$306=LABORATORIO!M34,ALIMENTO_NUEVO!$O$6:$O$306))</f>
        <v>0</v>
      </c>
      <c r="R34" s="112"/>
      <c r="S34" s="73"/>
      <c r="T34" s="73"/>
      <c r="U34" s="112">
        <f t="shared" si="4"/>
        <v>0</v>
      </c>
      <c r="V34" s="112">
        <f ca="1">SUMIF(ALIMENTO_NUEVO!$P$6:$P$306,LABORATORIO!M34,ALIMENTO_NUEVO!$R37:$R333)</f>
        <v>0</v>
      </c>
      <c r="W34" s="176">
        <f t="shared" ca="1" si="5"/>
        <v>0</v>
      </c>
      <c r="Y34" s="43">
        <v>21121102</v>
      </c>
      <c r="Z34" s="35" t="s">
        <v>59</v>
      </c>
      <c r="AA34" s="175">
        <f t="shared" si="6"/>
        <v>0</v>
      </c>
      <c r="AB34" s="112">
        <f t="array" ref="AB34">MIN(IF(ALIMENTO_NUEVO!$AB$6:$AB$306=LABORATORIO!Y34,ALIMENTO_NUEVO!$AA$6:$AA$306))</f>
        <v>0</v>
      </c>
      <c r="AC34" s="112">
        <f t="array" ref="AC34">MAX(IF(ALIMENTO_NUEVO!$AB$6:$AB$306=LABORATORIO!Y34,ALIMENTO_NUEVO!$AA$6:$AA$306))</f>
        <v>0</v>
      </c>
      <c r="AD34" s="112"/>
      <c r="AE34" s="73"/>
      <c r="AF34" s="73"/>
      <c r="AG34" s="112">
        <f t="shared" si="7"/>
        <v>0</v>
      </c>
      <c r="AH34" s="112">
        <f>SUMIF(ALIMENTO_NUEVO!$AB$6:$AB$306,LABORATORIO!Y34,ALIMENTO_NUEVO!$AD$6:$AD$306)</f>
        <v>0</v>
      </c>
      <c r="AI34" s="176">
        <f t="shared" si="8"/>
        <v>0</v>
      </c>
      <c r="AK34" s="43">
        <v>21121102</v>
      </c>
      <c r="AL34" s="35" t="s">
        <v>59</v>
      </c>
      <c r="AM34" s="175">
        <f t="shared" si="9"/>
        <v>0</v>
      </c>
      <c r="AN34" s="112">
        <f t="array" ref="AN34">MIN(IF(ALIMENTO_NUEVO!$AN$6:$AN$306=LABORATORIO!AK34,ALIMENTO_NUEVO!$AM$6:$AM$306))</f>
        <v>0</v>
      </c>
      <c r="AO34" s="112">
        <f t="array" ref="AO34">MAX(IF(ALIMENTO_NUEVO!$AN$6:$AN$306=LABORATORIO!AK34,ALIMENTO_NUEVO!$AM$6:$AM$306))</f>
        <v>0</v>
      </c>
      <c r="AP34" s="112"/>
      <c r="AQ34" s="73"/>
      <c r="AR34" s="73"/>
      <c r="AS34" s="112">
        <f t="shared" si="10"/>
        <v>0</v>
      </c>
      <c r="AT34" s="112">
        <f>SUMIF(ALIMENTO_NUEVO!$AN$6:$AN$306,LABORATORIO!AK34,ALIMENTO_NUEVO!$AP$6:$AP$306)</f>
        <v>0</v>
      </c>
      <c r="AU34" s="176">
        <f t="shared" si="11"/>
        <v>0</v>
      </c>
      <c r="AW34" s="43">
        <v>21121102</v>
      </c>
      <c r="AX34" s="35" t="s">
        <v>59</v>
      </c>
      <c r="AY34" s="175">
        <f t="shared" si="12"/>
        <v>0</v>
      </c>
      <c r="AZ34" s="112">
        <f t="array" ref="AZ34">MIN(IF(ALIMENTO_NUEVO!$AZ$6:$AZ$306=LABORATORIO!AW34,ALIMENTO_NUEVO!$AY$6:$AY$306))</f>
        <v>0</v>
      </c>
      <c r="BA34" s="112">
        <f t="array" ref="BA34">MAX(IF(ALIMENTO_NUEVO!$AZ$6:$AZ$306=LABORATORIO!AW34,ALIMENTO_NUEVO!$AY$6:$AY$306))</f>
        <v>0</v>
      </c>
      <c r="BB34" s="112"/>
      <c r="BC34" s="73"/>
      <c r="BD34" s="73"/>
      <c r="BE34" s="112">
        <f t="shared" si="13"/>
        <v>0</v>
      </c>
      <c r="BF34" s="112">
        <f ca="1">SUMIF(ALIMENTO_NUEVO!$AZ$6:$AZ$307,LABORATORIO!AW34,ALIMENTO_NUEVO!$BB$6:$BB$306)</f>
        <v>0</v>
      </c>
      <c r="BG34" s="176">
        <f t="shared" ca="1" si="14"/>
        <v>0</v>
      </c>
      <c r="BI34" s="43">
        <v>21121102</v>
      </c>
      <c r="BJ34" s="35" t="s">
        <v>59</v>
      </c>
      <c r="BK34" s="175">
        <f t="shared" si="15"/>
        <v>0</v>
      </c>
      <c r="BL34" s="112">
        <f t="array" ref="BL34">MIN(IF(ALIMENTO_NUEVO!$BL$6:$BL$306=LABORATORIO!BI34,ALIMENTO_NUEVO!$BK$6:$BK$306))</f>
        <v>0</v>
      </c>
      <c r="BM34" s="112">
        <f t="array" ref="BM34">MAX(IF(ALIMENTO_NUEVO!$BL$6:$BL$306=LABORATORIO!BI34,ALIMENTO_NUEVO!$BK$6:$BK$306))</f>
        <v>0</v>
      </c>
      <c r="BN34" s="112"/>
      <c r="BO34" s="73"/>
      <c r="BP34" s="73"/>
      <c r="BQ34" s="112">
        <f t="shared" si="16"/>
        <v>0</v>
      </c>
      <c r="BR34" s="112">
        <f>SUMIF(ALIMENTO_NUEVO!$BL$6:$BL$306,LABORATORIO!BI34,ALIMENTO_NUEVO!$BN$6:$BN$306)</f>
        <v>0</v>
      </c>
      <c r="BS34" s="176">
        <f t="shared" si="17"/>
        <v>0</v>
      </c>
    </row>
    <row r="35" spans="1:71" x14ac:dyDescent="0.25">
      <c r="A35" s="43">
        <v>21121103</v>
      </c>
      <c r="B35" s="35" t="s">
        <v>60</v>
      </c>
      <c r="C35" s="175">
        <f t="shared" si="0"/>
        <v>0</v>
      </c>
      <c r="D35" s="112">
        <f t="array" ref="D35">MIN(IF(ALIMENTO_NUEVO!$D$6:$D$306=LABORATORIO!A35,ALIMENTO_NUEVO!$C$6:$C$306))</f>
        <v>0</v>
      </c>
      <c r="E35" s="112">
        <f t="array" ref="E35">MAX(IF(ALIMENTO_NUEVO!$D$6:$D$306=LABORATORIO!A35,ALIMENTO_NUEVO!$C$6:$C$306))</f>
        <v>0</v>
      </c>
      <c r="F35" s="112"/>
      <c r="G35" s="73"/>
      <c r="H35" s="73"/>
      <c r="I35" s="112">
        <f t="shared" si="1"/>
        <v>0</v>
      </c>
      <c r="J35" s="112">
        <f>SUMIF(ALIMENTO_NUEVO!$D$6:$D$306,A35,ALIMENTO_NUEVO!$F$6:$F$306)</f>
        <v>0</v>
      </c>
      <c r="K35" s="176">
        <f t="shared" si="2"/>
        <v>0</v>
      </c>
      <c r="M35" s="43">
        <v>21121103</v>
      </c>
      <c r="N35" s="35" t="s">
        <v>60</v>
      </c>
      <c r="O35" s="175">
        <f t="shared" si="3"/>
        <v>0</v>
      </c>
      <c r="P35" s="112">
        <f t="array" ref="P35">MIN(IF(ALIMENTO_NUEVO!$P$6:$P$306=LABORATORIO!M35,ALIMENTO_NUEVO!$O$6:$O$306))</f>
        <v>0</v>
      </c>
      <c r="Q35" s="112">
        <f t="array" ref="Q35">MAX(IF(ALIMENTO_NUEVO!$P$6:$P$306=LABORATORIO!M35,ALIMENTO_NUEVO!$O$6:$O$306))</f>
        <v>0</v>
      </c>
      <c r="R35" s="112"/>
      <c r="S35" s="73"/>
      <c r="T35" s="73"/>
      <c r="U35" s="112">
        <f t="shared" si="4"/>
        <v>0</v>
      </c>
      <c r="V35" s="112">
        <f ca="1">SUMIF(ALIMENTO_NUEVO!$P$6:$P$306,LABORATORIO!M35,ALIMENTO_NUEVO!$R38:$R334)</f>
        <v>0</v>
      </c>
      <c r="W35" s="176">
        <f t="shared" ca="1" si="5"/>
        <v>0</v>
      </c>
      <c r="Y35" s="43">
        <v>21121103</v>
      </c>
      <c r="Z35" s="35" t="s">
        <v>60</v>
      </c>
      <c r="AA35" s="175">
        <f t="shared" si="6"/>
        <v>0</v>
      </c>
      <c r="AB35" s="112">
        <f t="array" ref="AB35">MIN(IF(ALIMENTO_NUEVO!$AB$6:$AB$306=LABORATORIO!Y35,ALIMENTO_NUEVO!$AA$6:$AA$306))</f>
        <v>0</v>
      </c>
      <c r="AC35" s="112">
        <f t="array" ref="AC35">MAX(IF(ALIMENTO_NUEVO!$AB$6:$AB$306=LABORATORIO!Y35,ALIMENTO_NUEVO!$AA$6:$AA$306))</f>
        <v>0</v>
      </c>
      <c r="AD35" s="112"/>
      <c r="AE35" s="73"/>
      <c r="AF35" s="73"/>
      <c r="AG35" s="112">
        <f t="shared" si="7"/>
        <v>0</v>
      </c>
      <c r="AH35" s="112">
        <f>SUMIF(ALIMENTO_NUEVO!$AB$6:$AB$306,LABORATORIO!Y35,ALIMENTO_NUEVO!$AD$6:$AD$306)</f>
        <v>0</v>
      </c>
      <c r="AI35" s="176">
        <f t="shared" si="8"/>
        <v>0</v>
      </c>
      <c r="AK35" s="43">
        <v>21121103</v>
      </c>
      <c r="AL35" s="35" t="s">
        <v>60</v>
      </c>
      <c r="AM35" s="175">
        <f t="shared" si="9"/>
        <v>0</v>
      </c>
      <c r="AN35" s="112">
        <f t="array" ref="AN35">MIN(IF(ALIMENTO_NUEVO!$AN$6:$AN$306=LABORATORIO!AK35,ALIMENTO_NUEVO!$AM$6:$AM$306))</f>
        <v>0</v>
      </c>
      <c r="AO35" s="112">
        <f t="array" ref="AO35">MAX(IF(ALIMENTO_NUEVO!$AN$6:$AN$306=LABORATORIO!AK35,ALIMENTO_NUEVO!$AM$6:$AM$306))</f>
        <v>0</v>
      </c>
      <c r="AP35" s="112"/>
      <c r="AQ35" s="73"/>
      <c r="AR35" s="73"/>
      <c r="AS35" s="112">
        <f t="shared" si="10"/>
        <v>0</v>
      </c>
      <c r="AT35" s="112">
        <f>SUMIF(ALIMENTO_NUEVO!$AN$6:$AN$306,LABORATORIO!AK35,ALIMENTO_NUEVO!$AP$6:$AP$306)</f>
        <v>0</v>
      </c>
      <c r="AU35" s="176">
        <f t="shared" si="11"/>
        <v>0</v>
      </c>
      <c r="AW35" s="43">
        <v>21121103</v>
      </c>
      <c r="AX35" s="35" t="s">
        <v>60</v>
      </c>
      <c r="AY35" s="175">
        <f t="shared" si="12"/>
        <v>0</v>
      </c>
      <c r="AZ35" s="112">
        <f t="array" ref="AZ35">MIN(IF(ALIMENTO_NUEVO!$AZ$6:$AZ$306=LABORATORIO!AW35,ALIMENTO_NUEVO!$AY$6:$AY$306))</f>
        <v>0</v>
      </c>
      <c r="BA35" s="112">
        <f t="array" ref="BA35">MAX(IF(ALIMENTO_NUEVO!$AZ$6:$AZ$306=LABORATORIO!AW35,ALIMENTO_NUEVO!$AY$6:$AY$306))</f>
        <v>0</v>
      </c>
      <c r="BB35" s="112"/>
      <c r="BC35" s="73"/>
      <c r="BD35" s="73"/>
      <c r="BE35" s="112">
        <f t="shared" si="13"/>
        <v>0</v>
      </c>
      <c r="BF35" s="112">
        <f ca="1">SUMIF(ALIMENTO_NUEVO!$AZ$6:$AZ$307,LABORATORIO!AW35,ALIMENTO_NUEVO!$BB$6:$BB$306)</f>
        <v>0</v>
      </c>
      <c r="BG35" s="176">
        <f t="shared" ca="1" si="14"/>
        <v>0</v>
      </c>
      <c r="BI35" s="43">
        <v>21121103</v>
      </c>
      <c r="BJ35" s="35" t="s">
        <v>60</v>
      </c>
      <c r="BK35" s="175">
        <f t="shared" si="15"/>
        <v>0</v>
      </c>
      <c r="BL35" s="112">
        <f t="array" ref="BL35">MIN(IF(ALIMENTO_NUEVO!$BL$6:$BL$306=LABORATORIO!BI35,ALIMENTO_NUEVO!$BK$6:$BK$306))</f>
        <v>0</v>
      </c>
      <c r="BM35" s="112">
        <f t="array" ref="BM35">MAX(IF(ALIMENTO_NUEVO!$BL$6:$BL$306=LABORATORIO!BI35,ALIMENTO_NUEVO!$BK$6:$BK$306))</f>
        <v>0</v>
      </c>
      <c r="BN35" s="112"/>
      <c r="BO35" s="73"/>
      <c r="BP35" s="73"/>
      <c r="BQ35" s="112">
        <f t="shared" si="16"/>
        <v>0</v>
      </c>
      <c r="BR35" s="112">
        <f>SUMIF(ALIMENTO_NUEVO!$BL$6:$BL$306,LABORATORIO!BI35,ALIMENTO_NUEVO!$BN$6:$BN$306)</f>
        <v>0</v>
      </c>
      <c r="BS35" s="176">
        <f t="shared" si="17"/>
        <v>0</v>
      </c>
    </row>
    <row r="36" spans="1:71" x14ac:dyDescent="0.25">
      <c r="A36" s="43">
        <v>21121104</v>
      </c>
      <c r="B36" s="35" t="s">
        <v>61</v>
      </c>
      <c r="C36" s="175">
        <f t="shared" si="0"/>
        <v>0</v>
      </c>
      <c r="D36" s="112">
        <f t="array" ref="D36">MIN(IF(ALIMENTO_NUEVO!$D$6:$D$306=LABORATORIO!A36,ALIMENTO_NUEVO!$C$6:$C$306))</f>
        <v>0</v>
      </c>
      <c r="E36" s="112">
        <f t="array" ref="E36">MAX(IF(ALIMENTO_NUEVO!$D$6:$D$306=LABORATORIO!A36,ALIMENTO_NUEVO!$C$6:$C$306))</f>
        <v>0</v>
      </c>
      <c r="F36" s="112"/>
      <c r="G36" s="73"/>
      <c r="H36" s="73"/>
      <c r="I36" s="112">
        <f t="shared" si="1"/>
        <v>0</v>
      </c>
      <c r="J36" s="112">
        <f>SUMIF(ALIMENTO_NUEVO!$D$6:$D$306,A36,ALIMENTO_NUEVO!$F$6:$F$306)</f>
        <v>0</v>
      </c>
      <c r="K36" s="176">
        <f t="shared" si="2"/>
        <v>0</v>
      </c>
      <c r="M36" s="43">
        <v>21121104</v>
      </c>
      <c r="N36" s="35" t="s">
        <v>61</v>
      </c>
      <c r="O36" s="175">
        <f t="shared" si="3"/>
        <v>0</v>
      </c>
      <c r="P36" s="112">
        <f t="array" ref="P36">MIN(IF(ALIMENTO_NUEVO!$P$6:$P$306=LABORATORIO!M36,ALIMENTO_NUEVO!$O$6:$O$306))</f>
        <v>0</v>
      </c>
      <c r="Q36" s="112">
        <f t="array" ref="Q36">MAX(IF(ALIMENTO_NUEVO!$P$6:$P$306=LABORATORIO!M36,ALIMENTO_NUEVO!$O$6:$O$306))</f>
        <v>0</v>
      </c>
      <c r="R36" s="112"/>
      <c r="S36" s="73"/>
      <c r="T36" s="73"/>
      <c r="U36" s="112">
        <f t="shared" si="4"/>
        <v>0</v>
      </c>
      <c r="V36" s="112">
        <f ca="1">SUMIF(ALIMENTO_NUEVO!$P$6:$P$306,LABORATORIO!M36,ALIMENTO_NUEVO!$R39:$R335)</f>
        <v>0</v>
      </c>
      <c r="W36" s="176">
        <f t="shared" ca="1" si="5"/>
        <v>0</v>
      </c>
      <c r="Y36" s="43">
        <v>21121104</v>
      </c>
      <c r="Z36" s="35" t="s">
        <v>61</v>
      </c>
      <c r="AA36" s="175">
        <f t="shared" si="6"/>
        <v>0</v>
      </c>
      <c r="AB36" s="112">
        <f t="array" ref="AB36">MIN(IF(ALIMENTO_NUEVO!$AB$6:$AB$306=LABORATORIO!Y36,ALIMENTO_NUEVO!$AA$6:$AA$306))</f>
        <v>0</v>
      </c>
      <c r="AC36" s="112">
        <f t="array" ref="AC36">MAX(IF(ALIMENTO_NUEVO!$AB$6:$AB$306=LABORATORIO!Y36,ALIMENTO_NUEVO!$AA$6:$AA$306))</f>
        <v>0</v>
      </c>
      <c r="AD36" s="112"/>
      <c r="AE36" s="73"/>
      <c r="AF36" s="73"/>
      <c r="AG36" s="112">
        <f t="shared" si="7"/>
        <v>0</v>
      </c>
      <c r="AH36" s="112">
        <f>SUMIF(ALIMENTO_NUEVO!$AB$6:$AB$306,LABORATORIO!Y36,ALIMENTO_NUEVO!$AD$6:$AD$306)</f>
        <v>0</v>
      </c>
      <c r="AI36" s="176">
        <f t="shared" si="8"/>
        <v>0</v>
      </c>
      <c r="AK36" s="43">
        <v>21121104</v>
      </c>
      <c r="AL36" s="35" t="s">
        <v>61</v>
      </c>
      <c r="AM36" s="175">
        <f t="shared" si="9"/>
        <v>0</v>
      </c>
      <c r="AN36" s="112">
        <f t="array" ref="AN36">MIN(IF(ALIMENTO_NUEVO!$AN$6:$AN$306=LABORATORIO!AK36,ALIMENTO_NUEVO!$AM$6:$AM$306))</f>
        <v>0</v>
      </c>
      <c r="AO36" s="112">
        <f t="array" ref="AO36">MAX(IF(ALIMENTO_NUEVO!$AN$6:$AN$306=LABORATORIO!AK36,ALIMENTO_NUEVO!$AM$6:$AM$306))</f>
        <v>0</v>
      </c>
      <c r="AP36" s="112"/>
      <c r="AQ36" s="73"/>
      <c r="AR36" s="73"/>
      <c r="AS36" s="112">
        <f t="shared" si="10"/>
        <v>0</v>
      </c>
      <c r="AT36" s="112">
        <f>SUMIF(ALIMENTO_NUEVO!$AN$6:$AN$306,LABORATORIO!AK36,ALIMENTO_NUEVO!$AP$6:$AP$306)</f>
        <v>0</v>
      </c>
      <c r="AU36" s="176">
        <f t="shared" si="11"/>
        <v>0</v>
      </c>
      <c r="AW36" s="43">
        <v>21121104</v>
      </c>
      <c r="AX36" s="35" t="s">
        <v>61</v>
      </c>
      <c r="AY36" s="175">
        <f t="shared" si="12"/>
        <v>0</v>
      </c>
      <c r="AZ36" s="112">
        <f t="array" ref="AZ36">MIN(IF(ALIMENTO_NUEVO!$AZ$6:$AZ$306=LABORATORIO!AW36,ALIMENTO_NUEVO!$AY$6:$AY$306))</f>
        <v>0</v>
      </c>
      <c r="BA36" s="112">
        <f t="array" ref="BA36">MAX(IF(ALIMENTO_NUEVO!$AZ$6:$AZ$306=LABORATORIO!AW36,ALIMENTO_NUEVO!$AY$6:$AY$306))</f>
        <v>0</v>
      </c>
      <c r="BB36" s="112"/>
      <c r="BC36" s="73"/>
      <c r="BD36" s="73"/>
      <c r="BE36" s="112">
        <f t="shared" si="13"/>
        <v>0</v>
      </c>
      <c r="BF36" s="112">
        <f ca="1">SUMIF(ALIMENTO_NUEVO!$AZ$6:$AZ$307,LABORATORIO!AW36,ALIMENTO_NUEVO!$BB$6:$BB$306)</f>
        <v>0</v>
      </c>
      <c r="BG36" s="176">
        <f t="shared" ca="1" si="14"/>
        <v>0</v>
      </c>
      <c r="BI36" s="43">
        <v>21121104</v>
      </c>
      <c r="BJ36" s="35" t="s">
        <v>61</v>
      </c>
      <c r="BK36" s="175">
        <f t="shared" si="15"/>
        <v>0</v>
      </c>
      <c r="BL36" s="112">
        <f t="array" ref="BL36">MIN(IF(ALIMENTO_NUEVO!$BL$6:$BL$306=LABORATORIO!BI36,ALIMENTO_NUEVO!$BK$6:$BK$306))</f>
        <v>0</v>
      </c>
      <c r="BM36" s="112">
        <f t="array" ref="BM36">MAX(IF(ALIMENTO_NUEVO!$BL$6:$BL$306=LABORATORIO!BI36,ALIMENTO_NUEVO!$BK$6:$BK$306))</f>
        <v>0</v>
      </c>
      <c r="BN36" s="112"/>
      <c r="BO36" s="73"/>
      <c r="BP36" s="73"/>
      <c r="BQ36" s="112">
        <f t="shared" si="16"/>
        <v>0</v>
      </c>
      <c r="BR36" s="112">
        <f>SUMIF(ALIMENTO_NUEVO!$BL$6:$BL$306,LABORATORIO!BI36,ALIMENTO_NUEVO!$BN$6:$BN$306)</f>
        <v>0</v>
      </c>
      <c r="BS36" s="176">
        <f t="shared" si="17"/>
        <v>0</v>
      </c>
    </row>
    <row r="37" spans="1:71" x14ac:dyDescent="0.25">
      <c r="A37" s="43">
        <v>21121105</v>
      </c>
      <c r="B37" s="35" t="s">
        <v>62</v>
      </c>
      <c r="C37" s="175">
        <f t="shared" si="0"/>
        <v>0</v>
      </c>
      <c r="D37" s="112">
        <f t="array" ref="D37">MIN(IF(ALIMENTO_NUEVO!$D$6:$D$306=LABORATORIO!A37,ALIMENTO_NUEVO!$C$6:$C$306))</f>
        <v>0</v>
      </c>
      <c r="E37" s="112">
        <f t="array" ref="E37">MAX(IF(ALIMENTO_NUEVO!$D$6:$D$306=LABORATORIO!A37,ALIMENTO_NUEVO!$C$6:$C$306))</f>
        <v>0</v>
      </c>
      <c r="F37" s="112"/>
      <c r="G37" s="73"/>
      <c r="H37" s="73"/>
      <c r="I37" s="112">
        <f t="shared" si="1"/>
        <v>0</v>
      </c>
      <c r="J37" s="112">
        <f>SUMIF(ALIMENTO_NUEVO!$D$6:$D$306,A37,ALIMENTO_NUEVO!$F$6:$F$306)</f>
        <v>0</v>
      </c>
      <c r="K37" s="176">
        <f t="shared" si="2"/>
        <v>0</v>
      </c>
      <c r="M37" s="43">
        <v>21121105</v>
      </c>
      <c r="N37" s="35" t="s">
        <v>62</v>
      </c>
      <c r="O37" s="175">
        <f t="shared" si="3"/>
        <v>0</v>
      </c>
      <c r="P37" s="112">
        <f t="array" ref="P37">MIN(IF(ALIMENTO_NUEVO!$P$6:$P$306=LABORATORIO!M37,ALIMENTO_NUEVO!$O$6:$O$306))</f>
        <v>0</v>
      </c>
      <c r="Q37" s="112">
        <f t="array" ref="Q37">MAX(IF(ALIMENTO_NUEVO!$P$6:$P$306=LABORATORIO!M37,ALIMENTO_NUEVO!$O$6:$O$306))</f>
        <v>0</v>
      </c>
      <c r="R37" s="112"/>
      <c r="S37" s="73"/>
      <c r="T37" s="73"/>
      <c r="U37" s="112">
        <f t="shared" si="4"/>
        <v>0</v>
      </c>
      <c r="V37" s="112">
        <f ca="1">SUMIF(ALIMENTO_NUEVO!$P$6:$P$306,LABORATORIO!M37,ALIMENTO_NUEVO!$R40:$R336)</f>
        <v>0</v>
      </c>
      <c r="W37" s="176">
        <f t="shared" ca="1" si="5"/>
        <v>0</v>
      </c>
      <c r="Y37" s="43">
        <v>21121105</v>
      </c>
      <c r="Z37" s="35" t="s">
        <v>62</v>
      </c>
      <c r="AA37" s="175">
        <f t="shared" si="6"/>
        <v>0</v>
      </c>
      <c r="AB37" s="112">
        <f t="array" ref="AB37">MIN(IF(ALIMENTO_NUEVO!$AB$6:$AB$306=LABORATORIO!Y37,ALIMENTO_NUEVO!$AA$6:$AA$306))</f>
        <v>0</v>
      </c>
      <c r="AC37" s="112">
        <f t="array" ref="AC37">MAX(IF(ALIMENTO_NUEVO!$AB$6:$AB$306=LABORATORIO!Y37,ALIMENTO_NUEVO!$AA$6:$AA$306))</f>
        <v>0</v>
      </c>
      <c r="AD37" s="112"/>
      <c r="AE37" s="73"/>
      <c r="AF37" s="73"/>
      <c r="AG37" s="112">
        <f t="shared" si="7"/>
        <v>0</v>
      </c>
      <c r="AH37" s="112">
        <f>SUMIF(ALIMENTO_NUEVO!$AB$6:$AB$306,LABORATORIO!Y37,ALIMENTO_NUEVO!$AD$6:$AD$306)</f>
        <v>0</v>
      </c>
      <c r="AI37" s="176">
        <f t="shared" si="8"/>
        <v>0</v>
      </c>
      <c r="AK37" s="43">
        <v>21121105</v>
      </c>
      <c r="AL37" s="35" t="s">
        <v>62</v>
      </c>
      <c r="AM37" s="175">
        <f t="shared" si="9"/>
        <v>0</v>
      </c>
      <c r="AN37" s="112">
        <f t="array" ref="AN37">MIN(IF(ALIMENTO_NUEVO!$AN$6:$AN$306=LABORATORIO!AK37,ALIMENTO_NUEVO!$AM$6:$AM$306))</f>
        <v>0</v>
      </c>
      <c r="AO37" s="112">
        <f t="array" ref="AO37">MAX(IF(ALIMENTO_NUEVO!$AN$6:$AN$306=LABORATORIO!AK37,ALIMENTO_NUEVO!$AM$6:$AM$306))</f>
        <v>0</v>
      </c>
      <c r="AP37" s="112"/>
      <c r="AQ37" s="73"/>
      <c r="AR37" s="73"/>
      <c r="AS37" s="112">
        <f t="shared" si="10"/>
        <v>0</v>
      </c>
      <c r="AT37" s="112">
        <f>SUMIF(ALIMENTO_NUEVO!$AN$6:$AN$306,LABORATORIO!AK37,ALIMENTO_NUEVO!$AP$6:$AP$306)</f>
        <v>0</v>
      </c>
      <c r="AU37" s="176">
        <f t="shared" si="11"/>
        <v>0</v>
      </c>
      <c r="AW37" s="43">
        <v>21121105</v>
      </c>
      <c r="AX37" s="35" t="s">
        <v>62</v>
      </c>
      <c r="AY37" s="175">
        <f t="shared" si="12"/>
        <v>0</v>
      </c>
      <c r="AZ37" s="112">
        <f t="array" ref="AZ37">MIN(IF(ALIMENTO_NUEVO!$AZ$6:$AZ$306=LABORATORIO!AW37,ALIMENTO_NUEVO!$AY$6:$AY$306))</f>
        <v>0</v>
      </c>
      <c r="BA37" s="112">
        <f t="array" ref="BA37">MAX(IF(ALIMENTO_NUEVO!$AZ$6:$AZ$306=LABORATORIO!AW37,ALIMENTO_NUEVO!$AY$6:$AY$306))</f>
        <v>0</v>
      </c>
      <c r="BB37" s="112"/>
      <c r="BC37" s="73"/>
      <c r="BD37" s="73"/>
      <c r="BE37" s="112">
        <f t="shared" si="13"/>
        <v>0</v>
      </c>
      <c r="BF37" s="112">
        <f ca="1">SUMIF(ALIMENTO_NUEVO!$AZ$6:$AZ$307,LABORATORIO!AW37,ALIMENTO_NUEVO!$BB$6:$BB$306)</f>
        <v>0</v>
      </c>
      <c r="BG37" s="176">
        <f t="shared" ca="1" si="14"/>
        <v>0</v>
      </c>
      <c r="BI37" s="43">
        <v>21121105</v>
      </c>
      <c r="BJ37" s="35" t="s">
        <v>62</v>
      </c>
      <c r="BK37" s="175">
        <f t="shared" si="15"/>
        <v>0</v>
      </c>
      <c r="BL37" s="112">
        <f t="array" ref="BL37">MIN(IF(ALIMENTO_NUEVO!$BL$6:$BL$306=LABORATORIO!BI37,ALIMENTO_NUEVO!$BK$6:$BK$306))</f>
        <v>0</v>
      </c>
      <c r="BM37" s="112">
        <f t="array" ref="BM37">MAX(IF(ALIMENTO_NUEVO!$BL$6:$BL$306=LABORATORIO!BI37,ALIMENTO_NUEVO!$BK$6:$BK$306))</f>
        <v>0</v>
      </c>
      <c r="BN37" s="112"/>
      <c r="BO37" s="73"/>
      <c r="BP37" s="73"/>
      <c r="BQ37" s="112">
        <f t="shared" si="16"/>
        <v>0</v>
      </c>
      <c r="BR37" s="112">
        <f>SUMIF(ALIMENTO_NUEVO!$BL$6:$BL$306,LABORATORIO!BI37,ALIMENTO_NUEVO!$BN$6:$BN$306)</f>
        <v>0</v>
      </c>
      <c r="BS37" s="176">
        <f t="shared" si="17"/>
        <v>0</v>
      </c>
    </row>
    <row r="38" spans="1:71" x14ac:dyDescent="0.25">
      <c r="A38" s="43">
        <v>21121204</v>
      </c>
      <c r="B38" s="35" t="s">
        <v>63</v>
      </c>
      <c r="C38" s="175">
        <f t="shared" si="0"/>
        <v>0</v>
      </c>
      <c r="D38" s="112">
        <f t="array" ref="D38">MIN(IF(ALIMENTO_NUEVO!$D$6:$D$306=LABORATORIO!A38,ALIMENTO_NUEVO!$C$6:$C$306))</f>
        <v>0</v>
      </c>
      <c r="E38" s="112">
        <f t="array" ref="E38">MAX(IF(ALIMENTO_NUEVO!$D$6:$D$306=LABORATORIO!A38,ALIMENTO_NUEVO!$C$6:$C$306))</f>
        <v>0</v>
      </c>
      <c r="F38" s="112"/>
      <c r="G38" s="73"/>
      <c r="H38" s="73"/>
      <c r="I38" s="112">
        <f t="shared" si="1"/>
        <v>0</v>
      </c>
      <c r="J38" s="112">
        <f>SUMIF(ALIMENTO_NUEVO!$D$6:$D$306,A38,ALIMENTO_NUEVO!$F$6:$F$306)</f>
        <v>0</v>
      </c>
      <c r="K38" s="176">
        <f t="shared" si="2"/>
        <v>0</v>
      </c>
      <c r="M38" s="43">
        <v>21121204</v>
      </c>
      <c r="N38" s="35" t="s">
        <v>63</v>
      </c>
      <c r="O38" s="175">
        <f t="shared" si="3"/>
        <v>0</v>
      </c>
      <c r="P38" s="112">
        <f t="array" ref="P38">MIN(IF(ALIMENTO_NUEVO!$P$6:$P$306=LABORATORIO!M38,ALIMENTO_NUEVO!$O$6:$O$306))</f>
        <v>0</v>
      </c>
      <c r="Q38" s="112">
        <f t="array" ref="Q38">MAX(IF(ALIMENTO_NUEVO!$P$6:$P$306=LABORATORIO!M38,ALIMENTO_NUEVO!$O$6:$O$306))</f>
        <v>0</v>
      </c>
      <c r="R38" s="112"/>
      <c r="S38" s="73"/>
      <c r="T38" s="73"/>
      <c r="U38" s="112">
        <f t="shared" si="4"/>
        <v>0</v>
      </c>
      <c r="V38" s="112">
        <f ca="1">SUMIF(ALIMENTO_NUEVO!$P$6:$P$306,LABORATORIO!M38,ALIMENTO_NUEVO!$R41:$R337)</f>
        <v>0</v>
      </c>
      <c r="W38" s="176">
        <f t="shared" ca="1" si="5"/>
        <v>0</v>
      </c>
      <c r="Y38" s="43">
        <v>21121204</v>
      </c>
      <c r="Z38" s="35" t="s">
        <v>63</v>
      </c>
      <c r="AA38" s="175">
        <f t="shared" si="6"/>
        <v>0</v>
      </c>
      <c r="AB38" s="112">
        <f t="array" ref="AB38">MIN(IF(ALIMENTO_NUEVO!$AB$6:$AB$306=LABORATORIO!Y38,ALIMENTO_NUEVO!$AA$6:$AA$306))</f>
        <v>0</v>
      </c>
      <c r="AC38" s="112">
        <f t="array" ref="AC38">MAX(IF(ALIMENTO_NUEVO!$AB$6:$AB$306=LABORATORIO!Y38,ALIMENTO_NUEVO!$AA$6:$AA$306))</f>
        <v>0</v>
      </c>
      <c r="AD38" s="112"/>
      <c r="AE38" s="73"/>
      <c r="AF38" s="73"/>
      <c r="AG38" s="112">
        <f t="shared" si="7"/>
        <v>0</v>
      </c>
      <c r="AH38" s="112">
        <f>SUMIF(ALIMENTO_NUEVO!$AB$6:$AB$306,LABORATORIO!Y38,ALIMENTO_NUEVO!$AD$6:$AD$306)</f>
        <v>0</v>
      </c>
      <c r="AI38" s="176">
        <f t="shared" si="8"/>
        <v>0</v>
      </c>
      <c r="AK38" s="43">
        <v>21121204</v>
      </c>
      <c r="AL38" s="35" t="s">
        <v>63</v>
      </c>
      <c r="AM38" s="175">
        <f t="shared" si="9"/>
        <v>0</v>
      </c>
      <c r="AN38" s="112">
        <f t="array" ref="AN38">MIN(IF(ALIMENTO_NUEVO!$AN$6:$AN$306=LABORATORIO!AK38,ALIMENTO_NUEVO!$AM$6:$AM$306))</f>
        <v>0</v>
      </c>
      <c r="AO38" s="112">
        <f t="array" ref="AO38">MAX(IF(ALIMENTO_NUEVO!$AN$6:$AN$306=LABORATORIO!AK38,ALIMENTO_NUEVO!$AM$6:$AM$306))</f>
        <v>0</v>
      </c>
      <c r="AP38" s="112"/>
      <c r="AQ38" s="73"/>
      <c r="AR38" s="73"/>
      <c r="AS38" s="112">
        <f t="shared" si="10"/>
        <v>0</v>
      </c>
      <c r="AT38" s="112">
        <f>SUMIF(ALIMENTO_NUEVO!$AN$6:$AN$306,LABORATORIO!AK38,ALIMENTO_NUEVO!$AP$6:$AP$306)</f>
        <v>0</v>
      </c>
      <c r="AU38" s="176">
        <f t="shared" si="11"/>
        <v>0</v>
      </c>
      <c r="AW38" s="43">
        <v>21121204</v>
      </c>
      <c r="AX38" s="35" t="s">
        <v>63</v>
      </c>
      <c r="AY38" s="175">
        <f t="shared" si="12"/>
        <v>0</v>
      </c>
      <c r="AZ38" s="112">
        <f t="array" ref="AZ38">MIN(IF(ALIMENTO_NUEVO!$AZ$6:$AZ$306=LABORATORIO!AW38,ALIMENTO_NUEVO!$AY$6:$AY$306))</f>
        <v>0</v>
      </c>
      <c r="BA38" s="112">
        <f t="array" ref="BA38">MAX(IF(ALIMENTO_NUEVO!$AZ$6:$AZ$306=LABORATORIO!AW38,ALIMENTO_NUEVO!$AY$6:$AY$306))</f>
        <v>0</v>
      </c>
      <c r="BB38" s="112"/>
      <c r="BC38" s="73"/>
      <c r="BD38" s="73"/>
      <c r="BE38" s="112">
        <f t="shared" si="13"/>
        <v>0</v>
      </c>
      <c r="BF38" s="112">
        <f ca="1">SUMIF(ALIMENTO_NUEVO!$AZ$6:$AZ$307,LABORATORIO!AW38,ALIMENTO_NUEVO!$BB$6:$BB$306)</f>
        <v>0</v>
      </c>
      <c r="BG38" s="176">
        <f t="shared" ca="1" si="14"/>
        <v>0</v>
      </c>
      <c r="BI38" s="43">
        <v>21121204</v>
      </c>
      <c r="BJ38" s="35" t="s">
        <v>63</v>
      </c>
      <c r="BK38" s="175">
        <f t="shared" si="15"/>
        <v>0</v>
      </c>
      <c r="BL38" s="112">
        <f t="array" ref="BL38">MIN(IF(ALIMENTO_NUEVO!$BL$6:$BL$306=LABORATORIO!BI38,ALIMENTO_NUEVO!$BK$6:$BK$306))</f>
        <v>0</v>
      </c>
      <c r="BM38" s="112">
        <f t="array" ref="BM38">MAX(IF(ALIMENTO_NUEVO!$BL$6:$BL$306=LABORATORIO!BI38,ALIMENTO_NUEVO!$BK$6:$BK$306))</f>
        <v>0</v>
      </c>
      <c r="BN38" s="112"/>
      <c r="BO38" s="73"/>
      <c r="BP38" s="73"/>
      <c r="BQ38" s="112">
        <f t="shared" si="16"/>
        <v>0</v>
      </c>
      <c r="BR38" s="112">
        <f>SUMIF(ALIMENTO_NUEVO!$BL$6:$BL$306,LABORATORIO!BI38,ALIMENTO_NUEVO!$BN$6:$BN$306)</f>
        <v>0</v>
      </c>
      <c r="BS38" s="176">
        <f t="shared" si="17"/>
        <v>0</v>
      </c>
    </row>
    <row r="39" spans="1:71" x14ac:dyDescent="0.25">
      <c r="A39" s="43">
        <v>21121205</v>
      </c>
      <c r="B39" s="35" t="s">
        <v>64</v>
      </c>
      <c r="C39" s="175">
        <f t="shared" si="0"/>
        <v>23</v>
      </c>
      <c r="D39" s="112">
        <f t="array" ref="D39">MIN(IF(ALIMENTO_NUEVO!$D$6:$D$306=LABORATORIO!A39,ALIMENTO_NUEVO!$C$6:$C$306))</f>
        <v>52</v>
      </c>
      <c r="E39" s="112">
        <f t="array" ref="E39">MAX(IF(ALIMENTO_NUEVO!$D$6:$D$306=LABORATORIO!A39,ALIMENTO_NUEVO!$C$6:$C$306))</f>
        <v>75</v>
      </c>
      <c r="F39" s="112"/>
      <c r="G39" s="73">
        <v>1819</v>
      </c>
      <c r="H39" s="73">
        <v>13</v>
      </c>
      <c r="I39" s="112">
        <f t="shared" si="1"/>
        <v>23647</v>
      </c>
      <c r="J39" s="112">
        <f>SUMIF(ALIMENTO_NUEVO!$D$6:$D$306,A39,ALIMENTO_NUEVO!$F$6:$F$306)</f>
        <v>25520</v>
      </c>
      <c r="K39" s="176">
        <f t="shared" si="2"/>
        <v>-1873</v>
      </c>
      <c r="M39" s="43">
        <v>21121205</v>
      </c>
      <c r="N39" s="35" t="s">
        <v>64</v>
      </c>
      <c r="O39" s="175">
        <f t="shared" si="3"/>
        <v>23</v>
      </c>
      <c r="P39" s="112">
        <f t="array" ref="P39">MIN(IF(ALIMENTO_NUEVO!$P$6:$P$306=LABORATORIO!M39,ALIMENTO_NUEVO!$O$6:$O$306))</f>
        <v>48</v>
      </c>
      <c r="Q39" s="112">
        <f t="array" ref="Q39">MAX(IF(ALIMENTO_NUEVO!$P$6:$P$306=LABORATORIO!M39,ALIMENTO_NUEVO!$O$6:$O$306))</f>
        <v>71</v>
      </c>
      <c r="R39" s="112"/>
      <c r="S39" s="73">
        <v>2000</v>
      </c>
      <c r="T39" s="73">
        <v>13</v>
      </c>
      <c r="U39" s="112">
        <f t="shared" si="4"/>
        <v>26000</v>
      </c>
      <c r="V39" s="112">
        <f ca="1">SUMIF(ALIMENTO_NUEVO!$P$6:$P$306,LABORATORIO!M39,ALIMENTO_NUEVO!$R42:$R338)</f>
        <v>0</v>
      </c>
      <c r="W39" s="176">
        <f t="shared" ca="1" si="5"/>
        <v>26000</v>
      </c>
      <c r="Y39" s="43">
        <v>21121205</v>
      </c>
      <c r="Z39" s="35" t="s">
        <v>64</v>
      </c>
      <c r="AA39" s="175">
        <f t="shared" si="6"/>
        <v>14</v>
      </c>
      <c r="AB39" s="112">
        <f t="array" ref="AB39">MIN(IF(ALIMENTO_NUEVO!$AB$6:$AB$306=LABORATORIO!Y39,ALIMENTO_NUEVO!$AA$6:$AA$306))</f>
        <v>52</v>
      </c>
      <c r="AC39" s="112">
        <f t="array" ref="AC39">MAX(IF(ALIMENTO_NUEVO!$AB$6:$AB$306=LABORATORIO!Y39,ALIMENTO_NUEVO!$AA$6:$AA$306))</f>
        <v>66</v>
      </c>
      <c r="AD39" s="112"/>
      <c r="AE39" s="73">
        <v>2098</v>
      </c>
      <c r="AF39" s="73">
        <v>13</v>
      </c>
      <c r="AG39" s="112">
        <f t="shared" si="7"/>
        <v>27274</v>
      </c>
      <c r="AH39" s="112">
        <f>SUMIF(ALIMENTO_NUEVO!$AB$6:$AB$306,LABORATORIO!Y39,ALIMENTO_NUEVO!$AD$6:$AD$306)</f>
        <v>16100</v>
      </c>
      <c r="AI39" s="176">
        <f t="shared" si="8"/>
        <v>11174</v>
      </c>
      <c r="AK39" s="43">
        <v>21121205</v>
      </c>
      <c r="AL39" s="35" t="s">
        <v>64</v>
      </c>
      <c r="AM39" s="175">
        <f t="shared" si="9"/>
        <v>14</v>
      </c>
      <c r="AN39" s="112">
        <f t="array" ref="AN39">MIN(IF(ALIMENTO_NUEVO!$AN$6:$AN$306=LABORATORIO!AK39,ALIMENTO_NUEVO!$AM$6:$AM$306))</f>
        <v>45</v>
      </c>
      <c r="AO39" s="112">
        <f t="array" ref="AO39">MAX(IF(ALIMENTO_NUEVO!$AN$6:$AN$306=LABORATORIO!AK39,ALIMENTO_NUEVO!$AM$6:$AM$306))</f>
        <v>59</v>
      </c>
      <c r="AP39" s="112"/>
      <c r="AQ39" s="73">
        <v>2183</v>
      </c>
      <c r="AR39" s="73">
        <v>13</v>
      </c>
      <c r="AS39" s="112">
        <f t="shared" si="10"/>
        <v>28379</v>
      </c>
      <c r="AT39" s="112">
        <f>SUMIF(ALIMENTO_NUEVO!$AN$6:$AN$306,LABORATORIO!AK39,ALIMENTO_NUEVO!$AP$6:$AP$306)</f>
        <v>13860</v>
      </c>
      <c r="AU39" s="176">
        <f t="shared" si="11"/>
        <v>14519</v>
      </c>
      <c r="AW39" s="43">
        <v>21121205</v>
      </c>
      <c r="AX39" s="35" t="s">
        <v>64</v>
      </c>
      <c r="AY39" s="175">
        <f t="shared" si="12"/>
        <v>0</v>
      </c>
      <c r="AZ39" s="112">
        <f t="array" ref="AZ39">MIN(IF(ALIMENTO_NUEVO!$AZ$6:$AZ$306=LABORATORIO!AW39,ALIMENTO_NUEVO!$AY$6:$AY$306))</f>
        <v>0</v>
      </c>
      <c r="BA39" s="112">
        <f t="array" ref="BA39">MAX(IF(ALIMENTO_NUEVO!$AZ$6:$AZ$306=LABORATORIO!AW39,ALIMENTO_NUEVO!$AY$6:$AY$306))</f>
        <v>0</v>
      </c>
      <c r="BB39" s="112"/>
      <c r="BC39" s="73">
        <v>2185</v>
      </c>
      <c r="BD39" s="73">
        <v>13</v>
      </c>
      <c r="BE39" s="112">
        <f t="shared" si="13"/>
        <v>28405</v>
      </c>
      <c r="BF39" s="112">
        <f ca="1">SUMIF(ALIMENTO_NUEVO!$AZ$6:$AZ$307,LABORATORIO!AW39,ALIMENTO_NUEVO!$BB$6:$BB$306)</f>
        <v>0</v>
      </c>
      <c r="BG39" s="176">
        <f t="shared" ca="1" si="14"/>
        <v>28405</v>
      </c>
      <c r="BI39" s="43">
        <v>21121205</v>
      </c>
      <c r="BJ39" s="35" t="s">
        <v>64</v>
      </c>
      <c r="BK39" s="175">
        <f t="shared" si="15"/>
        <v>0</v>
      </c>
      <c r="BL39" s="112">
        <f t="array" ref="BL39">MIN(IF(ALIMENTO_NUEVO!$BL$6:$BL$306=LABORATORIO!BI39,ALIMENTO_NUEVO!$BK$6:$BK$306))</f>
        <v>0</v>
      </c>
      <c r="BM39" s="112">
        <f t="array" ref="BM39">MAX(IF(ALIMENTO_NUEVO!$BL$6:$BL$306=LABORATORIO!BI39,ALIMENTO_NUEVO!$BK$6:$BK$306))</f>
        <v>0</v>
      </c>
      <c r="BN39" s="112"/>
      <c r="BO39" s="73"/>
      <c r="BP39" s="73">
        <v>13</v>
      </c>
      <c r="BQ39" s="112">
        <f t="shared" si="16"/>
        <v>0</v>
      </c>
      <c r="BR39" s="112">
        <f>SUMIF(ALIMENTO_NUEVO!$BL$6:$BL$306,LABORATORIO!BI39,ALIMENTO_NUEVO!$BN$6:$BN$306)</f>
        <v>0</v>
      </c>
      <c r="BS39" s="176">
        <f t="shared" si="17"/>
        <v>0</v>
      </c>
    </row>
    <row r="40" spans="1:71" x14ac:dyDescent="0.25">
      <c r="A40" s="43">
        <v>21121206</v>
      </c>
      <c r="B40" s="35" t="s">
        <v>65</v>
      </c>
      <c r="C40" s="175">
        <f t="shared" si="0"/>
        <v>0</v>
      </c>
      <c r="D40" s="112">
        <f t="array" ref="D40">MIN(IF(ALIMENTO_NUEVO!$D$6:$D$306=LABORATORIO!A40,ALIMENTO_NUEVO!$C$6:$C$306))</f>
        <v>0</v>
      </c>
      <c r="E40" s="112">
        <f t="array" ref="E40">MAX(IF(ALIMENTO_NUEVO!$D$6:$D$306=LABORATORIO!A40,ALIMENTO_NUEVO!$C$6:$C$306))</f>
        <v>0</v>
      </c>
      <c r="F40" s="112"/>
      <c r="G40" s="73"/>
      <c r="H40" s="73"/>
      <c r="I40" s="112">
        <f t="shared" si="1"/>
        <v>0</v>
      </c>
      <c r="J40" s="112">
        <f>SUMIF(ALIMENTO_NUEVO!$D$6:$D$306,A40,ALIMENTO_NUEVO!$F$6:$F$306)</f>
        <v>0</v>
      </c>
      <c r="K40" s="176">
        <f t="shared" si="2"/>
        <v>0</v>
      </c>
      <c r="M40" s="43">
        <v>21121206</v>
      </c>
      <c r="N40" s="35" t="s">
        <v>65</v>
      </c>
      <c r="O40" s="175">
        <f t="shared" si="3"/>
        <v>0</v>
      </c>
      <c r="P40" s="112">
        <f t="array" ref="P40">MIN(IF(ALIMENTO_NUEVO!$P$6:$P$306=LABORATORIO!M40,ALIMENTO_NUEVO!$O$6:$O$306))</f>
        <v>0</v>
      </c>
      <c r="Q40" s="112">
        <f t="array" ref="Q40">MAX(IF(ALIMENTO_NUEVO!$P$6:$P$306=LABORATORIO!M40,ALIMENTO_NUEVO!$O$6:$O$306))</f>
        <v>0</v>
      </c>
      <c r="R40" s="112"/>
      <c r="S40" s="73"/>
      <c r="T40" s="73"/>
      <c r="U40" s="112">
        <f t="shared" si="4"/>
        <v>0</v>
      </c>
      <c r="V40" s="112">
        <f ca="1">SUMIF(ALIMENTO_NUEVO!$P$6:$P$306,LABORATORIO!M40,ALIMENTO_NUEVO!$R43:$R339)</f>
        <v>0</v>
      </c>
      <c r="W40" s="176">
        <f t="shared" ca="1" si="5"/>
        <v>0</v>
      </c>
      <c r="Y40" s="43">
        <v>21121206</v>
      </c>
      <c r="Z40" s="35" t="s">
        <v>65</v>
      </c>
      <c r="AA40" s="175">
        <f t="shared" si="6"/>
        <v>0</v>
      </c>
      <c r="AB40" s="112">
        <f t="array" ref="AB40">MIN(IF(ALIMENTO_NUEVO!$AB$6:$AB$306=LABORATORIO!Y40,ALIMENTO_NUEVO!$AA$6:$AA$306))</f>
        <v>0</v>
      </c>
      <c r="AC40" s="112">
        <f t="array" ref="AC40">MAX(IF(ALIMENTO_NUEVO!$AB$6:$AB$306=LABORATORIO!Y40,ALIMENTO_NUEVO!$AA$6:$AA$306))</f>
        <v>0</v>
      </c>
      <c r="AD40" s="112"/>
      <c r="AE40" s="73"/>
      <c r="AF40" s="73"/>
      <c r="AG40" s="112">
        <f t="shared" si="7"/>
        <v>0</v>
      </c>
      <c r="AH40" s="112">
        <f>SUMIF(ALIMENTO_NUEVO!$AB$6:$AB$306,LABORATORIO!Y40,ALIMENTO_NUEVO!$AD$6:$AD$306)</f>
        <v>0</v>
      </c>
      <c r="AI40" s="176">
        <f t="shared" si="8"/>
        <v>0</v>
      </c>
      <c r="AK40" s="43">
        <v>21121206</v>
      </c>
      <c r="AL40" s="35" t="s">
        <v>65</v>
      </c>
      <c r="AM40" s="175">
        <f t="shared" si="9"/>
        <v>0</v>
      </c>
      <c r="AN40" s="112">
        <f t="array" ref="AN40">MIN(IF(ALIMENTO_NUEVO!$AN$6:$AN$306=LABORATORIO!AK40,ALIMENTO_NUEVO!$AM$6:$AM$306))</f>
        <v>0</v>
      </c>
      <c r="AO40" s="112">
        <f t="array" ref="AO40">MAX(IF(ALIMENTO_NUEVO!$AN$6:$AN$306=LABORATORIO!AK40,ALIMENTO_NUEVO!$AM$6:$AM$306))</f>
        <v>0</v>
      </c>
      <c r="AP40" s="112"/>
      <c r="AQ40" s="73"/>
      <c r="AR40" s="73"/>
      <c r="AS40" s="112">
        <f t="shared" si="10"/>
        <v>0</v>
      </c>
      <c r="AT40" s="112">
        <f>SUMIF(ALIMENTO_NUEVO!$AN$6:$AN$306,LABORATORIO!AK40,ALIMENTO_NUEVO!$AP$6:$AP$306)</f>
        <v>0</v>
      </c>
      <c r="AU40" s="176">
        <f t="shared" si="11"/>
        <v>0</v>
      </c>
      <c r="AW40" s="43">
        <v>21121206</v>
      </c>
      <c r="AX40" s="35" t="s">
        <v>65</v>
      </c>
      <c r="AY40" s="175">
        <f t="shared" si="12"/>
        <v>0</v>
      </c>
      <c r="AZ40" s="112">
        <f t="array" ref="AZ40">MIN(IF(ALIMENTO_NUEVO!$AZ$6:$AZ$306=LABORATORIO!AW40,ALIMENTO_NUEVO!$AY$6:$AY$306))</f>
        <v>0</v>
      </c>
      <c r="BA40" s="112">
        <f t="array" ref="BA40">MAX(IF(ALIMENTO_NUEVO!$AZ$6:$AZ$306=LABORATORIO!AW40,ALIMENTO_NUEVO!$AY$6:$AY$306))</f>
        <v>0</v>
      </c>
      <c r="BB40" s="112"/>
      <c r="BC40" s="73"/>
      <c r="BD40" s="73"/>
      <c r="BE40" s="112">
        <f t="shared" si="13"/>
        <v>0</v>
      </c>
      <c r="BF40" s="112">
        <f ca="1">SUMIF(ALIMENTO_NUEVO!$AZ$6:$AZ$307,LABORATORIO!AW40,ALIMENTO_NUEVO!$BB$6:$BB$306)</f>
        <v>0</v>
      </c>
      <c r="BG40" s="176">
        <f t="shared" ca="1" si="14"/>
        <v>0</v>
      </c>
      <c r="BI40" s="43">
        <v>21121206</v>
      </c>
      <c r="BJ40" s="35" t="s">
        <v>65</v>
      </c>
      <c r="BK40" s="175">
        <f t="shared" si="15"/>
        <v>0</v>
      </c>
      <c r="BL40" s="112">
        <f t="array" ref="BL40">MIN(IF(ALIMENTO_NUEVO!$BL$6:$BL$306=LABORATORIO!BI40,ALIMENTO_NUEVO!$BK$6:$BK$306))</f>
        <v>0</v>
      </c>
      <c r="BM40" s="112">
        <f t="array" ref="BM40">MAX(IF(ALIMENTO_NUEVO!$BL$6:$BL$306=LABORATORIO!BI40,ALIMENTO_NUEVO!$BK$6:$BK$306))</f>
        <v>0</v>
      </c>
      <c r="BN40" s="112"/>
      <c r="BO40" s="73"/>
      <c r="BP40" s="73"/>
      <c r="BQ40" s="112">
        <f t="shared" si="16"/>
        <v>0</v>
      </c>
      <c r="BR40" s="112">
        <f>SUMIF(ALIMENTO_NUEVO!$BL$6:$BL$306,LABORATORIO!BI40,ALIMENTO_NUEVO!$BN$6:$BN$306)</f>
        <v>0</v>
      </c>
      <c r="BS40" s="176">
        <f t="shared" si="17"/>
        <v>0</v>
      </c>
    </row>
    <row r="41" spans="1:71" x14ac:dyDescent="0.25">
      <c r="A41" s="43">
        <v>21121207</v>
      </c>
      <c r="B41" s="35" t="s">
        <v>66</v>
      </c>
      <c r="C41" s="175">
        <f t="shared" si="0"/>
        <v>0</v>
      </c>
      <c r="D41" s="112">
        <f t="array" ref="D41">MIN(IF(ALIMENTO_NUEVO!$D$6:$D$306=LABORATORIO!A41,ALIMENTO_NUEVO!$C$6:$C$306))</f>
        <v>0</v>
      </c>
      <c r="E41" s="112">
        <f t="array" ref="E41">MAX(IF(ALIMENTO_NUEVO!$D$6:$D$306=LABORATORIO!A41,ALIMENTO_NUEVO!$C$6:$C$306))</f>
        <v>0</v>
      </c>
      <c r="F41" s="112"/>
      <c r="G41" s="73"/>
      <c r="H41" s="73"/>
      <c r="I41" s="112">
        <f t="shared" si="1"/>
        <v>0</v>
      </c>
      <c r="J41" s="112">
        <f>SUMIF(ALIMENTO_NUEVO!$D$6:$D$306,A41,ALIMENTO_NUEVO!$F$6:$F$306)</f>
        <v>0</v>
      </c>
      <c r="K41" s="176">
        <f t="shared" si="2"/>
        <v>0</v>
      </c>
      <c r="M41" s="43">
        <v>21121207</v>
      </c>
      <c r="N41" s="35" t="s">
        <v>66</v>
      </c>
      <c r="O41" s="175">
        <f t="shared" si="3"/>
        <v>0</v>
      </c>
      <c r="P41" s="112">
        <f t="array" ref="P41">MIN(IF(ALIMENTO_NUEVO!$P$6:$P$306=LABORATORIO!M41,ALIMENTO_NUEVO!$O$6:$O$306))</f>
        <v>0</v>
      </c>
      <c r="Q41" s="112">
        <f t="array" ref="Q41">MAX(IF(ALIMENTO_NUEVO!$P$6:$P$306=LABORATORIO!M41,ALIMENTO_NUEVO!$O$6:$O$306))</f>
        <v>0</v>
      </c>
      <c r="R41" s="112"/>
      <c r="S41" s="73"/>
      <c r="T41" s="73"/>
      <c r="U41" s="112">
        <f t="shared" si="4"/>
        <v>0</v>
      </c>
      <c r="V41" s="112">
        <f ca="1">SUMIF(ALIMENTO_NUEVO!$P$6:$P$306,LABORATORIO!M41,ALIMENTO_NUEVO!$R44:$R340)</f>
        <v>0</v>
      </c>
      <c r="W41" s="176">
        <f t="shared" ca="1" si="5"/>
        <v>0</v>
      </c>
      <c r="Y41" s="43">
        <v>21121207</v>
      </c>
      <c r="Z41" s="35" t="s">
        <v>66</v>
      </c>
      <c r="AA41" s="175">
        <f t="shared" si="6"/>
        <v>0</v>
      </c>
      <c r="AB41" s="112">
        <f t="array" ref="AB41">MIN(IF(ALIMENTO_NUEVO!$AB$6:$AB$306=LABORATORIO!Y41,ALIMENTO_NUEVO!$AA$6:$AA$306))</f>
        <v>0</v>
      </c>
      <c r="AC41" s="112">
        <f t="array" ref="AC41">MAX(IF(ALIMENTO_NUEVO!$AB$6:$AB$306=LABORATORIO!Y41,ALIMENTO_NUEVO!$AA$6:$AA$306))</f>
        <v>0</v>
      </c>
      <c r="AD41" s="112"/>
      <c r="AE41" s="73"/>
      <c r="AF41" s="73"/>
      <c r="AG41" s="112">
        <f t="shared" si="7"/>
        <v>0</v>
      </c>
      <c r="AH41" s="112">
        <f>SUMIF(ALIMENTO_NUEVO!$AB$6:$AB$306,LABORATORIO!Y41,ALIMENTO_NUEVO!$AD$6:$AD$306)</f>
        <v>0</v>
      </c>
      <c r="AI41" s="176">
        <f t="shared" si="8"/>
        <v>0</v>
      </c>
      <c r="AK41" s="43">
        <v>21121207</v>
      </c>
      <c r="AL41" s="35" t="s">
        <v>66</v>
      </c>
      <c r="AM41" s="175">
        <f t="shared" si="9"/>
        <v>0</v>
      </c>
      <c r="AN41" s="112">
        <f t="array" ref="AN41">MIN(IF(ALIMENTO_NUEVO!$AN$6:$AN$306=LABORATORIO!AK41,ALIMENTO_NUEVO!$AM$6:$AM$306))</f>
        <v>0</v>
      </c>
      <c r="AO41" s="112">
        <f t="array" ref="AO41">MAX(IF(ALIMENTO_NUEVO!$AN$6:$AN$306=LABORATORIO!AK41,ALIMENTO_NUEVO!$AM$6:$AM$306))</f>
        <v>0</v>
      </c>
      <c r="AP41" s="112"/>
      <c r="AQ41" s="73"/>
      <c r="AR41" s="73"/>
      <c r="AS41" s="112">
        <f t="shared" si="10"/>
        <v>0</v>
      </c>
      <c r="AT41" s="112">
        <f>SUMIF(ALIMENTO_NUEVO!$AN$6:$AN$306,LABORATORIO!AK41,ALIMENTO_NUEVO!$AP$6:$AP$306)</f>
        <v>0</v>
      </c>
      <c r="AU41" s="176">
        <f t="shared" si="11"/>
        <v>0</v>
      </c>
      <c r="AW41" s="43">
        <v>21121207</v>
      </c>
      <c r="AX41" s="35" t="s">
        <v>66</v>
      </c>
      <c r="AY41" s="175">
        <f t="shared" si="12"/>
        <v>0</v>
      </c>
      <c r="AZ41" s="112">
        <f t="array" ref="AZ41">MIN(IF(ALIMENTO_NUEVO!$AZ$6:$AZ$306=LABORATORIO!AW41,ALIMENTO_NUEVO!$AY$6:$AY$306))</f>
        <v>0</v>
      </c>
      <c r="BA41" s="112">
        <f t="array" ref="BA41">MAX(IF(ALIMENTO_NUEVO!$AZ$6:$AZ$306=LABORATORIO!AW41,ALIMENTO_NUEVO!$AY$6:$AY$306))</f>
        <v>0</v>
      </c>
      <c r="BB41" s="112"/>
      <c r="BC41" s="73"/>
      <c r="BD41" s="73"/>
      <c r="BE41" s="112">
        <f t="shared" si="13"/>
        <v>0</v>
      </c>
      <c r="BF41" s="112">
        <f ca="1">SUMIF(ALIMENTO_NUEVO!$AZ$6:$AZ$307,LABORATORIO!AW41,ALIMENTO_NUEVO!$BB$6:$BB$306)</f>
        <v>0</v>
      </c>
      <c r="BG41" s="176">
        <f t="shared" ca="1" si="14"/>
        <v>0</v>
      </c>
      <c r="BI41" s="43">
        <v>21121207</v>
      </c>
      <c r="BJ41" s="35" t="s">
        <v>66</v>
      </c>
      <c r="BK41" s="175">
        <f t="shared" si="15"/>
        <v>0</v>
      </c>
      <c r="BL41" s="112">
        <f t="array" ref="BL41">MIN(IF(ALIMENTO_NUEVO!$BL$6:$BL$306=LABORATORIO!BI41,ALIMENTO_NUEVO!$BK$6:$BK$306))</f>
        <v>0</v>
      </c>
      <c r="BM41" s="112">
        <f t="array" ref="BM41">MAX(IF(ALIMENTO_NUEVO!$BL$6:$BL$306=LABORATORIO!BI41,ALIMENTO_NUEVO!$BK$6:$BK$306))</f>
        <v>0</v>
      </c>
      <c r="BN41" s="112"/>
      <c r="BO41" s="73"/>
      <c r="BP41" s="73"/>
      <c r="BQ41" s="112">
        <f t="shared" si="16"/>
        <v>0</v>
      </c>
      <c r="BR41" s="112">
        <f>SUMIF(ALIMENTO_NUEVO!$BL$6:$BL$306,LABORATORIO!BI41,ALIMENTO_NUEVO!$BN$6:$BN$306)</f>
        <v>0</v>
      </c>
      <c r="BS41" s="176">
        <f t="shared" si="17"/>
        <v>0</v>
      </c>
    </row>
    <row r="42" spans="1:71" x14ac:dyDescent="0.25">
      <c r="A42" s="43">
        <v>21121208</v>
      </c>
      <c r="B42" s="35" t="s">
        <v>67</v>
      </c>
      <c r="C42" s="175">
        <f t="shared" si="0"/>
        <v>0</v>
      </c>
      <c r="D42" s="112">
        <f t="array" ref="D42">MIN(IF(ALIMENTO_NUEVO!$D$6:$D$306=LABORATORIO!A42,ALIMENTO_NUEVO!$C$6:$C$306))</f>
        <v>0</v>
      </c>
      <c r="E42" s="112">
        <f t="array" ref="E42">MAX(IF(ALIMENTO_NUEVO!$D$6:$D$306=LABORATORIO!A42,ALIMENTO_NUEVO!$C$6:$C$306))</f>
        <v>0</v>
      </c>
      <c r="F42" s="112"/>
      <c r="G42" s="73"/>
      <c r="H42" s="73"/>
      <c r="I42" s="112">
        <f t="shared" si="1"/>
        <v>0</v>
      </c>
      <c r="J42" s="112">
        <f>SUMIF(ALIMENTO_NUEVO!$D$6:$D$306,A42,ALIMENTO_NUEVO!$F$6:$F$306)</f>
        <v>0</v>
      </c>
      <c r="K42" s="176">
        <f t="shared" si="2"/>
        <v>0</v>
      </c>
      <c r="M42" s="43">
        <v>21121208</v>
      </c>
      <c r="N42" s="35" t="s">
        <v>67</v>
      </c>
      <c r="O42" s="175">
        <f t="shared" si="3"/>
        <v>0</v>
      </c>
      <c r="P42" s="112">
        <f t="array" ref="P42">MIN(IF(ALIMENTO_NUEVO!$P$6:$P$306=LABORATORIO!M42,ALIMENTO_NUEVO!$O$6:$O$306))</f>
        <v>0</v>
      </c>
      <c r="Q42" s="112">
        <f t="array" ref="Q42">MAX(IF(ALIMENTO_NUEVO!$P$6:$P$306=LABORATORIO!M42,ALIMENTO_NUEVO!$O$6:$O$306))</f>
        <v>0</v>
      </c>
      <c r="R42" s="112"/>
      <c r="S42" s="73"/>
      <c r="T42" s="73"/>
      <c r="U42" s="112">
        <f t="shared" si="4"/>
        <v>0</v>
      </c>
      <c r="V42" s="112">
        <f ca="1">SUMIF(ALIMENTO_NUEVO!$P$6:$P$306,LABORATORIO!M42,ALIMENTO_NUEVO!$R45:$R341)</f>
        <v>0</v>
      </c>
      <c r="W42" s="176">
        <f t="shared" ca="1" si="5"/>
        <v>0</v>
      </c>
      <c r="Y42" s="43">
        <v>21121208</v>
      </c>
      <c r="Z42" s="35" t="s">
        <v>67</v>
      </c>
      <c r="AA42" s="175">
        <f t="shared" si="6"/>
        <v>0</v>
      </c>
      <c r="AB42" s="112">
        <f t="array" ref="AB42">MIN(IF(ALIMENTO_NUEVO!$AB$6:$AB$306=LABORATORIO!Y42,ALIMENTO_NUEVO!$AA$6:$AA$306))</f>
        <v>0</v>
      </c>
      <c r="AC42" s="112">
        <f t="array" ref="AC42">MAX(IF(ALIMENTO_NUEVO!$AB$6:$AB$306=LABORATORIO!Y42,ALIMENTO_NUEVO!$AA$6:$AA$306))</f>
        <v>0</v>
      </c>
      <c r="AD42" s="112"/>
      <c r="AE42" s="73"/>
      <c r="AF42" s="73"/>
      <c r="AG42" s="112">
        <f t="shared" si="7"/>
        <v>0</v>
      </c>
      <c r="AH42" s="112">
        <f>SUMIF(ALIMENTO_NUEVO!$AB$6:$AB$306,LABORATORIO!Y42,ALIMENTO_NUEVO!$AD$6:$AD$306)</f>
        <v>0</v>
      </c>
      <c r="AI42" s="176">
        <f t="shared" si="8"/>
        <v>0</v>
      </c>
      <c r="AK42" s="43">
        <v>21121208</v>
      </c>
      <c r="AL42" s="35" t="s">
        <v>67</v>
      </c>
      <c r="AM42" s="175">
        <f t="shared" si="9"/>
        <v>0</v>
      </c>
      <c r="AN42" s="112">
        <f t="array" ref="AN42">MIN(IF(ALIMENTO_NUEVO!$AN$6:$AN$306=LABORATORIO!AK42,ALIMENTO_NUEVO!$AM$6:$AM$306))</f>
        <v>0</v>
      </c>
      <c r="AO42" s="112">
        <f t="array" ref="AO42">MAX(IF(ALIMENTO_NUEVO!$AN$6:$AN$306=LABORATORIO!AK42,ALIMENTO_NUEVO!$AM$6:$AM$306))</f>
        <v>0</v>
      </c>
      <c r="AP42" s="112"/>
      <c r="AQ42" s="73"/>
      <c r="AR42" s="73"/>
      <c r="AS42" s="112">
        <f t="shared" si="10"/>
        <v>0</v>
      </c>
      <c r="AT42" s="112">
        <f>SUMIF(ALIMENTO_NUEVO!$AN$6:$AN$306,LABORATORIO!AK42,ALIMENTO_NUEVO!$AP$6:$AP$306)</f>
        <v>0</v>
      </c>
      <c r="AU42" s="176">
        <f t="shared" si="11"/>
        <v>0</v>
      </c>
      <c r="AW42" s="43">
        <v>21121208</v>
      </c>
      <c r="AX42" s="35" t="s">
        <v>67</v>
      </c>
      <c r="AY42" s="175">
        <f t="shared" si="12"/>
        <v>0</v>
      </c>
      <c r="AZ42" s="112">
        <f t="array" ref="AZ42">MIN(IF(ALIMENTO_NUEVO!$AZ$6:$AZ$306=LABORATORIO!AW42,ALIMENTO_NUEVO!$AY$6:$AY$306))</f>
        <v>0</v>
      </c>
      <c r="BA42" s="112">
        <f t="array" ref="BA42">MAX(IF(ALIMENTO_NUEVO!$AZ$6:$AZ$306=LABORATORIO!AW42,ALIMENTO_NUEVO!$AY$6:$AY$306))</f>
        <v>0</v>
      </c>
      <c r="BB42" s="112"/>
      <c r="BC42" s="73"/>
      <c r="BD42" s="73"/>
      <c r="BE42" s="112">
        <f t="shared" si="13"/>
        <v>0</v>
      </c>
      <c r="BF42" s="112">
        <f ca="1">SUMIF(ALIMENTO_NUEVO!$AZ$6:$AZ$307,LABORATORIO!AW42,ALIMENTO_NUEVO!$BB$6:$BB$306)</f>
        <v>0</v>
      </c>
      <c r="BG42" s="176">
        <f t="shared" ca="1" si="14"/>
        <v>0</v>
      </c>
      <c r="BI42" s="43">
        <v>21121208</v>
      </c>
      <c r="BJ42" s="35" t="s">
        <v>67</v>
      </c>
      <c r="BK42" s="175">
        <f t="shared" si="15"/>
        <v>0</v>
      </c>
      <c r="BL42" s="112">
        <f t="array" ref="BL42">MIN(IF(ALIMENTO_NUEVO!$BL$6:$BL$306=LABORATORIO!BI42,ALIMENTO_NUEVO!$BK$6:$BK$306))</f>
        <v>0</v>
      </c>
      <c r="BM42" s="112">
        <f t="array" ref="BM42">MAX(IF(ALIMENTO_NUEVO!$BL$6:$BL$306=LABORATORIO!BI42,ALIMENTO_NUEVO!$BK$6:$BK$306))</f>
        <v>0</v>
      </c>
      <c r="BN42" s="112"/>
      <c r="BO42" s="73"/>
      <c r="BP42" s="73"/>
      <c r="BQ42" s="112">
        <f t="shared" si="16"/>
        <v>0</v>
      </c>
      <c r="BR42" s="112">
        <f>SUMIF(ALIMENTO_NUEVO!$BL$6:$BL$306,LABORATORIO!BI42,ALIMENTO_NUEVO!$BN$6:$BN$306)</f>
        <v>0</v>
      </c>
      <c r="BS42" s="176">
        <f t="shared" si="17"/>
        <v>0</v>
      </c>
    </row>
    <row r="43" spans="1:71" x14ac:dyDescent="0.25">
      <c r="A43" s="43">
        <v>21121209</v>
      </c>
      <c r="B43" s="35" t="s">
        <v>68</v>
      </c>
      <c r="C43" s="175">
        <f t="shared" si="0"/>
        <v>0</v>
      </c>
      <c r="D43" s="112">
        <f t="array" ref="D43">MIN(IF(ALIMENTO_NUEVO!$D$6:$D$306=LABORATORIO!A43,ALIMENTO_NUEVO!$C$6:$C$306))</f>
        <v>0</v>
      </c>
      <c r="E43" s="112">
        <f t="array" ref="E43">MAX(IF(ALIMENTO_NUEVO!$D$6:$D$306=LABORATORIO!A43,ALIMENTO_NUEVO!$C$6:$C$306))</f>
        <v>0</v>
      </c>
      <c r="F43" s="112"/>
      <c r="G43" s="73"/>
      <c r="H43" s="73"/>
      <c r="I43" s="112">
        <f t="shared" si="1"/>
        <v>0</v>
      </c>
      <c r="J43" s="112">
        <f>SUMIF(ALIMENTO_NUEVO!$D$6:$D$306,A43,ALIMENTO_NUEVO!$F$6:$F$306)</f>
        <v>0</v>
      </c>
      <c r="K43" s="176">
        <f t="shared" si="2"/>
        <v>0</v>
      </c>
      <c r="M43" s="43">
        <v>21121209</v>
      </c>
      <c r="N43" s="35" t="s">
        <v>68</v>
      </c>
      <c r="O43" s="175">
        <f t="shared" si="3"/>
        <v>0</v>
      </c>
      <c r="P43" s="112">
        <f t="array" ref="P43">MIN(IF(ALIMENTO_NUEVO!$P$6:$P$306=LABORATORIO!M43,ALIMENTO_NUEVO!$O$6:$O$306))</f>
        <v>0</v>
      </c>
      <c r="Q43" s="112">
        <f t="array" ref="Q43">MAX(IF(ALIMENTO_NUEVO!$P$6:$P$306=LABORATORIO!M43,ALIMENTO_NUEVO!$O$6:$O$306))</f>
        <v>0</v>
      </c>
      <c r="R43" s="112"/>
      <c r="S43" s="73"/>
      <c r="T43" s="73"/>
      <c r="U43" s="112">
        <f t="shared" si="4"/>
        <v>0</v>
      </c>
      <c r="V43" s="112">
        <f ca="1">SUMIF(ALIMENTO_NUEVO!$P$6:$P$306,LABORATORIO!M43,ALIMENTO_NUEVO!$R46:$R342)</f>
        <v>0</v>
      </c>
      <c r="W43" s="176">
        <f t="shared" ca="1" si="5"/>
        <v>0</v>
      </c>
      <c r="Y43" s="43">
        <v>21121209</v>
      </c>
      <c r="Z43" s="35" t="s">
        <v>68</v>
      </c>
      <c r="AA43" s="175">
        <f t="shared" si="6"/>
        <v>0</v>
      </c>
      <c r="AB43" s="112">
        <f t="array" ref="AB43">MIN(IF(ALIMENTO_NUEVO!$AB$6:$AB$306=LABORATORIO!Y43,ALIMENTO_NUEVO!$AA$6:$AA$306))</f>
        <v>0</v>
      </c>
      <c r="AC43" s="112">
        <f t="array" ref="AC43">MAX(IF(ALIMENTO_NUEVO!$AB$6:$AB$306=LABORATORIO!Y43,ALIMENTO_NUEVO!$AA$6:$AA$306))</f>
        <v>0</v>
      </c>
      <c r="AD43" s="112"/>
      <c r="AE43" s="73"/>
      <c r="AF43" s="73"/>
      <c r="AG43" s="112">
        <f t="shared" si="7"/>
        <v>0</v>
      </c>
      <c r="AH43" s="112">
        <f>SUMIF(ALIMENTO_NUEVO!$AB$6:$AB$306,LABORATORIO!Y43,ALIMENTO_NUEVO!$AD$6:$AD$306)</f>
        <v>0</v>
      </c>
      <c r="AI43" s="176">
        <f t="shared" si="8"/>
        <v>0</v>
      </c>
      <c r="AK43" s="43">
        <v>21121209</v>
      </c>
      <c r="AL43" s="35" t="s">
        <v>68</v>
      </c>
      <c r="AM43" s="175">
        <f t="shared" si="9"/>
        <v>0</v>
      </c>
      <c r="AN43" s="112">
        <f t="array" ref="AN43">MIN(IF(ALIMENTO_NUEVO!$AN$6:$AN$306=LABORATORIO!AK43,ALIMENTO_NUEVO!$AM$6:$AM$306))</f>
        <v>0</v>
      </c>
      <c r="AO43" s="112">
        <f t="array" ref="AO43">MAX(IF(ALIMENTO_NUEVO!$AN$6:$AN$306=LABORATORIO!AK43,ALIMENTO_NUEVO!$AM$6:$AM$306))</f>
        <v>0</v>
      </c>
      <c r="AP43" s="112"/>
      <c r="AQ43" s="73"/>
      <c r="AR43" s="73"/>
      <c r="AS43" s="112">
        <f t="shared" si="10"/>
        <v>0</v>
      </c>
      <c r="AT43" s="112">
        <f>SUMIF(ALIMENTO_NUEVO!$AN$6:$AN$306,LABORATORIO!AK43,ALIMENTO_NUEVO!$AP$6:$AP$306)</f>
        <v>0</v>
      </c>
      <c r="AU43" s="176">
        <f t="shared" si="11"/>
        <v>0</v>
      </c>
      <c r="AW43" s="43">
        <v>21121209</v>
      </c>
      <c r="AX43" s="35" t="s">
        <v>68</v>
      </c>
      <c r="AY43" s="175">
        <f t="shared" si="12"/>
        <v>0</v>
      </c>
      <c r="AZ43" s="112">
        <f t="array" ref="AZ43">MIN(IF(ALIMENTO_NUEVO!$AZ$6:$AZ$306=LABORATORIO!AW43,ALIMENTO_NUEVO!$AY$6:$AY$306))</f>
        <v>0</v>
      </c>
      <c r="BA43" s="112">
        <f t="array" ref="BA43">MAX(IF(ALIMENTO_NUEVO!$AZ$6:$AZ$306=LABORATORIO!AW43,ALIMENTO_NUEVO!$AY$6:$AY$306))</f>
        <v>0</v>
      </c>
      <c r="BB43" s="112"/>
      <c r="BC43" s="73"/>
      <c r="BD43" s="73"/>
      <c r="BE43" s="112">
        <f t="shared" si="13"/>
        <v>0</v>
      </c>
      <c r="BF43" s="112">
        <f ca="1">SUMIF(ALIMENTO_NUEVO!$AZ$6:$AZ$307,LABORATORIO!AW43,ALIMENTO_NUEVO!$BB$6:$BB$306)</f>
        <v>0</v>
      </c>
      <c r="BG43" s="176">
        <f t="shared" ca="1" si="14"/>
        <v>0</v>
      </c>
      <c r="BI43" s="43">
        <v>21121209</v>
      </c>
      <c r="BJ43" s="35" t="s">
        <v>68</v>
      </c>
      <c r="BK43" s="175">
        <f t="shared" si="15"/>
        <v>0</v>
      </c>
      <c r="BL43" s="112">
        <f t="array" ref="BL43">MIN(IF(ALIMENTO_NUEVO!$BL$6:$BL$306=LABORATORIO!BI43,ALIMENTO_NUEVO!$BK$6:$BK$306))</f>
        <v>0</v>
      </c>
      <c r="BM43" s="112">
        <f t="array" ref="BM43">MAX(IF(ALIMENTO_NUEVO!$BL$6:$BL$306=LABORATORIO!BI43,ALIMENTO_NUEVO!$BK$6:$BK$306))</f>
        <v>0</v>
      </c>
      <c r="BN43" s="112"/>
      <c r="BO43" s="73"/>
      <c r="BP43" s="73"/>
      <c r="BQ43" s="112">
        <f t="shared" si="16"/>
        <v>0</v>
      </c>
      <c r="BR43" s="112">
        <f>SUMIF(ALIMENTO_NUEVO!$BL$6:$BL$306,LABORATORIO!BI43,ALIMENTO_NUEVO!$BN$6:$BN$306)</f>
        <v>0</v>
      </c>
      <c r="BS43" s="176">
        <f t="shared" si="17"/>
        <v>0</v>
      </c>
    </row>
    <row r="44" spans="1:71" x14ac:dyDescent="0.25">
      <c r="A44" s="43">
        <v>21121210</v>
      </c>
      <c r="B44" s="35" t="s">
        <v>69</v>
      </c>
      <c r="C44" s="175">
        <f t="shared" si="0"/>
        <v>0</v>
      </c>
      <c r="D44" s="112">
        <f t="array" ref="D44">MIN(IF(ALIMENTO_NUEVO!$D$6:$D$306=LABORATORIO!A44,ALIMENTO_NUEVO!$C$6:$C$306))</f>
        <v>0</v>
      </c>
      <c r="E44" s="112">
        <f t="array" ref="E44">MAX(IF(ALIMENTO_NUEVO!$D$6:$D$306=LABORATORIO!A44,ALIMENTO_NUEVO!$C$6:$C$306))</f>
        <v>0</v>
      </c>
      <c r="F44" s="112"/>
      <c r="G44" s="73"/>
      <c r="H44" s="73"/>
      <c r="I44" s="112">
        <f t="shared" si="1"/>
        <v>0</v>
      </c>
      <c r="J44" s="112">
        <f>SUMIF(ALIMENTO_NUEVO!$D$6:$D$306,A44,ALIMENTO_NUEVO!$F$6:$F$306)</f>
        <v>0</v>
      </c>
      <c r="K44" s="176">
        <f t="shared" si="2"/>
        <v>0</v>
      </c>
      <c r="M44" s="43">
        <v>21121210</v>
      </c>
      <c r="N44" s="35" t="s">
        <v>69</v>
      </c>
      <c r="O44" s="175">
        <f t="shared" si="3"/>
        <v>0</v>
      </c>
      <c r="P44" s="112">
        <f t="array" ref="P44">MIN(IF(ALIMENTO_NUEVO!$P$6:$P$306=LABORATORIO!M44,ALIMENTO_NUEVO!$O$6:$O$306))</f>
        <v>0</v>
      </c>
      <c r="Q44" s="112">
        <f t="array" ref="Q44">MAX(IF(ALIMENTO_NUEVO!$P$6:$P$306=LABORATORIO!M44,ALIMENTO_NUEVO!$O$6:$O$306))</f>
        <v>0</v>
      </c>
      <c r="R44" s="112"/>
      <c r="S44" s="73"/>
      <c r="T44" s="73"/>
      <c r="U44" s="112">
        <f t="shared" si="4"/>
        <v>0</v>
      </c>
      <c r="V44" s="112">
        <f ca="1">SUMIF(ALIMENTO_NUEVO!$P$6:$P$306,LABORATORIO!M44,ALIMENTO_NUEVO!$R47:$R343)</f>
        <v>0</v>
      </c>
      <c r="W44" s="176">
        <f t="shared" ca="1" si="5"/>
        <v>0</v>
      </c>
      <c r="Y44" s="43">
        <v>21121210</v>
      </c>
      <c r="Z44" s="35" t="s">
        <v>69</v>
      </c>
      <c r="AA44" s="175">
        <f t="shared" si="6"/>
        <v>0</v>
      </c>
      <c r="AB44" s="112">
        <f t="array" ref="AB44">MIN(IF(ALIMENTO_NUEVO!$AB$6:$AB$306=LABORATORIO!Y44,ALIMENTO_NUEVO!$AA$6:$AA$306))</f>
        <v>0</v>
      </c>
      <c r="AC44" s="112">
        <f t="array" ref="AC44">MAX(IF(ALIMENTO_NUEVO!$AB$6:$AB$306=LABORATORIO!Y44,ALIMENTO_NUEVO!$AA$6:$AA$306))</f>
        <v>0</v>
      </c>
      <c r="AD44" s="112"/>
      <c r="AE44" s="73"/>
      <c r="AF44" s="73"/>
      <c r="AG44" s="112">
        <f t="shared" si="7"/>
        <v>0</v>
      </c>
      <c r="AH44" s="112">
        <f>SUMIF(ALIMENTO_NUEVO!$AB$6:$AB$306,LABORATORIO!Y44,ALIMENTO_NUEVO!$AD$6:$AD$306)</f>
        <v>0</v>
      </c>
      <c r="AI44" s="176">
        <f t="shared" si="8"/>
        <v>0</v>
      </c>
      <c r="AK44" s="43">
        <v>21121210</v>
      </c>
      <c r="AL44" s="35" t="s">
        <v>69</v>
      </c>
      <c r="AM44" s="175">
        <f t="shared" si="9"/>
        <v>0</v>
      </c>
      <c r="AN44" s="112">
        <f t="array" ref="AN44">MIN(IF(ALIMENTO_NUEVO!$AN$6:$AN$306=LABORATORIO!AK44,ALIMENTO_NUEVO!$AM$6:$AM$306))</f>
        <v>0</v>
      </c>
      <c r="AO44" s="112">
        <f t="array" ref="AO44">MAX(IF(ALIMENTO_NUEVO!$AN$6:$AN$306=LABORATORIO!AK44,ALIMENTO_NUEVO!$AM$6:$AM$306))</f>
        <v>0</v>
      </c>
      <c r="AP44" s="112"/>
      <c r="AQ44" s="73"/>
      <c r="AR44" s="73"/>
      <c r="AS44" s="112">
        <f t="shared" si="10"/>
        <v>0</v>
      </c>
      <c r="AT44" s="112">
        <f>SUMIF(ALIMENTO_NUEVO!$AN$6:$AN$306,LABORATORIO!AK44,ALIMENTO_NUEVO!$AP$6:$AP$306)</f>
        <v>0</v>
      </c>
      <c r="AU44" s="176">
        <f t="shared" si="11"/>
        <v>0</v>
      </c>
      <c r="AW44" s="43">
        <v>21121210</v>
      </c>
      <c r="AX44" s="35" t="s">
        <v>69</v>
      </c>
      <c r="AY44" s="175">
        <f t="shared" si="12"/>
        <v>0</v>
      </c>
      <c r="AZ44" s="112">
        <f t="array" ref="AZ44">MIN(IF(ALIMENTO_NUEVO!$AZ$6:$AZ$306=LABORATORIO!AW44,ALIMENTO_NUEVO!$AY$6:$AY$306))</f>
        <v>0</v>
      </c>
      <c r="BA44" s="112">
        <f t="array" ref="BA44">MAX(IF(ALIMENTO_NUEVO!$AZ$6:$AZ$306=LABORATORIO!AW44,ALIMENTO_NUEVO!$AY$6:$AY$306))</f>
        <v>0</v>
      </c>
      <c r="BB44" s="112"/>
      <c r="BC44" s="73"/>
      <c r="BD44" s="73"/>
      <c r="BE44" s="112">
        <f t="shared" si="13"/>
        <v>0</v>
      </c>
      <c r="BF44" s="112">
        <f ca="1">SUMIF(ALIMENTO_NUEVO!$AZ$6:$AZ$307,LABORATORIO!AW44,ALIMENTO_NUEVO!$BB$6:$BB$306)</f>
        <v>0</v>
      </c>
      <c r="BG44" s="176">
        <f t="shared" ca="1" si="14"/>
        <v>0</v>
      </c>
      <c r="BI44" s="43">
        <v>21121210</v>
      </c>
      <c r="BJ44" s="35" t="s">
        <v>69</v>
      </c>
      <c r="BK44" s="175">
        <f t="shared" si="15"/>
        <v>0</v>
      </c>
      <c r="BL44" s="112">
        <f t="array" ref="BL44">MIN(IF(ALIMENTO_NUEVO!$BL$6:$BL$306=LABORATORIO!BI44,ALIMENTO_NUEVO!$BK$6:$BK$306))</f>
        <v>0</v>
      </c>
      <c r="BM44" s="112">
        <f t="array" ref="BM44">MAX(IF(ALIMENTO_NUEVO!$BL$6:$BL$306=LABORATORIO!BI44,ALIMENTO_NUEVO!$BK$6:$BK$306))</f>
        <v>0</v>
      </c>
      <c r="BN44" s="112"/>
      <c r="BO44" s="73"/>
      <c r="BP44" s="73"/>
      <c r="BQ44" s="112">
        <f t="shared" si="16"/>
        <v>0</v>
      </c>
      <c r="BR44" s="112">
        <f>SUMIF(ALIMENTO_NUEVO!$BL$6:$BL$306,LABORATORIO!BI44,ALIMENTO_NUEVO!$BN$6:$BN$306)</f>
        <v>0</v>
      </c>
      <c r="BS44" s="176">
        <f t="shared" si="17"/>
        <v>0</v>
      </c>
    </row>
    <row r="45" spans="1:71" hidden="1" x14ac:dyDescent="0.25">
      <c r="A45" s="43">
        <v>21211211</v>
      </c>
      <c r="B45" s="35" t="s">
        <v>70</v>
      </c>
      <c r="C45" s="175">
        <f t="shared" si="0"/>
        <v>0</v>
      </c>
      <c r="D45" s="112">
        <f t="array" ref="D45">MIN(IF(ALIMENTO_NUEVO!$D$6:$D$306=LABORATORIO!A45,ALIMENTO_NUEVO!$C$6:$C$306))</f>
        <v>0</v>
      </c>
      <c r="E45" s="112">
        <f t="array" ref="E45">MAX(IF(ALIMENTO_NUEVO!$D$6:$D$306=LABORATORIO!A45,ALIMENTO_NUEVO!$C$6:$C$306))</f>
        <v>0</v>
      </c>
      <c r="F45" s="112"/>
      <c r="G45" s="73"/>
      <c r="H45" s="73"/>
      <c r="I45" s="112">
        <f t="shared" si="1"/>
        <v>0</v>
      </c>
      <c r="J45" s="112">
        <f>SUMIF(ALIMENTO_NUEVO!$D$6:$D$306,A45,ALIMENTO_NUEVO!$F$6:$F$306)</f>
        <v>0</v>
      </c>
      <c r="K45" s="176">
        <f t="shared" si="2"/>
        <v>0</v>
      </c>
      <c r="M45" s="43">
        <v>21211211</v>
      </c>
      <c r="N45" s="35" t="s">
        <v>70</v>
      </c>
      <c r="O45" s="175">
        <f t="shared" si="3"/>
        <v>0</v>
      </c>
      <c r="P45" s="112">
        <f t="array" ref="P45">MIN(IF(ALIMENTO_NUEVO!$P$6:$P$306=LABORATORIO!M45,ALIMENTO_NUEVO!$O$6:$O$306))</f>
        <v>0</v>
      </c>
      <c r="Q45" s="112">
        <f t="array" ref="Q45">MAX(IF(ALIMENTO_NUEVO!$P$6:$P$306=LABORATORIO!M45,ALIMENTO_NUEVO!$O$6:$O$306))</f>
        <v>0</v>
      </c>
      <c r="R45" s="112"/>
      <c r="S45" s="73"/>
      <c r="T45" s="73"/>
      <c r="U45" s="112">
        <f t="shared" si="4"/>
        <v>0</v>
      </c>
      <c r="V45" s="112">
        <f ca="1">SUMIF(ALIMENTO_NUEVO!$P$6:$P$306,LABORATORIO!M45,ALIMENTO_NUEVO!$R48:$R344)</f>
        <v>0</v>
      </c>
      <c r="W45" s="176">
        <f t="shared" ca="1" si="5"/>
        <v>0</v>
      </c>
      <c r="Y45" s="43">
        <v>21211211</v>
      </c>
      <c r="Z45" s="35" t="s">
        <v>70</v>
      </c>
      <c r="AA45" s="175">
        <f t="shared" si="6"/>
        <v>0</v>
      </c>
      <c r="AB45" s="112">
        <f t="array" ref="AB45">MIN(IF(ALIMENTO_NUEVO!$AB$6:$AB$306=LABORATORIO!Y45,ALIMENTO_NUEVO!$AA$6:$AA$306))</f>
        <v>0</v>
      </c>
      <c r="AC45" s="112">
        <f t="array" ref="AC45">MAX(IF(ALIMENTO_NUEVO!$AB$6:$AB$306=LABORATORIO!Y45,ALIMENTO_NUEVO!$AA$6:$AA$306))</f>
        <v>0</v>
      </c>
      <c r="AD45" s="112"/>
      <c r="AE45" s="73"/>
      <c r="AF45" s="73"/>
      <c r="AG45" s="112">
        <f t="shared" si="7"/>
        <v>0</v>
      </c>
      <c r="AH45" s="112">
        <f>SUMIF(ALIMENTO_NUEVO!$AB$6:$AB$306,LABORATORIO!Y45,ALIMENTO_NUEVO!$AD$6:$AD$306)</f>
        <v>0</v>
      </c>
      <c r="AI45" s="176">
        <f t="shared" si="8"/>
        <v>0</v>
      </c>
      <c r="AK45" s="43">
        <v>21211211</v>
      </c>
      <c r="AL45" s="35" t="s">
        <v>70</v>
      </c>
      <c r="AM45" s="175">
        <f t="shared" si="9"/>
        <v>0</v>
      </c>
      <c r="AN45" s="112">
        <f t="array" ref="AN45">MIN(IF(ALIMENTO_NUEVO!$AN$6:$AN$306=LABORATORIO!AK45,ALIMENTO_NUEVO!$AM$6:$AM$306))</f>
        <v>0</v>
      </c>
      <c r="AO45" s="112">
        <f t="array" ref="AO45">MAX(IF(ALIMENTO_NUEVO!$AN$6:$AN$306=LABORATORIO!AK45,ALIMENTO_NUEVO!$AM$6:$AM$306))</f>
        <v>0</v>
      </c>
      <c r="AP45" s="112"/>
      <c r="AQ45" s="73"/>
      <c r="AR45" s="73"/>
      <c r="AS45" s="112">
        <f t="shared" si="10"/>
        <v>0</v>
      </c>
      <c r="AT45" s="112">
        <f>SUMIF(ALIMENTO_NUEVO!$AN$6:$AN$306,LABORATORIO!AK45,ALIMENTO_NUEVO!$AP$6:$AP$306)</f>
        <v>0</v>
      </c>
      <c r="AU45" s="176">
        <f t="shared" si="11"/>
        <v>0</v>
      </c>
      <c r="AW45" s="43">
        <v>21211211</v>
      </c>
      <c r="AX45" s="35" t="s">
        <v>70</v>
      </c>
      <c r="AY45" s="175">
        <f t="shared" si="12"/>
        <v>0</v>
      </c>
      <c r="AZ45" s="112">
        <f t="array" ref="AZ45">MIN(IF(ALIMENTO_NUEVO!$AZ$6:$AZ$306=LABORATORIO!AW45,ALIMENTO_NUEVO!$AY$6:$AY$306))</f>
        <v>0</v>
      </c>
      <c r="BA45" s="112">
        <f t="array" ref="BA45">MAX(IF(ALIMENTO_NUEVO!$AZ$6:$AZ$306=LABORATORIO!AW45,ALIMENTO_NUEVO!$AY$6:$AY$306))</f>
        <v>0</v>
      </c>
      <c r="BB45" s="112"/>
      <c r="BC45" s="73"/>
      <c r="BD45" s="73"/>
      <c r="BE45" s="112">
        <f t="shared" si="13"/>
        <v>0</v>
      </c>
      <c r="BF45" s="112">
        <f ca="1">SUMIF(ALIMENTO_NUEVO!$AZ$6:$AZ$307,LABORATORIO!AW45,ALIMENTO_NUEVO!$BB$6:$BB$306)</f>
        <v>0</v>
      </c>
      <c r="BG45" s="176">
        <f t="shared" ca="1" si="14"/>
        <v>0</v>
      </c>
      <c r="BI45" s="43">
        <v>21211211</v>
      </c>
      <c r="BJ45" s="35" t="s">
        <v>70</v>
      </c>
      <c r="BK45" s="175">
        <f t="shared" si="15"/>
        <v>0</v>
      </c>
      <c r="BL45" s="112">
        <f t="array" ref="BL45">MIN(IF(ALIMENTO_NUEVO!$BL$6:$BL$306=LABORATORIO!BI45,ALIMENTO_NUEVO!$BK$6:$BK$306))</f>
        <v>0</v>
      </c>
      <c r="BM45" s="112">
        <f t="array" ref="BM45">MAX(IF(ALIMENTO_NUEVO!$BL$6:$BL$306=LABORATORIO!BI45,ALIMENTO_NUEVO!$BK$6:$BK$306))</f>
        <v>0</v>
      </c>
      <c r="BN45" s="112"/>
      <c r="BO45" s="73"/>
      <c r="BP45" s="73"/>
      <c r="BQ45" s="112">
        <f t="shared" si="16"/>
        <v>0</v>
      </c>
      <c r="BR45" s="112">
        <f>SUMIF(ALIMENTO_NUEVO!$BL$6:$BL$306,LABORATORIO!BI45,ALIMENTO_NUEVO!$BN$6:$BN$306)</f>
        <v>0</v>
      </c>
      <c r="BS45" s="176">
        <f t="shared" si="17"/>
        <v>0</v>
      </c>
    </row>
    <row r="46" spans="1:71" hidden="1" x14ac:dyDescent="0.25">
      <c r="A46" s="43">
        <v>21211212</v>
      </c>
      <c r="B46" s="35" t="s">
        <v>71</v>
      </c>
      <c r="C46" s="175">
        <f t="shared" si="0"/>
        <v>0</v>
      </c>
      <c r="D46" s="112">
        <f t="array" ref="D46">MIN(IF(ALIMENTO_NUEVO!$D$6:$D$306=LABORATORIO!A46,ALIMENTO_NUEVO!$C$6:$C$306))</f>
        <v>0</v>
      </c>
      <c r="E46" s="112">
        <f t="array" ref="E46">MAX(IF(ALIMENTO_NUEVO!$D$6:$D$306=LABORATORIO!A46,ALIMENTO_NUEVO!$C$6:$C$306))</f>
        <v>0</v>
      </c>
      <c r="F46" s="112"/>
      <c r="G46" s="73"/>
      <c r="H46" s="73"/>
      <c r="I46" s="112">
        <f t="shared" si="1"/>
        <v>0</v>
      </c>
      <c r="J46" s="112">
        <f>SUMIF(ALIMENTO_NUEVO!$D$6:$D$306,A46,ALIMENTO_NUEVO!$F$6:$F$306)</f>
        <v>0</v>
      </c>
      <c r="K46" s="176">
        <f t="shared" si="2"/>
        <v>0</v>
      </c>
      <c r="M46" s="43">
        <v>21211212</v>
      </c>
      <c r="N46" s="35" t="s">
        <v>71</v>
      </c>
      <c r="O46" s="175">
        <f t="shared" si="3"/>
        <v>0</v>
      </c>
      <c r="P46" s="112">
        <f t="array" ref="P46">MIN(IF(ALIMENTO_NUEVO!$P$6:$P$306=LABORATORIO!M46,ALIMENTO_NUEVO!$O$6:$O$306))</f>
        <v>0</v>
      </c>
      <c r="Q46" s="112">
        <f t="array" ref="Q46">MAX(IF(ALIMENTO_NUEVO!$P$6:$P$306=LABORATORIO!M46,ALIMENTO_NUEVO!$O$6:$O$306))</f>
        <v>0</v>
      </c>
      <c r="R46" s="112"/>
      <c r="S46" s="73"/>
      <c r="T46" s="73"/>
      <c r="U46" s="112">
        <f t="shared" si="4"/>
        <v>0</v>
      </c>
      <c r="V46" s="112">
        <f ca="1">SUMIF(ALIMENTO_NUEVO!$P$6:$P$306,LABORATORIO!M46,ALIMENTO_NUEVO!$R49:$R345)</f>
        <v>0</v>
      </c>
      <c r="W46" s="176">
        <f t="shared" ca="1" si="5"/>
        <v>0</v>
      </c>
      <c r="Y46" s="43">
        <v>21211212</v>
      </c>
      <c r="Z46" s="35" t="s">
        <v>71</v>
      </c>
      <c r="AA46" s="175">
        <f t="shared" si="6"/>
        <v>0</v>
      </c>
      <c r="AB46" s="112">
        <f t="array" ref="AB46">MIN(IF(ALIMENTO_NUEVO!$AB$6:$AB$306=LABORATORIO!Y46,ALIMENTO_NUEVO!$AA$6:$AA$306))</f>
        <v>0</v>
      </c>
      <c r="AC46" s="112">
        <f t="array" ref="AC46">MAX(IF(ALIMENTO_NUEVO!$AB$6:$AB$306=LABORATORIO!Y46,ALIMENTO_NUEVO!$AA$6:$AA$306))</f>
        <v>0</v>
      </c>
      <c r="AD46" s="112"/>
      <c r="AE46" s="73"/>
      <c r="AF46" s="73"/>
      <c r="AG46" s="112">
        <f t="shared" si="7"/>
        <v>0</v>
      </c>
      <c r="AH46" s="112">
        <f>SUMIF(ALIMENTO_NUEVO!$AB$6:$AB$306,LABORATORIO!Y46,ALIMENTO_NUEVO!$AD$6:$AD$306)</f>
        <v>0</v>
      </c>
      <c r="AI46" s="176">
        <f t="shared" si="8"/>
        <v>0</v>
      </c>
      <c r="AK46" s="43">
        <v>21211212</v>
      </c>
      <c r="AL46" s="35" t="s">
        <v>71</v>
      </c>
      <c r="AM46" s="175">
        <f t="shared" si="9"/>
        <v>0</v>
      </c>
      <c r="AN46" s="112">
        <f t="array" ref="AN46">MIN(IF(ALIMENTO_NUEVO!$AN$6:$AN$306=LABORATORIO!AK46,ALIMENTO_NUEVO!$AM$6:$AM$306))</f>
        <v>0</v>
      </c>
      <c r="AO46" s="112">
        <f t="array" ref="AO46">MAX(IF(ALIMENTO_NUEVO!$AN$6:$AN$306=LABORATORIO!AK46,ALIMENTO_NUEVO!$AM$6:$AM$306))</f>
        <v>0</v>
      </c>
      <c r="AP46" s="112"/>
      <c r="AQ46" s="73"/>
      <c r="AR46" s="73"/>
      <c r="AS46" s="112">
        <f t="shared" si="10"/>
        <v>0</v>
      </c>
      <c r="AT46" s="112">
        <f>SUMIF(ALIMENTO_NUEVO!$AN$6:$AN$306,LABORATORIO!AK46,ALIMENTO_NUEVO!$AP$6:$AP$306)</f>
        <v>0</v>
      </c>
      <c r="AU46" s="176">
        <f t="shared" si="11"/>
        <v>0</v>
      </c>
      <c r="AW46" s="43">
        <v>21211212</v>
      </c>
      <c r="AX46" s="35" t="s">
        <v>71</v>
      </c>
      <c r="AY46" s="175">
        <f t="shared" si="12"/>
        <v>0</v>
      </c>
      <c r="AZ46" s="112">
        <f t="array" ref="AZ46">MIN(IF(ALIMENTO_NUEVO!$AZ$6:$AZ$306=LABORATORIO!AW46,ALIMENTO_NUEVO!$AY$6:$AY$306))</f>
        <v>0</v>
      </c>
      <c r="BA46" s="112">
        <f t="array" ref="BA46">MAX(IF(ALIMENTO_NUEVO!$AZ$6:$AZ$306=LABORATORIO!AW46,ALIMENTO_NUEVO!$AY$6:$AY$306))</f>
        <v>0</v>
      </c>
      <c r="BB46" s="112"/>
      <c r="BC46" s="73"/>
      <c r="BD46" s="73"/>
      <c r="BE46" s="112">
        <f t="shared" si="13"/>
        <v>0</v>
      </c>
      <c r="BF46" s="112">
        <f ca="1">SUMIF(ALIMENTO_NUEVO!$AZ$6:$AZ$307,LABORATORIO!AW46,ALIMENTO_NUEVO!$BB$6:$BB$306)</f>
        <v>0</v>
      </c>
      <c r="BG46" s="176">
        <f t="shared" ca="1" si="14"/>
        <v>0</v>
      </c>
      <c r="BI46" s="43">
        <v>21211212</v>
      </c>
      <c r="BJ46" s="35" t="s">
        <v>71</v>
      </c>
      <c r="BK46" s="175">
        <f t="shared" si="15"/>
        <v>0</v>
      </c>
      <c r="BL46" s="112">
        <f t="array" ref="BL46">MIN(IF(ALIMENTO_NUEVO!$BL$6:$BL$306=LABORATORIO!BI46,ALIMENTO_NUEVO!$BK$6:$BK$306))</f>
        <v>0</v>
      </c>
      <c r="BM46" s="112">
        <f t="array" ref="BM46">MAX(IF(ALIMENTO_NUEVO!$BL$6:$BL$306=LABORATORIO!BI46,ALIMENTO_NUEVO!$BK$6:$BK$306))</f>
        <v>0</v>
      </c>
      <c r="BN46" s="112"/>
      <c r="BO46" s="73"/>
      <c r="BP46" s="73"/>
      <c r="BQ46" s="112">
        <f t="shared" si="16"/>
        <v>0</v>
      </c>
      <c r="BR46" s="112">
        <f>SUMIF(ALIMENTO_NUEVO!$BL$6:$BL$306,LABORATORIO!BI46,ALIMENTO_NUEVO!$BN$6:$BN$306)</f>
        <v>0</v>
      </c>
      <c r="BS46" s="176">
        <f t="shared" si="17"/>
        <v>0</v>
      </c>
    </row>
    <row r="47" spans="1:71" hidden="1" x14ac:dyDescent="0.25">
      <c r="A47" s="43">
        <v>21211213</v>
      </c>
      <c r="B47" s="35" t="s">
        <v>72</v>
      </c>
      <c r="C47" s="175">
        <f t="shared" si="0"/>
        <v>0</v>
      </c>
      <c r="D47" s="112">
        <f t="array" ref="D47">MIN(IF(ALIMENTO_NUEVO!$D$6:$D$306=LABORATORIO!A47,ALIMENTO_NUEVO!$C$6:$C$306))</f>
        <v>0</v>
      </c>
      <c r="E47" s="112">
        <f t="array" ref="E47">MAX(IF(ALIMENTO_NUEVO!$D$6:$D$306=LABORATORIO!A47,ALIMENTO_NUEVO!$C$6:$C$306))</f>
        <v>0</v>
      </c>
      <c r="F47" s="112"/>
      <c r="G47" s="73"/>
      <c r="H47" s="73"/>
      <c r="I47" s="112">
        <f t="shared" si="1"/>
        <v>0</v>
      </c>
      <c r="J47" s="112">
        <f>SUMIF(ALIMENTO_NUEVO!$D$6:$D$306,A47,ALIMENTO_NUEVO!$F$6:$F$306)</f>
        <v>0</v>
      </c>
      <c r="K47" s="176">
        <f t="shared" si="2"/>
        <v>0</v>
      </c>
      <c r="M47" s="43">
        <v>21211213</v>
      </c>
      <c r="N47" s="35" t="s">
        <v>72</v>
      </c>
      <c r="O47" s="175">
        <f t="shared" si="3"/>
        <v>0</v>
      </c>
      <c r="P47" s="112">
        <f t="array" ref="P47">MIN(IF(ALIMENTO_NUEVO!$P$6:$P$306=LABORATORIO!M47,ALIMENTO_NUEVO!$O$6:$O$306))</f>
        <v>0</v>
      </c>
      <c r="Q47" s="112">
        <f t="array" ref="Q47">MAX(IF(ALIMENTO_NUEVO!$P$6:$P$306=LABORATORIO!M47,ALIMENTO_NUEVO!$O$6:$O$306))</f>
        <v>0</v>
      </c>
      <c r="R47" s="112"/>
      <c r="S47" s="73"/>
      <c r="T47" s="73"/>
      <c r="U47" s="112">
        <f t="shared" si="4"/>
        <v>0</v>
      </c>
      <c r="V47" s="112">
        <f ca="1">SUMIF(ALIMENTO_NUEVO!$P$6:$P$306,LABORATORIO!M47,ALIMENTO_NUEVO!$R50:$R346)</f>
        <v>0</v>
      </c>
      <c r="W47" s="176">
        <f t="shared" ca="1" si="5"/>
        <v>0</v>
      </c>
      <c r="Y47" s="43">
        <v>21211213</v>
      </c>
      <c r="Z47" s="35" t="s">
        <v>72</v>
      </c>
      <c r="AA47" s="175">
        <f t="shared" si="6"/>
        <v>0</v>
      </c>
      <c r="AB47" s="112">
        <f t="array" ref="AB47">MIN(IF(ALIMENTO_NUEVO!$AB$6:$AB$306=LABORATORIO!Y47,ALIMENTO_NUEVO!$AA$6:$AA$306))</f>
        <v>0</v>
      </c>
      <c r="AC47" s="112">
        <f t="array" ref="AC47">MAX(IF(ALIMENTO_NUEVO!$AB$6:$AB$306=LABORATORIO!Y47,ALIMENTO_NUEVO!$AA$6:$AA$306))</f>
        <v>0</v>
      </c>
      <c r="AD47" s="112"/>
      <c r="AE47" s="73"/>
      <c r="AF47" s="73"/>
      <c r="AG47" s="112">
        <f t="shared" si="7"/>
        <v>0</v>
      </c>
      <c r="AH47" s="112">
        <f>SUMIF(ALIMENTO_NUEVO!$AB$6:$AB$306,LABORATORIO!Y47,ALIMENTO_NUEVO!$AD$6:$AD$306)</f>
        <v>0</v>
      </c>
      <c r="AI47" s="176">
        <f t="shared" si="8"/>
        <v>0</v>
      </c>
      <c r="AK47" s="43">
        <v>21211213</v>
      </c>
      <c r="AL47" s="35" t="s">
        <v>72</v>
      </c>
      <c r="AM47" s="175">
        <f t="shared" si="9"/>
        <v>0</v>
      </c>
      <c r="AN47" s="112">
        <f t="array" ref="AN47">MIN(IF(ALIMENTO_NUEVO!$AN$6:$AN$306=LABORATORIO!AK47,ALIMENTO_NUEVO!$AM$6:$AM$306))</f>
        <v>0</v>
      </c>
      <c r="AO47" s="112">
        <f t="array" ref="AO47">MAX(IF(ALIMENTO_NUEVO!$AN$6:$AN$306=LABORATORIO!AK47,ALIMENTO_NUEVO!$AM$6:$AM$306))</f>
        <v>0</v>
      </c>
      <c r="AP47" s="112"/>
      <c r="AQ47" s="73"/>
      <c r="AR47" s="73"/>
      <c r="AS47" s="112">
        <f t="shared" si="10"/>
        <v>0</v>
      </c>
      <c r="AT47" s="112">
        <f>SUMIF(ALIMENTO_NUEVO!$AN$6:$AN$306,LABORATORIO!AK47,ALIMENTO_NUEVO!$AP$6:$AP$306)</f>
        <v>0</v>
      </c>
      <c r="AU47" s="176">
        <f t="shared" si="11"/>
        <v>0</v>
      </c>
      <c r="AW47" s="43">
        <v>21211213</v>
      </c>
      <c r="AX47" s="35" t="s">
        <v>72</v>
      </c>
      <c r="AY47" s="175">
        <f t="shared" si="12"/>
        <v>0</v>
      </c>
      <c r="AZ47" s="112">
        <f t="array" ref="AZ47">MIN(IF(ALIMENTO_NUEVO!$AZ$6:$AZ$306=LABORATORIO!AW47,ALIMENTO_NUEVO!$AY$6:$AY$306))</f>
        <v>0</v>
      </c>
      <c r="BA47" s="112">
        <f t="array" ref="BA47">MAX(IF(ALIMENTO_NUEVO!$AZ$6:$AZ$306=LABORATORIO!AW47,ALIMENTO_NUEVO!$AY$6:$AY$306))</f>
        <v>0</v>
      </c>
      <c r="BB47" s="112"/>
      <c r="BC47" s="73"/>
      <c r="BD47" s="73"/>
      <c r="BE47" s="112">
        <f t="shared" si="13"/>
        <v>0</v>
      </c>
      <c r="BF47" s="112">
        <f ca="1">SUMIF(ALIMENTO_NUEVO!$AZ$6:$AZ$307,LABORATORIO!AW47,ALIMENTO_NUEVO!$BB$6:$BB$306)</f>
        <v>0</v>
      </c>
      <c r="BG47" s="176">
        <f t="shared" ca="1" si="14"/>
        <v>0</v>
      </c>
      <c r="BI47" s="43">
        <v>21211213</v>
      </c>
      <c r="BJ47" s="35" t="s">
        <v>72</v>
      </c>
      <c r="BK47" s="175">
        <f t="shared" si="15"/>
        <v>0</v>
      </c>
      <c r="BL47" s="112">
        <f t="array" ref="BL47">MIN(IF(ALIMENTO_NUEVO!$BL$6:$BL$306=LABORATORIO!BI47,ALIMENTO_NUEVO!$BK$6:$BK$306))</f>
        <v>0</v>
      </c>
      <c r="BM47" s="112">
        <f t="array" ref="BM47">MAX(IF(ALIMENTO_NUEVO!$BL$6:$BL$306=LABORATORIO!BI47,ALIMENTO_NUEVO!$BK$6:$BK$306))</f>
        <v>0</v>
      </c>
      <c r="BN47" s="112"/>
      <c r="BO47" s="73"/>
      <c r="BP47" s="73"/>
      <c r="BQ47" s="112">
        <f t="shared" si="16"/>
        <v>0</v>
      </c>
      <c r="BR47" s="112">
        <f>SUMIF(ALIMENTO_NUEVO!$BL$6:$BL$306,LABORATORIO!BI47,ALIMENTO_NUEVO!$BN$6:$BN$306)</f>
        <v>0</v>
      </c>
      <c r="BS47" s="176">
        <f t="shared" si="17"/>
        <v>0</v>
      </c>
    </row>
    <row r="48" spans="1:71" hidden="1" x14ac:dyDescent="0.25">
      <c r="A48" s="43">
        <v>21211221.010000002</v>
      </c>
      <c r="B48" s="35" t="s">
        <v>70</v>
      </c>
      <c r="C48" s="175">
        <f t="shared" si="0"/>
        <v>0</v>
      </c>
      <c r="D48" s="112">
        <f t="array" ref="D48">MIN(IF(ALIMENTO_NUEVO!$D$6:$D$306=LABORATORIO!A48,ALIMENTO_NUEVO!$C$6:$C$306))</f>
        <v>0</v>
      </c>
      <c r="E48" s="112">
        <f t="array" ref="E48">MAX(IF(ALIMENTO_NUEVO!$D$6:$D$306=LABORATORIO!A48,ALIMENTO_NUEVO!$C$6:$C$306))</f>
        <v>0</v>
      </c>
      <c r="F48" s="112"/>
      <c r="G48" s="73"/>
      <c r="H48" s="73"/>
      <c r="I48" s="112">
        <f t="shared" si="1"/>
        <v>0</v>
      </c>
      <c r="J48" s="112">
        <f>SUMIF(ALIMENTO_NUEVO!$D$6:$D$306,A48,ALIMENTO_NUEVO!$F$6:$F$306)</f>
        <v>0</v>
      </c>
      <c r="K48" s="176">
        <f t="shared" si="2"/>
        <v>0</v>
      </c>
      <c r="M48" s="43">
        <v>21211221.010000002</v>
      </c>
      <c r="N48" s="35" t="s">
        <v>70</v>
      </c>
      <c r="O48" s="175">
        <f t="shared" si="3"/>
        <v>0</v>
      </c>
      <c r="P48" s="112">
        <f t="array" ref="P48">MIN(IF(ALIMENTO_NUEVO!$P$6:$P$306=LABORATORIO!M48,ALIMENTO_NUEVO!$O$6:$O$306))</f>
        <v>0</v>
      </c>
      <c r="Q48" s="112">
        <f t="array" ref="Q48">MAX(IF(ALIMENTO_NUEVO!$P$6:$P$306=LABORATORIO!M48,ALIMENTO_NUEVO!$O$6:$O$306))</f>
        <v>0</v>
      </c>
      <c r="R48" s="112"/>
      <c r="S48" s="73"/>
      <c r="T48" s="73"/>
      <c r="U48" s="112">
        <f t="shared" si="4"/>
        <v>0</v>
      </c>
      <c r="V48" s="112">
        <f ca="1">SUMIF(ALIMENTO_NUEVO!$P$6:$P$306,LABORATORIO!M48,ALIMENTO_NUEVO!$R51:$R347)</f>
        <v>0</v>
      </c>
      <c r="W48" s="176">
        <f t="shared" ca="1" si="5"/>
        <v>0</v>
      </c>
      <c r="Y48" s="43">
        <v>21211221.010000002</v>
      </c>
      <c r="Z48" s="35" t="s">
        <v>70</v>
      </c>
      <c r="AA48" s="175">
        <f t="shared" si="6"/>
        <v>0</v>
      </c>
      <c r="AB48" s="112">
        <f t="array" ref="AB48">MIN(IF(ALIMENTO_NUEVO!$AB$6:$AB$306=LABORATORIO!Y48,ALIMENTO_NUEVO!$AA$6:$AA$306))</f>
        <v>0</v>
      </c>
      <c r="AC48" s="112">
        <f t="array" ref="AC48">MAX(IF(ALIMENTO_NUEVO!$AB$6:$AB$306=LABORATORIO!Y48,ALIMENTO_NUEVO!$AA$6:$AA$306))</f>
        <v>0</v>
      </c>
      <c r="AD48" s="112"/>
      <c r="AE48" s="73"/>
      <c r="AF48" s="73"/>
      <c r="AG48" s="112">
        <f t="shared" si="7"/>
        <v>0</v>
      </c>
      <c r="AH48" s="112">
        <f>SUMIF(ALIMENTO_NUEVO!$AB$6:$AB$306,LABORATORIO!Y48,ALIMENTO_NUEVO!$AD$6:$AD$306)</f>
        <v>0</v>
      </c>
      <c r="AI48" s="176">
        <f t="shared" si="8"/>
        <v>0</v>
      </c>
      <c r="AK48" s="43">
        <v>21211221.010000002</v>
      </c>
      <c r="AL48" s="35" t="s">
        <v>70</v>
      </c>
      <c r="AM48" s="175">
        <f t="shared" si="9"/>
        <v>0</v>
      </c>
      <c r="AN48" s="112">
        <f t="array" ref="AN48">MIN(IF(ALIMENTO_NUEVO!$AN$6:$AN$306=LABORATORIO!AK48,ALIMENTO_NUEVO!$AM$6:$AM$306))</f>
        <v>0</v>
      </c>
      <c r="AO48" s="112">
        <f t="array" ref="AO48">MAX(IF(ALIMENTO_NUEVO!$AN$6:$AN$306=LABORATORIO!AK48,ALIMENTO_NUEVO!$AM$6:$AM$306))</f>
        <v>0</v>
      </c>
      <c r="AP48" s="112"/>
      <c r="AQ48" s="73"/>
      <c r="AR48" s="73"/>
      <c r="AS48" s="112">
        <f t="shared" si="10"/>
        <v>0</v>
      </c>
      <c r="AT48" s="112">
        <f>SUMIF(ALIMENTO_NUEVO!$AN$6:$AN$306,LABORATORIO!AK48,ALIMENTO_NUEVO!$AP$6:$AP$306)</f>
        <v>0</v>
      </c>
      <c r="AU48" s="176">
        <f t="shared" si="11"/>
        <v>0</v>
      </c>
      <c r="AW48" s="43">
        <v>21211221.010000002</v>
      </c>
      <c r="AX48" s="35" t="s">
        <v>70</v>
      </c>
      <c r="AY48" s="175">
        <f t="shared" si="12"/>
        <v>0</v>
      </c>
      <c r="AZ48" s="112">
        <f t="array" ref="AZ48">MIN(IF(ALIMENTO_NUEVO!$AZ$6:$AZ$306=LABORATORIO!AW48,ALIMENTO_NUEVO!$AY$6:$AY$306))</f>
        <v>0</v>
      </c>
      <c r="BA48" s="112">
        <f t="array" ref="BA48">MAX(IF(ALIMENTO_NUEVO!$AZ$6:$AZ$306=LABORATORIO!AW48,ALIMENTO_NUEVO!$AY$6:$AY$306))</f>
        <v>0</v>
      </c>
      <c r="BB48" s="112"/>
      <c r="BC48" s="73"/>
      <c r="BD48" s="73"/>
      <c r="BE48" s="112">
        <f t="shared" si="13"/>
        <v>0</v>
      </c>
      <c r="BF48" s="112">
        <f ca="1">SUMIF(ALIMENTO_NUEVO!$AZ$6:$AZ$307,LABORATORIO!AW48,ALIMENTO_NUEVO!$BB$6:$BB$306)</f>
        <v>0</v>
      </c>
      <c r="BG48" s="176">
        <f t="shared" ca="1" si="14"/>
        <v>0</v>
      </c>
      <c r="BI48" s="43">
        <v>21211221.010000002</v>
      </c>
      <c r="BJ48" s="35" t="s">
        <v>70</v>
      </c>
      <c r="BK48" s="175">
        <f t="shared" si="15"/>
        <v>0</v>
      </c>
      <c r="BL48" s="112">
        <f t="array" ref="BL48">MIN(IF(ALIMENTO_NUEVO!$BL$6:$BL$306=LABORATORIO!BI48,ALIMENTO_NUEVO!$BK$6:$BK$306))</f>
        <v>0</v>
      </c>
      <c r="BM48" s="112">
        <f t="array" ref="BM48">MAX(IF(ALIMENTO_NUEVO!$BL$6:$BL$306=LABORATORIO!BI48,ALIMENTO_NUEVO!$BK$6:$BK$306))</f>
        <v>0</v>
      </c>
      <c r="BN48" s="112"/>
      <c r="BO48" s="73"/>
      <c r="BP48" s="73"/>
      <c r="BQ48" s="112">
        <f t="shared" si="16"/>
        <v>0</v>
      </c>
      <c r="BR48" s="112">
        <f>SUMIF(ALIMENTO_NUEVO!$BL$6:$BL$306,LABORATORIO!BI48,ALIMENTO_NUEVO!$BN$6:$BN$306)</f>
        <v>0</v>
      </c>
      <c r="BS48" s="176">
        <f t="shared" si="17"/>
        <v>0</v>
      </c>
    </row>
    <row r="49" spans="1:71" hidden="1" x14ac:dyDescent="0.25">
      <c r="A49" s="43">
        <v>21211222.010000002</v>
      </c>
      <c r="B49" s="35" t="s">
        <v>71</v>
      </c>
      <c r="C49" s="175">
        <f t="shared" si="0"/>
        <v>0</v>
      </c>
      <c r="D49" s="112">
        <f t="array" ref="D49">MIN(IF(ALIMENTO_NUEVO!$D$6:$D$306=LABORATORIO!A49,ALIMENTO_NUEVO!$C$6:$C$306))</f>
        <v>0</v>
      </c>
      <c r="E49" s="112">
        <f t="array" ref="E49">MAX(IF(ALIMENTO_NUEVO!$D$6:$D$306=LABORATORIO!A49,ALIMENTO_NUEVO!$C$6:$C$306))</f>
        <v>0</v>
      </c>
      <c r="F49" s="112"/>
      <c r="G49" s="73"/>
      <c r="H49" s="73"/>
      <c r="I49" s="112">
        <f t="shared" si="1"/>
        <v>0</v>
      </c>
      <c r="J49" s="112">
        <f>SUMIF(ALIMENTO_NUEVO!$D$6:$D$306,A49,ALIMENTO_NUEVO!$F$6:$F$306)</f>
        <v>0</v>
      </c>
      <c r="K49" s="176">
        <f t="shared" si="2"/>
        <v>0</v>
      </c>
      <c r="M49" s="43">
        <v>21211222.010000002</v>
      </c>
      <c r="N49" s="35" t="s">
        <v>71</v>
      </c>
      <c r="O49" s="175">
        <f t="shared" si="3"/>
        <v>0</v>
      </c>
      <c r="P49" s="112">
        <f t="array" ref="P49">MIN(IF(ALIMENTO_NUEVO!$P$6:$P$306=LABORATORIO!M49,ALIMENTO_NUEVO!$O$6:$O$306))</f>
        <v>0</v>
      </c>
      <c r="Q49" s="112">
        <f t="array" ref="Q49">MAX(IF(ALIMENTO_NUEVO!$P$6:$P$306=LABORATORIO!M49,ALIMENTO_NUEVO!$O$6:$O$306))</f>
        <v>0</v>
      </c>
      <c r="R49" s="112"/>
      <c r="S49" s="73"/>
      <c r="T49" s="73"/>
      <c r="U49" s="112">
        <f t="shared" si="4"/>
        <v>0</v>
      </c>
      <c r="V49" s="112">
        <f ca="1">SUMIF(ALIMENTO_NUEVO!$P$6:$P$306,LABORATORIO!M49,ALIMENTO_NUEVO!$R52:$R348)</f>
        <v>0</v>
      </c>
      <c r="W49" s="176">
        <f t="shared" ca="1" si="5"/>
        <v>0</v>
      </c>
      <c r="Y49" s="43">
        <v>21211222.010000002</v>
      </c>
      <c r="Z49" s="35" t="s">
        <v>71</v>
      </c>
      <c r="AA49" s="175">
        <f t="shared" si="6"/>
        <v>0</v>
      </c>
      <c r="AB49" s="112">
        <f t="array" ref="AB49">MIN(IF(ALIMENTO_NUEVO!$AB$6:$AB$306=LABORATORIO!Y49,ALIMENTO_NUEVO!$AA$6:$AA$306))</f>
        <v>0</v>
      </c>
      <c r="AC49" s="112">
        <f t="array" ref="AC49">MAX(IF(ALIMENTO_NUEVO!$AB$6:$AB$306=LABORATORIO!Y49,ALIMENTO_NUEVO!$AA$6:$AA$306))</f>
        <v>0</v>
      </c>
      <c r="AD49" s="112"/>
      <c r="AE49" s="73"/>
      <c r="AF49" s="73"/>
      <c r="AG49" s="112">
        <f t="shared" si="7"/>
        <v>0</v>
      </c>
      <c r="AH49" s="112">
        <f>SUMIF(ALIMENTO_NUEVO!$AB$6:$AB$306,LABORATORIO!Y49,ALIMENTO_NUEVO!$AD$6:$AD$306)</f>
        <v>0</v>
      </c>
      <c r="AI49" s="176">
        <f t="shared" si="8"/>
        <v>0</v>
      </c>
      <c r="AK49" s="43">
        <v>21211222.010000002</v>
      </c>
      <c r="AL49" s="35" t="s">
        <v>71</v>
      </c>
      <c r="AM49" s="175">
        <f t="shared" si="9"/>
        <v>0</v>
      </c>
      <c r="AN49" s="112">
        <f t="array" ref="AN49">MIN(IF(ALIMENTO_NUEVO!$AN$6:$AN$306=LABORATORIO!AK49,ALIMENTO_NUEVO!$AM$6:$AM$306))</f>
        <v>0</v>
      </c>
      <c r="AO49" s="112">
        <f t="array" ref="AO49">MAX(IF(ALIMENTO_NUEVO!$AN$6:$AN$306=LABORATORIO!AK49,ALIMENTO_NUEVO!$AM$6:$AM$306))</f>
        <v>0</v>
      </c>
      <c r="AP49" s="112"/>
      <c r="AQ49" s="73"/>
      <c r="AR49" s="73"/>
      <c r="AS49" s="112">
        <f t="shared" si="10"/>
        <v>0</v>
      </c>
      <c r="AT49" s="112">
        <f>SUMIF(ALIMENTO_NUEVO!$AN$6:$AN$306,LABORATORIO!AK49,ALIMENTO_NUEVO!$AP$6:$AP$306)</f>
        <v>0</v>
      </c>
      <c r="AU49" s="176">
        <f t="shared" si="11"/>
        <v>0</v>
      </c>
      <c r="AW49" s="43">
        <v>21211222.010000002</v>
      </c>
      <c r="AX49" s="35" t="s">
        <v>71</v>
      </c>
      <c r="AY49" s="175">
        <f t="shared" si="12"/>
        <v>0</v>
      </c>
      <c r="AZ49" s="112">
        <f t="array" ref="AZ49">MIN(IF(ALIMENTO_NUEVO!$AZ$6:$AZ$306=LABORATORIO!AW49,ALIMENTO_NUEVO!$AY$6:$AY$306))</f>
        <v>0</v>
      </c>
      <c r="BA49" s="112">
        <f t="array" ref="BA49">MAX(IF(ALIMENTO_NUEVO!$AZ$6:$AZ$306=LABORATORIO!AW49,ALIMENTO_NUEVO!$AY$6:$AY$306))</f>
        <v>0</v>
      </c>
      <c r="BB49" s="112"/>
      <c r="BC49" s="73"/>
      <c r="BD49" s="73"/>
      <c r="BE49" s="112">
        <f t="shared" si="13"/>
        <v>0</v>
      </c>
      <c r="BF49" s="112">
        <f ca="1">SUMIF(ALIMENTO_NUEVO!$AZ$6:$AZ$307,LABORATORIO!AW49,ALIMENTO_NUEVO!$BB$6:$BB$306)</f>
        <v>0</v>
      </c>
      <c r="BG49" s="176">
        <f t="shared" ca="1" si="14"/>
        <v>0</v>
      </c>
      <c r="BI49" s="43">
        <v>21211222.010000002</v>
      </c>
      <c r="BJ49" s="35" t="s">
        <v>71</v>
      </c>
      <c r="BK49" s="175">
        <f t="shared" si="15"/>
        <v>0</v>
      </c>
      <c r="BL49" s="112">
        <f t="array" ref="BL49">MIN(IF(ALIMENTO_NUEVO!$BL$6:$BL$306=LABORATORIO!BI49,ALIMENTO_NUEVO!$BK$6:$BK$306))</f>
        <v>0</v>
      </c>
      <c r="BM49" s="112">
        <f t="array" ref="BM49">MAX(IF(ALIMENTO_NUEVO!$BL$6:$BL$306=LABORATORIO!BI49,ALIMENTO_NUEVO!$BK$6:$BK$306))</f>
        <v>0</v>
      </c>
      <c r="BN49" s="112"/>
      <c r="BO49" s="73"/>
      <c r="BP49" s="73"/>
      <c r="BQ49" s="112">
        <f t="shared" si="16"/>
        <v>0</v>
      </c>
      <c r="BR49" s="112">
        <f>SUMIF(ALIMENTO_NUEVO!$BL$6:$BL$306,LABORATORIO!BI49,ALIMENTO_NUEVO!$BN$6:$BN$306)</f>
        <v>0</v>
      </c>
      <c r="BS49" s="176">
        <f t="shared" si="17"/>
        <v>0</v>
      </c>
    </row>
    <row r="50" spans="1:71" hidden="1" x14ac:dyDescent="0.25">
      <c r="A50" s="43">
        <v>21211223.010000002</v>
      </c>
      <c r="B50" s="35" t="s">
        <v>72</v>
      </c>
      <c r="C50" s="175">
        <f t="shared" si="0"/>
        <v>0</v>
      </c>
      <c r="D50" s="112">
        <f t="array" ref="D50">MIN(IF(ALIMENTO_NUEVO!$D$6:$D$306=LABORATORIO!A50,ALIMENTO_NUEVO!$C$6:$C$306))</f>
        <v>0</v>
      </c>
      <c r="E50" s="112">
        <f t="array" ref="E50">MAX(IF(ALIMENTO_NUEVO!$D$6:$D$306=LABORATORIO!A50,ALIMENTO_NUEVO!$C$6:$C$306))</f>
        <v>0</v>
      </c>
      <c r="F50" s="112"/>
      <c r="G50" s="73"/>
      <c r="H50" s="73"/>
      <c r="I50" s="112">
        <f t="shared" si="1"/>
        <v>0</v>
      </c>
      <c r="J50" s="112">
        <f>SUMIF(ALIMENTO_NUEVO!$D$6:$D$306,A50,ALIMENTO_NUEVO!$F$6:$F$306)</f>
        <v>0</v>
      </c>
      <c r="K50" s="176">
        <f t="shared" si="2"/>
        <v>0</v>
      </c>
      <c r="M50" s="43">
        <v>21211223.010000002</v>
      </c>
      <c r="N50" s="35" t="s">
        <v>72</v>
      </c>
      <c r="O50" s="175">
        <f t="shared" si="3"/>
        <v>0</v>
      </c>
      <c r="P50" s="112">
        <f t="array" ref="P50">MIN(IF(ALIMENTO_NUEVO!$P$6:$P$306=LABORATORIO!M50,ALIMENTO_NUEVO!$O$6:$O$306))</f>
        <v>0</v>
      </c>
      <c r="Q50" s="112">
        <f t="array" ref="Q50">MAX(IF(ALIMENTO_NUEVO!$P$6:$P$306=LABORATORIO!M50,ALIMENTO_NUEVO!$O$6:$O$306))</f>
        <v>0</v>
      </c>
      <c r="R50" s="112"/>
      <c r="S50" s="73"/>
      <c r="T50" s="73"/>
      <c r="U50" s="112">
        <f t="shared" si="4"/>
        <v>0</v>
      </c>
      <c r="V50" s="112">
        <f ca="1">SUMIF(ALIMENTO_NUEVO!$P$6:$P$306,LABORATORIO!M50,ALIMENTO_NUEVO!$R53:$R349)</f>
        <v>0</v>
      </c>
      <c r="W50" s="176">
        <f t="shared" ca="1" si="5"/>
        <v>0</v>
      </c>
      <c r="Y50" s="43">
        <v>21211223.010000002</v>
      </c>
      <c r="Z50" s="35" t="s">
        <v>72</v>
      </c>
      <c r="AA50" s="175">
        <f t="shared" si="6"/>
        <v>0</v>
      </c>
      <c r="AB50" s="112">
        <f t="array" ref="AB50">MIN(IF(ALIMENTO_NUEVO!$AB$6:$AB$306=LABORATORIO!Y50,ALIMENTO_NUEVO!$AA$6:$AA$306))</f>
        <v>0</v>
      </c>
      <c r="AC50" s="112">
        <f t="array" ref="AC50">MAX(IF(ALIMENTO_NUEVO!$AB$6:$AB$306=LABORATORIO!Y50,ALIMENTO_NUEVO!$AA$6:$AA$306))</f>
        <v>0</v>
      </c>
      <c r="AD50" s="112"/>
      <c r="AE50" s="73"/>
      <c r="AF50" s="73"/>
      <c r="AG50" s="112">
        <f t="shared" si="7"/>
        <v>0</v>
      </c>
      <c r="AH50" s="112">
        <f>SUMIF(ALIMENTO_NUEVO!$AB$6:$AB$306,LABORATORIO!Y50,ALIMENTO_NUEVO!$AD$6:$AD$306)</f>
        <v>0</v>
      </c>
      <c r="AI50" s="176">
        <f t="shared" si="8"/>
        <v>0</v>
      </c>
      <c r="AK50" s="43">
        <v>21211223.010000002</v>
      </c>
      <c r="AL50" s="35" t="s">
        <v>72</v>
      </c>
      <c r="AM50" s="175">
        <f t="shared" si="9"/>
        <v>0</v>
      </c>
      <c r="AN50" s="112">
        <f t="array" ref="AN50">MIN(IF(ALIMENTO_NUEVO!$AN$6:$AN$306=LABORATORIO!AK50,ALIMENTO_NUEVO!$AM$6:$AM$306))</f>
        <v>0</v>
      </c>
      <c r="AO50" s="112">
        <f t="array" ref="AO50">MAX(IF(ALIMENTO_NUEVO!$AN$6:$AN$306=LABORATORIO!AK50,ALIMENTO_NUEVO!$AM$6:$AM$306))</f>
        <v>0</v>
      </c>
      <c r="AP50" s="112"/>
      <c r="AQ50" s="73"/>
      <c r="AR50" s="73"/>
      <c r="AS50" s="112">
        <f t="shared" si="10"/>
        <v>0</v>
      </c>
      <c r="AT50" s="112">
        <f>SUMIF(ALIMENTO_NUEVO!$AN$6:$AN$306,LABORATORIO!AK50,ALIMENTO_NUEVO!$AP$6:$AP$306)</f>
        <v>0</v>
      </c>
      <c r="AU50" s="176">
        <f t="shared" si="11"/>
        <v>0</v>
      </c>
      <c r="AW50" s="43">
        <v>21211223.010000002</v>
      </c>
      <c r="AX50" s="35" t="s">
        <v>72</v>
      </c>
      <c r="AY50" s="175">
        <f t="shared" si="12"/>
        <v>0</v>
      </c>
      <c r="AZ50" s="112">
        <f t="array" ref="AZ50">MIN(IF(ALIMENTO_NUEVO!$AZ$6:$AZ$306=LABORATORIO!AW50,ALIMENTO_NUEVO!$AY$6:$AY$306))</f>
        <v>0</v>
      </c>
      <c r="BA50" s="112">
        <f t="array" ref="BA50">MAX(IF(ALIMENTO_NUEVO!$AZ$6:$AZ$306=LABORATORIO!AW50,ALIMENTO_NUEVO!$AY$6:$AY$306))</f>
        <v>0</v>
      </c>
      <c r="BB50" s="112"/>
      <c r="BC50" s="73"/>
      <c r="BD50" s="73"/>
      <c r="BE50" s="112">
        <f t="shared" si="13"/>
        <v>0</v>
      </c>
      <c r="BF50" s="112">
        <f ca="1">SUMIF(ALIMENTO_NUEVO!$AZ$6:$AZ$307,LABORATORIO!AW50,ALIMENTO_NUEVO!$BB$6:$BB$306)</f>
        <v>0</v>
      </c>
      <c r="BG50" s="176">
        <f t="shared" ca="1" si="14"/>
        <v>0</v>
      </c>
      <c r="BI50" s="43">
        <v>21211223.010000002</v>
      </c>
      <c r="BJ50" s="35" t="s">
        <v>72</v>
      </c>
      <c r="BK50" s="175">
        <f t="shared" si="15"/>
        <v>0</v>
      </c>
      <c r="BL50" s="112">
        <f t="array" ref="BL50">MIN(IF(ALIMENTO_NUEVO!$BL$6:$BL$306=LABORATORIO!BI50,ALIMENTO_NUEVO!$BK$6:$BK$306))</f>
        <v>0</v>
      </c>
      <c r="BM50" s="112">
        <f t="array" ref="BM50">MAX(IF(ALIMENTO_NUEVO!$BL$6:$BL$306=LABORATORIO!BI50,ALIMENTO_NUEVO!$BK$6:$BK$306))</f>
        <v>0</v>
      </c>
      <c r="BN50" s="112"/>
      <c r="BO50" s="73"/>
      <c r="BP50" s="73"/>
      <c r="BQ50" s="112">
        <f t="shared" si="16"/>
        <v>0</v>
      </c>
      <c r="BR50" s="112">
        <f>SUMIF(ALIMENTO_NUEVO!$BL$6:$BL$306,LABORATORIO!BI50,ALIMENTO_NUEVO!$BN$6:$BN$306)</f>
        <v>0</v>
      </c>
      <c r="BS50" s="176">
        <f t="shared" si="17"/>
        <v>0</v>
      </c>
    </row>
    <row r="51" spans="1:71" hidden="1" x14ac:dyDescent="0.25">
      <c r="A51" s="43">
        <v>21221201</v>
      </c>
      <c r="B51" s="35" t="s">
        <v>73</v>
      </c>
      <c r="C51" s="175">
        <f t="shared" si="0"/>
        <v>0</v>
      </c>
      <c r="D51" s="112">
        <f t="array" ref="D51">MIN(IF(ALIMENTO_NUEVO!$D$6:$D$306=LABORATORIO!A51,ALIMENTO_NUEVO!$C$6:$C$306))</f>
        <v>0</v>
      </c>
      <c r="E51" s="112">
        <f t="array" ref="E51">MAX(IF(ALIMENTO_NUEVO!$D$6:$D$306=LABORATORIO!A51,ALIMENTO_NUEVO!$C$6:$C$306))</f>
        <v>0</v>
      </c>
      <c r="F51" s="112"/>
      <c r="G51" s="73"/>
      <c r="H51" s="73"/>
      <c r="I51" s="112">
        <f t="shared" si="1"/>
        <v>0</v>
      </c>
      <c r="J51" s="112">
        <f>SUMIF(ALIMENTO_NUEVO!$D$6:$D$306,A51,ALIMENTO_NUEVO!$F$6:$F$306)</f>
        <v>0</v>
      </c>
      <c r="K51" s="176">
        <f t="shared" si="2"/>
        <v>0</v>
      </c>
      <c r="M51" s="43">
        <v>21221201</v>
      </c>
      <c r="N51" s="35" t="s">
        <v>73</v>
      </c>
      <c r="O51" s="175">
        <f t="shared" si="3"/>
        <v>0</v>
      </c>
      <c r="P51" s="112">
        <f t="array" ref="P51">MIN(IF(ALIMENTO_NUEVO!$P$6:$P$306=LABORATORIO!M51,ALIMENTO_NUEVO!$O$6:$O$306))</f>
        <v>0</v>
      </c>
      <c r="Q51" s="112">
        <f t="array" ref="Q51">MAX(IF(ALIMENTO_NUEVO!$P$6:$P$306=LABORATORIO!M51,ALIMENTO_NUEVO!$O$6:$O$306))</f>
        <v>0</v>
      </c>
      <c r="R51" s="112"/>
      <c r="S51" s="73"/>
      <c r="T51" s="73"/>
      <c r="U51" s="112">
        <f t="shared" si="4"/>
        <v>0</v>
      </c>
      <c r="V51" s="112">
        <f ca="1">SUMIF(ALIMENTO_NUEVO!$P$6:$P$306,LABORATORIO!M51,ALIMENTO_NUEVO!$R54:$R350)</f>
        <v>0</v>
      </c>
      <c r="W51" s="176">
        <f t="shared" ca="1" si="5"/>
        <v>0</v>
      </c>
      <c r="Y51" s="43">
        <v>21221201</v>
      </c>
      <c r="Z51" s="35" t="s">
        <v>73</v>
      </c>
      <c r="AA51" s="175">
        <f t="shared" si="6"/>
        <v>0</v>
      </c>
      <c r="AB51" s="112">
        <f t="array" ref="AB51">MIN(IF(ALIMENTO_NUEVO!$AB$6:$AB$306=LABORATORIO!Y51,ALIMENTO_NUEVO!$AA$6:$AA$306))</f>
        <v>0</v>
      </c>
      <c r="AC51" s="112">
        <f t="array" ref="AC51">MAX(IF(ALIMENTO_NUEVO!$AB$6:$AB$306=LABORATORIO!Y51,ALIMENTO_NUEVO!$AA$6:$AA$306))</f>
        <v>0</v>
      </c>
      <c r="AD51" s="112"/>
      <c r="AE51" s="73"/>
      <c r="AF51" s="73"/>
      <c r="AG51" s="112">
        <f t="shared" si="7"/>
        <v>0</v>
      </c>
      <c r="AH51" s="112">
        <f>SUMIF(ALIMENTO_NUEVO!$AB$6:$AB$306,LABORATORIO!Y51,ALIMENTO_NUEVO!$AD$6:$AD$306)</f>
        <v>0</v>
      </c>
      <c r="AI51" s="176">
        <f t="shared" si="8"/>
        <v>0</v>
      </c>
      <c r="AK51" s="43">
        <v>21221201</v>
      </c>
      <c r="AL51" s="35" t="s">
        <v>73</v>
      </c>
      <c r="AM51" s="175">
        <f t="shared" si="9"/>
        <v>0</v>
      </c>
      <c r="AN51" s="112">
        <f t="array" ref="AN51">MIN(IF(ALIMENTO_NUEVO!$AN$6:$AN$306=LABORATORIO!AK51,ALIMENTO_NUEVO!$AM$6:$AM$306))</f>
        <v>0</v>
      </c>
      <c r="AO51" s="112">
        <f t="array" ref="AO51">MAX(IF(ALIMENTO_NUEVO!$AN$6:$AN$306=LABORATORIO!AK51,ALIMENTO_NUEVO!$AM$6:$AM$306))</f>
        <v>0</v>
      </c>
      <c r="AP51" s="112"/>
      <c r="AQ51" s="73"/>
      <c r="AR51" s="73"/>
      <c r="AS51" s="112">
        <f t="shared" si="10"/>
        <v>0</v>
      </c>
      <c r="AT51" s="112">
        <f>SUMIF(ALIMENTO_NUEVO!$AN$6:$AN$306,LABORATORIO!AK51,ALIMENTO_NUEVO!$AP$6:$AP$306)</f>
        <v>0</v>
      </c>
      <c r="AU51" s="176">
        <f t="shared" si="11"/>
        <v>0</v>
      </c>
      <c r="AW51" s="43">
        <v>21221201</v>
      </c>
      <c r="AX51" s="35" t="s">
        <v>73</v>
      </c>
      <c r="AY51" s="175">
        <f t="shared" si="12"/>
        <v>0</v>
      </c>
      <c r="AZ51" s="112">
        <f t="array" ref="AZ51">MIN(IF(ALIMENTO_NUEVO!$AZ$6:$AZ$306=LABORATORIO!AW51,ALIMENTO_NUEVO!$AY$6:$AY$306))</f>
        <v>0</v>
      </c>
      <c r="BA51" s="112">
        <f t="array" ref="BA51">MAX(IF(ALIMENTO_NUEVO!$AZ$6:$AZ$306=LABORATORIO!AW51,ALIMENTO_NUEVO!$AY$6:$AY$306))</f>
        <v>0</v>
      </c>
      <c r="BB51" s="112"/>
      <c r="BC51" s="73"/>
      <c r="BD51" s="73"/>
      <c r="BE51" s="112">
        <f t="shared" si="13"/>
        <v>0</v>
      </c>
      <c r="BF51" s="112">
        <f ca="1">SUMIF(ALIMENTO_NUEVO!$AZ$6:$AZ$307,LABORATORIO!AW51,ALIMENTO_NUEVO!$BB$6:$BB$306)</f>
        <v>0</v>
      </c>
      <c r="BG51" s="176">
        <f t="shared" ca="1" si="14"/>
        <v>0</v>
      </c>
      <c r="BI51" s="43">
        <v>21221201</v>
      </c>
      <c r="BJ51" s="35" t="s">
        <v>73</v>
      </c>
      <c r="BK51" s="175">
        <f t="shared" si="15"/>
        <v>0</v>
      </c>
      <c r="BL51" s="112">
        <f t="array" ref="BL51">MIN(IF(ALIMENTO_NUEVO!$BL$6:$BL$306=LABORATORIO!BI51,ALIMENTO_NUEVO!$BK$6:$BK$306))</f>
        <v>0</v>
      </c>
      <c r="BM51" s="112">
        <f t="array" ref="BM51">MAX(IF(ALIMENTO_NUEVO!$BL$6:$BL$306=LABORATORIO!BI51,ALIMENTO_NUEVO!$BK$6:$BK$306))</f>
        <v>0</v>
      </c>
      <c r="BN51" s="112"/>
      <c r="BO51" s="73"/>
      <c r="BP51" s="73"/>
      <c r="BQ51" s="112">
        <f t="shared" si="16"/>
        <v>0</v>
      </c>
      <c r="BR51" s="112">
        <f>SUMIF(ALIMENTO_NUEVO!$BL$6:$BL$306,LABORATORIO!BI51,ALIMENTO_NUEVO!$BN$6:$BN$306)</f>
        <v>0</v>
      </c>
      <c r="BS51" s="176">
        <f t="shared" si="17"/>
        <v>0</v>
      </c>
    </row>
    <row r="52" spans="1:71" hidden="1" x14ac:dyDescent="0.25">
      <c r="A52" s="43">
        <v>21221202</v>
      </c>
      <c r="B52" s="35" t="s">
        <v>74</v>
      </c>
      <c r="C52" s="175">
        <f t="shared" si="0"/>
        <v>0</v>
      </c>
      <c r="D52" s="112">
        <f t="array" ref="D52">MIN(IF(ALIMENTO_NUEVO!$D$6:$D$306=LABORATORIO!A52,ALIMENTO_NUEVO!$C$6:$C$306))</f>
        <v>0</v>
      </c>
      <c r="E52" s="112">
        <f t="array" ref="E52">MAX(IF(ALIMENTO_NUEVO!$D$6:$D$306=LABORATORIO!A52,ALIMENTO_NUEVO!$C$6:$C$306))</f>
        <v>0</v>
      </c>
      <c r="F52" s="112"/>
      <c r="G52" s="73"/>
      <c r="H52" s="73"/>
      <c r="I52" s="112">
        <f t="shared" si="1"/>
        <v>0</v>
      </c>
      <c r="J52" s="112">
        <f>SUMIF(ALIMENTO_NUEVO!$D$6:$D$306,A52,ALIMENTO_NUEVO!$F$6:$F$306)</f>
        <v>0</v>
      </c>
      <c r="K52" s="176">
        <f t="shared" si="2"/>
        <v>0</v>
      </c>
      <c r="M52" s="43">
        <v>21221202</v>
      </c>
      <c r="N52" s="35" t="s">
        <v>74</v>
      </c>
      <c r="O52" s="175">
        <f t="shared" si="3"/>
        <v>0</v>
      </c>
      <c r="P52" s="112">
        <f t="array" ref="P52">MIN(IF(ALIMENTO_NUEVO!$P$6:$P$306=LABORATORIO!M52,ALIMENTO_NUEVO!$O$6:$O$306))</f>
        <v>0</v>
      </c>
      <c r="Q52" s="112">
        <f t="array" ref="Q52">MAX(IF(ALIMENTO_NUEVO!$P$6:$P$306=LABORATORIO!M52,ALIMENTO_NUEVO!$O$6:$O$306))</f>
        <v>0</v>
      </c>
      <c r="R52" s="112"/>
      <c r="S52" s="73"/>
      <c r="T52" s="73"/>
      <c r="U52" s="112">
        <f t="shared" si="4"/>
        <v>0</v>
      </c>
      <c r="V52" s="112">
        <f ca="1">SUMIF(ALIMENTO_NUEVO!$P$6:$P$306,LABORATORIO!M52,ALIMENTO_NUEVO!$R55:$R351)</f>
        <v>0</v>
      </c>
      <c r="W52" s="176">
        <f t="shared" ca="1" si="5"/>
        <v>0</v>
      </c>
      <c r="Y52" s="43">
        <v>21221202</v>
      </c>
      <c r="Z52" s="35" t="s">
        <v>74</v>
      </c>
      <c r="AA52" s="175">
        <f t="shared" si="6"/>
        <v>0</v>
      </c>
      <c r="AB52" s="112">
        <f t="array" ref="AB52">MIN(IF(ALIMENTO_NUEVO!$AB$6:$AB$306=LABORATORIO!Y52,ALIMENTO_NUEVO!$AA$6:$AA$306))</f>
        <v>0</v>
      </c>
      <c r="AC52" s="112">
        <f t="array" ref="AC52">MAX(IF(ALIMENTO_NUEVO!$AB$6:$AB$306=LABORATORIO!Y52,ALIMENTO_NUEVO!$AA$6:$AA$306))</f>
        <v>0</v>
      </c>
      <c r="AD52" s="112"/>
      <c r="AE52" s="73"/>
      <c r="AF52" s="73"/>
      <c r="AG52" s="112">
        <f t="shared" si="7"/>
        <v>0</v>
      </c>
      <c r="AH52" s="112">
        <f>SUMIF(ALIMENTO_NUEVO!$AB$6:$AB$306,LABORATORIO!Y52,ALIMENTO_NUEVO!$AD$6:$AD$306)</f>
        <v>0</v>
      </c>
      <c r="AI52" s="176">
        <f t="shared" si="8"/>
        <v>0</v>
      </c>
      <c r="AK52" s="43">
        <v>21221202</v>
      </c>
      <c r="AL52" s="35" t="s">
        <v>74</v>
      </c>
      <c r="AM52" s="175">
        <f t="shared" si="9"/>
        <v>0</v>
      </c>
      <c r="AN52" s="112">
        <f t="array" ref="AN52">MIN(IF(ALIMENTO_NUEVO!$AN$6:$AN$306=LABORATORIO!AK52,ALIMENTO_NUEVO!$AM$6:$AM$306))</f>
        <v>0</v>
      </c>
      <c r="AO52" s="112">
        <f t="array" ref="AO52">MAX(IF(ALIMENTO_NUEVO!$AN$6:$AN$306=LABORATORIO!AK52,ALIMENTO_NUEVO!$AM$6:$AM$306))</f>
        <v>0</v>
      </c>
      <c r="AP52" s="112"/>
      <c r="AQ52" s="73"/>
      <c r="AR52" s="73"/>
      <c r="AS52" s="112">
        <f t="shared" si="10"/>
        <v>0</v>
      </c>
      <c r="AT52" s="112">
        <f>SUMIF(ALIMENTO_NUEVO!$AN$6:$AN$306,LABORATORIO!AK52,ALIMENTO_NUEVO!$AP$6:$AP$306)</f>
        <v>0</v>
      </c>
      <c r="AU52" s="176">
        <f t="shared" si="11"/>
        <v>0</v>
      </c>
      <c r="AW52" s="43">
        <v>21221202</v>
      </c>
      <c r="AX52" s="35" t="s">
        <v>74</v>
      </c>
      <c r="AY52" s="175">
        <f t="shared" si="12"/>
        <v>0</v>
      </c>
      <c r="AZ52" s="112">
        <f t="array" ref="AZ52">MIN(IF(ALIMENTO_NUEVO!$AZ$6:$AZ$306=LABORATORIO!AW52,ALIMENTO_NUEVO!$AY$6:$AY$306))</f>
        <v>0</v>
      </c>
      <c r="BA52" s="112">
        <f t="array" ref="BA52">MAX(IF(ALIMENTO_NUEVO!$AZ$6:$AZ$306=LABORATORIO!AW52,ALIMENTO_NUEVO!$AY$6:$AY$306))</f>
        <v>0</v>
      </c>
      <c r="BB52" s="112"/>
      <c r="BC52" s="73"/>
      <c r="BD52" s="73"/>
      <c r="BE52" s="112">
        <f t="shared" si="13"/>
        <v>0</v>
      </c>
      <c r="BF52" s="112">
        <f ca="1">SUMIF(ALIMENTO_NUEVO!$AZ$6:$AZ$307,LABORATORIO!AW52,ALIMENTO_NUEVO!$BB$6:$BB$306)</f>
        <v>0</v>
      </c>
      <c r="BG52" s="176">
        <f t="shared" ca="1" si="14"/>
        <v>0</v>
      </c>
      <c r="BI52" s="43">
        <v>21221202</v>
      </c>
      <c r="BJ52" s="35" t="s">
        <v>74</v>
      </c>
      <c r="BK52" s="175">
        <f t="shared" si="15"/>
        <v>0</v>
      </c>
      <c r="BL52" s="112">
        <f t="array" ref="BL52">MIN(IF(ALIMENTO_NUEVO!$BL$6:$BL$306=LABORATORIO!BI52,ALIMENTO_NUEVO!$BK$6:$BK$306))</f>
        <v>0</v>
      </c>
      <c r="BM52" s="112">
        <f t="array" ref="BM52">MAX(IF(ALIMENTO_NUEVO!$BL$6:$BL$306=LABORATORIO!BI52,ALIMENTO_NUEVO!$BK$6:$BK$306))</f>
        <v>0</v>
      </c>
      <c r="BN52" s="112"/>
      <c r="BO52" s="73"/>
      <c r="BP52" s="73"/>
      <c r="BQ52" s="112">
        <f t="shared" si="16"/>
        <v>0</v>
      </c>
      <c r="BR52" s="112">
        <f>SUMIF(ALIMENTO_NUEVO!$BL$6:$BL$306,LABORATORIO!BI52,ALIMENTO_NUEVO!$BN$6:$BN$306)</f>
        <v>0</v>
      </c>
      <c r="BS52" s="176">
        <f t="shared" si="17"/>
        <v>0</v>
      </c>
    </row>
    <row r="53" spans="1:71" hidden="1" x14ac:dyDescent="0.25">
      <c r="A53" s="178">
        <v>21221203</v>
      </c>
      <c r="B53" s="179" t="s">
        <v>75</v>
      </c>
      <c r="C53" s="175">
        <f t="shared" si="0"/>
        <v>0</v>
      </c>
      <c r="D53" s="112">
        <f t="array" ref="D53">MIN(IF(ALIMENTO_NUEVO!$D$6:$D$306=LABORATORIO!A53,ALIMENTO_NUEVO!$C$6:$C$306))</f>
        <v>0</v>
      </c>
      <c r="E53" s="112">
        <f t="array" ref="E53">MAX(IF(ALIMENTO_NUEVO!$D$6:$D$306=LABORATORIO!A53,ALIMENTO_NUEVO!$C$6:$C$306))</f>
        <v>0</v>
      </c>
      <c r="F53" s="112"/>
      <c r="G53" s="73"/>
      <c r="H53" s="73"/>
      <c r="I53" s="112">
        <f t="shared" si="1"/>
        <v>0</v>
      </c>
      <c r="J53" s="112">
        <f>SUMIF(ALIMENTO_NUEVO!$D$6:$D$306,A53,ALIMENTO_NUEVO!$F$6:$F$306)</f>
        <v>0</v>
      </c>
      <c r="K53" s="176">
        <f t="shared" si="2"/>
        <v>0</v>
      </c>
      <c r="M53" s="178">
        <v>21221203</v>
      </c>
      <c r="N53" s="179" t="s">
        <v>75</v>
      </c>
      <c r="O53" s="175">
        <f t="shared" si="3"/>
        <v>0</v>
      </c>
      <c r="P53" s="112">
        <f t="array" ref="P53">MIN(IF(ALIMENTO_NUEVO!$P$6:$P$306=LABORATORIO!M53,ALIMENTO_NUEVO!$O$6:$O$306))</f>
        <v>0</v>
      </c>
      <c r="Q53" s="112">
        <f t="array" ref="Q53">MAX(IF(ALIMENTO_NUEVO!$P$6:$P$306=LABORATORIO!M53,ALIMENTO_NUEVO!$O$6:$O$306))</f>
        <v>0</v>
      </c>
      <c r="R53" s="112"/>
      <c r="S53" s="73"/>
      <c r="T53" s="73"/>
      <c r="U53" s="112">
        <f t="shared" si="4"/>
        <v>0</v>
      </c>
      <c r="V53" s="112">
        <f ca="1">SUMIF(ALIMENTO_NUEVO!$P$6:$P$306,LABORATORIO!M53,ALIMENTO_NUEVO!$R56:$R352)</f>
        <v>0</v>
      </c>
      <c r="W53" s="176">
        <f t="shared" ca="1" si="5"/>
        <v>0</v>
      </c>
      <c r="Y53" s="178">
        <v>21221203</v>
      </c>
      <c r="Z53" s="179" t="s">
        <v>75</v>
      </c>
      <c r="AA53" s="175">
        <f t="shared" si="6"/>
        <v>0</v>
      </c>
      <c r="AB53" s="112">
        <f t="array" ref="AB53">MIN(IF(ALIMENTO_NUEVO!$AB$6:$AB$306=LABORATORIO!Y53,ALIMENTO_NUEVO!$AA$6:$AA$306))</f>
        <v>0</v>
      </c>
      <c r="AC53" s="112">
        <f t="array" ref="AC53">MAX(IF(ALIMENTO_NUEVO!$AB$6:$AB$306=LABORATORIO!Y53,ALIMENTO_NUEVO!$AA$6:$AA$306))</f>
        <v>0</v>
      </c>
      <c r="AD53" s="112"/>
      <c r="AE53" s="73"/>
      <c r="AF53" s="73"/>
      <c r="AG53" s="112">
        <f t="shared" si="7"/>
        <v>0</v>
      </c>
      <c r="AH53" s="112">
        <f>SUMIF(ALIMENTO_NUEVO!$AB$6:$AB$306,LABORATORIO!Y53,ALIMENTO_NUEVO!$AD$6:$AD$306)</f>
        <v>0</v>
      </c>
      <c r="AI53" s="176">
        <f t="shared" si="8"/>
        <v>0</v>
      </c>
      <c r="AK53" s="178">
        <v>21221203</v>
      </c>
      <c r="AL53" s="179" t="s">
        <v>75</v>
      </c>
      <c r="AM53" s="175">
        <f t="shared" si="9"/>
        <v>0</v>
      </c>
      <c r="AN53" s="112">
        <f t="array" ref="AN53">MIN(IF(ALIMENTO_NUEVO!$AN$6:$AN$306=LABORATORIO!AK53,ALIMENTO_NUEVO!$AM$6:$AM$306))</f>
        <v>0</v>
      </c>
      <c r="AO53" s="112">
        <f t="array" ref="AO53">MAX(IF(ALIMENTO_NUEVO!$AN$6:$AN$306=LABORATORIO!AK53,ALIMENTO_NUEVO!$AM$6:$AM$306))</f>
        <v>0</v>
      </c>
      <c r="AP53" s="112"/>
      <c r="AQ53" s="73"/>
      <c r="AR53" s="73"/>
      <c r="AS53" s="112">
        <f t="shared" si="10"/>
        <v>0</v>
      </c>
      <c r="AT53" s="112">
        <f>SUMIF(ALIMENTO_NUEVO!$AN$6:$AN$306,LABORATORIO!AK53,ALIMENTO_NUEVO!$AP$6:$AP$306)</f>
        <v>0</v>
      </c>
      <c r="AU53" s="176">
        <f t="shared" si="11"/>
        <v>0</v>
      </c>
      <c r="AW53" s="178">
        <v>21221203</v>
      </c>
      <c r="AX53" s="179" t="s">
        <v>75</v>
      </c>
      <c r="AY53" s="175">
        <f t="shared" si="12"/>
        <v>0</v>
      </c>
      <c r="AZ53" s="112">
        <f t="array" ref="AZ53">MIN(IF(ALIMENTO_NUEVO!$AZ$6:$AZ$306=LABORATORIO!AW53,ALIMENTO_NUEVO!$AY$6:$AY$306))</f>
        <v>0</v>
      </c>
      <c r="BA53" s="112">
        <f t="array" ref="BA53">MAX(IF(ALIMENTO_NUEVO!$AZ$6:$AZ$306=LABORATORIO!AW53,ALIMENTO_NUEVO!$AY$6:$AY$306))</f>
        <v>0</v>
      </c>
      <c r="BB53" s="112"/>
      <c r="BC53" s="73"/>
      <c r="BD53" s="73"/>
      <c r="BE53" s="112">
        <f t="shared" si="13"/>
        <v>0</v>
      </c>
      <c r="BF53" s="112">
        <f ca="1">SUMIF(ALIMENTO_NUEVO!$AZ$6:$AZ$307,LABORATORIO!AW53,ALIMENTO_NUEVO!$BB$6:$BB$306)</f>
        <v>0</v>
      </c>
      <c r="BG53" s="176">
        <f t="shared" ca="1" si="14"/>
        <v>0</v>
      </c>
      <c r="BI53" s="178">
        <v>21221203</v>
      </c>
      <c r="BJ53" s="179" t="s">
        <v>75</v>
      </c>
      <c r="BK53" s="175">
        <f t="shared" si="15"/>
        <v>0</v>
      </c>
      <c r="BL53" s="112">
        <f t="array" ref="BL53">MIN(IF(ALIMENTO_NUEVO!$BL$6:$BL$306=LABORATORIO!BI53,ALIMENTO_NUEVO!$BK$6:$BK$306))</f>
        <v>0</v>
      </c>
      <c r="BM53" s="112">
        <f t="array" ref="BM53">MAX(IF(ALIMENTO_NUEVO!$BL$6:$BL$306=LABORATORIO!BI53,ALIMENTO_NUEVO!$BK$6:$BK$306))</f>
        <v>0</v>
      </c>
      <c r="BN53" s="112"/>
      <c r="BO53" s="73"/>
      <c r="BP53" s="73"/>
      <c r="BQ53" s="112">
        <f t="shared" si="16"/>
        <v>0</v>
      </c>
      <c r="BR53" s="112">
        <f>SUMIF(ALIMENTO_NUEVO!$BL$6:$BL$306,LABORATORIO!BI53,ALIMENTO_NUEVO!$BN$6:$BN$306)</f>
        <v>0</v>
      </c>
      <c r="BS53" s="176">
        <f t="shared" si="17"/>
        <v>0</v>
      </c>
    </row>
    <row r="54" spans="1:71" ht="15.75" thickBot="1" x14ac:dyDescent="0.3">
      <c r="C54" s="180">
        <f>AVERAGE(C3:C53)</f>
        <v>1.7450980392156863</v>
      </c>
      <c r="D54" s="112">
        <f t="array" ref="D54">MIN(IF(ALIMENTO_NUEVO!$D$6:$D$306=LABORATORIO!A54,ALIMENTO_NUEVO!$C$6:$C$306))</f>
        <v>-43238</v>
      </c>
      <c r="E54" s="112">
        <f t="array" ref="E54">MAX(IF(ALIMENTO_NUEVO!$D$6:$D$306=LABORATORIO!A54,ALIMENTO_NUEVO!$C$6:$C$306))</f>
        <v>24</v>
      </c>
      <c r="F54" s="181" t="e">
        <f t="shared" ref="F54:K54" si="18">AVERAGE(F3:F53)</f>
        <v>#DIV/0!</v>
      </c>
      <c r="G54" s="181">
        <f t="shared" si="18"/>
        <v>1819</v>
      </c>
      <c r="H54" s="181">
        <f t="shared" si="18"/>
        <v>26.700000000000003</v>
      </c>
      <c r="I54" s="181">
        <f t="shared" si="18"/>
        <v>8570.7000000000007</v>
      </c>
      <c r="J54" s="112">
        <f>SUM(J3:J53)</f>
        <v>40620</v>
      </c>
      <c r="K54" s="181">
        <f t="shared" si="18"/>
        <v>7774.2294117647061</v>
      </c>
      <c r="O54" s="180"/>
      <c r="P54" s="181"/>
      <c r="Q54" s="181"/>
      <c r="R54" s="181"/>
      <c r="S54" s="181"/>
      <c r="T54" s="181"/>
      <c r="U54" s="181"/>
      <c r="V54" s="181"/>
      <c r="W54" s="181"/>
      <c r="AA54" s="180"/>
      <c r="AB54" s="181"/>
      <c r="AC54" s="181"/>
      <c r="AD54" s="181"/>
      <c r="AE54" s="181"/>
      <c r="AF54" s="181"/>
      <c r="AG54" s="181"/>
      <c r="AH54" s="181"/>
      <c r="AI54" s="181"/>
      <c r="AM54" s="180"/>
      <c r="AN54" s="181"/>
      <c r="AO54" s="181"/>
      <c r="AP54" s="181"/>
      <c r="AQ54" s="181"/>
      <c r="AR54" s="181"/>
      <c r="AS54" s="181"/>
      <c r="AT54" s="181"/>
      <c r="AU54" s="181"/>
      <c r="AY54" s="180"/>
      <c r="AZ54" s="181"/>
      <c r="BA54" s="181"/>
      <c r="BB54" s="181"/>
      <c r="BC54" s="181"/>
      <c r="BD54" s="181"/>
      <c r="BE54" s="181"/>
      <c r="BF54" s="181"/>
      <c r="BG54" s="181"/>
      <c r="BK54" s="180"/>
      <c r="BL54" s="181"/>
      <c r="BM54" s="181"/>
      <c r="BN54" s="181"/>
      <c r="BO54" s="181"/>
      <c r="BP54" s="181"/>
      <c r="BQ54" s="181"/>
      <c r="BR54" s="181"/>
      <c r="BS54" s="181"/>
    </row>
  </sheetData>
  <mergeCells count="6">
    <mergeCell ref="BK1:BS1"/>
    <mergeCell ref="C1:K1"/>
    <mergeCell ref="O1:W1"/>
    <mergeCell ref="AA1:AI1"/>
    <mergeCell ref="AM1:AU1"/>
    <mergeCell ref="AY1:BG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3:K53"/>
  <sheetViews>
    <sheetView workbookViewId="0">
      <selection activeCell="C9" sqref="C9"/>
    </sheetView>
  </sheetViews>
  <sheetFormatPr baseColWidth="10" defaultRowHeight="15" x14ac:dyDescent="0.25"/>
  <cols>
    <col min="1" max="1" width="8.7109375" style="55" bestFit="1" customWidth="1"/>
    <col min="2" max="2" width="13.7109375" style="55" customWidth="1"/>
    <col min="3" max="3" width="11.85546875" style="55" bestFit="1" customWidth="1"/>
    <col min="4" max="7" width="10.7109375" bestFit="1" customWidth="1"/>
    <col min="8" max="8" width="11.85546875" bestFit="1" customWidth="1"/>
    <col min="9" max="9" width="9.7109375" customWidth="1"/>
  </cols>
  <sheetData>
    <row r="3" spans="1:10" x14ac:dyDescent="0.25">
      <c r="A3" s="219" t="s">
        <v>2</v>
      </c>
      <c r="B3" s="219"/>
      <c r="C3" s="55">
        <f>RESUMEN!F5</f>
        <v>18044</v>
      </c>
      <c r="D3">
        <f>RESUMEN!R5</f>
        <v>18045</v>
      </c>
      <c r="E3">
        <f>RESUMEN!AD5</f>
        <v>18046</v>
      </c>
      <c r="F3">
        <f>RESUMEN!AP5</f>
        <v>18047</v>
      </c>
      <c r="G3">
        <f>RESUMEN!BB5</f>
        <v>18048</v>
      </c>
      <c r="H3">
        <f>RESUMEN!BN5</f>
        <v>18049</v>
      </c>
    </row>
    <row r="4" spans="1:10" x14ac:dyDescent="0.25">
      <c r="A4" s="219" t="s">
        <v>1</v>
      </c>
      <c r="B4" s="219"/>
      <c r="C4" s="56" t="str">
        <f>RESUMEN!F4</f>
        <v>Tejaban 7 y 10</v>
      </c>
      <c r="D4" s="57" t="str">
        <f>RESUMEN!R4</f>
        <v>Tejaban 7 y 10</v>
      </c>
      <c r="E4" s="57" t="str">
        <f>RESUMEN!AD4</f>
        <v>Tejaban 7 y 10</v>
      </c>
      <c r="F4" s="57" t="str">
        <f>RESUMEN!AP4</f>
        <v>Tejaban 5 y 9</v>
      </c>
      <c r="G4" s="57" t="str">
        <f>RESUMEN!BB4</f>
        <v>Tejaban 5 y 9</v>
      </c>
      <c r="H4" s="57" t="str">
        <f>RESUMEN!BN4</f>
        <v>Tejaban 5 y 9</v>
      </c>
    </row>
    <row r="5" spans="1:10" x14ac:dyDescent="0.25">
      <c r="A5" s="219" t="s">
        <v>4</v>
      </c>
      <c r="B5" s="219"/>
      <c r="C5" s="58">
        <f>RESUMEN!D7</f>
        <v>43238</v>
      </c>
      <c r="D5" s="59">
        <f>RESUMEN!P7</f>
        <v>43242</v>
      </c>
      <c r="E5" s="59">
        <f>RESUMEN!AB7</f>
        <v>43247</v>
      </c>
      <c r="F5" s="59">
        <f>RESUMEN!AN7</f>
        <v>43254</v>
      </c>
      <c r="G5" s="59">
        <f>RESUMEN!AZ7</f>
        <v>43261</v>
      </c>
      <c r="H5" s="59">
        <f>RESUMEN!BL7</f>
        <v>43267</v>
      </c>
    </row>
    <row r="6" spans="1:10" x14ac:dyDescent="0.25">
      <c r="A6" s="219" t="s">
        <v>90</v>
      </c>
      <c r="B6" s="219"/>
      <c r="C6" s="58">
        <f>RESUMEN!D8</f>
        <v>43262</v>
      </c>
      <c r="D6" s="59">
        <f>RESUMEN!P8</f>
        <v>43265</v>
      </c>
      <c r="E6" s="59">
        <f>RESUMEN!AB8</f>
        <v>43269</v>
      </c>
      <c r="F6" s="59">
        <f>RESUMEN!AN8</f>
        <v>43276</v>
      </c>
      <c r="G6" s="59">
        <f>RESUMEN!AZ8</f>
        <v>43283</v>
      </c>
      <c r="H6" s="59">
        <f>RESUMEN!BL8</f>
        <v>43292</v>
      </c>
    </row>
    <row r="7" spans="1:10" x14ac:dyDescent="0.25">
      <c r="A7" s="219" t="s">
        <v>91</v>
      </c>
      <c r="B7" s="219"/>
      <c r="C7" s="55">
        <f>RESUMEN!F6</f>
        <v>24</v>
      </c>
      <c r="D7">
        <f>RESUMEN!R6</f>
        <v>23</v>
      </c>
      <c r="E7">
        <f>RESUMEN!AD6</f>
        <v>22</v>
      </c>
      <c r="F7" s="60">
        <f>RESUMEN!AP6</f>
        <v>22</v>
      </c>
      <c r="G7">
        <f>RESUMEN!BB6</f>
        <v>22</v>
      </c>
      <c r="H7">
        <f>RESUMEN!BN6</f>
        <v>25</v>
      </c>
      <c r="I7" s="220" t="s">
        <v>92</v>
      </c>
      <c r="J7" t="s">
        <v>93</v>
      </c>
    </row>
    <row r="8" spans="1:10" x14ac:dyDescent="0.25">
      <c r="A8" s="219" t="s">
        <v>94</v>
      </c>
      <c r="B8" s="219"/>
      <c r="C8" s="55">
        <f>RESUMEN!D9</f>
        <v>2200</v>
      </c>
      <c r="D8">
        <f>RESUMEN!P9</f>
        <v>2200</v>
      </c>
      <c r="E8" s="61">
        <f>RESUMEN!AB9</f>
        <v>2200</v>
      </c>
      <c r="F8">
        <f>RESUMEN!AN9</f>
        <v>2200</v>
      </c>
      <c r="G8">
        <f>RESUMEN!AZ9</f>
        <v>2200</v>
      </c>
      <c r="H8">
        <f>RESUMEN!BL9</f>
        <v>2314</v>
      </c>
      <c r="I8" s="220"/>
      <c r="J8">
        <f>SUM(C8:H8)</f>
        <v>13314</v>
      </c>
    </row>
    <row r="9" spans="1:10" x14ac:dyDescent="0.25">
      <c r="A9" s="55" t="s">
        <v>9</v>
      </c>
      <c r="B9" s="55">
        <v>1</v>
      </c>
      <c r="C9" s="55">
        <f>SUMIF(RESUMEN!$B$15:$B$248,MORTALIDAD_ACUMULADA!B9,RESUMEN!$E$15:$E$248)*-1</f>
        <v>0</v>
      </c>
      <c r="D9">
        <f>SUMIF(RESUMEN!$N$15:$N$248,B9,RESUMEN!$Q$15:$Q$248)*-1</f>
        <v>0</v>
      </c>
      <c r="E9">
        <f ca="1">SUMIF(RESUMEN!$Z$15:$Z$248,MORTALIDAD_ACUMULADA!B9,RESUMEN!$AC$15:$AC$247)*-1</f>
        <v>0</v>
      </c>
      <c r="F9">
        <f>SUMIF(RESUMEN!$AL$15:$AL$248,MORTALIDAD_ACUMULADA!B9,RESUMEN!$AO$15:$AO$248)*-1</f>
        <v>0</v>
      </c>
      <c r="G9">
        <f>SUMIF(RESUMEN!$AX$15:$AX$248,MORTALIDAD_ACUMULADA!B9,RESUMEN!$BA$15:$BA$248)*-1</f>
        <v>0</v>
      </c>
      <c r="H9">
        <f>SUMIF(RESUMEN!$BJ$15:$BJ$248,MORTALIDAD_ACUMULADA!B9,RESUMEN!$BM$15:$BM$248)*-1</f>
        <v>0</v>
      </c>
      <c r="I9">
        <f ca="1">SUM(C9:H9)</f>
        <v>0</v>
      </c>
    </row>
    <row r="10" spans="1:10" x14ac:dyDescent="0.25">
      <c r="B10" s="55">
        <v>2</v>
      </c>
      <c r="C10" s="55">
        <f>SUMIF(RESUMEN!$B$15:$B$248,MORTALIDAD_ACUMULADA!B10,RESUMEN!$E$15:$E$248)*-1</f>
        <v>0</v>
      </c>
      <c r="D10">
        <f>SUMIF(RESUMEN!$N$15:$N$248,B10,RESUMEN!$Q$15:$Q$248)*-1</f>
        <v>0</v>
      </c>
      <c r="E10">
        <f ca="1">SUMIF(RESUMEN!$Z$15:$Z$248,MORTALIDAD_ACUMULADA!B10,RESUMEN!$AC$15:$AC$247)*-1</f>
        <v>0</v>
      </c>
      <c r="F10">
        <f>SUMIF(RESUMEN!$AL$15:$AL$248,MORTALIDAD_ACUMULADA!B10,RESUMEN!$AO$15:$AO$248)*-1</f>
        <v>0</v>
      </c>
      <c r="G10">
        <f>SUMIF(RESUMEN!$AX$15:$AX$248,MORTALIDAD_ACUMULADA!B10,RESUMEN!$BA$15:$BA$248)*-1</f>
        <v>0</v>
      </c>
      <c r="H10">
        <f>SUMIF(RESUMEN!$BJ$15:$BJ$248,MORTALIDAD_ACUMULADA!B10,RESUMEN!$BM$15:$BM$248)*-1</f>
        <v>0</v>
      </c>
      <c r="I10">
        <f t="shared" ref="I10:I48" ca="1" si="0">SUM(C10:H10)</f>
        <v>0</v>
      </c>
    </row>
    <row r="11" spans="1:10" x14ac:dyDescent="0.25">
      <c r="B11" s="55">
        <v>3</v>
      </c>
      <c r="C11" s="55">
        <f>SUMIF(RESUMEN!$B$15:$B$248,MORTALIDAD_ACUMULADA!B11,RESUMEN!$E$15:$E$248)*-1</f>
        <v>0</v>
      </c>
      <c r="D11">
        <f>SUMIF(RESUMEN!$N$15:$N$248,B11,RESUMEN!$Q$15:$Q$248)*-1</f>
        <v>0</v>
      </c>
      <c r="E11">
        <f ca="1">SUMIF(RESUMEN!$Z$15:$Z$248,MORTALIDAD_ACUMULADA!B11,RESUMEN!$AC$15:$AC$247)*-1</f>
        <v>0</v>
      </c>
      <c r="F11">
        <f>SUMIF(RESUMEN!$AL$15:$AL$248,MORTALIDAD_ACUMULADA!B11,RESUMEN!$AO$15:$AO$248)*-1</f>
        <v>0</v>
      </c>
      <c r="G11">
        <f>SUMIF(RESUMEN!$AX$15:$AX$248,MORTALIDAD_ACUMULADA!B11,RESUMEN!$BA$15:$BA$248)*-1</f>
        <v>0</v>
      </c>
      <c r="H11">
        <f>SUMIF(RESUMEN!$BJ$15:$BJ$248,MORTALIDAD_ACUMULADA!B11,RESUMEN!$BM$15:$BM$248)*-1</f>
        <v>0</v>
      </c>
      <c r="I11">
        <f t="shared" ca="1" si="0"/>
        <v>0</v>
      </c>
    </row>
    <row r="12" spans="1:10" x14ac:dyDescent="0.25">
      <c r="B12" s="55">
        <v>4</v>
      </c>
      <c r="C12" s="55">
        <f>SUMIF(RESUMEN!$B$15:$B$248,MORTALIDAD_ACUMULADA!B12,RESUMEN!$E$15:$E$248)*-1</f>
        <v>12</v>
      </c>
      <c r="D12">
        <f>SUMIF(RESUMEN!$N$15:$N$248,B12,RESUMEN!$Q$15:$Q$248)*-1</f>
        <v>3</v>
      </c>
      <c r="E12">
        <f ca="1">SUMIF(RESUMEN!$Z$15:$Z$248,MORTALIDAD_ACUMULADA!B12,RESUMEN!$AC$15:$AC$247)*-1</f>
        <v>5</v>
      </c>
      <c r="F12">
        <f>SUMIF(RESUMEN!$AL$15:$AL$248,MORTALIDAD_ACUMULADA!B12,RESUMEN!$AO$15:$AO$248)*-1</f>
        <v>3</v>
      </c>
      <c r="G12">
        <f>SUMIF(RESUMEN!$AX$15:$AX$248,MORTALIDAD_ACUMULADA!B12,RESUMEN!$BA$15:$BA$248)*-1</f>
        <v>4</v>
      </c>
      <c r="H12">
        <f>SUMIF(RESUMEN!$BJ$15:$BJ$248,MORTALIDAD_ACUMULADA!B12,RESUMEN!$BM$15:$BM$248)*-1</f>
        <v>2</v>
      </c>
      <c r="I12">
        <f t="shared" ca="1" si="0"/>
        <v>29</v>
      </c>
    </row>
    <row r="13" spans="1:10" x14ac:dyDescent="0.25">
      <c r="B13" s="55">
        <v>5</v>
      </c>
      <c r="C13" s="55">
        <f>SUMIF(RESUMEN!$B$15:$B$248,MORTALIDAD_ACUMULADA!B13,RESUMEN!$E$15:$E$248)*-1</f>
        <v>64</v>
      </c>
      <c r="D13">
        <f>SUMIF(RESUMEN!$N$15:$N$248,B13,RESUMEN!$Q$15:$Q$248)*-1</f>
        <v>47</v>
      </c>
      <c r="E13">
        <f ca="1">SUMIF(RESUMEN!$Z$15:$Z$248,MORTALIDAD_ACUMULADA!B13,RESUMEN!$AC$15:$AC$247)*-1</f>
        <v>29</v>
      </c>
      <c r="F13">
        <f>SUMIF(RESUMEN!$AL$15:$AL$248,MORTALIDAD_ACUMULADA!B13,RESUMEN!$AO$15:$AO$248)*-1</f>
        <v>8</v>
      </c>
      <c r="G13">
        <f>SUMIF(RESUMEN!$AX$15:$AX$248,MORTALIDAD_ACUMULADA!B13,RESUMEN!$BA$15:$BA$248)*-1</f>
        <v>22</v>
      </c>
      <c r="H13">
        <f>SUMIF(RESUMEN!$BJ$15:$BJ$248,MORTALIDAD_ACUMULADA!B13,RESUMEN!$BM$15:$BM$248)*-1</f>
        <v>16</v>
      </c>
      <c r="I13">
        <f t="shared" ca="1" si="0"/>
        <v>186</v>
      </c>
    </row>
    <row r="14" spans="1:10" x14ac:dyDescent="0.25">
      <c r="B14" s="55">
        <v>6</v>
      </c>
      <c r="C14" s="55">
        <f>SUMIF(RESUMEN!$B$15:$B$248,MORTALIDAD_ACUMULADA!B14,RESUMEN!$E$15:$E$248)*-1</f>
        <v>80</v>
      </c>
      <c r="D14">
        <f>SUMIF(RESUMEN!$N$15:$N$248,B14,RESUMEN!$Q$15:$Q$248)*-1</f>
        <v>52</v>
      </c>
      <c r="E14">
        <f ca="1">SUMIF(RESUMEN!$Z$15:$Z$248,MORTALIDAD_ACUMULADA!B14,RESUMEN!$AC$15:$AC$247)*-1</f>
        <v>39</v>
      </c>
      <c r="F14">
        <f>SUMIF(RESUMEN!$AL$15:$AL$248,MORTALIDAD_ACUMULADA!B14,RESUMEN!$AO$15:$AO$248)*-1</f>
        <v>18</v>
      </c>
      <c r="G14">
        <f>SUMIF(RESUMEN!$AX$15:$AX$248,MORTALIDAD_ACUMULADA!B14,RESUMEN!$BA$15:$BA$248)*-1</f>
        <v>32</v>
      </c>
      <c r="H14">
        <f>SUMIF(RESUMEN!$BJ$15:$BJ$248,MORTALIDAD_ACUMULADA!B14,RESUMEN!$BM$15:$BM$248)*-1</f>
        <v>31</v>
      </c>
      <c r="I14">
        <f t="shared" ca="1" si="0"/>
        <v>252</v>
      </c>
    </row>
    <row r="15" spans="1:10" x14ac:dyDescent="0.25">
      <c r="B15" s="55">
        <v>7</v>
      </c>
      <c r="C15" s="55">
        <f>SUMIF(RESUMEN!$B$15:$B$248,MORTALIDAD_ACUMULADA!B15,RESUMEN!$E$15:$E$248)*-1</f>
        <v>114</v>
      </c>
      <c r="D15">
        <f>SUMIF(RESUMEN!$N$15:$N$248,B15,RESUMEN!$Q$15:$Q$248)*-1</f>
        <v>70</v>
      </c>
      <c r="E15">
        <f ca="1">SUMIF(RESUMEN!$Z$15:$Z$248,MORTALIDAD_ACUMULADA!B15,RESUMEN!$AC$15:$AC$247)*-1</f>
        <v>63</v>
      </c>
      <c r="F15">
        <f>SUMIF(RESUMEN!$AL$15:$AL$248,MORTALIDAD_ACUMULADA!B15,RESUMEN!$AO$15:$AO$248)*-1</f>
        <v>29</v>
      </c>
      <c r="G15">
        <f>SUMIF(RESUMEN!$AX$15:$AX$248,MORTALIDAD_ACUMULADA!B15,RESUMEN!$BA$15:$BA$248)*-1</f>
        <v>31</v>
      </c>
      <c r="H15">
        <f>SUMIF(RESUMEN!$BJ$15:$BJ$248,MORTALIDAD_ACUMULADA!B15,RESUMEN!$BM$15:$BM$248)*-1</f>
        <v>24</v>
      </c>
      <c r="I15">
        <f t="shared" ca="1" si="0"/>
        <v>331</v>
      </c>
    </row>
    <row r="16" spans="1:10" x14ac:dyDescent="0.25">
      <c r="B16" s="55">
        <v>8</v>
      </c>
      <c r="C16" s="55">
        <f>SUMIF(RESUMEN!$B$15:$B$248,MORTALIDAD_ACUMULADA!B16,RESUMEN!$E$15:$E$248)*-1</f>
        <v>137</v>
      </c>
      <c r="D16">
        <f>SUMIF(RESUMEN!$N$15:$N$248,B16,RESUMEN!$Q$15:$Q$248)*-1</f>
        <v>169</v>
      </c>
      <c r="E16">
        <f ca="1">SUMIF(RESUMEN!$Z$15:$Z$248,MORTALIDAD_ACUMULADA!B16,RESUMEN!$AC$15:$AC$247)*-1</f>
        <v>156</v>
      </c>
      <c r="F16">
        <f>SUMIF(RESUMEN!$AL$15:$AL$248,MORTALIDAD_ACUMULADA!B16,RESUMEN!$AO$15:$AO$248)*-1</f>
        <v>41</v>
      </c>
      <c r="G16">
        <f>SUMIF(RESUMEN!$AX$15:$AX$248,MORTALIDAD_ACUMULADA!B16,RESUMEN!$BA$15:$BA$248)*-1</f>
        <v>30</v>
      </c>
      <c r="H16">
        <f>SUMIF(RESUMEN!$BJ$15:$BJ$248,MORTALIDAD_ACUMULADA!B16,RESUMEN!$BM$15:$BM$248)*-1</f>
        <v>0</v>
      </c>
      <c r="I16">
        <f t="shared" ca="1" si="0"/>
        <v>533</v>
      </c>
    </row>
    <row r="17" spans="2:9" x14ac:dyDescent="0.25">
      <c r="B17" s="55">
        <v>9</v>
      </c>
      <c r="C17" s="55">
        <f>SUMIF(RESUMEN!$B$15:$B$248,MORTALIDAD_ACUMULADA!B17,RESUMEN!$E$15:$E$248)*-1</f>
        <v>146</v>
      </c>
      <c r="D17">
        <f>SUMIF(RESUMEN!$N$15:$N$248,B17,RESUMEN!$Q$15:$Q$248)*-1</f>
        <v>180</v>
      </c>
      <c r="E17">
        <f ca="1">SUMIF(RESUMEN!$Z$15:$Z$248,MORTALIDAD_ACUMULADA!B17,RESUMEN!$AC$15:$AC$247)*-1</f>
        <v>138</v>
      </c>
      <c r="F17">
        <f>SUMIF(RESUMEN!$AL$15:$AL$248,MORTALIDAD_ACUMULADA!B17,RESUMEN!$AO$15:$AO$248)*-1</f>
        <v>25</v>
      </c>
      <c r="G17">
        <f>SUMIF(RESUMEN!$AX$15:$AX$248,MORTALIDAD_ACUMULADA!B17,RESUMEN!$BA$15:$BA$248)*-1</f>
        <v>0</v>
      </c>
      <c r="H17">
        <f>SUMIF(RESUMEN!$BJ$15:$BJ$248,MORTALIDAD_ACUMULADA!B17,RESUMEN!$BM$15:$BM$248)*-1</f>
        <v>0</v>
      </c>
      <c r="I17">
        <f t="shared" ca="1" si="0"/>
        <v>489</v>
      </c>
    </row>
    <row r="18" spans="2:9" x14ac:dyDescent="0.25">
      <c r="B18" s="55">
        <v>10</v>
      </c>
      <c r="C18" s="55">
        <f>SUMIF(RESUMEN!$B$15:$B$248,MORTALIDAD_ACUMULADA!B18,RESUMEN!$E$15:$E$248)*-1</f>
        <v>128</v>
      </c>
      <c r="D18">
        <f>SUMIF(RESUMEN!$N$15:$N$248,B18,RESUMEN!$Q$15:$Q$248)*-1</f>
        <v>149</v>
      </c>
      <c r="E18">
        <f ca="1">SUMIF(RESUMEN!$Z$15:$Z$248,MORTALIDAD_ACUMULADA!B18,RESUMEN!$AC$15:$AC$247)*-1</f>
        <v>46</v>
      </c>
      <c r="F18">
        <f>SUMIF(RESUMEN!$AL$15:$AL$248,MORTALIDAD_ACUMULADA!B18,RESUMEN!$AO$15:$AO$248)*-1</f>
        <v>0</v>
      </c>
      <c r="G18">
        <f>SUMIF(RESUMEN!$AX$15:$AX$248,MORTALIDAD_ACUMULADA!B18,RESUMEN!$BA$15:$BA$248)*-1</f>
        <v>0</v>
      </c>
      <c r="H18">
        <f>SUMIF(RESUMEN!$BJ$15:$BJ$248,MORTALIDAD_ACUMULADA!B18,RESUMEN!$BM$15:$BM$248)*-1</f>
        <v>0</v>
      </c>
      <c r="I18">
        <f t="shared" ca="1" si="0"/>
        <v>323</v>
      </c>
    </row>
    <row r="19" spans="2:9" x14ac:dyDescent="0.25">
      <c r="B19" s="55">
        <v>11</v>
      </c>
      <c r="C19" s="55">
        <f>SUMIF(RESUMEN!$B$15:$B$248,MORTALIDAD_ACUMULADA!B19,RESUMEN!$E$15:$E$248)*-1</f>
        <v>59</v>
      </c>
      <c r="D19">
        <f>SUMIF(RESUMEN!$N$15:$N$248,B19,RESUMEN!$Q$15:$Q$248)*-1</f>
        <v>10</v>
      </c>
      <c r="E19">
        <f ca="1">SUMIF(RESUMEN!$Z$15:$Z$248,MORTALIDAD_ACUMULADA!B19,RESUMEN!$AC$15:$AC$247)*-1</f>
        <v>0</v>
      </c>
      <c r="F19">
        <f>SUMIF(RESUMEN!$AL$15:$AL$248,MORTALIDAD_ACUMULADA!B19,RESUMEN!$AO$15:$AO$248)*-1</f>
        <v>0</v>
      </c>
      <c r="G19">
        <f>SUMIF(RESUMEN!$AX$15:$AX$248,MORTALIDAD_ACUMULADA!B19,RESUMEN!$BA$15:$BA$248)*-1</f>
        <v>0</v>
      </c>
      <c r="H19">
        <f>SUMIF(RESUMEN!$BJ$15:$BJ$248,MORTALIDAD_ACUMULADA!B19,RESUMEN!$BM$15:$BM$248)*-1</f>
        <v>0</v>
      </c>
      <c r="I19">
        <f t="shared" ca="1" si="0"/>
        <v>69</v>
      </c>
    </row>
    <row r="20" spans="2:9" x14ac:dyDescent="0.25">
      <c r="B20" s="55">
        <v>12</v>
      </c>
      <c r="C20" s="55">
        <f>SUMIF(RESUMEN!$B$15:$B$248,MORTALIDAD_ACUMULADA!B20,RESUMEN!$E$15:$E$248)*-1</f>
        <v>0</v>
      </c>
      <c r="D20">
        <f>SUMIF(RESUMEN!$N$15:$N$248,B20,RESUMEN!$Q$15:$Q$248)*-1</f>
        <v>0</v>
      </c>
      <c r="E20">
        <f ca="1">SUMIF(RESUMEN!$Z$15:$Z$248,MORTALIDAD_ACUMULADA!B20,RESUMEN!$AC$15:$AC$247)*-1</f>
        <v>0</v>
      </c>
      <c r="F20">
        <f>SUMIF(RESUMEN!$AL$15:$AL$248,MORTALIDAD_ACUMULADA!B20,RESUMEN!$AO$15:$AO$248)*-1</f>
        <v>0</v>
      </c>
      <c r="G20">
        <f>SUMIF(RESUMEN!$AX$15:$AX$248,MORTALIDAD_ACUMULADA!B20,RESUMEN!$BA$15:$BA$248)*-1</f>
        <v>0</v>
      </c>
      <c r="H20">
        <f>SUMIF(RESUMEN!$BJ$15:$BJ$248,MORTALIDAD_ACUMULADA!B20,RESUMEN!$BM$15:$BM$248)*-1</f>
        <v>0</v>
      </c>
      <c r="I20">
        <f t="shared" ca="1" si="0"/>
        <v>0</v>
      </c>
    </row>
    <row r="21" spans="2:9" x14ac:dyDescent="0.25">
      <c r="B21" s="55">
        <v>13</v>
      </c>
      <c r="C21" s="55">
        <f>SUMIF(RESUMEN!$B$15:$B$248,MORTALIDAD_ACUMULADA!B21,RESUMEN!$E$15:$E$248)*-1</f>
        <v>0</v>
      </c>
      <c r="D21">
        <f>SUMIF(RESUMEN!$N$15:$N$248,B21,RESUMEN!$Q$15:$Q$248)*-1</f>
        <v>0</v>
      </c>
      <c r="E21">
        <f ca="1">SUMIF(RESUMEN!$Z$15:$Z$248,MORTALIDAD_ACUMULADA!B21,RESUMEN!$AC$15:$AC$247)*-1</f>
        <v>0</v>
      </c>
      <c r="F21">
        <f>SUMIF(RESUMEN!$AL$15:$AL$248,MORTALIDAD_ACUMULADA!B21,RESUMEN!$AO$15:$AO$248)*-1</f>
        <v>0</v>
      </c>
      <c r="G21">
        <f>SUMIF(RESUMEN!$AX$15:$AX$248,MORTALIDAD_ACUMULADA!B21,RESUMEN!$BA$15:$BA$248)*-1</f>
        <v>0</v>
      </c>
      <c r="H21">
        <f>SUMIF(RESUMEN!$BJ$15:$BJ$248,MORTALIDAD_ACUMULADA!B21,RESUMEN!$BM$15:$BM$248)*-1</f>
        <v>0</v>
      </c>
      <c r="I21">
        <f t="shared" ca="1" si="0"/>
        <v>0</v>
      </c>
    </row>
    <row r="22" spans="2:9" x14ac:dyDescent="0.25">
      <c r="B22" s="55">
        <v>14</v>
      </c>
      <c r="C22" s="55">
        <f>SUMIF(RESUMEN!$B$15:$B$248,MORTALIDAD_ACUMULADA!B22,RESUMEN!$E$15:$E$248)*-1</f>
        <v>0</v>
      </c>
      <c r="D22">
        <f>SUMIF(RESUMEN!$N$15:$N$248,B22,RESUMEN!$Q$15:$Q$248)*-1</f>
        <v>0</v>
      </c>
      <c r="E22">
        <f ca="1">SUMIF(RESUMEN!$Z$15:$Z$248,MORTALIDAD_ACUMULADA!B22,RESUMEN!$AC$15:$AC$247)*-1</f>
        <v>0</v>
      </c>
      <c r="F22">
        <f>SUMIF(RESUMEN!$AL$15:$AL$248,MORTALIDAD_ACUMULADA!B22,RESUMEN!$AO$15:$AO$248)*-1</f>
        <v>0</v>
      </c>
      <c r="G22">
        <f>SUMIF(RESUMEN!$AX$15:$AX$248,MORTALIDAD_ACUMULADA!B22,RESUMEN!$BA$15:$BA$248)*-1</f>
        <v>0</v>
      </c>
      <c r="H22">
        <f>SUMIF(RESUMEN!$BJ$15:$BJ$248,MORTALIDAD_ACUMULADA!B22,RESUMEN!$BM$15:$BM$248)*-1</f>
        <v>0</v>
      </c>
      <c r="I22">
        <f t="shared" ca="1" si="0"/>
        <v>0</v>
      </c>
    </row>
    <row r="23" spans="2:9" x14ac:dyDescent="0.25">
      <c r="B23" s="55">
        <v>15</v>
      </c>
      <c r="C23" s="55">
        <f>SUMIF(RESUMEN!$B$15:$B$248,MORTALIDAD_ACUMULADA!B23,RESUMEN!$E$15:$E$248)*-1</f>
        <v>0</v>
      </c>
      <c r="D23">
        <f>SUMIF(RESUMEN!$N$15:$N$248,B23,RESUMEN!$Q$15:$Q$248)*-1</f>
        <v>0</v>
      </c>
      <c r="E23">
        <f ca="1">SUMIF(RESUMEN!$Z$15:$Z$248,MORTALIDAD_ACUMULADA!B23,RESUMEN!$AC$15:$AC$247)*-1</f>
        <v>0</v>
      </c>
      <c r="F23">
        <f>SUMIF(RESUMEN!$AL$15:$AL$248,MORTALIDAD_ACUMULADA!B23,RESUMEN!$AO$15:$AO$248)*-1</f>
        <v>0</v>
      </c>
      <c r="G23">
        <f>SUMIF(RESUMEN!$AX$15:$AX$248,MORTALIDAD_ACUMULADA!B23,RESUMEN!$BA$15:$BA$248)*-1</f>
        <v>0</v>
      </c>
      <c r="H23">
        <f>SUMIF(RESUMEN!$BJ$15:$BJ$248,MORTALIDAD_ACUMULADA!B23,RESUMEN!$BM$15:$BM$248)*-1</f>
        <v>0</v>
      </c>
      <c r="I23">
        <f t="shared" ca="1" si="0"/>
        <v>0</v>
      </c>
    </row>
    <row r="24" spans="2:9" x14ac:dyDescent="0.25">
      <c r="B24" s="55">
        <v>16</v>
      </c>
      <c r="C24" s="55">
        <f>SUMIF(RESUMEN!$B$15:$B$248,MORTALIDAD_ACUMULADA!B24,RESUMEN!$E$15:$E$248)*-1</f>
        <v>0</v>
      </c>
      <c r="D24">
        <f>SUMIF(RESUMEN!$N$15:$N$248,B24,RESUMEN!$Q$15:$Q$248)*-1</f>
        <v>0</v>
      </c>
      <c r="E24">
        <f ca="1">SUMIF(RESUMEN!$Z$15:$Z$248,MORTALIDAD_ACUMULADA!B24,RESUMEN!$AC$15:$AC$247)*-1</f>
        <v>0</v>
      </c>
      <c r="F24">
        <f>SUMIF(RESUMEN!$AL$15:$AL$248,MORTALIDAD_ACUMULADA!B24,RESUMEN!$AO$15:$AO$248)*-1</f>
        <v>0</v>
      </c>
      <c r="G24">
        <f>SUMIF(RESUMEN!$AX$15:$AX$248,MORTALIDAD_ACUMULADA!B24,RESUMEN!$BA$15:$BA$248)*-1</f>
        <v>0</v>
      </c>
      <c r="H24">
        <f>SUMIF(RESUMEN!$BJ$15:$BJ$248,MORTALIDAD_ACUMULADA!B24,RESUMEN!$BM$15:$BM$248)*-1</f>
        <v>0</v>
      </c>
      <c r="I24">
        <f t="shared" ca="1" si="0"/>
        <v>0</v>
      </c>
    </row>
    <row r="25" spans="2:9" x14ac:dyDescent="0.25">
      <c r="B25" s="55">
        <v>17</v>
      </c>
      <c r="C25" s="55">
        <f>SUMIF(RESUMEN!$B$15:$B$248,MORTALIDAD_ACUMULADA!B25,RESUMEN!$E$15:$E$248)*-1</f>
        <v>0</v>
      </c>
      <c r="D25">
        <f>SUMIF(RESUMEN!$N$15:$N$248,B25,RESUMEN!$Q$15:$Q$248)*-1</f>
        <v>0</v>
      </c>
      <c r="E25">
        <f ca="1">SUMIF(RESUMEN!$Z$15:$Z$248,MORTALIDAD_ACUMULADA!B25,RESUMEN!$AC$15:$AC$247)*-1</f>
        <v>0</v>
      </c>
      <c r="F25">
        <f>SUMIF(RESUMEN!$AL$15:$AL$248,MORTALIDAD_ACUMULADA!B25,RESUMEN!$AO$15:$AO$248)*-1</f>
        <v>0</v>
      </c>
      <c r="G25">
        <f>SUMIF(RESUMEN!$AX$15:$AX$248,MORTALIDAD_ACUMULADA!B25,RESUMEN!$BA$15:$BA$248)*-1</f>
        <v>0</v>
      </c>
      <c r="H25">
        <f>SUMIF(RESUMEN!$BJ$15:$BJ$248,MORTALIDAD_ACUMULADA!B25,RESUMEN!$BM$15:$BM$248)*-1</f>
        <v>0</v>
      </c>
      <c r="I25">
        <f t="shared" ca="1" si="0"/>
        <v>0</v>
      </c>
    </row>
    <row r="26" spans="2:9" x14ac:dyDescent="0.25">
      <c r="B26" s="55">
        <v>18</v>
      </c>
      <c r="C26" s="55">
        <f>SUMIF(RESUMEN!$B$15:$B$248,MORTALIDAD_ACUMULADA!B26,RESUMEN!$E$15:$E$248)*-1</f>
        <v>0</v>
      </c>
      <c r="D26">
        <f>SUMIF(RESUMEN!$N$15:$N$248,B26,RESUMEN!$Q$15:$Q$248)*-1</f>
        <v>0</v>
      </c>
      <c r="E26">
        <f ca="1">SUMIF(RESUMEN!$Z$15:$Z$248,MORTALIDAD_ACUMULADA!B26,RESUMEN!$AC$15:$AC$247)*-1</f>
        <v>0</v>
      </c>
      <c r="F26">
        <f>SUMIF(RESUMEN!$AL$15:$AL$248,MORTALIDAD_ACUMULADA!B26,RESUMEN!$AO$15:$AO$248)*-1</f>
        <v>0</v>
      </c>
      <c r="G26">
        <f>SUMIF(RESUMEN!$AX$15:$AX$248,MORTALIDAD_ACUMULADA!B26,RESUMEN!$BA$15:$BA$248)*-1</f>
        <v>0</v>
      </c>
      <c r="H26">
        <f>SUMIF(RESUMEN!$BJ$15:$BJ$248,MORTALIDAD_ACUMULADA!B26,RESUMEN!$BM$15:$BM$248)*-1</f>
        <v>0</v>
      </c>
      <c r="I26">
        <f t="shared" ca="1" si="0"/>
        <v>0</v>
      </c>
    </row>
    <row r="27" spans="2:9" x14ac:dyDescent="0.25">
      <c r="B27" s="55">
        <v>19</v>
      </c>
      <c r="C27" s="55">
        <f>SUMIF(RESUMEN!$B$15:$B$248,MORTALIDAD_ACUMULADA!B27,RESUMEN!$E$15:$E$248)*-1</f>
        <v>0</v>
      </c>
      <c r="D27">
        <f>SUMIF(RESUMEN!$N$15:$N$248,B27,RESUMEN!$Q$15:$Q$248)*-1</f>
        <v>0</v>
      </c>
      <c r="E27">
        <f ca="1">SUMIF(RESUMEN!$Z$15:$Z$248,MORTALIDAD_ACUMULADA!B27,RESUMEN!$AC$15:$AC$247)*-1</f>
        <v>0</v>
      </c>
      <c r="F27">
        <f>SUMIF(RESUMEN!$AL$15:$AL$248,MORTALIDAD_ACUMULADA!B27,RESUMEN!$AO$15:$AO$248)*-1</f>
        <v>0</v>
      </c>
      <c r="G27">
        <f>SUMIF(RESUMEN!$AX$15:$AX$248,MORTALIDAD_ACUMULADA!B27,RESUMEN!$BA$15:$BA$248)*-1</f>
        <v>0</v>
      </c>
      <c r="H27">
        <f>SUMIF(RESUMEN!$BJ$15:$BJ$248,MORTALIDAD_ACUMULADA!B27,RESUMEN!$BM$15:$BM$248)*-1</f>
        <v>0</v>
      </c>
      <c r="I27">
        <f t="shared" ca="1" si="0"/>
        <v>0</v>
      </c>
    </row>
    <row r="28" spans="2:9" x14ac:dyDescent="0.25">
      <c r="B28" s="55">
        <v>20</v>
      </c>
      <c r="C28" s="55">
        <f>SUMIF(RESUMEN!$B$15:$B$248,MORTALIDAD_ACUMULADA!B28,RESUMEN!$E$15:$E$248)*-1</f>
        <v>0</v>
      </c>
      <c r="D28">
        <f>SUMIF(RESUMEN!$N$15:$N$248,B28,RESUMEN!$Q$15:$Q$248)*-1</f>
        <v>0</v>
      </c>
      <c r="E28">
        <f ca="1">SUMIF(RESUMEN!$Z$15:$Z$248,MORTALIDAD_ACUMULADA!B28,RESUMEN!$AC$15:$AC$247)*-1</f>
        <v>0</v>
      </c>
      <c r="F28">
        <f>SUMIF(RESUMEN!$AL$15:$AL$248,MORTALIDAD_ACUMULADA!B28,RESUMEN!$AO$15:$AO$248)*-1</f>
        <v>0</v>
      </c>
      <c r="G28">
        <f>SUMIF(RESUMEN!$AX$15:$AX$248,MORTALIDAD_ACUMULADA!B28,RESUMEN!$BA$15:$BA$248)*-1</f>
        <v>0</v>
      </c>
      <c r="H28">
        <f>SUMIF(RESUMEN!$BJ$15:$BJ$248,MORTALIDAD_ACUMULADA!B28,RESUMEN!$BM$15:$BM$248)*-1</f>
        <v>0</v>
      </c>
      <c r="I28">
        <f t="shared" ca="1" si="0"/>
        <v>0</v>
      </c>
    </row>
    <row r="29" spans="2:9" x14ac:dyDescent="0.25">
      <c r="B29" s="55">
        <v>21</v>
      </c>
      <c r="C29" s="55">
        <f>SUMIF(RESUMEN!$B$15:$B$248,MORTALIDAD_ACUMULADA!B29,RESUMEN!$E$15:$E$248)*-1</f>
        <v>0</v>
      </c>
      <c r="D29">
        <f>SUMIF(RESUMEN!$N$15:$N$248,B29,RESUMEN!$Q$15:$Q$248)*-1</f>
        <v>0</v>
      </c>
      <c r="E29">
        <f ca="1">SUMIF(RESUMEN!$Z$15:$Z$248,MORTALIDAD_ACUMULADA!B29,RESUMEN!$AC$15:$AC$247)*-1</f>
        <v>0</v>
      </c>
      <c r="F29">
        <f>SUMIF(RESUMEN!$AL$15:$AL$248,MORTALIDAD_ACUMULADA!B29,RESUMEN!$AO$15:$AO$248)*-1</f>
        <v>0</v>
      </c>
      <c r="G29">
        <f>SUMIF(RESUMEN!$AX$15:$AX$248,MORTALIDAD_ACUMULADA!B29,RESUMEN!$BA$15:$BA$248)*-1</f>
        <v>0</v>
      </c>
      <c r="H29">
        <f>SUMIF(RESUMEN!$BJ$15:$BJ$248,MORTALIDAD_ACUMULADA!B29,RESUMEN!$BM$15:$BM$248)*-1</f>
        <v>0</v>
      </c>
      <c r="I29">
        <f t="shared" ca="1" si="0"/>
        <v>0</v>
      </c>
    </row>
    <row r="30" spans="2:9" x14ac:dyDescent="0.25">
      <c r="B30" s="55">
        <v>22</v>
      </c>
      <c r="C30" s="55">
        <f>SUMIF(RESUMEN!$B$15:$B$248,MORTALIDAD_ACUMULADA!B30,RESUMEN!$E$15:$E$248)*-1</f>
        <v>0</v>
      </c>
      <c r="D30">
        <f>SUMIF(RESUMEN!$N$15:$N$248,B30,RESUMEN!$Q$15:$Q$248)*-1</f>
        <v>0</v>
      </c>
      <c r="E30">
        <f ca="1">SUMIF(RESUMEN!$Z$15:$Z$248,MORTALIDAD_ACUMULADA!B30,RESUMEN!$AC$15:$AC$247)*-1</f>
        <v>0</v>
      </c>
      <c r="F30">
        <f>SUMIF(RESUMEN!$AL$15:$AL$248,MORTALIDAD_ACUMULADA!B30,RESUMEN!$AO$15:$AO$248)*-1</f>
        <v>0</v>
      </c>
      <c r="G30">
        <f>SUMIF(RESUMEN!$AX$15:$AX$248,MORTALIDAD_ACUMULADA!B30,RESUMEN!$BA$15:$BA$248)*-1</f>
        <v>0</v>
      </c>
      <c r="H30">
        <f>SUMIF(RESUMEN!$BJ$15:$BJ$248,MORTALIDAD_ACUMULADA!B30,RESUMEN!$BM$15:$BM$248)*-1</f>
        <v>0</v>
      </c>
      <c r="I30">
        <f t="shared" ca="1" si="0"/>
        <v>0</v>
      </c>
    </row>
    <row r="31" spans="2:9" x14ac:dyDescent="0.25">
      <c r="B31" s="55">
        <v>23</v>
      </c>
      <c r="C31" s="55">
        <f>SUMIF(RESUMEN!$B$15:$B$248,MORTALIDAD_ACUMULADA!B31,RESUMEN!$E$15:$E$248)*-1</f>
        <v>0</v>
      </c>
      <c r="D31">
        <f>SUMIF(RESUMEN!$N$15:$N$248,B31,RESUMEN!$Q$15:$Q$248)*-1</f>
        <v>0</v>
      </c>
      <c r="E31">
        <f ca="1">SUMIF(RESUMEN!$Z$15:$Z$248,MORTALIDAD_ACUMULADA!B31,RESUMEN!$AC$15:$AC$247)*-1</f>
        <v>0</v>
      </c>
      <c r="F31">
        <f>SUMIF(RESUMEN!$AL$15:$AL$248,MORTALIDAD_ACUMULADA!B31,RESUMEN!$AO$15:$AO$248)*-1</f>
        <v>0</v>
      </c>
      <c r="G31">
        <f>SUMIF(RESUMEN!$AX$15:$AX$248,MORTALIDAD_ACUMULADA!B31,RESUMEN!$BA$15:$BA$248)*-1</f>
        <v>0</v>
      </c>
      <c r="H31">
        <f>SUMIF(RESUMEN!$BJ$15:$BJ$248,MORTALIDAD_ACUMULADA!B31,RESUMEN!$BM$15:$BM$248)*-1</f>
        <v>0</v>
      </c>
      <c r="I31">
        <f t="shared" ca="1" si="0"/>
        <v>0</v>
      </c>
    </row>
    <row r="32" spans="2:9" x14ac:dyDescent="0.25">
      <c r="B32" s="55">
        <v>24</v>
      </c>
      <c r="C32" s="55">
        <f>SUMIF(RESUMEN!$B$15:$B$248,MORTALIDAD_ACUMULADA!B32,RESUMEN!$E$15:$E$248)*-1</f>
        <v>0</v>
      </c>
      <c r="D32">
        <f>SUMIF(RESUMEN!$N$15:$N$248,B32,RESUMEN!$Q$15:$Q$248)*-1</f>
        <v>0</v>
      </c>
      <c r="E32">
        <f ca="1">SUMIF(RESUMEN!$Z$15:$Z$248,MORTALIDAD_ACUMULADA!B32,RESUMEN!$AC$15:$AC$247)*-1</f>
        <v>0</v>
      </c>
      <c r="F32">
        <f>SUMIF(RESUMEN!$AL$15:$AL$248,MORTALIDAD_ACUMULADA!B32,RESUMEN!$AO$15:$AO$248)*-1</f>
        <v>0</v>
      </c>
      <c r="G32">
        <f>SUMIF(RESUMEN!$AX$15:$AX$248,MORTALIDAD_ACUMULADA!B32,RESUMEN!$BA$15:$BA$248)*-1</f>
        <v>0</v>
      </c>
      <c r="H32">
        <f>SUMIF(RESUMEN!$BJ$15:$BJ$248,MORTALIDAD_ACUMULADA!B32,RESUMEN!$BM$15:$BM$248)*-1</f>
        <v>0</v>
      </c>
      <c r="I32">
        <f t="shared" ca="1" si="0"/>
        <v>0</v>
      </c>
    </row>
    <row r="33" spans="2:9" x14ac:dyDescent="0.25">
      <c r="B33" s="55">
        <v>25</v>
      </c>
      <c r="C33" s="55">
        <f>SUMIF(RESUMEN!$B$15:$B$248,MORTALIDAD_ACUMULADA!B33,RESUMEN!$E$15:$E$248)*-1</f>
        <v>0</v>
      </c>
      <c r="D33">
        <f>SUMIF(RESUMEN!$N$15:$N$248,B33,RESUMEN!$Q$15:$Q$248)*-1</f>
        <v>0</v>
      </c>
      <c r="E33">
        <f ca="1">SUMIF(RESUMEN!$Z$15:$Z$248,MORTALIDAD_ACUMULADA!B33,RESUMEN!$AC$15:$AC$247)*-1</f>
        <v>0</v>
      </c>
      <c r="F33">
        <f>SUMIF(RESUMEN!$AL$15:$AL$248,MORTALIDAD_ACUMULADA!B33,RESUMEN!$AO$15:$AO$248)*-1</f>
        <v>0</v>
      </c>
      <c r="G33">
        <f>SUMIF(RESUMEN!$AX$15:$AX$248,MORTALIDAD_ACUMULADA!B33,RESUMEN!$BA$15:$BA$248)*-1</f>
        <v>0</v>
      </c>
      <c r="H33">
        <f>SUMIF(RESUMEN!$BJ$15:$BJ$248,MORTALIDAD_ACUMULADA!B33,RESUMEN!$BM$15:$BM$248)*-1</f>
        <v>0</v>
      </c>
      <c r="I33">
        <f t="shared" ca="1" si="0"/>
        <v>0</v>
      </c>
    </row>
    <row r="34" spans="2:9" x14ac:dyDescent="0.25">
      <c r="B34" s="55">
        <v>26</v>
      </c>
      <c r="C34" s="55">
        <f>SUMIF(RESUMEN!$B$15:$B$248,MORTALIDAD_ACUMULADA!B34,RESUMEN!$E$15:$E$248)*-1</f>
        <v>0</v>
      </c>
      <c r="D34">
        <f>SUMIF(RESUMEN!$N$15:$N$248,B34,RESUMEN!$Q$15:$Q$248)*-1</f>
        <v>0</v>
      </c>
      <c r="E34">
        <f ca="1">SUMIF(RESUMEN!$Z$15:$Z$248,MORTALIDAD_ACUMULADA!B34,RESUMEN!$AC$15:$AC$247)*-1</f>
        <v>0</v>
      </c>
      <c r="F34">
        <f>SUMIF(RESUMEN!$AL$15:$AL$248,MORTALIDAD_ACUMULADA!B34,RESUMEN!$AO$15:$AO$248)*-1</f>
        <v>0</v>
      </c>
      <c r="G34">
        <f>SUMIF(RESUMEN!$AX$15:$AX$248,MORTALIDAD_ACUMULADA!B34,RESUMEN!$BA$15:$BA$248)*-1</f>
        <v>0</v>
      </c>
      <c r="H34">
        <f>SUMIF(RESUMEN!$BJ$15:$BJ$248,MORTALIDAD_ACUMULADA!B34,RESUMEN!$BM$15:$BM$248)*-1</f>
        <v>0</v>
      </c>
      <c r="I34">
        <f t="shared" ca="1" si="0"/>
        <v>0</v>
      </c>
    </row>
    <row r="35" spans="2:9" x14ac:dyDescent="0.25">
      <c r="B35" s="55">
        <v>27</v>
      </c>
      <c r="C35" s="55">
        <f>SUMIF(RESUMEN!$B$15:$B$248,MORTALIDAD_ACUMULADA!B35,RESUMEN!$E$15:$E$248)*-1</f>
        <v>0</v>
      </c>
      <c r="D35">
        <f>SUMIF(RESUMEN!$N$15:$N$248,B35,RESUMEN!$Q$15:$Q$248)*-1</f>
        <v>0</v>
      </c>
      <c r="E35">
        <f ca="1">SUMIF(RESUMEN!$Z$15:$Z$248,MORTALIDAD_ACUMULADA!B35,RESUMEN!$AC$15:$AC$247)*-1</f>
        <v>0</v>
      </c>
      <c r="F35">
        <f>SUMIF(RESUMEN!$AL$15:$AL$248,MORTALIDAD_ACUMULADA!B35,RESUMEN!$AO$15:$AO$248)*-1</f>
        <v>0</v>
      </c>
      <c r="G35">
        <f>SUMIF(RESUMEN!$AX$15:$AX$248,MORTALIDAD_ACUMULADA!B35,RESUMEN!$BA$15:$BA$248)*-1</f>
        <v>0</v>
      </c>
      <c r="H35">
        <f>SUMIF(RESUMEN!$BJ$15:$BJ$248,MORTALIDAD_ACUMULADA!B35,RESUMEN!$BM$15:$BM$248)*-1</f>
        <v>0</v>
      </c>
      <c r="I35">
        <f t="shared" ca="1" si="0"/>
        <v>0</v>
      </c>
    </row>
    <row r="36" spans="2:9" x14ac:dyDescent="0.25">
      <c r="B36" s="55">
        <v>28</v>
      </c>
      <c r="C36" s="55">
        <f>SUMIF(RESUMEN!$B$15:$B$248,MORTALIDAD_ACUMULADA!B36,RESUMEN!$E$15:$E$248)*-1</f>
        <v>0</v>
      </c>
      <c r="D36">
        <f>SUMIF(RESUMEN!$N$15:$N$248,B36,RESUMEN!$Q$15:$Q$248)*-1</f>
        <v>0</v>
      </c>
      <c r="E36">
        <f ca="1">SUMIF(RESUMEN!$Z$15:$Z$248,MORTALIDAD_ACUMULADA!B36,RESUMEN!$AC$15:$AC$247)*-1</f>
        <v>0</v>
      </c>
      <c r="F36">
        <f>SUMIF(RESUMEN!$AL$15:$AL$248,MORTALIDAD_ACUMULADA!B36,RESUMEN!$AO$15:$AO$248)*-1</f>
        <v>0</v>
      </c>
      <c r="G36">
        <f>SUMIF(RESUMEN!$AX$15:$AX$248,MORTALIDAD_ACUMULADA!B36,RESUMEN!$BA$15:$BA$248)*-1</f>
        <v>0</v>
      </c>
      <c r="H36">
        <f>SUMIF(RESUMEN!$BJ$15:$BJ$248,MORTALIDAD_ACUMULADA!B36,RESUMEN!$BM$15:$BM$248)*-1</f>
        <v>0</v>
      </c>
      <c r="I36">
        <f t="shared" ca="1" si="0"/>
        <v>0</v>
      </c>
    </row>
    <row r="37" spans="2:9" x14ac:dyDescent="0.25">
      <c r="B37" s="55">
        <v>29</v>
      </c>
      <c r="C37" s="55">
        <f>SUMIF(RESUMEN!$B$15:$B$248,MORTALIDAD_ACUMULADA!B37,RESUMEN!$E$15:$E$248)*-1</f>
        <v>0</v>
      </c>
      <c r="D37">
        <f>SUMIF(RESUMEN!$N$15:$N$248,B37,RESUMEN!$Q$15:$Q$248)*-1</f>
        <v>0</v>
      </c>
      <c r="E37">
        <f ca="1">SUMIF(RESUMEN!$Z$15:$Z$248,MORTALIDAD_ACUMULADA!B37,RESUMEN!$AC$15:$AC$247)*-1</f>
        <v>0</v>
      </c>
      <c r="F37">
        <f>SUMIF(RESUMEN!$AL$15:$AL$248,MORTALIDAD_ACUMULADA!B37,RESUMEN!$AO$15:$AO$248)*-1</f>
        <v>0</v>
      </c>
      <c r="G37">
        <f>SUMIF(RESUMEN!$AX$15:$AX$248,MORTALIDAD_ACUMULADA!B37,RESUMEN!$BA$15:$BA$248)*-1</f>
        <v>0</v>
      </c>
      <c r="H37">
        <f>SUMIF(RESUMEN!$BJ$15:$BJ$248,MORTALIDAD_ACUMULADA!B37,RESUMEN!$BM$15:$BM$248)*-1</f>
        <v>0</v>
      </c>
      <c r="I37">
        <f t="shared" ca="1" si="0"/>
        <v>0</v>
      </c>
    </row>
    <row r="38" spans="2:9" x14ac:dyDescent="0.25">
      <c r="B38" s="55">
        <v>30</v>
      </c>
      <c r="C38" s="55">
        <f>SUMIF(RESUMEN!$B$15:$B$248,MORTALIDAD_ACUMULADA!B38,RESUMEN!$E$15:$E$248)*-1</f>
        <v>0</v>
      </c>
      <c r="D38">
        <f>SUMIF(RESUMEN!$N$15:$N$248,B38,RESUMEN!$Q$15:$Q$248)*-1</f>
        <v>0</v>
      </c>
      <c r="E38">
        <f ca="1">SUMIF(RESUMEN!$Z$15:$Z$248,MORTALIDAD_ACUMULADA!B38,RESUMEN!$AC$15:$AC$247)*-1</f>
        <v>0</v>
      </c>
      <c r="F38">
        <f>SUMIF(RESUMEN!$AL$15:$AL$248,MORTALIDAD_ACUMULADA!B38,RESUMEN!$AO$15:$AO$248)*-1</f>
        <v>0</v>
      </c>
      <c r="G38">
        <f>SUMIF(RESUMEN!$AX$15:$AX$248,MORTALIDAD_ACUMULADA!B38,RESUMEN!$BA$15:$BA$248)*-1</f>
        <v>0</v>
      </c>
      <c r="H38">
        <f>SUMIF(RESUMEN!$BJ$15:$BJ$248,MORTALIDAD_ACUMULADA!B38,RESUMEN!$BM$15:$BM$248)*-1</f>
        <v>0</v>
      </c>
      <c r="I38">
        <f t="shared" ca="1" si="0"/>
        <v>0</v>
      </c>
    </row>
    <row r="39" spans="2:9" x14ac:dyDescent="0.25">
      <c r="B39" s="55">
        <v>31</v>
      </c>
      <c r="C39" s="55">
        <f>SUMIF(RESUMEN!$B$15:$B$248,MORTALIDAD_ACUMULADA!B39,RESUMEN!$E$15:$E$248)*-1</f>
        <v>0</v>
      </c>
      <c r="D39">
        <f>SUMIF(RESUMEN!$N$15:$N$248,B39,RESUMEN!$Q$15:$Q$248)*-1</f>
        <v>0</v>
      </c>
      <c r="E39">
        <f ca="1">SUMIF(RESUMEN!$Z$15:$Z$248,MORTALIDAD_ACUMULADA!B39,RESUMEN!$AC$15:$AC$247)*-1</f>
        <v>0</v>
      </c>
      <c r="F39">
        <f>SUMIF(RESUMEN!$AL$15:$AL$248,MORTALIDAD_ACUMULADA!B39,RESUMEN!$AO$15:$AO$248)*-1</f>
        <v>0</v>
      </c>
      <c r="G39">
        <f>SUMIF(RESUMEN!$AX$15:$AX$248,MORTALIDAD_ACUMULADA!B39,RESUMEN!$BA$15:$BA$248)*-1</f>
        <v>0</v>
      </c>
      <c r="H39">
        <f>SUMIF(RESUMEN!$BJ$15:$BJ$248,MORTALIDAD_ACUMULADA!B39,RESUMEN!$BM$15:$BM$248)*-1</f>
        <v>0</v>
      </c>
      <c r="I39">
        <f t="shared" ca="1" si="0"/>
        <v>0</v>
      </c>
    </row>
    <row r="40" spans="2:9" x14ac:dyDescent="0.25">
      <c r="B40" s="55">
        <v>32</v>
      </c>
      <c r="C40" s="55">
        <f>SUMIF(RESUMEN!$B$15:$B$248,MORTALIDAD_ACUMULADA!B40,RESUMEN!$E$15:$E$248)*-1</f>
        <v>0</v>
      </c>
      <c r="D40">
        <f>SUMIF(RESUMEN!$N$15:$N$248,B40,RESUMEN!$Q$15:$Q$248)*-1</f>
        <v>0</v>
      </c>
      <c r="E40">
        <f ca="1">SUMIF(RESUMEN!$Z$15:$Z$248,MORTALIDAD_ACUMULADA!B40,RESUMEN!$AC$15:$AC$247)*-1</f>
        <v>0</v>
      </c>
      <c r="F40">
        <f>SUMIF(RESUMEN!$AL$15:$AL$248,MORTALIDAD_ACUMULADA!B40,RESUMEN!$AO$15:$AO$248)*-1</f>
        <v>0</v>
      </c>
      <c r="G40">
        <f>SUMIF(RESUMEN!$AX$15:$AX$248,MORTALIDAD_ACUMULADA!B40,RESUMEN!$BA$15:$BA$248)*-1</f>
        <v>0</v>
      </c>
      <c r="H40">
        <f>SUMIF(RESUMEN!$BJ$15:$BJ$248,MORTALIDAD_ACUMULADA!B40,RESUMEN!$BM$15:$BM$248)*-1</f>
        <v>0</v>
      </c>
      <c r="I40">
        <f t="shared" ca="1" si="0"/>
        <v>0</v>
      </c>
    </row>
    <row r="41" spans="2:9" x14ac:dyDescent="0.25">
      <c r="B41" s="55">
        <v>33</v>
      </c>
      <c r="C41" s="55">
        <f>SUMIF(RESUMEN!$B$15:$B$248,MORTALIDAD_ACUMULADA!B41,RESUMEN!$E$15:$E$248)*-1</f>
        <v>0</v>
      </c>
      <c r="D41">
        <f>SUMIF(RESUMEN!$N$15:$N$248,B41,RESUMEN!$Q$15:$Q$248)*-1</f>
        <v>0</v>
      </c>
      <c r="E41">
        <f ca="1">SUMIF(RESUMEN!$Z$15:$Z$248,MORTALIDAD_ACUMULADA!B41,RESUMEN!$AC$15:$AC$247)*-1</f>
        <v>0</v>
      </c>
      <c r="F41">
        <f>SUMIF(RESUMEN!$AL$15:$AL$248,MORTALIDAD_ACUMULADA!B41,RESUMEN!$AO$15:$AO$248)*-1</f>
        <v>0</v>
      </c>
      <c r="G41">
        <f>SUMIF(RESUMEN!$AX$15:$AX$248,MORTALIDAD_ACUMULADA!B41,RESUMEN!$BA$15:$BA$248)*-1</f>
        <v>0</v>
      </c>
      <c r="H41">
        <f>SUMIF(RESUMEN!$BJ$15:$BJ$248,MORTALIDAD_ACUMULADA!B41,RESUMEN!$BM$15:$BM$248)*-1</f>
        <v>0</v>
      </c>
      <c r="I41">
        <f t="shared" ca="1" si="0"/>
        <v>0</v>
      </c>
    </row>
    <row r="42" spans="2:9" x14ac:dyDescent="0.25">
      <c r="B42" s="55">
        <v>34</v>
      </c>
      <c r="C42" s="55">
        <f>SUMIF(RESUMEN!$B$15:$B$248,MORTALIDAD_ACUMULADA!B42,RESUMEN!$E$15:$E$248)*-1</f>
        <v>0</v>
      </c>
      <c r="D42">
        <f>SUMIF(RESUMEN!$N$15:$N$248,B42,RESUMEN!$Q$15:$Q$248)*-1</f>
        <v>0</v>
      </c>
      <c r="E42">
        <f ca="1">SUMIF(RESUMEN!$Z$15:$Z$248,MORTALIDAD_ACUMULADA!B42,RESUMEN!$AC$15:$AC$247)*-1</f>
        <v>0</v>
      </c>
      <c r="F42">
        <f>SUMIF(RESUMEN!$AL$15:$AL$248,MORTALIDAD_ACUMULADA!B42,RESUMEN!$AO$15:$AO$248)*-1</f>
        <v>0</v>
      </c>
      <c r="G42">
        <f>SUMIF(RESUMEN!$AX$15:$AX$248,MORTALIDAD_ACUMULADA!B42,RESUMEN!$BA$15:$BA$248)*-1</f>
        <v>0</v>
      </c>
      <c r="H42">
        <f>SUMIF(RESUMEN!$BJ$15:$BJ$248,MORTALIDAD_ACUMULADA!B42,RESUMEN!$BM$15:$BM$248)*-1</f>
        <v>0</v>
      </c>
      <c r="I42">
        <f t="shared" ca="1" si="0"/>
        <v>0</v>
      </c>
    </row>
    <row r="43" spans="2:9" x14ac:dyDescent="0.25">
      <c r="B43" s="55">
        <v>35</v>
      </c>
      <c r="C43" s="55">
        <f>SUMIF(RESUMEN!$B$15:$B$248,MORTALIDAD_ACUMULADA!B43,RESUMEN!$E$15:$E$248)*-1</f>
        <v>0</v>
      </c>
      <c r="D43">
        <f>SUMIF(RESUMEN!$N$15:$N$248,B43,RESUMEN!$Q$15:$Q$248)*-1</f>
        <v>0</v>
      </c>
      <c r="E43">
        <f ca="1">SUMIF(RESUMEN!$Z$15:$Z$248,MORTALIDAD_ACUMULADA!B43,RESUMEN!$AC$15:$AC$247)*-1</f>
        <v>0</v>
      </c>
      <c r="F43">
        <f>SUMIF(RESUMEN!$AL$15:$AL$248,MORTALIDAD_ACUMULADA!B43,RESUMEN!$AO$15:$AO$248)*-1</f>
        <v>0</v>
      </c>
      <c r="G43">
        <f>SUMIF(RESUMEN!$AX$15:$AX$248,MORTALIDAD_ACUMULADA!B43,RESUMEN!$BA$15:$BA$248)*-1</f>
        <v>0</v>
      </c>
      <c r="H43">
        <f>SUMIF(RESUMEN!$BJ$15:$BJ$248,MORTALIDAD_ACUMULADA!B43,RESUMEN!$BM$15:$BM$248)*-1</f>
        <v>0</v>
      </c>
      <c r="I43">
        <f t="shared" ca="1" si="0"/>
        <v>0</v>
      </c>
    </row>
    <row r="44" spans="2:9" x14ac:dyDescent="0.25">
      <c r="B44" s="55">
        <v>36</v>
      </c>
      <c r="C44" s="55">
        <f>SUMIF(RESUMEN!$B$15:$B$248,MORTALIDAD_ACUMULADA!B44,RESUMEN!$E$15:$E$248)*-1</f>
        <v>0</v>
      </c>
      <c r="D44">
        <f>SUMIF(RESUMEN!$N$15:$N$248,B44,RESUMEN!$Q$15:$Q$248)*-1</f>
        <v>0</v>
      </c>
      <c r="E44">
        <f ca="1">SUMIF(RESUMEN!$Z$15:$Z$248,MORTALIDAD_ACUMULADA!B44,RESUMEN!$AC$15:$AC$247)*-1</f>
        <v>0</v>
      </c>
      <c r="F44">
        <f>SUMIF(RESUMEN!$AL$15:$AL$248,MORTALIDAD_ACUMULADA!B44,RESUMEN!$AO$15:$AO$248)*-1</f>
        <v>0</v>
      </c>
      <c r="G44">
        <f>SUMIF(RESUMEN!$AX$15:$AX$248,MORTALIDAD_ACUMULADA!B44,RESUMEN!$BA$15:$BA$248)*-1</f>
        <v>0</v>
      </c>
      <c r="H44">
        <f>SUMIF(RESUMEN!$BJ$15:$BJ$248,MORTALIDAD_ACUMULADA!B44,RESUMEN!$BM$15:$BM$248)*-1</f>
        <v>0</v>
      </c>
      <c r="I44">
        <f t="shared" ca="1" si="0"/>
        <v>0</v>
      </c>
    </row>
    <row r="45" spans="2:9" x14ac:dyDescent="0.25">
      <c r="B45" s="55">
        <v>37</v>
      </c>
      <c r="C45" s="55">
        <f>SUMIF(RESUMEN!$B$15:$B$248,MORTALIDAD_ACUMULADA!B45,RESUMEN!$E$15:$E$248)*-1</f>
        <v>0</v>
      </c>
      <c r="D45">
        <f>SUMIF(RESUMEN!$N$15:$N$248,B45,RESUMEN!$Q$15:$Q$248)*-1</f>
        <v>0</v>
      </c>
      <c r="E45">
        <f ca="1">SUMIF(RESUMEN!$Z$15:$Z$248,MORTALIDAD_ACUMULADA!B45,RESUMEN!$AC$15:$AC$247)*-1</f>
        <v>0</v>
      </c>
      <c r="F45">
        <f>SUMIF(RESUMEN!$AL$15:$AL$248,MORTALIDAD_ACUMULADA!B45,RESUMEN!$AO$15:$AO$248)*-1</f>
        <v>0</v>
      </c>
      <c r="G45">
        <f>SUMIF(RESUMEN!$AX$15:$AX$248,MORTALIDAD_ACUMULADA!B45,RESUMEN!$BA$15:$BA$248)*-1</f>
        <v>0</v>
      </c>
      <c r="H45">
        <f>SUMIF(RESUMEN!$BJ$15:$BJ$248,MORTALIDAD_ACUMULADA!B45,RESUMEN!$BM$15:$BM$248)*-1</f>
        <v>0</v>
      </c>
      <c r="I45">
        <f t="shared" ca="1" si="0"/>
        <v>0</v>
      </c>
    </row>
    <row r="46" spans="2:9" x14ac:dyDescent="0.25">
      <c r="B46" s="55">
        <v>38</v>
      </c>
      <c r="C46" s="55">
        <f>SUMIF(RESUMEN!$B$15:$B$248,MORTALIDAD_ACUMULADA!B46,RESUMEN!$E$15:$E$248)*-1</f>
        <v>0</v>
      </c>
      <c r="D46">
        <f>SUMIF(RESUMEN!$N$15:$N$248,B46,RESUMEN!$Q$15:$Q$248)*-1</f>
        <v>0</v>
      </c>
      <c r="E46">
        <f ca="1">SUMIF(RESUMEN!$Z$15:$Z$248,MORTALIDAD_ACUMULADA!B46,RESUMEN!$AC$15:$AC$247)*-1</f>
        <v>0</v>
      </c>
      <c r="F46">
        <f>SUMIF(RESUMEN!$AL$15:$AL$248,MORTALIDAD_ACUMULADA!B46,RESUMEN!$AO$15:$AO$248)*-1</f>
        <v>0</v>
      </c>
      <c r="G46">
        <f>SUMIF(RESUMEN!$AX$15:$AX$248,MORTALIDAD_ACUMULADA!B46,RESUMEN!$BA$15:$BA$248)*-1</f>
        <v>0</v>
      </c>
      <c r="H46">
        <f>SUMIF(RESUMEN!$BJ$15:$BJ$248,MORTALIDAD_ACUMULADA!B46,RESUMEN!$BM$15:$BM$248)*-1</f>
        <v>0</v>
      </c>
      <c r="I46">
        <f t="shared" ca="1" si="0"/>
        <v>0</v>
      </c>
    </row>
    <row r="47" spans="2:9" x14ac:dyDescent="0.25">
      <c r="B47" s="55">
        <v>39</v>
      </c>
      <c r="C47" s="55">
        <f>SUMIF(RESUMEN!$B$15:$B$248,MORTALIDAD_ACUMULADA!B47,RESUMEN!$E$15:$E$248)*-1</f>
        <v>0</v>
      </c>
      <c r="D47">
        <f>SUMIF(RESUMEN!$N$15:$N$248,B47,RESUMEN!$Q$15:$Q$248)*-1</f>
        <v>0</v>
      </c>
      <c r="E47">
        <f ca="1">SUMIF(RESUMEN!$Z$15:$Z$248,MORTALIDAD_ACUMULADA!B47,RESUMEN!$AC$15:$AC$247)*-1</f>
        <v>0</v>
      </c>
      <c r="F47">
        <f>SUMIF(RESUMEN!$AL$15:$AL$248,MORTALIDAD_ACUMULADA!B47,RESUMEN!$AO$15:$AO$248)*-1</f>
        <v>0</v>
      </c>
      <c r="G47">
        <f>SUMIF(RESUMEN!$AX$15:$AX$248,MORTALIDAD_ACUMULADA!B47,RESUMEN!$BA$15:$BA$248)*-1</f>
        <v>0</v>
      </c>
      <c r="H47">
        <f>SUMIF(RESUMEN!$BJ$15:$BJ$248,MORTALIDAD_ACUMULADA!B47,RESUMEN!$BM$15:$BM$248)*-1</f>
        <v>0</v>
      </c>
      <c r="I47">
        <f t="shared" ca="1" si="0"/>
        <v>0</v>
      </c>
    </row>
    <row r="48" spans="2:9" x14ac:dyDescent="0.25">
      <c r="B48" s="55">
        <v>40</v>
      </c>
      <c r="C48" s="55">
        <f>SUMIF(RESUMEN!$B$15:$B$248,MORTALIDAD_ACUMULADA!B48,RESUMEN!$E$15:$E$248)*-1</f>
        <v>0</v>
      </c>
      <c r="D48">
        <f>SUMIF(RESUMEN!$N$15:$N$248,B48,RESUMEN!$Q$15:$Q$248)*-1</f>
        <v>0</v>
      </c>
      <c r="E48">
        <f ca="1">SUMIF(RESUMEN!$Z$15:$Z$248,MORTALIDAD_ACUMULADA!B48,RESUMEN!$AC$15:$AC$247)*-1</f>
        <v>0</v>
      </c>
      <c r="F48">
        <f>SUMIF(RESUMEN!$AL$15:$AL$248,MORTALIDAD_ACUMULADA!B48,RESUMEN!$AO$15:$AO$248)*-1</f>
        <v>0</v>
      </c>
      <c r="G48">
        <f>SUMIF(RESUMEN!$AX$15:$AX$248,MORTALIDAD_ACUMULADA!B48,RESUMEN!$BA$15:$BA$248)*-1</f>
        <v>0</v>
      </c>
      <c r="H48">
        <f>SUMIF(RESUMEN!$BJ$15:$BJ$248,MORTALIDAD_ACUMULADA!B48,RESUMEN!$BM$15:$BM$248)*-1</f>
        <v>0</v>
      </c>
      <c r="I48">
        <f t="shared" ca="1" si="0"/>
        <v>0</v>
      </c>
    </row>
    <row r="49" spans="1:11" x14ac:dyDescent="0.25">
      <c r="A49" s="219" t="s">
        <v>12</v>
      </c>
      <c r="B49" s="219"/>
      <c r="C49" s="55">
        <f>SUM(C9:C48)</f>
        <v>740</v>
      </c>
      <c r="D49" s="55">
        <f t="shared" ref="D49:H49" si="1">SUM(D9:D48)</f>
        <v>680</v>
      </c>
      <c r="E49" s="55">
        <f t="shared" ca="1" si="1"/>
        <v>476</v>
      </c>
      <c r="F49" s="55">
        <f t="shared" si="1"/>
        <v>124</v>
      </c>
      <c r="G49" s="55">
        <f t="shared" si="1"/>
        <v>119</v>
      </c>
      <c r="H49" s="55">
        <f t="shared" si="1"/>
        <v>73</v>
      </c>
      <c r="I49" s="55"/>
      <c r="J49" s="55">
        <f ca="1">SUM(C49:H49)</f>
        <v>2212</v>
      </c>
      <c r="K49" t="s">
        <v>95</v>
      </c>
    </row>
    <row r="50" spans="1:11" x14ac:dyDescent="0.25">
      <c r="A50" s="219" t="s">
        <v>96</v>
      </c>
      <c r="B50" s="219"/>
      <c r="C50" s="62">
        <f>C49/C8</f>
        <v>0.33636363636363636</v>
      </c>
      <c r="D50" s="62">
        <f t="shared" ref="D50:H50" si="2">D49/D8</f>
        <v>0.30909090909090908</v>
      </c>
      <c r="E50" s="62">
        <f t="shared" ca="1" si="2"/>
        <v>0.21636363636363637</v>
      </c>
      <c r="F50" s="62">
        <f t="shared" si="2"/>
        <v>5.6363636363636366E-2</v>
      </c>
      <c r="G50" s="62">
        <f t="shared" si="2"/>
        <v>5.4090909090909092E-2</v>
      </c>
      <c r="H50" s="62">
        <f t="shared" si="2"/>
        <v>3.1547104580812446E-2</v>
      </c>
      <c r="I50" s="62"/>
      <c r="J50" s="62">
        <f ca="1">SUM(C50:H50)/6</f>
        <v>0.16730330530892332</v>
      </c>
      <c r="K50" t="s">
        <v>97</v>
      </c>
    </row>
    <row r="51" spans="1:11" x14ac:dyDescent="0.25">
      <c r="A51" s="219" t="s">
        <v>98</v>
      </c>
      <c r="B51" s="219"/>
      <c r="C51" s="63">
        <f ca="1">(IF(RESUMEN!K5&gt;=RESUMEN!B1,RESUMEN!K5,RESUMEN!B1))-RESUMEN!D7</f>
        <v>77</v>
      </c>
      <c r="D51" s="63">
        <f ca="1">(IF(RESUMEN!W5&gt;=RESUMEN!B1,RESUMEN!W5,RESUMEN!B1))-RESUMEN!P7</f>
        <v>73</v>
      </c>
      <c r="E51" s="63">
        <f ca="1">(IF(RESUMEN!AI5&gt;=RESUMEN!B1,RESUMEN!AI5,RESUMEN!B1))-RESUMEN!AB7</f>
        <v>68</v>
      </c>
      <c r="F51" s="63">
        <f ca="1">(IF(RESUMEN!AI5&gt;=RESUMEN!B1,RESUMEN!AU5,RESUMEN!B1))-RESUMEN!AN7</f>
        <v>61</v>
      </c>
      <c r="G51" s="63">
        <f ca="1">(IF(RESUMEN!BG5&gt;=RESUMEN!B1,RESUMEN!BG5,RESUMEN!B1))-RESUMEN!AZ7</f>
        <v>54</v>
      </c>
      <c r="H51" s="63">
        <f ca="1">(IF(RESUMEN!BS5&gt;=RESUMEN!B1,RESUMEN!BS5,RESUMEN!B1))-RESUMEN!BL7</f>
        <v>48</v>
      </c>
      <c r="J51" s="63">
        <f ca="1">SUM(C51:H51)/6</f>
        <v>63.5</v>
      </c>
      <c r="K51" t="s">
        <v>99</v>
      </c>
    </row>
    <row r="52" spans="1:11" x14ac:dyDescent="0.25">
      <c r="A52" s="219" t="s">
        <v>100</v>
      </c>
      <c r="B52" s="219"/>
    </row>
    <row r="53" spans="1:11" x14ac:dyDescent="0.25">
      <c r="A53" s="219" t="s">
        <v>101</v>
      </c>
      <c r="B53" s="219"/>
      <c r="C53" s="55">
        <f>C8-C49-C52</f>
        <v>1460</v>
      </c>
      <c r="D53" s="55">
        <f t="shared" ref="D53:H53" si="3">D8-D49-D52</f>
        <v>1520</v>
      </c>
      <c r="E53" s="55">
        <f t="shared" ca="1" si="3"/>
        <v>1724</v>
      </c>
      <c r="F53" s="55">
        <f t="shared" si="3"/>
        <v>2076</v>
      </c>
      <c r="G53" s="55">
        <f t="shared" si="3"/>
        <v>2081</v>
      </c>
      <c r="H53" s="55">
        <f t="shared" si="3"/>
        <v>2241</v>
      </c>
      <c r="J53" s="55">
        <f ca="1">SUM(C53:H53)</f>
        <v>11102</v>
      </c>
    </row>
  </sheetData>
  <sheetProtection algorithmName="SHA-512" hashValue="vHyWqprn6JZ1hV/K8zzZ/dga2VBxOn+FOB02EkuW5K/wGY2nh0BGKufvA+X1JpQ1a9NTKTWixcE0Q1TkLUhK0w==" saltValue="co3NIhqmhpzp7DQDzmdchw==" spinCount="100000" sheet="1" objects="1" scenarios="1"/>
  <mergeCells count="12">
    <mergeCell ref="I7:I8"/>
    <mergeCell ref="A8:B8"/>
    <mergeCell ref="A3:B3"/>
    <mergeCell ref="A4:B4"/>
    <mergeCell ref="A5:B5"/>
    <mergeCell ref="A6:B6"/>
    <mergeCell ref="A7:B7"/>
    <mergeCell ref="A49:B49"/>
    <mergeCell ref="A50:B50"/>
    <mergeCell ref="A51:B51"/>
    <mergeCell ref="A52:B52"/>
    <mergeCell ref="A53:B5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W131"/>
  <sheetViews>
    <sheetView showGridLines="0" tabSelected="1" workbookViewId="0">
      <selection activeCell="D18" sqref="D18:G18"/>
    </sheetView>
  </sheetViews>
  <sheetFormatPr baseColWidth="10" defaultColWidth="0" defaultRowHeight="15" x14ac:dyDescent="0.25"/>
  <cols>
    <col min="1" max="1" width="4.42578125" customWidth="1"/>
    <col min="2" max="2" width="5.42578125" customWidth="1"/>
    <col min="3" max="3" width="8.42578125" customWidth="1"/>
    <col min="4" max="4" width="18.85546875" customWidth="1"/>
    <col min="5" max="5" width="4.28515625" customWidth="1"/>
    <col min="6" max="6" width="11.42578125" customWidth="1"/>
    <col min="7" max="7" width="9.42578125" customWidth="1"/>
    <col min="8" max="8" width="4.140625" customWidth="1"/>
    <col min="9" max="9" width="3.85546875" customWidth="1"/>
    <col min="10" max="10" width="11.42578125" hidden="1" customWidth="1"/>
    <col min="11" max="11" width="15.28515625" hidden="1" customWidth="1"/>
    <col min="12" max="12" width="19.5703125" hidden="1" customWidth="1"/>
    <col min="13" max="13" width="18.5703125" hidden="1" customWidth="1"/>
    <col min="14" max="14" width="18" hidden="1" customWidth="1"/>
    <col min="15" max="15" width="19.28515625" hidden="1" customWidth="1"/>
    <col min="16" max="16" width="18.140625" hidden="1" customWidth="1"/>
    <col min="17" max="17" width="19.42578125" hidden="1" customWidth="1"/>
    <col min="18" max="18" width="20.28515625" hidden="1" customWidth="1"/>
    <col min="19" max="19" width="17.85546875" hidden="1" customWidth="1"/>
    <col min="20" max="21" width="18.140625" hidden="1" customWidth="1"/>
    <col min="22" max="22" width="17" hidden="1" customWidth="1"/>
    <col min="23" max="23" width="17.7109375" hidden="1" customWidth="1"/>
    <col min="24" max="16384" width="11.42578125" hidden="1"/>
  </cols>
  <sheetData>
    <row r="1" spans="1:9" ht="15.75" x14ac:dyDescent="0.25">
      <c r="A1" s="221"/>
      <c r="B1" s="221"/>
      <c r="C1" s="221"/>
      <c r="D1" s="221"/>
      <c r="E1" s="221"/>
      <c r="F1" s="221"/>
      <c r="G1" s="221"/>
      <c r="H1" s="221"/>
      <c r="I1" s="221"/>
    </row>
    <row r="2" spans="1:9" ht="15.75" x14ac:dyDescent="0.25">
      <c r="A2" s="221"/>
      <c r="B2" s="139"/>
      <c r="C2" s="221"/>
      <c r="D2" s="221"/>
      <c r="E2" s="138"/>
      <c r="F2" s="139"/>
      <c r="G2" s="139"/>
      <c r="H2" s="139"/>
      <c r="I2" s="221"/>
    </row>
    <row r="3" spans="1:9" ht="15.75" x14ac:dyDescent="0.25">
      <c r="A3" s="221"/>
      <c r="B3" s="139"/>
      <c r="C3" s="136" t="s">
        <v>170</v>
      </c>
      <c r="D3" s="137"/>
      <c r="E3" s="138"/>
      <c r="F3" s="139"/>
      <c r="G3" s="139"/>
      <c r="H3" s="139"/>
      <c r="I3" s="221"/>
    </row>
    <row r="4" spans="1:9" ht="15.75" x14ac:dyDescent="0.25">
      <c r="A4" s="221"/>
      <c r="B4" s="139"/>
      <c r="C4" s="139"/>
      <c r="D4" s="140"/>
      <c r="E4" s="138"/>
      <c r="F4" s="139"/>
      <c r="G4" s="139"/>
      <c r="H4" s="139"/>
      <c r="I4" s="221"/>
    </row>
    <row r="5" spans="1:9" ht="15.75" x14ac:dyDescent="0.25">
      <c r="A5" s="221"/>
      <c r="B5" s="139"/>
      <c r="C5" s="141" t="s">
        <v>171</v>
      </c>
      <c r="D5" s="140"/>
      <c r="E5" s="138"/>
      <c r="F5" s="139"/>
      <c r="G5" s="139"/>
      <c r="H5" s="139"/>
      <c r="I5" s="221"/>
    </row>
    <row r="6" spans="1:9" ht="15.75" x14ac:dyDescent="0.25">
      <c r="A6" s="221"/>
      <c r="B6" s="139"/>
      <c r="C6" s="139"/>
      <c r="D6" s="140"/>
      <c r="E6" s="138"/>
      <c r="F6" s="139"/>
      <c r="G6" s="139"/>
      <c r="H6" s="139"/>
      <c r="I6" s="221"/>
    </row>
    <row r="7" spans="1:9" ht="15.75" x14ac:dyDescent="0.25">
      <c r="A7" s="221"/>
      <c r="B7" s="139"/>
      <c r="C7" s="139"/>
      <c r="D7" s="140"/>
      <c r="E7" s="138"/>
      <c r="F7" s="139"/>
      <c r="G7" s="139"/>
      <c r="H7" s="139"/>
      <c r="I7" s="221"/>
    </row>
    <row r="8" spans="1:9" ht="15.75" x14ac:dyDescent="0.25">
      <c r="A8" s="221"/>
      <c r="B8" s="139"/>
      <c r="C8" s="139"/>
      <c r="D8" s="140"/>
      <c r="E8" s="138"/>
      <c r="F8" s="139"/>
      <c r="G8" s="139"/>
      <c r="H8" s="139"/>
      <c r="I8" s="221"/>
    </row>
    <row r="9" spans="1:9" ht="15.75" x14ac:dyDescent="0.25">
      <c r="A9" s="221"/>
      <c r="B9" s="139"/>
      <c r="C9" s="139"/>
      <c r="D9" s="140"/>
      <c r="E9" s="138"/>
      <c r="F9" s="139"/>
      <c r="G9" s="139"/>
      <c r="H9" s="139"/>
      <c r="I9" s="221"/>
    </row>
    <row r="10" spans="1:9" ht="15.75" x14ac:dyDescent="0.25">
      <c r="A10" s="221"/>
      <c r="B10" s="139"/>
      <c r="C10" s="141" t="s">
        <v>172</v>
      </c>
      <c r="D10" s="140"/>
      <c r="E10" s="138"/>
      <c r="F10" s="139"/>
      <c r="G10" s="139"/>
      <c r="H10" s="139"/>
      <c r="I10" s="221"/>
    </row>
    <row r="11" spans="1:9" s="142" customFormat="1" ht="19.899999999999999" customHeight="1" x14ac:dyDescent="0.25">
      <c r="A11" s="221"/>
      <c r="B11" s="139"/>
      <c r="C11" s="138"/>
      <c r="D11" s="149">
        <f>RESUMEN!F5</f>
        <v>18044</v>
      </c>
      <c r="E11" s="138"/>
      <c r="F11" s="149">
        <f>RESUMEN!AP5</f>
        <v>18047</v>
      </c>
      <c r="G11" s="139"/>
      <c r="H11" s="139"/>
      <c r="I11" s="221"/>
    </row>
    <row r="12" spans="1:9" s="142" customFormat="1" ht="19.899999999999999" customHeight="1" x14ac:dyDescent="0.25">
      <c r="A12" s="221"/>
      <c r="B12" s="139"/>
      <c r="C12" s="138"/>
      <c r="D12" s="149">
        <f>RESUMEN!R5</f>
        <v>18045</v>
      </c>
      <c r="E12" s="138"/>
      <c r="F12" s="149">
        <f>RESUMEN!BB5</f>
        <v>18048</v>
      </c>
      <c r="G12" s="139"/>
      <c r="H12" s="139"/>
      <c r="I12" s="221"/>
    </row>
    <row r="13" spans="1:9" s="142" customFormat="1" ht="19.899999999999999" customHeight="1" x14ac:dyDescent="0.25">
      <c r="A13" s="221"/>
      <c r="B13" s="139"/>
      <c r="C13" s="138"/>
      <c r="D13" s="149">
        <f>RESUMEN!AD5</f>
        <v>18046</v>
      </c>
      <c r="E13" s="138"/>
      <c r="F13" s="149">
        <f>RESUMEN!BN5</f>
        <v>18049</v>
      </c>
      <c r="G13" s="139"/>
      <c r="H13" s="139"/>
      <c r="I13" s="221"/>
    </row>
    <row r="14" spans="1:9" ht="15.75" x14ac:dyDescent="0.25">
      <c r="A14" s="221"/>
      <c r="B14" s="139"/>
      <c r="C14" s="141" t="s">
        <v>303</v>
      </c>
      <c r="E14" s="138"/>
      <c r="G14" s="139"/>
      <c r="H14" s="139"/>
      <c r="I14" s="221"/>
    </row>
    <row r="15" spans="1:9" ht="15.75" x14ac:dyDescent="0.25">
      <c r="A15" s="221"/>
      <c r="B15" s="139"/>
      <c r="C15" s="138"/>
      <c r="E15" s="138"/>
      <c r="F15" s="149"/>
      <c r="G15" s="139"/>
      <c r="H15" s="139"/>
      <c r="I15" s="221"/>
    </row>
    <row r="16" spans="1:9" ht="15.75" x14ac:dyDescent="0.25">
      <c r="A16" s="221"/>
      <c r="B16" s="139"/>
      <c r="C16" s="138"/>
      <c r="E16" s="138"/>
      <c r="G16" s="139"/>
      <c r="H16" s="139"/>
      <c r="I16" s="221"/>
    </row>
    <row r="17" spans="1:21" ht="15.75" x14ac:dyDescent="0.25">
      <c r="A17" s="221"/>
      <c r="B17" s="139"/>
      <c r="C17" s="138"/>
      <c r="D17" s="149"/>
      <c r="E17" s="138"/>
      <c r="F17" s="149"/>
      <c r="G17" s="139"/>
      <c r="H17" s="139"/>
      <c r="I17" s="221"/>
    </row>
    <row r="18" spans="1:21" ht="15.75" x14ac:dyDescent="0.25">
      <c r="A18" s="221"/>
      <c r="B18" s="139"/>
      <c r="C18" s="136" t="s">
        <v>260</v>
      </c>
      <c r="D18" s="222" t="s">
        <v>261</v>
      </c>
      <c r="E18" s="223"/>
      <c r="F18" s="223"/>
      <c r="G18" s="224"/>
      <c r="H18" s="139"/>
      <c r="I18" s="221"/>
    </row>
    <row r="19" spans="1:21" ht="15.75" x14ac:dyDescent="0.25">
      <c r="A19" s="221"/>
      <c r="B19" s="139"/>
      <c r="C19" s="138"/>
      <c r="D19" s="138"/>
      <c r="E19" s="138"/>
      <c r="F19" s="139"/>
      <c r="G19" s="139"/>
      <c r="H19" s="139"/>
      <c r="I19" s="221"/>
    </row>
    <row r="20" spans="1:21" ht="15.75" x14ac:dyDescent="0.25">
      <c r="A20" s="221"/>
      <c r="B20" s="139"/>
      <c r="C20" s="138"/>
      <c r="D20" s="138"/>
      <c r="E20" s="138"/>
      <c r="F20" s="139"/>
      <c r="G20" s="139"/>
      <c r="H20" s="139"/>
      <c r="I20" s="221"/>
    </row>
    <row r="21" spans="1:21" ht="15.75" x14ac:dyDescent="0.25">
      <c r="A21" s="221"/>
      <c r="B21" s="139"/>
      <c r="C21" s="139"/>
      <c r="D21" s="139"/>
      <c r="E21" s="139"/>
      <c r="F21" s="139"/>
      <c r="G21" s="139"/>
      <c r="H21" s="139"/>
      <c r="I21" s="221"/>
    </row>
    <row r="22" spans="1:21" x14ac:dyDescent="0.25">
      <c r="A22" s="142"/>
      <c r="B22" s="142"/>
      <c r="C22" s="142"/>
      <c r="D22" s="142"/>
      <c r="E22" s="142"/>
      <c r="F22" s="142"/>
      <c r="G22" s="142"/>
      <c r="H22" s="142"/>
      <c r="I22" s="142"/>
    </row>
    <row r="25" spans="1:21" ht="15.75" x14ac:dyDescent="0.25">
      <c r="K25" s="143" t="s">
        <v>173</v>
      </c>
      <c r="L25" s="144"/>
      <c r="M25" s="144"/>
      <c r="N25" s="144"/>
      <c r="O25" s="144"/>
      <c r="P25" s="144"/>
      <c r="Q25" s="144"/>
      <c r="R25" s="144"/>
      <c r="S25" s="144"/>
      <c r="T25" s="144"/>
      <c r="U25" s="144"/>
    </row>
    <row r="26" spans="1:21" ht="15.75" x14ac:dyDescent="0.25">
      <c r="K26" s="143"/>
      <c r="L26" s="143"/>
      <c r="M26" s="143"/>
      <c r="N26" s="143"/>
      <c r="O26" s="143"/>
      <c r="P26" s="143"/>
      <c r="Q26" s="143"/>
      <c r="R26" s="143"/>
      <c r="S26" s="143"/>
      <c r="T26" s="143"/>
      <c r="U26" s="143"/>
    </row>
    <row r="27" spans="1:21" ht="15.75" x14ac:dyDescent="0.25">
      <c r="K27" s="144"/>
      <c r="L27" s="145" t="s">
        <v>174</v>
      </c>
      <c r="M27" s="145" t="s">
        <v>175</v>
      </c>
      <c r="N27" s="145" t="s">
        <v>176</v>
      </c>
      <c r="O27" s="144"/>
      <c r="P27" s="144"/>
      <c r="Q27" s="144"/>
      <c r="R27" s="144"/>
      <c r="S27" s="144"/>
      <c r="T27" s="144"/>
      <c r="U27" s="144"/>
    </row>
    <row r="28" spans="1:21" ht="15.75" x14ac:dyDescent="0.25">
      <c r="K28" s="144"/>
      <c r="L28" s="146" t="s">
        <v>177</v>
      </c>
      <c r="M28" s="146" t="s">
        <v>178</v>
      </c>
      <c r="N28" s="146" t="s">
        <v>179</v>
      </c>
      <c r="O28" s="144"/>
      <c r="P28" s="144"/>
      <c r="Q28" s="144"/>
      <c r="R28" s="144"/>
      <c r="S28" s="144"/>
      <c r="T28" s="144"/>
      <c r="U28" s="144"/>
    </row>
    <row r="29" spans="1:21" ht="15.75" x14ac:dyDescent="0.25">
      <c r="K29" s="144"/>
      <c r="L29" s="146" t="s">
        <v>180</v>
      </c>
      <c r="M29" s="146" t="s">
        <v>181</v>
      </c>
      <c r="N29" s="146" t="s">
        <v>182</v>
      </c>
      <c r="O29" s="144"/>
      <c r="P29" s="144"/>
      <c r="Q29" s="144"/>
      <c r="R29" s="144"/>
      <c r="S29" s="144"/>
      <c r="T29" s="144"/>
      <c r="U29" s="144"/>
    </row>
    <row r="30" spans="1:21" ht="15.75" x14ac:dyDescent="0.25">
      <c r="K30" s="144"/>
      <c r="L30" s="146" t="s">
        <v>183</v>
      </c>
      <c r="M30" s="146" t="s">
        <v>184</v>
      </c>
      <c r="N30" s="146" t="s">
        <v>185</v>
      </c>
      <c r="O30" s="144"/>
      <c r="P30" s="144"/>
      <c r="Q30" s="144"/>
      <c r="R30" s="144"/>
      <c r="S30" s="144"/>
      <c r="T30" s="144"/>
      <c r="U30" s="144"/>
    </row>
    <row r="31" spans="1:21" ht="15.75" x14ac:dyDescent="0.25">
      <c r="K31" s="144"/>
      <c r="L31" s="144"/>
      <c r="M31" s="144"/>
      <c r="N31" s="146" t="s">
        <v>186</v>
      </c>
      <c r="O31" s="144"/>
      <c r="P31" s="144"/>
      <c r="Q31" s="144"/>
      <c r="R31" s="144"/>
      <c r="S31" s="144"/>
      <c r="T31" s="144"/>
      <c r="U31" s="144"/>
    </row>
    <row r="32" spans="1:21" ht="15.75" x14ac:dyDescent="0.25">
      <c r="K32" s="144"/>
      <c r="L32" s="144"/>
      <c r="M32" s="144"/>
      <c r="N32" s="146" t="s">
        <v>187</v>
      </c>
      <c r="O32" s="144"/>
      <c r="P32" s="144"/>
      <c r="Q32" s="144"/>
      <c r="R32" s="144"/>
      <c r="S32" s="144"/>
      <c r="T32" s="144"/>
      <c r="U32" s="144"/>
    </row>
    <row r="33" spans="11:21" ht="15.75" x14ac:dyDescent="0.25">
      <c r="K33" s="144"/>
      <c r="L33" s="144"/>
      <c r="M33" s="139"/>
      <c r="N33" s="146" t="s">
        <v>188</v>
      </c>
      <c r="O33" s="144"/>
      <c r="P33" s="144"/>
      <c r="Q33" s="144"/>
      <c r="R33" s="144"/>
      <c r="S33" s="144"/>
      <c r="T33" s="144"/>
      <c r="U33" s="144"/>
    </row>
    <row r="34" spans="11:21" ht="15.75" x14ac:dyDescent="0.25">
      <c r="K34" s="144"/>
      <c r="L34" s="139"/>
      <c r="M34" s="139"/>
      <c r="N34" s="139"/>
      <c r="O34" s="144"/>
      <c r="P34" s="144"/>
      <c r="Q34" s="144"/>
      <c r="R34" s="144"/>
      <c r="S34" s="144"/>
      <c r="T34" s="144"/>
      <c r="U34" s="144"/>
    </row>
    <row r="35" spans="11:21" ht="15.75" x14ac:dyDescent="0.25">
      <c r="K35" s="144"/>
      <c r="L35" s="139"/>
      <c r="M35" s="139"/>
      <c r="N35" s="139"/>
      <c r="O35" s="144"/>
      <c r="P35" s="144"/>
      <c r="Q35" s="144"/>
      <c r="R35" s="144"/>
      <c r="S35" s="144"/>
      <c r="T35" s="144"/>
      <c r="U35" s="144"/>
    </row>
    <row r="36" spans="11:21" ht="15.75" x14ac:dyDescent="0.25">
      <c r="K36" s="143" t="s">
        <v>189</v>
      </c>
      <c r="L36" s="144"/>
      <c r="M36" s="144"/>
      <c r="N36" s="144"/>
      <c r="O36" s="144"/>
      <c r="P36" s="144"/>
      <c r="Q36" s="144"/>
      <c r="R36" s="144"/>
      <c r="S36" s="144"/>
      <c r="T36" s="144"/>
      <c r="U36" s="144"/>
    </row>
    <row r="37" spans="11:21" ht="15.75" x14ac:dyDescent="0.25">
      <c r="K37" s="144"/>
      <c r="L37" s="144"/>
      <c r="M37" s="144"/>
      <c r="N37" s="144"/>
      <c r="O37" s="144"/>
      <c r="P37" s="144"/>
      <c r="Q37" s="144"/>
      <c r="R37" s="143"/>
      <c r="S37" s="144"/>
      <c r="T37" s="144"/>
      <c r="U37" s="144"/>
    </row>
    <row r="38" spans="11:21" ht="15.75" x14ac:dyDescent="0.25">
      <c r="K38" s="144"/>
      <c r="L38" s="143" t="s">
        <v>190</v>
      </c>
      <c r="M38" s="143"/>
      <c r="N38" s="143"/>
      <c r="O38" s="143"/>
      <c r="P38" s="144"/>
      <c r="Q38" s="144"/>
      <c r="R38" s="141"/>
      <c r="S38" s="144"/>
      <c r="T38" s="144"/>
      <c r="U38" s="144"/>
    </row>
    <row r="39" spans="11:21" ht="15.75" x14ac:dyDescent="0.25">
      <c r="K39" s="144"/>
      <c r="L39" s="144"/>
      <c r="M39" s="145" t="s">
        <v>177</v>
      </c>
      <c r="N39" s="145" t="s">
        <v>180</v>
      </c>
      <c r="O39" s="145" t="s">
        <v>183</v>
      </c>
      <c r="P39" s="144"/>
      <c r="Q39" s="144"/>
      <c r="R39" s="139"/>
      <c r="S39" s="144"/>
      <c r="T39" s="144"/>
      <c r="U39" s="144"/>
    </row>
    <row r="40" spans="11:21" ht="15.75" x14ac:dyDescent="0.25">
      <c r="K40" s="144"/>
      <c r="L40" s="144"/>
      <c r="M40" s="146" t="s">
        <v>191</v>
      </c>
      <c r="N40" s="146" t="s">
        <v>192</v>
      </c>
      <c r="O40" s="146" t="s">
        <v>193</v>
      </c>
      <c r="P40" s="144"/>
      <c r="Q40" s="144"/>
      <c r="R40" s="139"/>
      <c r="S40" s="144"/>
      <c r="T40" s="144"/>
      <c r="U40" s="144"/>
    </row>
    <row r="41" spans="11:21" ht="15.75" x14ac:dyDescent="0.25">
      <c r="K41" s="144"/>
      <c r="L41" s="144"/>
      <c r="M41" s="146" t="s">
        <v>194</v>
      </c>
      <c r="N41" s="146" t="s">
        <v>195</v>
      </c>
      <c r="O41" s="146" t="s">
        <v>196</v>
      </c>
      <c r="P41" s="144"/>
      <c r="Q41" s="144"/>
      <c r="R41" s="139"/>
      <c r="S41" s="139"/>
      <c r="T41" s="139"/>
      <c r="U41" s="139"/>
    </row>
    <row r="42" spans="11:21" ht="15.75" x14ac:dyDescent="0.25">
      <c r="K42" s="144"/>
      <c r="L42" s="144"/>
      <c r="M42" s="139"/>
      <c r="N42" s="146" t="s">
        <v>197</v>
      </c>
      <c r="O42" s="146" t="s">
        <v>198</v>
      </c>
      <c r="P42" s="144"/>
      <c r="Q42" s="144"/>
      <c r="R42" s="139"/>
      <c r="S42" s="139"/>
      <c r="T42" s="139"/>
      <c r="U42" s="139"/>
    </row>
    <row r="43" spans="11:21" ht="15.75" x14ac:dyDescent="0.25">
      <c r="K43" s="144"/>
      <c r="L43" s="144"/>
      <c r="M43" s="139"/>
      <c r="N43" s="146" t="s">
        <v>199</v>
      </c>
      <c r="O43" s="146" t="s">
        <v>200</v>
      </c>
      <c r="P43" s="144"/>
      <c r="Q43" s="144"/>
      <c r="R43" s="139"/>
      <c r="S43" s="139"/>
      <c r="T43" s="139"/>
      <c r="U43" s="139"/>
    </row>
    <row r="44" spans="11:21" ht="15.75" x14ac:dyDescent="0.25">
      <c r="K44" s="144"/>
      <c r="L44" s="144"/>
      <c r="M44" s="139"/>
      <c r="N44" s="146" t="s">
        <v>201</v>
      </c>
      <c r="O44" s="146" t="s">
        <v>202</v>
      </c>
      <c r="P44" s="139"/>
      <c r="Q44" s="139"/>
      <c r="R44" s="139"/>
      <c r="S44" s="139"/>
      <c r="T44" s="139"/>
      <c r="U44" s="139"/>
    </row>
    <row r="45" spans="11:21" ht="15.75" x14ac:dyDescent="0.25">
      <c r="K45" s="144"/>
      <c r="L45" s="144"/>
      <c r="M45" s="139"/>
      <c r="N45" s="139"/>
      <c r="O45" s="146" t="s">
        <v>203</v>
      </c>
      <c r="P45" s="139"/>
      <c r="Q45" s="139"/>
      <c r="R45" s="139"/>
      <c r="S45" s="139"/>
      <c r="T45" s="139"/>
      <c r="U45" s="139"/>
    </row>
    <row r="46" spans="11:21" ht="15.75" x14ac:dyDescent="0.25">
      <c r="K46" s="144"/>
      <c r="L46" s="144"/>
      <c r="M46" s="139"/>
      <c r="N46" s="139"/>
      <c r="O46" s="146" t="s">
        <v>204</v>
      </c>
      <c r="P46" s="139"/>
      <c r="Q46" s="139"/>
      <c r="R46" s="139"/>
      <c r="S46" s="139"/>
      <c r="T46" s="139"/>
      <c r="U46" s="139"/>
    </row>
    <row r="47" spans="11:21" ht="15.75" x14ac:dyDescent="0.25">
      <c r="K47" s="144"/>
      <c r="L47" s="144"/>
      <c r="M47" s="139"/>
      <c r="N47" s="139"/>
      <c r="O47" s="146" t="s">
        <v>205</v>
      </c>
      <c r="P47" s="139"/>
      <c r="Q47" s="139"/>
      <c r="R47" s="139"/>
      <c r="S47" s="139"/>
      <c r="T47" s="139"/>
      <c r="U47" s="139"/>
    </row>
    <row r="48" spans="11:21" ht="15.75" x14ac:dyDescent="0.25">
      <c r="K48" s="144"/>
      <c r="L48" s="144"/>
      <c r="M48" s="139"/>
      <c r="N48" s="139"/>
      <c r="O48" s="146" t="s">
        <v>262</v>
      </c>
      <c r="P48" s="139"/>
      <c r="Q48" s="139"/>
      <c r="R48" s="139"/>
      <c r="S48" s="139"/>
      <c r="T48" s="139"/>
      <c r="U48" s="139"/>
    </row>
    <row r="49" spans="11:21" ht="15.75" x14ac:dyDescent="0.25">
      <c r="K49" s="144"/>
      <c r="L49" s="144"/>
      <c r="M49" s="139"/>
      <c r="N49" s="139"/>
      <c r="O49" s="146" t="s">
        <v>263</v>
      </c>
      <c r="P49" s="139"/>
      <c r="Q49" s="139"/>
      <c r="R49" s="144"/>
      <c r="S49" s="144"/>
      <c r="T49" s="144"/>
      <c r="U49" s="144"/>
    </row>
    <row r="50" spans="11:21" ht="15.75" x14ac:dyDescent="0.25">
      <c r="K50" s="144"/>
      <c r="L50" s="144"/>
      <c r="M50" s="144"/>
      <c r="N50" s="144"/>
      <c r="O50" s="144"/>
      <c r="P50" s="144"/>
      <c r="Q50" s="144"/>
      <c r="R50" s="144"/>
      <c r="S50" s="144"/>
      <c r="T50" s="144"/>
      <c r="U50" s="144"/>
    </row>
    <row r="51" spans="11:21" ht="15.75" x14ac:dyDescent="0.25">
      <c r="K51" s="144"/>
      <c r="L51" s="143" t="s">
        <v>206</v>
      </c>
      <c r="M51" s="143"/>
      <c r="N51" s="143"/>
      <c r="O51" s="144"/>
      <c r="P51" s="144"/>
      <c r="Q51" s="144"/>
      <c r="R51" s="144"/>
      <c r="S51" s="144"/>
      <c r="T51" s="144"/>
      <c r="U51" s="144"/>
    </row>
    <row r="52" spans="11:21" ht="15.75" x14ac:dyDescent="0.25">
      <c r="K52" s="144"/>
      <c r="L52" s="144"/>
      <c r="M52" s="145" t="s">
        <v>178</v>
      </c>
      <c r="N52" s="145" t="s">
        <v>181</v>
      </c>
      <c r="O52" s="145" t="s">
        <v>184</v>
      </c>
      <c r="P52" s="144"/>
      <c r="Q52" s="144"/>
      <c r="R52" s="144"/>
      <c r="S52" s="144"/>
      <c r="T52" s="144"/>
      <c r="U52" s="144"/>
    </row>
    <row r="53" spans="11:21" ht="15.75" x14ac:dyDescent="0.25">
      <c r="K53" s="144"/>
      <c r="L53" s="144"/>
      <c r="M53" s="146" t="s">
        <v>207</v>
      </c>
      <c r="N53" s="146" t="s">
        <v>208</v>
      </c>
      <c r="O53" s="146" t="s">
        <v>209</v>
      </c>
      <c r="P53" s="144"/>
      <c r="Q53" s="144"/>
      <c r="R53" s="144"/>
      <c r="S53" s="144"/>
      <c r="T53" s="144"/>
      <c r="U53" s="144"/>
    </row>
    <row r="54" spans="11:21" ht="15.75" x14ac:dyDescent="0.25">
      <c r="K54" s="144"/>
      <c r="L54" s="144"/>
      <c r="M54" s="146" t="s">
        <v>210</v>
      </c>
      <c r="N54" s="146" t="s">
        <v>211</v>
      </c>
      <c r="O54" s="146" t="s">
        <v>212</v>
      </c>
      <c r="P54" s="144"/>
      <c r="Q54" s="144"/>
      <c r="R54" s="144"/>
      <c r="S54" s="144"/>
      <c r="T54" s="144"/>
      <c r="U54" s="144"/>
    </row>
    <row r="55" spans="11:21" ht="15.75" x14ac:dyDescent="0.25">
      <c r="K55" s="144"/>
      <c r="L55" s="144"/>
      <c r="M55" s="146" t="s">
        <v>213</v>
      </c>
      <c r="N55" s="139"/>
      <c r="O55" s="139"/>
      <c r="P55" s="144"/>
      <c r="Q55" s="144"/>
      <c r="R55" s="144"/>
      <c r="S55" s="144"/>
      <c r="T55" s="144"/>
      <c r="U55" s="144"/>
    </row>
    <row r="56" spans="11:21" ht="15.75" x14ac:dyDescent="0.25">
      <c r="K56" s="144"/>
      <c r="L56" s="144"/>
      <c r="M56" s="146" t="s">
        <v>214</v>
      </c>
      <c r="N56" s="139"/>
      <c r="O56" s="139"/>
      <c r="P56" s="144"/>
      <c r="Q56" s="144"/>
      <c r="R56" s="144"/>
      <c r="S56" s="144"/>
      <c r="T56" s="144"/>
      <c r="U56" s="144"/>
    </row>
    <row r="57" spans="11:21" ht="15.75" x14ac:dyDescent="0.25">
      <c r="K57" s="144"/>
      <c r="L57" s="144"/>
      <c r="M57" s="144"/>
      <c r="N57" s="144"/>
      <c r="O57" s="144"/>
      <c r="P57" s="144"/>
      <c r="Q57" s="144"/>
      <c r="R57" s="144"/>
      <c r="S57" s="144"/>
      <c r="T57" s="144"/>
      <c r="U57" s="144"/>
    </row>
    <row r="58" spans="11:21" ht="15.75" x14ac:dyDescent="0.25">
      <c r="K58" s="144"/>
      <c r="L58" s="143" t="s">
        <v>215</v>
      </c>
      <c r="M58" s="143"/>
      <c r="N58" s="143"/>
      <c r="O58" s="143"/>
      <c r="P58" s="143"/>
      <c r="Q58" s="143"/>
      <c r="R58" s="144"/>
      <c r="S58" s="144"/>
      <c r="T58" s="144"/>
      <c r="U58" s="144"/>
    </row>
    <row r="59" spans="11:21" ht="15.75" x14ac:dyDescent="0.25">
      <c r="K59" s="144"/>
      <c r="L59" s="144"/>
      <c r="M59" s="145" t="s">
        <v>179</v>
      </c>
      <c r="N59" s="145" t="s">
        <v>182</v>
      </c>
      <c r="O59" s="145" t="s">
        <v>185</v>
      </c>
      <c r="P59" s="145" t="s">
        <v>186</v>
      </c>
      <c r="Q59" s="145" t="s">
        <v>187</v>
      </c>
      <c r="R59" s="145" t="s">
        <v>188</v>
      </c>
      <c r="S59" s="144"/>
      <c r="T59" s="144"/>
      <c r="U59" s="144"/>
    </row>
    <row r="60" spans="11:21" ht="15.75" x14ac:dyDescent="0.25">
      <c r="K60" s="144"/>
      <c r="L60" s="144"/>
      <c r="M60" s="146" t="s">
        <v>216</v>
      </c>
      <c r="N60" s="146" t="s">
        <v>217</v>
      </c>
      <c r="O60" s="146" t="s">
        <v>218</v>
      </c>
      <c r="P60" s="146" t="s">
        <v>219</v>
      </c>
      <c r="Q60" s="146" t="s">
        <v>220</v>
      </c>
      <c r="R60" s="146" t="s">
        <v>221</v>
      </c>
      <c r="S60" s="144"/>
      <c r="T60" s="144"/>
      <c r="U60" s="144"/>
    </row>
    <row r="61" spans="11:21" ht="15.75" x14ac:dyDescent="0.25">
      <c r="K61" s="144"/>
      <c r="L61" s="144"/>
      <c r="M61" s="146" t="s">
        <v>222</v>
      </c>
      <c r="N61" s="146" t="s">
        <v>223</v>
      </c>
      <c r="O61" s="146" t="s">
        <v>224</v>
      </c>
      <c r="P61" s="146" t="s">
        <v>225</v>
      </c>
      <c r="Q61" s="146" t="s">
        <v>226</v>
      </c>
      <c r="R61" s="146" t="s">
        <v>227</v>
      </c>
      <c r="S61" s="144"/>
      <c r="T61" s="144"/>
      <c r="U61" s="144"/>
    </row>
    <row r="62" spans="11:21" ht="15.75" x14ac:dyDescent="0.25">
      <c r="K62" s="144"/>
      <c r="L62" s="144"/>
      <c r="M62" s="144"/>
      <c r="N62" s="144"/>
      <c r="O62" s="144"/>
      <c r="P62" s="144"/>
      <c r="Q62" s="144"/>
      <c r="R62" s="144"/>
      <c r="S62" s="144"/>
      <c r="T62" s="144"/>
      <c r="U62" s="144"/>
    </row>
    <row r="63" spans="11:21" ht="15.75" x14ac:dyDescent="0.25">
      <c r="K63" s="144"/>
      <c r="L63" s="144"/>
      <c r="M63" s="144"/>
      <c r="N63" s="144"/>
      <c r="O63" s="144"/>
      <c r="P63" s="144"/>
      <c r="Q63" s="144"/>
      <c r="R63" s="144"/>
      <c r="S63" s="144"/>
      <c r="T63" s="144"/>
      <c r="U63" s="144"/>
    </row>
    <row r="64" spans="11:21" ht="15.75" x14ac:dyDescent="0.25">
      <c r="K64" s="144"/>
      <c r="L64" s="144"/>
      <c r="M64" s="144"/>
      <c r="N64" s="144"/>
      <c r="O64" s="144"/>
      <c r="P64" s="144"/>
      <c r="Q64" s="144"/>
      <c r="R64" s="144"/>
      <c r="S64" s="144"/>
      <c r="T64" s="144"/>
      <c r="U64" s="144"/>
    </row>
    <row r="65" spans="11:23" ht="15.75" x14ac:dyDescent="0.25">
      <c r="K65" s="143" t="s">
        <v>228</v>
      </c>
      <c r="L65" s="143"/>
      <c r="M65" s="141"/>
      <c r="N65" s="144"/>
      <c r="O65" s="144"/>
      <c r="P65" s="144"/>
      <c r="Q65" s="144"/>
      <c r="R65" s="144"/>
      <c r="S65" s="139"/>
      <c r="T65" s="144"/>
      <c r="U65" s="144"/>
    </row>
    <row r="66" spans="11:23" ht="15.75" x14ac:dyDescent="0.25">
      <c r="K66" s="144"/>
      <c r="L66" s="144"/>
      <c r="M66" s="144"/>
      <c r="N66" s="144"/>
      <c r="O66" s="144"/>
      <c r="P66" s="144"/>
      <c r="Q66" s="144"/>
      <c r="R66" s="144"/>
      <c r="S66" s="144"/>
      <c r="T66" s="144"/>
      <c r="U66" s="144"/>
    </row>
    <row r="67" spans="11:23" ht="15.75" x14ac:dyDescent="0.25">
      <c r="K67" s="144"/>
      <c r="L67" s="143" t="s">
        <v>229</v>
      </c>
      <c r="M67" s="143"/>
      <c r="N67" s="141"/>
      <c r="O67" s="143"/>
      <c r="P67" s="143"/>
      <c r="Q67" s="143"/>
      <c r="R67" s="143"/>
      <c r="S67" s="143"/>
      <c r="T67" s="143"/>
      <c r="U67" s="143"/>
    </row>
    <row r="68" spans="11:23" ht="15.75" x14ac:dyDescent="0.25">
      <c r="K68" s="144"/>
      <c r="L68" s="144"/>
      <c r="M68" s="144"/>
      <c r="N68" s="141"/>
      <c r="O68" s="144"/>
      <c r="P68" s="144"/>
      <c r="Q68" s="144"/>
      <c r="R68" s="144"/>
      <c r="S68" s="144"/>
      <c r="T68" s="144"/>
      <c r="U68" s="144"/>
    </row>
    <row r="69" spans="11:23" ht="15.75" x14ac:dyDescent="0.25">
      <c r="K69" s="144"/>
      <c r="L69" s="144"/>
      <c r="M69" s="143" t="s">
        <v>177</v>
      </c>
      <c r="N69" s="143"/>
      <c r="O69" s="144"/>
      <c r="P69" s="144"/>
      <c r="Q69" s="144"/>
      <c r="R69" s="144"/>
      <c r="S69" s="144"/>
      <c r="T69" s="144"/>
      <c r="U69" s="144"/>
    </row>
    <row r="70" spans="11:23" ht="15.75" x14ac:dyDescent="0.25">
      <c r="K70" s="144"/>
      <c r="L70" s="144"/>
      <c r="M70" s="144"/>
      <c r="N70" s="145" t="s">
        <v>191</v>
      </c>
      <c r="O70" s="145" t="s">
        <v>194</v>
      </c>
      <c r="P70" s="144"/>
      <c r="Q70" s="144"/>
      <c r="R70" s="144"/>
      <c r="S70" s="144"/>
      <c r="T70" s="144"/>
      <c r="U70" s="144"/>
    </row>
    <row r="71" spans="11:23" ht="15.75" x14ac:dyDescent="0.25">
      <c r="K71" s="144"/>
      <c r="L71" s="144"/>
      <c r="M71" s="144"/>
      <c r="N71" s="146" t="s">
        <v>230</v>
      </c>
      <c r="O71" s="146" t="s">
        <v>230</v>
      </c>
      <c r="P71" s="144"/>
      <c r="Q71" s="144"/>
      <c r="R71" s="144"/>
      <c r="S71" s="144"/>
      <c r="T71" s="144"/>
      <c r="U71" s="144"/>
    </row>
    <row r="72" spans="11:23" ht="15.75" x14ac:dyDescent="0.25"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</row>
    <row r="73" spans="11:23" ht="15.75" x14ac:dyDescent="0.25">
      <c r="K73" s="144"/>
      <c r="L73" s="144"/>
      <c r="M73" s="143" t="s">
        <v>180</v>
      </c>
      <c r="N73" s="143"/>
      <c r="O73" s="143"/>
      <c r="P73" s="143"/>
      <c r="Q73" s="143"/>
      <c r="R73" s="144"/>
      <c r="S73" s="144"/>
      <c r="T73" s="144"/>
      <c r="U73" s="144"/>
    </row>
    <row r="74" spans="11:23" ht="15.75" x14ac:dyDescent="0.25">
      <c r="K74" s="144"/>
      <c r="L74" s="144"/>
      <c r="M74" s="144"/>
      <c r="N74" s="145" t="s">
        <v>192</v>
      </c>
      <c r="O74" s="145" t="s">
        <v>195</v>
      </c>
      <c r="P74" s="145" t="s">
        <v>197</v>
      </c>
      <c r="Q74" s="145" t="s">
        <v>199</v>
      </c>
      <c r="R74" s="145" t="s">
        <v>201</v>
      </c>
      <c r="S74" s="144"/>
      <c r="T74" s="144"/>
      <c r="U74" s="144"/>
    </row>
    <row r="75" spans="11:23" ht="15.75" x14ac:dyDescent="0.25">
      <c r="K75" s="144"/>
      <c r="L75" s="144"/>
      <c r="M75" s="144"/>
      <c r="N75" s="146" t="s">
        <v>230</v>
      </c>
      <c r="O75" s="146" t="s">
        <v>231</v>
      </c>
      <c r="P75" s="146" t="s">
        <v>232</v>
      </c>
      <c r="Q75" s="147" t="s">
        <v>233</v>
      </c>
      <c r="R75" s="146" t="s">
        <v>234</v>
      </c>
      <c r="S75" s="144"/>
      <c r="T75" s="144"/>
      <c r="U75" s="144"/>
    </row>
    <row r="76" spans="11:23" ht="15.75" x14ac:dyDescent="0.25">
      <c r="K76" s="144"/>
      <c r="L76" s="144"/>
      <c r="M76" s="144"/>
      <c r="N76" s="144"/>
      <c r="O76" s="144"/>
      <c r="P76" s="144"/>
      <c r="Q76" s="144"/>
      <c r="R76" s="144"/>
      <c r="S76" s="144"/>
      <c r="T76" s="144"/>
      <c r="U76" s="144"/>
    </row>
    <row r="77" spans="11:23" ht="15.75" x14ac:dyDescent="0.25">
      <c r="K77" s="144"/>
      <c r="L77" s="144"/>
      <c r="M77" s="143" t="s">
        <v>183</v>
      </c>
      <c r="N77" s="143"/>
      <c r="O77" s="139"/>
      <c r="P77" s="139"/>
      <c r="Q77" s="139"/>
      <c r="R77" s="139"/>
      <c r="S77" s="139"/>
      <c r="T77" s="139"/>
      <c r="U77" s="144"/>
    </row>
    <row r="78" spans="11:23" ht="15.75" x14ac:dyDescent="0.25">
      <c r="K78" s="144"/>
      <c r="L78" s="144"/>
      <c r="M78" s="144"/>
      <c r="N78" s="145" t="s">
        <v>193</v>
      </c>
      <c r="O78" s="145" t="s">
        <v>196</v>
      </c>
      <c r="P78" s="145" t="s">
        <v>198</v>
      </c>
      <c r="Q78" s="145" t="s">
        <v>200</v>
      </c>
      <c r="R78" s="145" t="s">
        <v>202</v>
      </c>
      <c r="S78" s="145" t="s">
        <v>203</v>
      </c>
      <c r="T78" s="145" t="s">
        <v>204</v>
      </c>
      <c r="U78" s="145" t="s">
        <v>205</v>
      </c>
      <c r="V78" s="145" t="s">
        <v>262</v>
      </c>
      <c r="W78" s="145" t="s">
        <v>263</v>
      </c>
    </row>
    <row r="79" spans="11:23" ht="15.75" x14ac:dyDescent="0.25">
      <c r="K79" s="144"/>
      <c r="L79" s="144"/>
      <c r="M79" s="144"/>
      <c r="N79" s="146" t="s">
        <v>235</v>
      </c>
      <c r="O79" s="146" t="s">
        <v>236</v>
      </c>
      <c r="P79" s="146" t="s">
        <v>237</v>
      </c>
      <c r="Q79" s="146" t="s">
        <v>238</v>
      </c>
      <c r="R79" s="146" t="s">
        <v>239</v>
      </c>
      <c r="S79" s="146" t="s">
        <v>240</v>
      </c>
      <c r="T79" s="146" t="s">
        <v>241</v>
      </c>
      <c r="U79" s="146" t="s">
        <v>242</v>
      </c>
      <c r="V79" s="146" t="s">
        <v>264</v>
      </c>
      <c r="W79" s="146" t="s">
        <v>265</v>
      </c>
    </row>
    <row r="80" spans="11:23" ht="15.75" x14ac:dyDescent="0.25">
      <c r="K80" s="144"/>
      <c r="L80" s="144"/>
      <c r="M80" s="144"/>
      <c r="N80" s="144"/>
      <c r="O80" s="144"/>
      <c r="P80" s="144"/>
      <c r="Q80" s="144"/>
      <c r="R80" s="144"/>
      <c r="S80" s="144"/>
      <c r="T80" s="144"/>
      <c r="U80" s="144"/>
    </row>
    <row r="81" spans="11:21" ht="15.75" x14ac:dyDescent="0.25">
      <c r="K81" s="144"/>
      <c r="L81" s="143" t="s">
        <v>243</v>
      </c>
      <c r="M81" s="143"/>
      <c r="N81" s="143"/>
      <c r="O81" s="143"/>
      <c r="P81" s="143"/>
      <c r="Q81" s="143"/>
      <c r="R81" s="143"/>
      <c r="S81" s="143"/>
      <c r="T81" s="143"/>
      <c r="U81" s="144"/>
    </row>
    <row r="82" spans="11:21" ht="15.75" x14ac:dyDescent="0.25">
      <c r="K82" s="144"/>
      <c r="L82" s="144"/>
      <c r="M82" s="144"/>
      <c r="N82" s="144"/>
      <c r="O82" s="144"/>
      <c r="P82" s="144"/>
      <c r="Q82" s="144"/>
      <c r="R82" s="144"/>
      <c r="S82" s="144"/>
      <c r="T82" s="144"/>
      <c r="U82" s="144"/>
    </row>
    <row r="83" spans="11:21" ht="15.75" x14ac:dyDescent="0.25">
      <c r="K83" s="144"/>
      <c r="L83" s="144"/>
      <c r="M83" s="141" t="s">
        <v>178</v>
      </c>
      <c r="N83" s="141"/>
      <c r="O83" s="141"/>
      <c r="P83" s="141"/>
      <c r="Q83" s="144"/>
      <c r="R83" s="144"/>
      <c r="S83" s="144"/>
      <c r="T83" s="144"/>
      <c r="U83" s="144"/>
    </row>
    <row r="84" spans="11:21" ht="15.75" x14ac:dyDescent="0.25">
      <c r="K84" s="144"/>
      <c r="L84" s="144"/>
      <c r="M84" s="144"/>
      <c r="N84" s="145" t="s">
        <v>207</v>
      </c>
      <c r="O84" s="145" t="s">
        <v>210</v>
      </c>
      <c r="P84" s="145" t="s">
        <v>213</v>
      </c>
      <c r="Q84" s="145" t="s">
        <v>214</v>
      </c>
      <c r="R84" s="144"/>
      <c r="S84" s="144"/>
      <c r="T84" s="144"/>
      <c r="U84" s="144"/>
    </row>
    <row r="85" spans="11:21" ht="15.75" x14ac:dyDescent="0.25">
      <c r="K85" s="144"/>
      <c r="L85" s="144"/>
      <c r="M85" s="144"/>
      <c r="N85" s="146" t="s">
        <v>244</v>
      </c>
      <c r="O85" s="146" t="s">
        <v>245</v>
      </c>
      <c r="P85" s="146" t="s">
        <v>246</v>
      </c>
      <c r="Q85" s="146" t="s">
        <v>247</v>
      </c>
      <c r="R85" s="144"/>
      <c r="S85" s="144"/>
      <c r="T85" s="144"/>
      <c r="U85" s="144"/>
    </row>
    <row r="86" spans="11:21" ht="15.75" x14ac:dyDescent="0.25">
      <c r="K86" s="144"/>
      <c r="L86" s="144"/>
      <c r="M86" s="144"/>
      <c r="N86" s="144"/>
      <c r="O86" s="144"/>
      <c r="P86" s="144"/>
      <c r="Q86" s="144"/>
      <c r="R86" s="144"/>
      <c r="S86" s="144"/>
      <c r="T86" s="144"/>
      <c r="U86" s="144"/>
    </row>
    <row r="87" spans="11:21" ht="15.75" x14ac:dyDescent="0.25">
      <c r="K87" s="144"/>
      <c r="L87" s="144"/>
      <c r="M87" s="141" t="s">
        <v>181</v>
      </c>
      <c r="N87" s="141"/>
      <c r="O87" s="141"/>
      <c r="P87" s="144"/>
      <c r="Q87" s="144"/>
      <c r="R87" s="144"/>
      <c r="S87" s="144"/>
      <c r="T87" s="144"/>
      <c r="U87" s="144"/>
    </row>
    <row r="88" spans="11:21" ht="15.75" x14ac:dyDescent="0.25">
      <c r="K88" s="144"/>
      <c r="L88" s="144"/>
      <c r="M88" s="144"/>
      <c r="N88" s="145" t="s">
        <v>208</v>
      </c>
      <c r="O88" s="145" t="s">
        <v>211</v>
      </c>
      <c r="P88" s="144"/>
      <c r="Q88" s="144"/>
      <c r="R88" s="144"/>
      <c r="S88" s="144"/>
      <c r="T88" s="144"/>
      <c r="U88" s="144"/>
    </row>
    <row r="89" spans="11:21" ht="15.75" x14ac:dyDescent="0.25">
      <c r="K89" s="144"/>
      <c r="L89" s="144"/>
      <c r="M89" s="144"/>
      <c r="N89" s="146" t="s">
        <v>235</v>
      </c>
      <c r="O89" s="146" t="s">
        <v>236</v>
      </c>
      <c r="P89" s="144"/>
      <c r="Q89" s="144"/>
      <c r="R89" s="144"/>
      <c r="S89" s="144"/>
      <c r="T89" s="144"/>
      <c r="U89" s="144"/>
    </row>
    <row r="90" spans="11:21" ht="15.75" x14ac:dyDescent="0.25">
      <c r="K90" s="144"/>
      <c r="L90" s="144"/>
      <c r="M90" s="144"/>
      <c r="N90" s="144"/>
      <c r="O90" s="144"/>
      <c r="P90" s="144"/>
      <c r="Q90" s="144"/>
      <c r="R90" s="144"/>
      <c r="S90" s="144"/>
      <c r="T90" s="144"/>
      <c r="U90" s="144"/>
    </row>
    <row r="91" spans="11:21" ht="15.75" x14ac:dyDescent="0.25">
      <c r="K91" s="144"/>
      <c r="L91" s="144"/>
      <c r="M91" s="141" t="s">
        <v>184</v>
      </c>
      <c r="N91" s="141"/>
      <c r="O91" s="144"/>
      <c r="P91" s="144"/>
      <c r="Q91" s="144"/>
      <c r="R91" s="144"/>
      <c r="S91" s="144"/>
      <c r="T91" s="144"/>
      <c r="U91" s="144"/>
    </row>
    <row r="92" spans="11:21" ht="15.75" x14ac:dyDescent="0.25">
      <c r="K92" s="144"/>
      <c r="L92" s="144"/>
      <c r="M92" s="144"/>
      <c r="N92" s="145" t="s">
        <v>209</v>
      </c>
      <c r="O92" s="145" t="s">
        <v>212</v>
      </c>
      <c r="P92" s="144"/>
      <c r="Q92" s="144"/>
      <c r="R92" s="144"/>
      <c r="S92" s="144"/>
      <c r="T92" s="144"/>
      <c r="U92" s="144"/>
    </row>
    <row r="93" spans="11:21" ht="15.75" x14ac:dyDescent="0.25">
      <c r="K93" s="144"/>
      <c r="L93" s="144"/>
      <c r="M93" s="144"/>
      <c r="N93" s="146" t="s">
        <v>235</v>
      </c>
      <c r="O93" s="146" t="s">
        <v>236</v>
      </c>
      <c r="P93" s="144"/>
      <c r="Q93" s="144"/>
      <c r="R93" s="144"/>
      <c r="S93" s="144"/>
      <c r="T93" s="144"/>
      <c r="U93" s="144"/>
    </row>
    <row r="94" spans="11:21" ht="15.75" x14ac:dyDescent="0.25">
      <c r="K94" s="144"/>
      <c r="L94" s="144"/>
      <c r="M94" s="144"/>
      <c r="N94" s="144"/>
      <c r="O94" s="144"/>
      <c r="P94" s="144"/>
      <c r="Q94" s="144"/>
      <c r="R94" s="144"/>
      <c r="S94" s="144"/>
      <c r="T94" s="144"/>
      <c r="U94" s="144"/>
    </row>
    <row r="95" spans="11:21" ht="15.75" x14ac:dyDescent="0.25">
      <c r="K95" s="144"/>
      <c r="L95" s="143" t="s">
        <v>248</v>
      </c>
      <c r="M95" s="143"/>
      <c r="N95" s="143"/>
      <c r="O95" s="143"/>
      <c r="P95" s="143"/>
      <c r="Q95" s="143"/>
      <c r="R95" s="143"/>
      <c r="S95" s="143"/>
      <c r="T95" s="143"/>
      <c r="U95" s="143"/>
    </row>
    <row r="96" spans="11:21" ht="15.75" x14ac:dyDescent="0.25">
      <c r="K96" s="144"/>
      <c r="L96" s="144"/>
      <c r="M96" s="144"/>
      <c r="N96" s="144"/>
      <c r="O96" s="144"/>
      <c r="P96" s="144"/>
      <c r="Q96" s="144"/>
      <c r="R96" s="144"/>
      <c r="S96" s="144"/>
      <c r="T96" s="144"/>
      <c r="U96" s="144"/>
    </row>
    <row r="97" spans="11:21" ht="15.75" x14ac:dyDescent="0.25">
      <c r="K97" s="144"/>
      <c r="L97" s="144"/>
      <c r="M97" s="141" t="s">
        <v>179</v>
      </c>
      <c r="N97" s="141"/>
      <c r="O97" s="141"/>
      <c r="P97" s="144"/>
      <c r="Q97" s="144"/>
      <c r="R97" s="144"/>
      <c r="S97" s="144"/>
      <c r="T97" s="144"/>
      <c r="U97" s="144"/>
    </row>
    <row r="98" spans="11:21" ht="15.75" x14ac:dyDescent="0.25">
      <c r="K98" s="144"/>
      <c r="L98" s="144"/>
      <c r="M98" s="144"/>
      <c r="N98" s="145" t="s">
        <v>216</v>
      </c>
      <c r="O98" s="145" t="s">
        <v>222</v>
      </c>
      <c r="P98" s="144"/>
      <c r="Q98" s="144"/>
      <c r="R98" s="144"/>
      <c r="S98" s="144"/>
      <c r="T98" s="144"/>
      <c r="U98" s="144"/>
    </row>
    <row r="99" spans="11:21" ht="15.75" x14ac:dyDescent="0.25">
      <c r="K99" s="144"/>
      <c r="L99" s="144"/>
      <c r="M99" s="144"/>
      <c r="N99" s="146" t="s">
        <v>249</v>
      </c>
      <c r="O99" s="146" t="s">
        <v>250</v>
      </c>
      <c r="P99" s="144"/>
      <c r="Q99" s="144"/>
      <c r="R99" s="144"/>
      <c r="S99" s="144"/>
      <c r="T99" s="144"/>
      <c r="U99" s="144"/>
    </row>
    <row r="100" spans="11:21" ht="15.75" x14ac:dyDescent="0.25">
      <c r="K100" s="144"/>
      <c r="L100" s="144"/>
      <c r="M100" s="144"/>
      <c r="N100" s="146" t="s">
        <v>251</v>
      </c>
      <c r="O100" s="146" t="s">
        <v>252</v>
      </c>
      <c r="P100" s="144"/>
      <c r="Q100" s="144"/>
      <c r="R100" s="144"/>
      <c r="S100" s="144"/>
      <c r="T100" s="144"/>
      <c r="U100" s="144"/>
    </row>
    <row r="101" spans="11:21" ht="15.75" x14ac:dyDescent="0.25">
      <c r="K101" s="144"/>
      <c r="L101" s="144"/>
      <c r="M101" s="144"/>
      <c r="N101" s="146" t="s">
        <v>253</v>
      </c>
      <c r="O101" s="146" t="s">
        <v>254</v>
      </c>
      <c r="P101" s="144"/>
      <c r="Q101" s="144"/>
      <c r="R101" s="144"/>
      <c r="S101" s="144"/>
      <c r="T101" s="144"/>
      <c r="U101" s="144"/>
    </row>
    <row r="102" spans="11:21" ht="15.75" x14ac:dyDescent="0.25">
      <c r="K102" s="143"/>
      <c r="L102" s="143"/>
      <c r="M102" s="143"/>
      <c r="N102" s="143"/>
      <c r="O102" s="143"/>
      <c r="P102" s="143"/>
      <c r="Q102" s="143"/>
      <c r="R102" s="143"/>
      <c r="S102" s="143"/>
      <c r="T102" s="143"/>
      <c r="U102" s="143"/>
    </row>
    <row r="103" spans="11:21" ht="15.75" x14ac:dyDescent="0.25">
      <c r="K103" s="144"/>
      <c r="L103" s="144"/>
      <c r="M103" s="141" t="s">
        <v>182</v>
      </c>
      <c r="N103" s="141"/>
      <c r="O103" s="141"/>
      <c r="P103" s="144"/>
      <c r="Q103" s="144"/>
      <c r="R103" s="144"/>
      <c r="S103" s="144"/>
      <c r="T103" s="144"/>
      <c r="U103" s="144"/>
    </row>
    <row r="104" spans="11:21" ht="15.75" x14ac:dyDescent="0.25">
      <c r="K104" s="144"/>
      <c r="L104" s="144"/>
      <c r="M104" s="144"/>
      <c r="N104" s="145" t="s">
        <v>217</v>
      </c>
      <c r="O104" s="145" t="s">
        <v>223</v>
      </c>
      <c r="P104" s="144"/>
      <c r="Q104" s="144"/>
      <c r="R104" s="144"/>
      <c r="S104" s="144"/>
      <c r="T104" s="144"/>
      <c r="U104" s="144"/>
    </row>
    <row r="105" spans="11:21" ht="15.75" x14ac:dyDescent="0.25">
      <c r="K105" s="139"/>
      <c r="L105" s="139"/>
      <c r="M105" s="139"/>
      <c r="N105" s="146" t="s">
        <v>254</v>
      </c>
      <c r="O105" s="146" t="s">
        <v>250</v>
      </c>
      <c r="P105" s="144"/>
      <c r="Q105" s="144"/>
      <c r="R105" s="144"/>
      <c r="S105" s="139"/>
      <c r="T105" s="139"/>
      <c r="U105" s="139"/>
    </row>
    <row r="106" spans="11:21" ht="15.75" x14ac:dyDescent="0.25">
      <c r="K106" s="139"/>
      <c r="L106" s="139"/>
      <c r="M106" s="139"/>
      <c r="N106" s="146" t="s">
        <v>255</v>
      </c>
      <c r="O106" s="146" t="s">
        <v>252</v>
      </c>
      <c r="P106" s="139"/>
      <c r="Q106" s="139"/>
      <c r="R106" s="139"/>
      <c r="S106" s="139"/>
      <c r="T106" s="139"/>
      <c r="U106" s="139"/>
    </row>
    <row r="107" spans="11:21" ht="15.75" x14ac:dyDescent="0.25">
      <c r="K107" s="144"/>
      <c r="L107" s="144"/>
      <c r="M107" s="144"/>
      <c r="N107" s="146" t="s">
        <v>256</v>
      </c>
      <c r="O107" s="146" t="s">
        <v>257</v>
      </c>
      <c r="P107" s="144"/>
      <c r="Q107" s="144"/>
      <c r="R107" s="144"/>
      <c r="S107" s="144"/>
      <c r="T107" s="144"/>
      <c r="U107" s="144"/>
    </row>
    <row r="108" spans="11:21" ht="15.75" x14ac:dyDescent="0.25">
      <c r="K108" s="144"/>
      <c r="L108" s="144"/>
      <c r="M108" s="144"/>
      <c r="N108" s="144"/>
      <c r="O108" s="144"/>
      <c r="P108" s="144"/>
      <c r="Q108" s="144"/>
      <c r="R108" s="144"/>
      <c r="S108" s="144"/>
      <c r="T108" s="144"/>
      <c r="U108" s="144"/>
    </row>
    <row r="109" spans="11:21" ht="15.75" x14ac:dyDescent="0.25">
      <c r="K109" s="144"/>
      <c r="L109" s="144"/>
      <c r="M109" s="141" t="s">
        <v>185</v>
      </c>
      <c r="N109" s="141"/>
      <c r="O109" s="141"/>
      <c r="P109" s="144"/>
      <c r="Q109" s="144"/>
      <c r="R109" s="144"/>
      <c r="S109" s="144"/>
      <c r="T109" s="144"/>
      <c r="U109" s="144"/>
    </row>
    <row r="110" spans="11:21" ht="15.75" x14ac:dyDescent="0.25">
      <c r="K110" s="144"/>
      <c r="L110" s="144"/>
      <c r="M110" s="144"/>
      <c r="N110" s="145" t="s">
        <v>218</v>
      </c>
      <c r="O110" s="145" t="s">
        <v>224</v>
      </c>
      <c r="P110" s="144"/>
      <c r="Q110" s="144"/>
      <c r="R110" s="144"/>
      <c r="S110" s="144"/>
      <c r="T110" s="144"/>
      <c r="U110" s="144"/>
    </row>
    <row r="111" spans="11:21" ht="15.75" x14ac:dyDescent="0.25">
      <c r="K111" s="144"/>
      <c r="L111" s="144"/>
      <c r="M111" s="144"/>
      <c r="N111" s="146" t="s">
        <v>249</v>
      </c>
      <c r="O111" s="146" t="s">
        <v>250</v>
      </c>
      <c r="P111" s="144"/>
      <c r="Q111" s="144"/>
      <c r="R111" s="144"/>
      <c r="S111" s="144"/>
      <c r="T111" s="144"/>
      <c r="U111" s="144"/>
    </row>
    <row r="112" spans="11:21" ht="15.75" x14ac:dyDescent="0.25">
      <c r="K112" s="144"/>
      <c r="L112" s="144"/>
      <c r="M112" s="144"/>
      <c r="N112" s="146" t="s">
        <v>258</v>
      </c>
      <c r="O112" s="146" t="s">
        <v>252</v>
      </c>
      <c r="P112" s="144"/>
      <c r="Q112" s="144"/>
      <c r="R112" s="144"/>
      <c r="S112" s="144"/>
      <c r="T112" s="144"/>
      <c r="U112" s="144"/>
    </row>
    <row r="113" spans="11:21" ht="15.75" x14ac:dyDescent="0.25">
      <c r="K113" s="144"/>
      <c r="L113" s="144"/>
      <c r="M113" s="144"/>
      <c r="N113" s="146" t="s">
        <v>253</v>
      </c>
      <c r="O113" s="146" t="s">
        <v>254</v>
      </c>
      <c r="P113" s="144"/>
      <c r="Q113" s="144"/>
      <c r="R113" s="144"/>
      <c r="S113" s="144"/>
      <c r="T113" s="144"/>
      <c r="U113" s="144"/>
    </row>
    <row r="114" spans="11:21" ht="15.75" x14ac:dyDescent="0.25">
      <c r="K114" s="144"/>
      <c r="L114" s="144"/>
      <c r="M114" s="144"/>
      <c r="N114" s="144"/>
      <c r="O114" s="144"/>
      <c r="P114" s="144"/>
      <c r="Q114" s="144"/>
      <c r="R114" s="144"/>
      <c r="S114" s="144"/>
      <c r="T114" s="144"/>
      <c r="U114" s="144"/>
    </row>
    <row r="115" spans="11:21" ht="15.75" x14ac:dyDescent="0.25">
      <c r="K115" s="144"/>
      <c r="L115" s="144"/>
      <c r="M115" s="141" t="s">
        <v>186</v>
      </c>
      <c r="N115" s="141"/>
      <c r="O115" s="141"/>
      <c r="P115" s="144"/>
      <c r="Q115" s="144"/>
      <c r="R115" s="144"/>
      <c r="S115" s="144"/>
      <c r="T115" s="144"/>
      <c r="U115" s="144"/>
    </row>
    <row r="116" spans="11:21" ht="15.75" x14ac:dyDescent="0.25">
      <c r="K116" s="144"/>
      <c r="L116" s="144"/>
      <c r="M116" s="144"/>
      <c r="N116" s="145" t="s">
        <v>219</v>
      </c>
      <c r="O116" s="145" t="s">
        <v>225</v>
      </c>
      <c r="P116" s="144"/>
      <c r="Q116" s="144"/>
      <c r="R116" s="144"/>
      <c r="S116" s="144"/>
      <c r="T116" s="144"/>
      <c r="U116" s="144"/>
    </row>
    <row r="117" spans="11:21" ht="15.75" x14ac:dyDescent="0.25">
      <c r="K117" s="144"/>
      <c r="L117" s="144"/>
      <c r="M117" s="144"/>
      <c r="N117" s="146" t="s">
        <v>257</v>
      </c>
      <c r="O117" s="146" t="s">
        <v>250</v>
      </c>
      <c r="P117" s="144"/>
      <c r="Q117" s="144"/>
      <c r="R117" s="144"/>
      <c r="S117" s="144"/>
      <c r="T117" s="144"/>
      <c r="U117" s="144"/>
    </row>
    <row r="118" spans="11:21" ht="15.75" x14ac:dyDescent="0.25">
      <c r="K118" s="144"/>
      <c r="L118" s="144"/>
      <c r="M118" s="144"/>
      <c r="N118" s="146" t="s">
        <v>258</v>
      </c>
      <c r="O118" s="146" t="s">
        <v>252</v>
      </c>
      <c r="P118" s="144"/>
      <c r="Q118" s="144"/>
      <c r="R118" s="144"/>
      <c r="S118" s="144"/>
      <c r="T118" s="144"/>
      <c r="U118" s="144"/>
    </row>
    <row r="119" spans="11:21" ht="15.75" x14ac:dyDescent="0.25">
      <c r="K119" s="144"/>
      <c r="L119" s="144"/>
      <c r="M119" s="144"/>
      <c r="N119" s="146" t="s">
        <v>253</v>
      </c>
      <c r="O119" s="146" t="s">
        <v>254</v>
      </c>
      <c r="P119" s="144"/>
      <c r="Q119" s="144"/>
      <c r="R119" s="144"/>
      <c r="S119" s="144"/>
      <c r="T119" s="144"/>
      <c r="U119" s="144"/>
    </row>
    <row r="120" spans="11:21" ht="15.75" x14ac:dyDescent="0.25">
      <c r="K120" s="144"/>
      <c r="L120" s="144"/>
      <c r="M120" s="144"/>
      <c r="N120" s="144"/>
      <c r="O120" s="144"/>
      <c r="P120" s="144"/>
      <c r="Q120" s="144"/>
      <c r="R120" s="144"/>
      <c r="S120" s="144"/>
      <c r="T120" s="144"/>
      <c r="U120" s="144"/>
    </row>
    <row r="121" spans="11:21" ht="15.75" x14ac:dyDescent="0.25">
      <c r="K121" s="144"/>
      <c r="L121" s="144"/>
      <c r="M121" s="141" t="s">
        <v>187</v>
      </c>
      <c r="N121" s="141"/>
      <c r="O121" s="141"/>
      <c r="P121" s="144"/>
      <c r="Q121" s="144"/>
      <c r="R121" s="144"/>
      <c r="S121" s="144"/>
      <c r="T121" s="144"/>
      <c r="U121" s="144"/>
    </row>
    <row r="122" spans="11:21" ht="15.75" x14ac:dyDescent="0.25">
      <c r="K122" s="144"/>
      <c r="L122" s="144"/>
      <c r="M122" s="144"/>
      <c r="N122" s="145" t="s">
        <v>220</v>
      </c>
      <c r="O122" s="145" t="s">
        <v>226</v>
      </c>
      <c r="P122" s="144"/>
      <c r="Q122" s="144"/>
      <c r="R122" s="144"/>
      <c r="S122" s="144"/>
      <c r="T122" s="144"/>
      <c r="U122" s="144"/>
    </row>
    <row r="123" spans="11:21" ht="15.75" x14ac:dyDescent="0.25">
      <c r="K123" s="144"/>
      <c r="L123" s="144"/>
      <c r="M123" s="144"/>
      <c r="N123" s="146" t="s">
        <v>257</v>
      </c>
      <c r="O123" s="146" t="s">
        <v>250</v>
      </c>
      <c r="P123" s="144"/>
      <c r="Q123" s="144"/>
      <c r="R123" s="144"/>
      <c r="S123" s="144"/>
      <c r="T123" s="144"/>
      <c r="U123" s="144"/>
    </row>
    <row r="124" spans="11:21" ht="15.75" x14ac:dyDescent="0.25">
      <c r="K124" s="144"/>
      <c r="L124" s="144"/>
      <c r="M124" s="144"/>
      <c r="N124" s="146" t="s">
        <v>258</v>
      </c>
      <c r="O124" s="146" t="s">
        <v>252</v>
      </c>
      <c r="P124" s="144"/>
      <c r="Q124" s="144"/>
      <c r="R124" s="144"/>
      <c r="S124" s="144"/>
      <c r="T124" s="144"/>
      <c r="U124" s="144"/>
    </row>
    <row r="125" spans="11:21" ht="15.75" x14ac:dyDescent="0.25">
      <c r="K125" s="144"/>
      <c r="L125" s="144"/>
      <c r="M125" s="144"/>
      <c r="N125" s="146" t="s">
        <v>259</v>
      </c>
      <c r="O125" s="146" t="s">
        <v>254</v>
      </c>
      <c r="P125" s="144"/>
      <c r="Q125" s="144"/>
      <c r="R125" s="144"/>
      <c r="S125" s="144"/>
      <c r="T125" s="144"/>
      <c r="U125" s="144"/>
    </row>
    <row r="126" spans="11:21" ht="15.75" x14ac:dyDescent="0.25">
      <c r="K126" s="144"/>
      <c r="L126" s="144"/>
      <c r="M126" s="144"/>
      <c r="N126" s="144"/>
      <c r="O126" s="144"/>
      <c r="P126" s="144"/>
      <c r="Q126" s="144"/>
      <c r="R126" s="144"/>
      <c r="S126" s="144"/>
      <c r="T126" s="144"/>
      <c r="U126" s="144"/>
    </row>
    <row r="127" spans="11:21" ht="15.75" x14ac:dyDescent="0.25">
      <c r="K127" s="144"/>
      <c r="L127" s="144"/>
      <c r="M127" s="141" t="s">
        <v>188</v>
      </c>
      <c r="N127" s="144"/>
      <c r="O127" s="144"/>
      <c r="P127" s="144"/>
      <c r="Q127" s="144"/>
      <c r="R127" s="144"/>
      <c r="S127" s="144"/>
      <c r="T127" s="144"/>
      <c r="U127" s="144"/>
    </row>
    <row r="128" spans="11:21" ht="15.75" x14ac:dyDescent="0.25">
      <c r="K128" s="144"/>
      <c r="L128" s="144"/>
      <c r="M128" s="144"/>
      <c r="N128" s="145" t="s">
        <v>221</v>
      </c>
      <c r="O128" s="145" t="s">
        <v>227</v>
      </c>
      <c r="P128" s="144"/>
      <c r="Q128" s="144"/>
      <c r="R128" s="144"/>
      <c r="S128" s="144"/>
      <c r="T128" s="144"/>
      <c r="U128" s="144"/>
    </row>
    <row r="129" spans="11:21" ht="15.75" x14ac:dyDescent="0.25">
      <c r="K129" s="144"/>
      <c r="L129" s="144"/>
      <c r="M129" s="144"/>
      <c r="N129" s="146" t="s">
        <v>257</v>
      </c>
      <c r="O129" s="146" t="s">
        <v>250</v>
      </c>
      <c r="P129" s="144"/>
      <c r="Q129" s="144"/>
      <c r="R129" s="144"/>
      <c r="S129" s="144"/>
      <c r="T129" s="144"/>
      <c r="U129" s="144"/>
    </row>
    <row r="130" spans="11:21" ht="15.75" x14ac:dyDescent="0.25">
      <c r="K130" s="144"/>
      <c r="L130" s="144"/>
      <c r="M130" s="144"/>
      <c r="N130" s="146" t="s">
        <v>258</v>
      </c>
      <c r="O130" s="146" t="s">
        <v>252</v>
      </c>
      <c r="P130" s="144"/>
      <c r="Q130" s="144"/>
      <c r="R130" s="144"/>
      <c r="S130" s="144"/>
      <c r="T130" s="144"/>
      <c r="U130" s="144"/>
    </row>
    <row r="131" spans="11:21" ht="15.75" x14ac:dyDescent="0.25">
      <c r="K131" s="144"/>
      <c r="L131" s="144"/>
      <c r="M131" s="144"/>
      <c r="N131" s="146" t="s">
        <v>253</v>
      </c>
      <c r="O131" s="146" t="s">
        <v>254</v>
      </c>
      <c r="P131" s="144"/>
      <c r="Q131" s="144"/>
      <c r="R131" s="144"/>
      <c r="S131" s="144"/>
      <c r="T131" s="144"/>
      <c r="U131" s="144"/>
    </row>
  </sheetData>
  <sheetProtection selectLockedCells="1"/>
  <mergeCells count="5">
    <mergeCell ref="C2:D2"/>
    <mergeCell ref="A1:I1"/>
    <mergeCell ref="A2:A21"/>
    <mergeCell ref="I2:I21"/>
    <mergeCell ref="D18:G18"/>
  </mergeCells>
  <hyperlinks>
    <hyperlink ref="D18" r:id="rId1"/>
  </hyperlinks>
  <pageMargins left="0.7" right="0.7" top="0.75" bottom="0.75" header="0.3" footer="0.3"/>
  <pageSetup orientation="portrait" horizontalDpi="4294967295" verticalDpi="4294967295" r:id="rId2"/>
  <drawing r:id="rId3"/>
  <legacyDrawing r:id="rId4"/>
  <controls>
    <mc:AlternateContent xmlns:mc="http://schemas.openxmlformats.org/markup-compatibility/2006">
      <mc:Choice Requires="x14">
        <control shapeId="8207" r:id="rId5" name="Sitio">
          <controlPr defaultSize="0" autoLine="0" r:id="rId6">
            <anchor moveWithCells="1">
              <from>
                <xdr:col>2</xdr:col>
                <xdr:colOff>390525</xdr:colOff>
                <xdr:row>14</xdr:row>
                <xdr:rowOff>66675</xdr:rowOff>
              </from>
              <to>
                <xdr:col>3</xdr:col>
                <xdr:colOff>971550</xdr:colOff>
                <xdr:row>15</xdr:row>
                <xdr:rowOff>104775</xdr:rowOff>
              </to>
            </anchor>
          </controlPr>
        </control>
      </mc:Choice>
      <mc:Fallback>
        <control shapeId="8207" r:id="rId5" name="Sitio"/>
      </mc:Fallback>
    </mc:AlternateContent>
    <mc:AlternateContent xmlns:mc="http://schemas.openxmlformats.org/markup-compatibility/2006">
      <mc:Choice Requires="x14">
        <control shapeId="8204" r:id="rId7" name="Alimento">
          <controlPr locked="0" defaultSize="0" autoLine="0" autoPict="0" r:id="rId8">
            <anchor moveWithCells="1">
              <from>
                <xdr:col>2</xdr:col>
                <xdr:colOff>390525</xdr:colOff>
                <xdr:row>6</xdr:row>
                <xdr:rowOff>95250</xdr:rowOff>
              </from>
              <to>
                <xdr:col>5</xdr:col>
                <xdr:colOff>9525</xdr:colOff>
                <xdr:row>7</xdr:row>
                <xdr:rowOff>123825</xdr:rowOff>
              </to>
            </anchor>
          </controlPr>
        </control>
      </mc:Choice>
      <mc:Fallback>
        <control shapeId="8204" r:id="rId7" name="Alimento"/>
      </mc:Fallback>
    </mc:AlternateContent>
    <mc:AlternateContent xmlns:mc="http://schemas.openxmlformats.org/markup-compatibility/2006">
      <mc:Choice Requires="x14">
        <control shapeId="8203" r:id="rId9" name="Lote5">
          <controlPr locked="0" defaultSize="0" autoLine="0" autoPict="0" r:id="rId10">
            <anchor moveWithCells="1">
              <from>
                <xdr:col>4</xdr:col>
                <xdr:colOff>142875</xdr:colOff>
                <xdr:row>11</xdr:row>
                <xdr:rowOff>76200</xdr:rowOff>
              </from>
              <to>
                <xdr:col>5</xdr:col>
                <xdr:colOff>28575</xdr:colOff>
                <xdr:row>12</xdr:row>
                <xdr:rowOff>0</xdr:rowOff>
              </to>
            </anchor>
          </controlPr>
        </control>
      </mc:Choice>
      <mc:Fallback>
        <control shapeId="8203" r:id="rId9" name="Lote5"/>
      </mc:Fallback>
    </mc:AlternateContent>
    <mc:AlternateContent xmlns:mc="http://schemas.openxmlformats.org/markup-compatibility/2006">
      <mc:Choice Requires="x14">
        <control shapeId="8202" r:id="rId11" name="Lote4">
          <controlPr locked="0" defaultSize="0" autoLine="0" autoPict="0" r:id="rId12">
            <anchor moveWithCells="1">
              <from>
                <xdr:col>4</xdr:col>
                <xdr:colOff>133350</xdr:colOff>
                <xdr:row>10</xdr:row>
                <xdr:rowOff>76200</xdr:rowOff>
              </from>
              <to>
                <xdr:col>5</xdr:col>
                <xdr:colOff>0</xdr:colOff>
                <xdr:row>10</xdr:row>
                <xdr:rowOff>247650</xdr:rowOff>
              </to>
            </anchor>
          </controlPr>
        </control>
      </mc:Choice>
      <mc:Fallback>
        <control shapeId="8202" r:id="rId11" name="Lote4"/>
      </mc:Fallback>
    </mc:AlternateContent>
    <mc:AlternateContent xmlns:mc="http://schemas.openxmlformats.org/markup-compatibility/2006">
      <mc:Choice Requires="x14">
        <control shapeId="8201" r:id="rId13" name="Lote6">
          <controlPr locked="0" defaultSize="0" autoLine="0" autoPict="0" r:id="rId14">
            <anchor moveWithCells="1">
              <from>
                <xdr:col>4</xdr:col>
                <xdr:colOff>133350</xdr:colOff>
                <xdr:row>12</xdr:row>
                <xdr:rowOff>85725</xdr:rowOff>
              </from>
              <to>
                <xdr:col>4</xdr:col>
                <xdr:colOff>285750</xdr:colOff>
                <xdr:row>12</xdr:row>
                <xdr:rowOff>219075</xdr:rowOff>
              </to>
            </anchor>
          </controlPr>
        </control>
      </mc:Choice>
      <mc:Fallback>
        <control shapeId="8201" r:id="rId13" name="Lote6"/>
      </mc:Fallback>
    </mc:AlternateContent>
    <mc:AlternateContent xmlns:mc="http://schemas.openxmlformats.org/markup-compatibility/2006">
      <mc:Choice Requires="x14">
        <control shapeId="8200" r:id="rId15" name="Lote3">
          <controlPr locked="0" defaultSize="0" autoLine="0" autoPict="0" r:id="rId16">
            <anchor moveWithCells="1">
              <from>
                <xdr:col>2</xdr:col>
                <xdr:colOff>400050</xdr:colOff>
                <xdr:row>12</xdr:row>
                <xdr:rowOff>38100</xdr:rowOff>
              </from>
              <to>
                <xdr:col>3</xdr:col>
                <xdr:colOff>0</xdr:colOff>
                <xdr:row>12</xdr:row>
                <xdr:rowOff>228600</xdr:rowOff>
              </to>
            </anchor>
          </controlPr>
        </control>
      </mc:Choice>
      <mc:Fallback>
        <control shapeId="8200" r:id="rId15" name="Lote3"/>
      </mc:Fallback>
    </mc:AlternateContent>
    <mc:AlternateContent xmlns:mc="http://schemas.openxmlformats.org/markup-compatibility/2006">
      <mc:Choice Requires="x14">
        <control shapeId="8199" r:id="rId17" name="Lote2">
          <controlPr locked="0" defaultSize="0" autoLine="0" autoPict="0" r:id="rId18">
            <anchor moveWithCells="1">
              <from>
                <xdr:col>2</xdr:col>
                <xdr:colOff>400050</xdr:colOff>
                <xdr:row>11</xdr:row>
                <xdr:rowOff>19050</xdr:rowOff>
              </from>
              <to>
                <xdr:col>2</xdr:col>
                <xdr:colOff>552450</xdr:colOff>
                <xdr:row>11</xdr:row>
                <xdr:rowOff>219075</xdr:rowOff>
              </to>
            </anchor>
          </controlPr>
        </control>
      </mc:Choice>
      <mc:Fallback>
        <control shapeId="8199" r:id="rId17" name="Lote2"/>
      </mc:Fallback>
    </mc:AlternateContent>
    <mc:AlternateContent xmlns:mc="http://schemas.openxmlformats.org/markup-compatibility/2006">
      <mc:Choice Requires="x14">
        <control shapeId="8198" r:id="rId19" name="Lote1">
          <controlPr locked="0" defaultSize="0" autoLine="0" autoPict="0" r:id="rId20">
            <anchor moveWithCells="1">
              <from>
                <xdr:col>2</xdr:col>
                <xdr:colOff>400050</xdr:colOff>
                <xdr:row>10</xdr:row>
                <xdr:rowOff>57150</xdr:rowOff>
              </from>
              <to>
                <xdr:col>3</xdr:col>
                <xdr:colOff>19050</xdr:colOff>
                <xdr:row>11</xdr:row>
                <xdr:rowOff>0</xdr:rowOff>
              </to>
            </anchor>
          </controlPr>
        </control>
      </mc:Choice>
      <mc:Fallback>
        <control shapeId="8198" r:id="rId19" name="Lote1"/>
      </mc:Fallback>
    </mc:AlternateContent>
    <mc:AlternateContent xmlns:mc="http://schemas.openxmlformats.org/markup-compatibility/2006">
      <mc:Choice Requires="x14">
        <control shapeId="8197" r:id="rId21" name="Deceso">
          <controlPr locked="0" defaultSize="0" autoLine="0" autoPict="0" r:id="rId22">
            <anchor moveWithCells="1">
              <from>
                <xdr:col>2</xdr:col>
                <xdr:colOff>381000</xdr:colOff>
                <xdr:row>7</xdr:row>
                <xdr:rowOff>142875</xdr:rowOff>
              </from>
              <to>
                <xdr:col>4</xdr:col>
                <xdr:colOff>95250</xdr:colOff>
                <xdr:row>8</xdr:row>
                <xdr:rowOff>161925</xdr:rowOff>
              </to>
            </anchor>
          </controlPr>
        </control>
      </mc:Choice>
      <mc:Fallback>
        <control shapeId="8197" r:id="rId21" name="Deceso"/>
      </mc:Fallback>
    </mc:AlternateContent>
    <mc:AlternateContent xmlns:mc="http://schemas.openxmlformats.org/markup-compatibility/2006">
      <mc:Choice Requires="x14">
        <control shapeId="8196" r:id="rId23" name="Traslado">
          <controlPr locked="0" defaultSize="0" autoLine="0" autoPict="0" r:id="rId24">
            <anchor moveWithCells="1">
              <from>
                <xdr:col>2</xdr:col>
                <xdr:colOff>400050</xdr:colOff>
                <xdr:row>5</xdr:row>
                <xdr:rowOff>38100</xdr:rowOff>
              </from>
              <to>
                <xdr:col>4</xdr:col>
                <xdr:colOff>161925</xdr:colOff>
                <xdr:row>6</xdr:row>
                <xdr:rowOff>85725</xdr:rowOff>
              </to>
            </anchor>
          </controlPr>
        </control>
      </mc:Choice>
      <mc:Fallback>
        <control shapeId="8196" r:id="rId23" name="Traslado"/>
      </mc:Fallback>
    </mc:AlternateContent>
    <mc:AlternateContent xmlns:mc="http://schemas.openxmlformats.org/markup-compatibility/2006">
      <mc:Choice Requires="x14">
        <control shapeId="8194" r:id="rId25" name="Button 2">
          <controlPr defaultSize="0" print="0" autoFill="0" autoPict="0" macro="[0]!CreaTXT">
            <anchor moveWithCells="1" sizeWithCells="1">
              <from>
                <xdr:col>3</xdr:col>
                <xdr:colOff>714375</xdr:colOff>
                <xdr:row>19</xdr:row>
                <xdr:rowOff>28575</xdr:rowOff>
              </from>
              <to>
                <xdr:col>5</xdr:col>
                <xdr:colOff>47625</xdr:colOff>
                <xdr:row>20</xdr:row>
                <xdr:rowOff>47625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R44"/>
  <sheetViews>
    <sheetView workbookViewId="0">
      <selection activeCell="I2" sqref="I2"/>
    </sheetView>
  </sheetViews>
  <sheetFormatPr baseColWidth="10" defaultRowHeight="15" x14ac:dyDescent="0.25"/>
  <cols>
    <col min="1" max="1" width="12" style="60" bestFit="1" customWidth="1"/>
    <col min="2" max="2" width="47.28515625" bestFit="1" customWidth="1"/>
    <col min="3" max="3" width="13.85546875" hidden="1" customWidth="1"/>
    <col min="4" max="4" width="17.28515625" hidden="1" customWidth="1"/>
    <col min="5" max="5" width="13.85546875" hidden="1" customWidth="1"/>
    <col min="6" max="6" width="17.28515625" hidden="1" customWidth="1"/>
    <col min="7" max="7" width="13.85546875" hidden="1" customWidth="1"/>
    <col min="8" max="8" width="17.28515625" hidden="1" customWidth="1"/>
    <col min="9" max="9" width="9.42578125" customWidth="1"/>
    <col min="10" max="15" width="0" hidden="1" customWidth="1"/>
  </cols>
  <sheetData>
    <row r="1" spans="1:18" x14ac:dyDescent="0.25">
      <c r="B1" s="187"/>
      <c r="C1" s="225" t="s">
        <v>297</v>
      </c>
      <c r="D1" s="225"/>
      <c r="E1" s="225"/>
      <c r="F1" s="225"/>
      <c r="G1" s="225"/>
      <c r="H1" s="225"/>
      <c r="I1" s="225"/>
      <c r="J1" s="225" t="s">
        <v>301</v>
      </c>
      <c r="K1" s="225"/>
      <c r="L1" s="225"/>
      <c r="M1" s="225"/>
      <c r="N1" s="225"/>
      <c r="O1" s="225"/>
      <c r="P1" s="225"/>
      <c r="Q1" s="187"/>
      <c r="R1" s="187"/>
    </row>
    <row r="2" spans="1:18" x14ac:dyDescent="0.25">
      <c r="A2" s="186" t="s">
        <v>81</v>
      </c>
      <c r="B2" s="185" t="s">
        <v>300</v>
      </c>
      <c r="C2" s="185" t="s">
        <v>298</v>
      </c>
      <c r="D2" s="185" t="s">
        <v>299</v>
      </c>
      <c r="E2" s="185" t="s">
        <v>298</v>
      </c>
      <c r="F2" s="185" t="s">
        <v>299</v>
      </c>
      <c r="G2" s="185" t="s">
        <v>298</v>
      </c>
      <c r="H2" s="185" t="s">
        <v>299</v>
      </c>
      <c r="I2" s="185" t="s">
        <v>101</v>
      </c>
      <c r="J2" s="185" t="s">
        <v>298</v>
      </c>
      <c r="K2" s="185" t="s">
        <v>299</v>
      </c>
      <c r="L2" s="185" t="s">
        <v>298</v>
      </c>
      <c r="M2" s="185" t="s">
        <v>299</v>
      </c>
      <c r="N2" s="185" t="s">
        <v>298</v>
      </c>
      <c r="O2" s="185" t="s">
        <v>299</v>
      </c>
      <c r="P2" s="185" t="s">
        <v>101</v>
      </c>
    </row>
    <row r="3" spans="1:18" x14ac:dyDescent="0.25">
      <c r="A3" s="187">
        <v>10120162</v>
      </c>
      <c r="B3" s="190" t="s">
        <v>83</v>
      </c>
      <c r="C3" s="41">
        <f>SUMIF(ALIMENTO_NUEVO!$D$6:$D$306,A3,ALIMENTO_NUEVO!$F$6:$F$306)</f>
        <v>0</v>
      </c>
      <c r="D3" s="41">
        <f>SUMIF(ALIMENTO_NUEVO!$D$6:$D$306,A3,ALIMENTO_NUEVO!$G$6:$G$306)</f>
        <v>0</v>
      </c>
      <c r="E3" s="41">
        <f>SUMIF(ALIMENTO_NUEVO!$P$6:$P$306,A3,ALIMENTO_NUEVO!$R$6:$R$306)</f>
        <v>0</v>
      </c>
      <c r="F3" s="41">
        <f>SUMIF(ALIMENTO_NUEVO!$P$6:$P$306,A3,ALIMENTO_NUEVO!$S$6:$S$306)</f>
        <v>0</v>
      </c>
      <c r="G3" s="41">
        <f>SUMIF(ALIMENTO_NUEVO!$AB$6:$AB$306,A3,ALIMENTO_NUEVO!$AD$6:$AD$306)</f>
        <v>0</v>
      </c>
      <c r="H3" s="41">
        <f>SUMIF(ALIMENTO_NUEVO!$AB$6:$AB$306,A3,ALIMENTO_NUEVO!$AE$6:$AE$306)</f>
        <v>0</v>
      </c>
      <c r="I3" s="185">
        <f>C3:C44+D3:D44+E3:E44+F3:F44+G3:G44+H3:H44</f>
        <v>0</v>
      </c>
      <c r="J3" s="41">
        <f>SUMIF(ALIMENTO_NUEVO!$AN$6:$AN$306,A3,ALIMENTO_NUEVO!$AP$6:$AP$306)</f>
        <v>0</v>
      </c>
      <c r="K3" s="41">
        <f>SUMIF(ALIMENTO_NUEVO!$AN$6:$AN$306,A3,ALIMENTO_NUEVO!$AQ$6:$AQ$306)</f>
        <v>0</v>
      </c>
      <c r="L3" s="41">
        <f>SUMIF(ALIMENTO_NUEVO!$AZ$6:$AZ$306,A3,ALIMENTO_NUEVO!$BB$6:$BB$306)</f>
        <v>0</v>
      </c>
      <c r="M3" s="41">
        <f>SUMIF(ALIMENTO_NUEVO!$AZ$6:$AZ$306,A3,ALIMENTO_NUEVO!$BC$6:$BC$306)</f>
        <v>0</v>
      </c>
      <c r="N3" s="41">
        <f>SUMIF(ALIMENTO_NUEVO!$BL$6:$BL$306,A3,ALIMENTO_NUEVO!$BN$6:$BN$306)</f>
        <v>0</v>
      </c>
      <c r="O3" s="41">
        <f>SUMIF(ALIMENTO_NUEVO!$BL$6:$BL$306,A3,ALIMENTO_NUEVO!$BO$6:$BO$306)</f>
        <v>0</v>
      </c>
      <c r="P3" s="185">
        <f>J3:J44+K3:K44+L3:L44+M3:M44+N3:N44+O3:O44</f>
        <v>0</v>
      </c>
    </row>
    <row r="4" spans="1:18" x14ac:dyDescent="0.25">
      <c r="A4" s="187">
        <v>10130146</v>
      </c>
      <c r="B4" s="190" t="s">
        <v>84</v>
      </c>
      <c r="C4" s="41">
        <f>SUMIF(ALIMENTO_NUEVO!$D$6:$D$306,A4,ALIMENTO_NUEVO!$F$6:$F$306)</f>
        <v>0</v>
      </c>
      <c r="D4" s="41">
        <f>SUMIF(ALIMENTO_NUEVO!$D$6:$D$306,A4,ALIMENTO_NUEVO!$G$6:$G$306)</f>
        <v>0</v>
      </c>
      <c r="E4" s="41">
        <f>SUMIF(ALIMENTO_NUEVO!$P$6:$P$306,A4,ALIMENTO_NUEVO!$R$6:$R$306)</f>
        <v>0</v>
      </c>
      <c r="F4" s="41">
        <f>SUMIF(ALIMENTO_NUEVO!$P$6:$P$306,A4,ALIMENTO_NUEVO!$S$6:$S$306)</f>
        <v>0</v>
      </c>
      <c r="G4" s="41">
        <f>SUMIF(ALIMENTO_NUEVO!$AB$6:$AB$306,A4,ALIMENTO_NUEVO!$AD$6:$AD$306)</f>
        <v>0</v>
      </c>
      <c r="H4" s="41">
        <f>SUMIF(ALIMENTO_NUEVO!$AB$6:$AB$306,A4,ALIMENTO_NUEVO!$AE$6:$AE$306)</f>
        <v>0</v>
      </c>
      <c r="I4" s="185">
        <f t="shared" ref="I4:I44" si="0">C4:C45+D4:D45+E4:E45+F4:F45+G4:G45+H4:H45</f>
        <v>0</v>
      </c>
      <c r="J4" s="41">
        <f>SUMIF(ALIMENTO_NUEVO!$AN$6:$AN$306,A4,ALIMENTO_NUEVO!$AP$6:$AP$306)</f>
        <v>0</v>
      </c>
      <c r="K4" s="41">
        <f>SUMIF(ALIMENTO_NUEVO!$AN$6:$AN$306,A4,ALIMENTO_NUEVO!$AQ$6:$AQ$306)</f>
        <v>0</v>
      </c>
      <c r="L4" s="41">
        <f>SUMIF(ALIMENTO_NUEVO!$AZ$6:$AZ$306,A4,ALIMENTO_NUEVO!$BB$6:$BB$306)</f>
        <v>0</v>
      </c>
      <c r="M4" s="41">
        <f>SUMIF(ALIMENTO_NUEVO!$AZ$6:$AZ$306,A4,ALIMENTO_NUEVO!$BC$6:$BC$306)</f>
        <v>0</v>
      </c>
      <c r="N4" s="41">
        <f>SUMIF(ALIMENTO_NUEVO!$BL$6:$BL$306,A4,ALIMENTO_NUEVO!$BN$6:$BN$306)</f>
        <v>0</v>
      </c>
      <c r="O4" s="41">
        <f>SUMIF(ALIMENTO_NUEVO!$BL$6:$BL$306,A4,ALIMENTO_NUEVO!$BO$6:$BO$306)</f>
        <v>0</v>
      </c>
      <c r="P4" s="185">
        <f t="shared" ref="P4:P44" si="1">J4:J45+K4:K45+L4:L45+M4:M45+N4:N45+O4:O45</f>
        <v>0</v>
      </c>
    </row>
    <row r="5" spans="1:18" x14ac:dyDescent="0.25">
      <c r="A5" s="187">
        <v>10130147</v>
      </c>
      <c r="B5" s="190" t="s">
        <v>85</v>
      </c>
      <c r="C5" s="41">
        <f>SUMIF(ALIMENTO_NUEVO!$D$6:$D$306,A5,ALIMENTO_NUEVO!$F$6:$F$306)</f>
        <v>600</v>
      </c>
      <c r="D5" s="41">
        <f>SUMIF(ALIMENTO_NUEVO!$D$6:$D$306,A5,ALIMENTO_NUEVO!$G$6:$G$306)</f>
        <v>-600</v>
      </c>
      <c r="E5" s="41">
        <f>SUMIF(ALIMENTO_NUEVO!$P$6:$P$306,A5,ALIMENTO_NUEVO!$R$6:$R$306)</f>
        <v>600</v>
      </c>
      <c r="F5" s="41">
        <f>SUMIF(ALIMENTO_NUEVO!$P$6:$P$306,A5,ALIMENTO_NUEVO!$S$6:$S$306)</f>
        <v>-600</v>
      </c>
      <c r="G5" s="41">
        <f>SUMIF(ALIMENTO_NUEVO!$AB$6:$AB$306,A5,ALIMENTO_NUEVO!$AD$6:$AD$306)</f>
        <v>600</v>
      </c>
      <c r="H5" s="41">
        <f>SUMIF(ALIMENTO_NUEVO!$AB$6:$AB$306,A5,ALIMENTO_NUEVO!$AE$6:$AE$306)</f>
        <v>-600</v>
      </c>
      <c r="I5" s="185">
        <f t="shared" si="0"/>
        <v>0</v>
      </c>
      <c r="J5" s="41">
        <f>SUMIF(ALIMENTO_NUEVO!$AN$6:$AN$306,A5,ALIMENTO_NUEVO!$AP$6:$AP$306)</f>
        <v>600</v>
      </c>
      <c r="K5" s="41">
        <f>SUMIF(ALIMENTO_NUEVO!$AN$6:$AN$306,A5,ALIMENTO_NUEVO!$AQ$6:$AQ$306)</f>
        <v>-600</v>
      </c>
      <c r="L5" s="41">
        <f>SUMIF(ALIMENTO_NUEVO!$AZ$6:$AZ$306,A5,ALIMENTO_NUEVO!$BB$6:$BB$306)</f>
        <v>600</v>
      </c>
      <c r="M5" s="41">
        <f>SUMIF(ALIMENTO_NUEVO!$AZ$6:$AZ$306,A5,ALIMENTO_NUEVO!$BC$6:$BC$306)</f>
        <v>-600</v>
      </c>
      <c r="N5" s="41">
        <f>SUMIF(ALIMENTO_NUEVO!$BL$6:$BL$306,A5,ALIMENTO_NUEVO!$BN$6:$BN$306)</f>
        <v>600</v>
      </c>
      <c r="O5" s="41">
        <f>SUMIF(ALIMENTO_NUEVO!$BL$6:$BL$306,A5,ALIMENTO_NUEVO!$BO$6:$BO$306)</f>
        <v>-600</v>
      </c>
      <c r="P5" s="185">
        <f t="shared" si="1"/>
        <v>0</v>
      </c>
    </row>
    <row r="6" spans="1:18" x14ac:dyDescent="0.25">
      <c r="A6" s="187">
        <v>10130148</v>
      </c>
      <c r="B6" s="190" t="s">
        <v>86</v>
      </c>
      <c r="C6" s="41">
        <f>SUMIF(ALIMENTO_NUEVO!$D$6:$D$306,A6,ALIMENTO_NUEVO!$F$6:$F$306)</f>
        <v>0</v>
      </c>
      <c r="D6" s="41">
        <f>SUMIF(ALIMENTO_NUEVO!$D$6:$D$306,A6,ALIMENTO_NUEVO!$G$6:$G$306)</f>
        <v>0</v>
      </c>
      <c r="E6" s="41">
        <f>SUMIF(ALIMENTO_NUEVO!$P$6:$P$306,A6,ALIMENTO_NUEVO!$R$6:$R$306)</f>
        <v>0</v>
      </c>
      <c r="F6" s="41">
        <f>SUMIF(ALIMENTO_NUEVO!$P$6:$P$306,A6,ALIMENTO_NUEVO!$S$6:$S$306)</f>
        <v>0</v>
      </c>
      <c r="G6" s="41">
        <f>SUMIF(ALIMENTO_NUEVO!$AB$6:$AB$306,A6,ALIMENTO_NUEVO!$AD$6:$AD$306)</f>
        <v>0</v>
      </c>
      <c r="H6" s="41">
        <f>SUMIF(ALIMENTO_NUEVO!$AB$6:$AB$306,A6,ALIMENTO_NUEVO!$AE$6:$AE$306)</f>
        <v>0</v>
      </c>
      <c r="I6" s="185">
        <f t="shared" si="0"/>
        <v>0</v>
      </c>
      <c r="J6" s="41">
        <f>SUMIF(ALIMENTO_NUEVO!$AN$6:$AN$306,A6,ALIMENTO_NUEVO!$AP$6:$AP$306)</f>
        <v>0</v>
      </c>
      <c r="K6" s="41">
        <f>SUMIF(ALIMENTO_NUEVO!$AN$6:$AN$306,A6,ALIMENTO_NUEVO!$AQ$6:$AQ$306)</f>
        <v>0</v>
      </c>
      <c r="L6" s="41">
        <f>SUMIF(ALIMENTO_NUEVO!$AZ$6:$AZ$306,A6,ALIMENTO_NUEVO!$BB$6:$BB$306)</f>
        <v>0</v>
      </c>
      <c r="M6" s="41">
        <f>SUMIF(ALIMENTO_NUEVO!$AZ$6:$AZ$306,A6,ALIMENTO_NUEVO!$BC$6:$BC$306)</f>
        <v>0</v>
      </c>
      <c r="N6" s="41">
        <f>SUMIF(ALIMENTO_NUEVO!$BL$6:$BL$306,A6,ALIMENTO_NUEVO!$BN$6:$BN$306)</f>
        <v>0</v>
      </c>
      <c r="O6" s="41">
        <f>SUMIF(ALIMENTO_NUEVO!$BL$6:$BL$306,A6,ALIMENTO_NUEVO!$BO$6:$BO$306)</f>
        <v>0</v>
      </c>
      <c r="P6" s="185">
        <f t="shared" si="1"/>
        <v>0</v>
      </c>
    </row>
    <row r="7" spans="1:18" x14ac:dyDescent="0.25">
      <c r="A7" s="187">
        <v>10130149</v>
      </c>
      <c r="B7" s="190" t="s">
        <v>87</v>
      </c>
      <c r="C7" s="41">
        <f>SUMIF(ALIMENTO_NUEVO!$D$6:$D$306,A7,ALIMENTO_NUEVO!$F$6:$F$306)</f>
        <v>4500</v>
      </c>
      <c r="D7" s="41">
        <f>SUMIF(ALIMENTO_NUEVO!$D$6:$D$306,A7,ALIMENTO_NUEVO!$G$6:$G$306)</f>
        <v>-4500</v>
      </c>
      <c r="E7" s="41">
        <f>SUMIF(ALIMENTO_NUEVO!$P$6:$P$306,A7,ALIMENTO_NUEVO!$R$6:$R$306)</f>
        <v>4500</v>
      </c>
      <c r="F7" s="41">
        <f>SUMIF(ALIMENTO_NUEVO!$P$6:$P$306,A7,ALIMENTO_NUEVO!$S$6:$S$306)</f>
        <v>-4500</v>
      </c>
      <c r="G7" s="41">
        <f>SUMIF(ALIMENTO_NUEVO!$AB$6:$AB$306,A7,ALIMENTO_NUEVO!$AD$6:$AD$306)</f>
        <v>4500</v>
      </c>
      <c r="H7" s="41">
        <f>SUMIF(ALIMENTO_NUEVO!$AB$6:$AB$306,A7,ALIMENTO_NUEVO!$AE$6:$AE$306)</f>
        <v>-4500</v>
      </c>
      <c r="I7" s="185">
        <f t="shared" si="0"/>
        <v>0</v>
      </c>
      <c r="J7" s="41">
        <f>SUMIF(ALIMENTO_NUEVO!$AN$6:$AN$306,A7,ALIMENTO_NUEVO!$AP$6:$AP$306)</f>
        <v>4500</v>
      </c>
      <c r="K7" s="41">
        <f>SUMIF(ALIMENTO_NUEVO!$AN$6:$AN$306,A7,ALIMENTO_NUEVO!$AQ$6:$AQ$306)</f>
        <v>-4500</v>
      </c>
      <c r="L7" s="41">
        <f>SUMIF(ALIMENTO_NUEVO!$AZ$6:$AZ$306,A7,ALIMENTO_NUEVO!$BB$6:$BB$306)</f>
        <v>4500</v>
      </c>
      <c r="M7" s="41">
        <f>SUMIF(ALIMENTO_NUEVO!$AZ$6:$AZ$306,A7,ALIMENTO_NUEVO!$BC$6:$BC$306)</f>
        <v>-4500</v>
      </c>
      <c r="N7" s="41">
        <f>SUMIF(ALIMENTO_NUEVO!$BL$6:$BL$306,A7,ALIMENTO_NUEVO!$BN$6:$BN$306)</f>
        <v>4500</v>
      </c>
      <c r="O7" s="41">
        <f>SUMIF(ALIMENTO_NUEVO!$BL$6:$BL$306,A7,ALIMENTO_NUEVO!$BO$6:$BO$306)</f>
        <v>-4500</v>
      </c>
      <c r="P7" s="185">
        <f t="shared" si="1"/>
        <v>0</v>
      </c>
    </row>
    <row r="8" spans="1:18" x14ac:dyDescent="0.25">
      <c r="A8" s="188">
        <v>21111106</v>
      </c>
      <c r="B8" s="188" t="s">
        <v>34</v>
      </c>
      <c r="C8" s="41">
        <f>SUMIF(ALIMENTO_NUEVO!$D$6:$D$306,A8,ALIMENTO_NUEVO!$F$6:$F$306)</f>
        <v>0</v>
      </c>
      <c r="D8" s="41">
        <f>SUMIF(ALIMENTO_NUEVO!$D$6:$D$306,A8,ALIMENTO_NUEVO!$G$6:$G$306)</f>
        <v>0</v>
      </c>
      <c r="E8" s="41">
        <f>SUMIF(ALIMENTO_NUEVO!$P$6:$P$306,A8,ALIMENTO_NUEVO!$R$6:$R$306)</f>
        <v>0</v>
      </c>
      <c r="F8" s="41">
        <f>SUMIF(ALIMENTO_NUEVO!$P$6:$P$306,A8,ALIMENTO_NUEVO!$S$6:$S$306)</f>
        <v>0</v>
      </c>
      <c r="G8" s="41">
        <f>SUMIF(ALIMENTO_NUEVO!$AB$6:$AB$306,A8,ALIMENTO_NUEVO!$AD$6:$AD$306)</f>
        <v>0</v>
      </c>
      <c r="H8" s="41">
        <f>SUMIF(ALIMENTO_NUEVO!$AB$6:$AB$306,A8,ALIMENTO_NUEVO!$AE$6:$AE$306)</f>
        <v>0</v>
      </c>
      <c r="I8" s="185">
        <f t="shared" si="0"/>
        <v>0</v>
      </c>
      <c r="J8" s="41">
        <f>SUMIF(ALIMENTO_NUEVO!$AN$6:$AN$306,A8,ALIMENTO_NUEVO!$AP$6:$AP$306)</f>
        <v>0</v>
      </c>
      <c r="K8" s="41">
        <f>SUMIF(ALIMENTO_NUEVO!$AN$6:$AN$306,A8,ALIMENTO_NUEVO!$AQ$6:$AQ$306)</f>
        <v>0</v>
      </c>
      <c r="L8" s="41">
        <f>SUMIF(ALIMENTO_NUEVO!$AZ$6:$AZ$306,A8,ALIMENTO_NUEVO!$BB$6:$BB$306)</f>
        <v>0</v>
      </c>
      <c r="M8" s="41">
        <f>SUMIF(ALIMENTO_NUEVO!$AZ$6:$AZ$306,A8,ALIMENTO_NUEVO!$BC$6:$BC$306)</f>
        <v>0</v>
      </c>
      <c r="N8" s="41">
        <f>SUMIF(ALIMENTO_NUEVO!$BL$6:$BL$306,A8,ALIMENTO_NUEVO!$BN$6:$BN$306)</f>
        <v>0</v>
      </c>
      <c r="O8" s="41">
        <f>SUMIF(ALIMENTO_NUEVO!$BL$6:$BL$306,A8,ALIMENTO_NUEVO!$BO$6:$BO$306)</f>
        <v>0</v>
      </c>
      <c r="P8" s="185">
        <f t="shared" si="1"/>
        <v>0</v>
      </c>
    </row>
    <row r="9" spans="1:18" x14ac:dyDescent="0.25">
      <c r="A9" s="188">
        <v>21111107</v>
      </c>
      <c r="B9" s="188" t="s">
        <v>35</v>
      </c>
      <c r="C9" s="41">
        <f>SUMIF(ALIMENTO_NUEVO!$D$6:$D$306,A9,ALIMENTO_NUEVO!$F$6:$F$306)</f>
        <v>0</v>
      </c>
      <c r="D9" s="41">
        <f>SUMIF(ALIMENTO_NUEVO!$D$6:$D$306,A9,ALIMENTO_NUEVO!$G$6:$G$306)</f>
        <v>0</v>
      </c>
      <c r="E9" s="41">
        <f>SUMIF(ALIMENTO_NUEVO!$P$6:$P$306,A9,ALIMENTO_NUEVO!$R$6:$R$306)</f>
        <v>0</v>
      </c>
      <c r="F9" s="41">
        <f>SUMIF(ALIMENTO_NUEVO!$P$6:$P$306,A9,ALIMENTO_NUEVO!$S$6:$S$306)</f>
        <v>0</v>
      </c>
      <c r="G9" s="41">
        <f>SUMIF(ALIMENTO_NUEVO!$AB$6:$AB$306,A9,ALIMENTO_NUEVO!$AD$6:$AD$306)</f>
        <v>0</v>
      </c>
      <c r="H9" s="41">
        <f>SUMIF(ALIMENTO_NUEVO!$AB$6:$AB$306,A9,ALIMENTO_NUEVO!$AE$6:$AE$306)</f>
        <v>0</v>
      </c>
      <c r="I9" s="185">
        <f t="shared" si="0"/>
        <v>0</v>
      </c>
      <c r="J9" s="41">
        <f>SUMIF(ALIMENTO_NUEVO!$AN$6:$AN$306,A9,ALIMENTO_NUEVO!$AP$6:$AP$306)</f>
        <v>0</v>
      </c>
      <c r="K9" s="41">
        <f>SUMIF(ALIMENTO_NUEVO!$AN$6:$AN$306,A9,ALIMENTO_NUEVO!$AQ$6:$AQ$306)</f>
        <v>0</v>
      </c>
      <c r="L9" s="41">
        <f>SUMIF(ALIMENTO_NUEVO!$AZ$6:$AZ$306,A9,ALIMENTO_NUEVO!$BB$6:$BB$306)</f>
        <v>0</v>
      </c>
      <c r="M9" s="41">
        <f>SUMIF(ALIMENTO_NUEVO!$AZ$6:$AZ$306,A9,ALIMENTO_NUEVO!$BC$6:$BC$306)</f>
        <v>0</v>
      </c>
      <c r="N9" s="41">
        <f>SUMIF(ALIMENTO_NUEVO!$BL$6:$BL$306,A9,ALIMENTO_NUEVO!$BN$6:$BN$306)</f>
        <v>0</v>
      </c>
      <c r="O9" s="41">
        <f>SUMIF(ALIMENTO_NUEVO!$BL$6:$BL$306,A9,ALIMENTO_NUEVO!$BO$6:$BO$306)</f>
        <v>0</v>
      </c>
      <c r="P9" s="185">
        <f t="shared" si="1"/>
        <v>0</v>
      </c>
    </row>
    <row r="10" spans="1:18" x14ac:dyDescent="0.25">
      <c r="A10" s="188">
        <v>21111108</v>
      </c>
      <c r="B10" s="188" t="s">
        <v>36</v>
      </c>
      <c r="C10" s="41">
        <f>SUMIF(ALIMENTO_NUEVO!$D$6:$D$306,A10,ALIMENTO_NUEVO!$F$6:$F$306)</f>
        <v>0</v>
      </c>
      <c r="D10" s="41">
        <f>SUMIF(ALIMENTO_NUEVO!$D$6:$D$306,A10,ALIMENTO_NUEVO!$G$6:$G$306)</f>
        <v>0</v>
      </c>
      <c r="E10" s="41">
        <f>SUMIF(ALIMENTO_NUEVO!$P$6:$P$306,A10,ALIMENTO_NUEVO!$R$6:$R$306)</f>
        <v>0</v>
      </c>
      <c r="F10" s="41">
        <f>SUMIF(ALIMENTO_NUEVO!$P$6:$P$306,A10,ALIMENTO_NUEVO!$S$6:$S$306)</f>
        <v>0</v>
      </c>
      <c r="G10" s="41">
        <f>SUMIF(ALIMENTO_NUEVO!$AB$6:$AB$306,A10,ALIMENTO_NUEVO!$AD$6:$AD$306)</f>
        <v>0</v>
      </c>
      <c r="H10" s="41">
        <f>SUMIF(ALIMENTO_NUEVO!$AB$6:$AB$306,A10,ALIMENTO_NUEVO!$AE$6:$AE$306)</f>
        <v>0</v>
      </c>
      <c r="I10" s="185">
        <f t="shared" si="0"/>
        <v>0</v>
      </c>
      <c r="J10" s="41">
        <f>SUMIF(ALIMENTO_NUEVO!$AN$6:$AN$306,A10,ALIMENTO_NUEVO!$AP$6:$AP$306)</f>
        <v>0</v>
      </c>
      <c r="K10" s="41">
        <f>SUMIF(ALIMENTO_NUEVO!$AN$6:$AN$306,A10,ALIMENTO_NUEVO!$AQ$6:$AQ$306)</f>
        <v>0</v>
      </c>
      <c r="L10" s="41">
        <f>SUMIF(ALIMENTO_NUEVO!$AZ$6:$AZ$306,A10,ALIMENTO_NUEVO!$BB$6:$BB$306)</f>
        <v>0</v>
      </c>
      <c r="M10" s="41">
        <f>SUMIF(ALIMENTO_NUEVO!$AZ$6:$AZ$306,A10,ALIMENTO_NUEVO!$BC$6:$BC$306)</f>
        <v>0</v>
      </c>
      <c r="N10" s="41">
        <f>SUMIF(ALIMENTO_NUEVO!$BL$6:$BL$306,A10,ALIMENTO_NUEVO!$BN$6:$BN$306)</f>
        <v>0</v>
      </c>
      <c r="O10" s="41">
        <f>SUMIF(ALIMENTO_NUEVO!$BL$6:$BL$306,A10,ALIMENTO_NUEVO!$BO$6:$BO$306)</f>
        <v>0</v>
      </c>
      <c r="P10" s="185">
        <f t="shared" si="1"/>
        <v>0</v>
      </c>
    </row>
    <row r="11" spans="1:18" x14ac:dyDescent="0.25">
      <c r="A11" s="188">
        <v>21111109</v>
      </c>
      <c r="B11" s="188" t="s">
        <v>37</v>
      </c>
      <c r="C11" s="41">
        <f>SUMIF(ALIMENTO_NUEVO!$D$6:$D$306,A11,ALIMENTO_NUEVO!$F$6:$F$306)</f>
        <v>0</v>
      </c>
      <c r="D11" s="41">
        <f>SUMIF(ALIMENTO_NUEVO!$D$6:$D$306,A11,ALIMENTO_NUEVO!$G$6:$G$306)</f>
        <v>0</v>
      </c>
      <c r="E11" s="41">
        <f>SUMIF(ALIMENTO_NUEVO!$P$6:$P$306,A11,ALIMENTO_NUEVO!$R$6:$R$306)</f>
        <v>0</v>
      </c>
      <c r="F11" s="41">
        <f>SUMIF(ALIMENTO_NUEVO!$P$6:$P$306,A11,ALIMENTO_NUEVO!$S$6:$S$306)</f>
        <v>0</v>
      </c>
      <c r="G11" s="41">
        <f>SUMIF(ALIMENTO_NUEVO!$AB$6:$AB$306,A11,ALIMENTO_NUEVO!$AD$6:$AD$306)</f>
        <v>0</v>
      </c>
      <c r="H11" s="41">
        <f>SUMIF(ALIMENTO_NUEVO!$AB$6:$AB$306,A11,ALIMENTO_NUEVO!$AE$6:$AE$306)</f>
        <v>0</v>
      </c>
      <c r="I11" s="185">
        <f t="shared" si="0"/>
        <v>0</v>
      </c>
      <c r="J11" s="41">
        <f>SUMIF(ALIMENTO_NUEVO!$AN$6:$AN$306,A11,ALIMENTO_NUEVO!$AP$6:$AP$306)</f>
        <v>0</v>
      </c>
      <c r="K11" s="41">
        <f>SUMIF(ALIMENTO_NUEVO!$AN$6:$AN$306,A11,ALIMENTO_NUEVO!$AQ$6:$AQ$306)</f>
        <v>0</v>
      </c>
      <c r="L11" s="41">
        <f>SUMIF(ALIMENTO_NUEVO!$AZ$6:$AZ$306,A11,ALIMENTO_NUEVO!$BB$6:$BB$306)</f>
        <v>0</v>
      </c>
      <c r="M11" s="41">
        <f>SUMIF(ALIMENTO_NUEVO!$AZ$6:$AZ$306,A11,ALIMENTO_NUEVO!$BC$6:$BC$306)</f>
        <v>0</v>
      </c>
      <c r="N11" s="41">
        <f>SUMIF(ALIMENTO_NUEVO!$BL$6:$BL$306,A11,ALIMENTO_NUEVO!$BN$6:$BN$306)</f>
        <v>0</v>
      </c>
      <c r="O11" s="41">
        <f>SUMIF(ALIMENTO_NUEVO!$BL$6:$BL$306,A11,ALIMENTO_NUEVO!$BO$6:$BO$306)</f>
        <v>0</v>
      </c>
      <c r="P11" s="185">
        <f t="shared" si="1"/>
        <v>0</v>
      </c>
    </row>
    <row r="12" spans="1:18" x14ac:dyDescent="0.25">
      <c r="A12" s="188">
        <v>21111110</v>
      </c>
      <c r="B12" s="188" t="s">
        <v>38</v>
      </c>
      <c r="C12" s="41">
        <f>SUMIF(ALIMENTO_NUEVO!$D$6:$D$306,A12,ALIMENTO_NUEVO!$F$6:$F$306)</f>
        <v>0</v>
      </c>
      <c r="D12" s="41">
        <f>SUMIF(ALIMENTO_NUEVO!$D$6:$D$306,A12,ALIMENTO_NUEVO!$G$6:$G$306)</f>
        <v>0</v>
      </c>
      <c r="E12" s="41">
        <f>SUMIF(ALIMENTO_NUEVO!$P$6:$P$306,A12,ALIMENTO_NUEVO!$R$6:$R$306)</f>
        <v>0</v>
      </c>
      <c r="F12" s="41">
        <f>SUMIF(ALIMENTO_NUEVO!$P$6:$P$306,A12,ALIMENTO_NUEVO!$S$6:$S$306)</f>
        <v>0</v>
      </c>
      <c r="G12" s="41">
        <f>SUMIF(ALIMENTO_NUEVO!$AB$6:$AB$306,A12,ALIMENTO_NUEVO!$AD$6:$AD$306)</f>
        <v>0</v>
      </c>
      <c r="H12" s="41">
        <f>SUMIF(ALIMENTO_NUEVO!$AB$6:$AB$306,A12,ALIMENTO_NUEVO!$AE$6:$AE$306)</f>
        <v>0</v>
      </c>
      <c r="I12" s="185">
        <f t="shared" si="0"/>
        <v>0</v>
      </c>
      <c r="J12" s="41">
        <f>SUMIF(ALIMENTO_NUEVO!$AN$6:$AN$306,A12,ALIMENTO_NUEVO!$AP$6:$AP$306)</f>
        <v>0</v>
      </c>
      <c r="K12" s="41">
        <f>SUMIF(ALIMENTO_NUEVO!$AN$6:$AN$306,A12,ALIMENTO_NUEVO!$AQ$6:$AQ$306)</f>
        <v>0</v>
      </c>
      <c r="L12" s="41">
        <f>SUMIF(ALIMENTO_NUEVO!$AZ$6:$AZ$306,A12,ALIMENTO_NUEVO!$BB$6:$BB$306)</f>
        <v>0</v>
      </c>
      <c r="M12" s="41">
        <f>SUMIF(ALIMENTO_NUEVO!$AZ$6:$AZ$306,A12,ALIMENTO_NUEVO!$BC$6:$BC$306)</f>
        <v>0</v>
      </c>
      <c r="N12" s="41">
        <f>SUMIF(ALIMENTO_NUEVO!$BL$6:$BL$306,A12,ALIMENTO_NUEVO!$BN$6:$BN$306)</f>
        <v>0</v>
      </c>
      <c r="O12" s="41">
        <f>SUMIF(ALIMENTO_NUEVO!$BL$6:$BL$306,A12,ALIMENTO_NUEVO!$BO$6:$BO$306)</f>
        <v>0</v>
      </c>
      <c r="P12" s="185">
        <f t="shared" si="1"/>
        <v>0</v>
      </c>
    </row>
    <row r="13" spans="1:18" x14ac:dyDescent="0.25">
      <c r="A13" s="188">
        <v>21111111.030000001</v>
      </c>
      <c r="B13" s="188" t="s">
        <v>39</v>
      </c>
      <c r="C13" s="41">
        <f>SUMIF(ALIMENTO_NUEVO!$D$6:$D$306,A13,ALIMENTO_NUEVO!$F$6:$F$306)</f>
        <v>0</v>
      </c>
      <c r="D13" s="41">
        <f>SUMIF(ALIMENTO_NUEVO!$D$6:$D$306,A13,ALIMENTO_NUEVO!$G$6:$G$306)</f>
        <v>0</v>
      </c>
      <c r="E13" s="41">
        <f>SUMIF(ALIMENTO_NUEVO!$P$6:$P$306,A13,ALIMENTO_NUEVO!$R$6:$R$306)</f>
        <v>0</v>
      </c>
      <c r="F13" s="41">
        <f>SUMIF(ALIMENTO_NUEVO!$P$6:$P$306,A13,ALIMENTO_NUEVO!$S$6:$S$306)</f>
        <v>0</v>
      </c>
      <c r="G13" s="41">
        <f>SUMIF(ALIMENTO_NUEVO!$AB$6:$AB$306,A13,ALIMENTO_NUEVO!$AD$6:$AD$306)</f>
        <v>0</v>
      </c>
      <c r="H13" s="41">
        <f>SUMIF(ALIMENTO_NUEVO!$AB$6:$AB$306,A13,ALIMENTO_NUEVO!$AE$6:$AE$306)</f>
        <v>0</v>
      </c>
      <c r="I13" s="185">
        <f t="shared" si="0"/>
        <v>0</v>
      </c>
      <c r="J13" s="41">
        <f>SUMIF(ALIMENTO_NUEVO!$AN$6:$AN$306,A13,ALIMENTO_NUEVO!$AP$6:$AP$306)</f>
        <v>0</v>
      </c>
      <c r="K13" s="41">
        <f>SUMIF(ALIMENTO_NUEVO!$AN$6:$AN$306,A13,ALIMENTO_NUEVO!$AQ$6:$AQ$306)</f>
        <v>0</v>
      </c>
      <c r="L13" s="41">
        <f>SUMIF(ALIMENTO_NUEVO!$AZ$6:$AZ$306,A13,ALIMENTO_NUEVO!$BB$6:$BB$306)</f>
        <v>0</v>
      </c>
      <c r="M13" s="41">
        <f>SUMIF(ALIMENTO_NUEVO!$AZ$6:$AZ$306,A13,ALIMENTO_NUEVO!$BC$6:$BC$306)</f>
        <v>0</v>
      </c>
      <c r="N13" s="41">
        <f>SUMIF(ALIMENTO_NUEVO!$BL$6:$BL$306,A13,ALIMENTO_NUEVO!$BN$6:$BN$306)</f>
        <v>0</v>
      </c>
      <c r="O13" s="41">
        <f>SUMIF(ALIMENTO_NUEVO!$BL$6:$BL$306,A13,ALIMENTO_NUEVO!$BO$6:$BO$306)</f>
        <v>0</v>
      </c>
      <c r="P13" s="185">
        <f t="shared" si="1"/>
        <v>0</v>
      </c>
    </row>
    <row r="14" spans="1:18" x14ac:dyDescent="0.25">
      <c r="A14" s="188">
        <v>21111112.030000001</v>
      </c>
      <c r="B14" s="188" t="s">
        <v>40</v>
      </c>
      <c r="C14" s="41">
        <f>SUMIF(ALIMENTO_NUEVO!$D$6:$D$306,A14,ALIMENTO_NUEVO!$F$6:$F$306)</f>
        <v>0</v>
      </c>
      <c r="D14" s="41">
        <f>SUMIF(ALIMENTO_NUEVO!$D$6:$D$306,A14,ALIMENTO_NUEVO!$G$6:$G$306)</f>
        <v>0</v>
      </c>
      <c r="E14" s="41">
        <f>SUMIF(ALIMENTO_NUEVO!$P$6:$P$306,A14,ALIMENTO_NUEVO!$R$6:$R$306)</f>
        <v>0</v>
      </c>
      <c r="F14" s="41">
        <f>SUMIF(ALIMENTO_NUEVO!$P$6:$P$306,A14,ALIMENTO_NUEVO!$S$6:$S$306)</f>
        <v>0</v>
      </c>
      <c r="G14" s="41">
        <f>SUMIF(ALIMENTO_NUEVO!$AB$6:$AB$306,A14,ALIMENTO_NUEVO!$AD$6:$AD$306)</f>
        <v>0</v>
      </c>
      <c r="H14" s="41">
        <f>SUMIF(ALIMENTO_NUEVO!$AB$6:$AB$306,A14,ALIMENTO_NUEVO!$AE$6:$AE$306)</f>
        <v>0</v>
      </c>
      <c r="I14" s="185">
        <f t="shared" si="0"/>
        <v>0</v>
      </c>
      <c r="J14" s="41">
        <f>SUMIF(ALIMENTO_NUEVO!$AN$6:$AN$306,A14,ALIMENTO_NUEVO!$AP$6:$AP$306)</f>
        <v>0</v>
      </c>
      <c r="K14" s="41">
        <f>SUMIF(ALIMENTO_NUEVO!$AN$6:$AN$306,A14,ALIMENTO_NUEVO!$AQ$6:$AQ$306)</f>
        <v>0</v>
      </c>
      <c r="L14" s="41">
        <f>SUMIF(ALIMENTO_NUEVO!$AZ$6:$AZ$306,A14,ALIMENTO_NUEVO!$BB$6:$BB$306)</f>
        <v>0</v>
      </c>
      <c r="M14" s="41">
        <f>SUMIF(ALIMENTO_NUEVO!$AZ$6:$AZ$306,A14,ALIMENTO_NUEVO!$BC$6:$BC$306)</f>
        <v>0</v>
      </c>
      <c r="N14" s="41">
        <f>SUMIF(ALIMENTO_NUEVO!$BL$6:$BL$306,A14,ALIMENTO_NUEVO!$BN$6:$BN$306)</f>
        <v>0</v>
      </c>
      <c r="O14" s="41">
        <f>SUMIF(ALIMENTO_NUEVO!$BL$6:$BL$306,A14,ALIMENTO_NUEVO!$BO$6:$BO$306)</f>
        <v>0</v>
      </c>
      <c r="P14" s="185">
        <f t="shared" si="1"/>
        <v>0</v>
      </c>
    </row>
    <row r="15" spans="1:18" x14ac:dyDescent="0.25">
      <c r="A15" s="188">
        <v>21111113.030000001</v>
      </c>
      <c r="B15" s="188" t="s">
        <v>41</v>
      </c>
      <c r="C15" s="41">
        <f>SUMIF(ALIMENTO_NUEVO!$D$6:$D$306,A15,ALIMENTO_NUEVO!$F$6:$F$306)</f>
        <v>0</v>
      </c>
      <c r="D15" s="41">
        <f>SUMIF(ALIMENTO_NUEVO!$D$6:$D$306,A15,ALIMENTO_NUEVO!$G$6:$G$306)</f>
        <v>0</v>
      </c>
      <c r="E15" s="41">
        <f>SUMIF(ALIMENTO_NUEVO!$P$6:$P$306,A15,ALIMENTO_NUEVO!$R$6:$R$306)</f>
        <v>0</v>
      </c>
      <c r="F15" s="41">
        <f>SUMIF(ALIMENTO_NUEVO!$P$6:$P$306,A15,ALIMENTO_NUEVO!$S$6:$S$306)</f>
        <v>0</v>
      </c>
      <c r="G15" s="41">
        <f>SUMIF(ALIMENTO_NUEVO!$AB$6:$AB$306,A15,ALIMENTO_NUEVO!$AD$6:$AD$306)</f>
        <v>0</v>
      </c>
      <c r="H15" s="41">
        <f>SUMIF(ALIMENTO_NUEVO!$AB$6:$AB$306,A15,ALIMENTO_NUEVO!$AE$6:$AE$306)</f>
        <v>0</v>
      </c>
      <c r="I15" s="185">
        <f t="shared" si="0"/>
        <v>0</v>
      </c>
      <c r="J15" s="41">
        <f>SUMIF(ALIMENTO_NUEVO!$AN$6:$AN$306,A15,ALIMENTO_NUEVO!$AP$6:$AP$306)</f>
        <v>0</v>
      </c>
      <c r="K15" s="41">
        <f>SUMIF(ALIMENTO_NUEVO!$AN$6:$AN$306,A15,ALIMENTO_NUEVO!$AQ$6:$AQ$306)</f>
        <v>0</v>
      </c>
      <c r="L15" s="41">
        <f>SUMIF(ALIMENTO_NUEVO!$AZ$6:$AZ$306,A15,ALIMENTO_NUEVO!$BB$6:$BB$306)</f>
        <v>0</v>
      </c>
      <c r="M15" s="41">
        <f>SUMIF(ALIMENTO_NUEVO!$AZ$6:$AZ$306,A15,ALIMENTO_NUEVO!$BC$6:$BC$306)</f>
        <v>0</v>
      </c>
      <c r="N15" s="41">
        <f>SUMIF(ALIMENTO_NUEVO!$BL$6:$BL$306,A15,ALIMENTO_NUEVO!$BN$6:$BN$306)</f>
        <v>0</v>
      </c>
      <c r="O15" s="41">
        <f>SUMIF(ALIMENTO_NUEVO!$BL$6:$BL$306,A15,ALIMENTO_NUEVO!$BO$6:$BO$306)</f>
        <v>0</v>
      </c>
      <c r="P15" s="185">
        <f t="shared" si="1"/>
        <v>0</v>
      </c>
    </row>
    <row r="16" spans="1:18" x14ac:dyDescent="0.25">
      <c r="A16" s="188">
        <v>21111114.030000001</v>
      </c>
      <c r="B16" s="188" t="s">
        <v>42</v>
      </c>
      <c r="C16" s="41">
        <f>SUMIF(ALIMENTO_NUEVO!$D$6:$D$306,A16,ALIMENTO_NUEVO!$F$6:$F$306)</f>
        <v>0</v>
      </c>
      <c r="D16" s="41">
        <f>SUMIF(ALIMENTO_NUEVO!$D$6:$D$306,A16,ALIMENTO_NUEVO!$G$6:$G$306)</f>
        <v>0</v>
      </c>
      <c r="E16" s="41">
        <f>SUMIF(ALIMENTO_NUEVO!$P$6:$P$306,A16,ALIMENTO_NUEVO!$R$6:$R$306)</f>
        <v>0</v>
      </c>
      <c r="F16" s="41">
        <f>SUMIF(ALIMENTO_NUEVO!$P$6:$P$306,A16,ALIMENTO_NUEVO!$S$6:$S$306)</f>
        <v>0</v>
      </c>
      <c r="G16" s="41">
        <f>SUMIF(ALIMENTO_NUEVO!$AB$6:$AB$306,A16,ALIMENTO_NUEVO!$AD$6:$AD$306)</f>
        <v>0</v>
      </c>
      <c r="H16" s="41">
        <f>SUMIF(ALIMENTO_NUEVO!$AB$6:$AB$306,A16,ALIMENTO_NUEVO!$AE$6:$AE$306)</f>
        <v>0</v>
      </c>
      <c r="I16" s="185">
        <f t="shared" si="0"/>
        <v>0</v>
      </c>
      <c r="J16" s="41">
        <f>SUMIF(ALIMENTO_NUEVO!$AN$6:$AN$306,A16,ALIMENTO_NUEVO!$AP$6:$AP$306)</f>
        <v>0</v>
      </c>
      <c r="K16" s="41">
        <f>SUMIF(ALIMENTO_NUEVO!$AN$6:$AN$306,A16,ALIMENTO_NUEVO!$AQ$6:$AQ$306)</f>
        <v>0</v>
      </c>
      <c r="L16" s="41">
        <f>SUMIF(ALIMENTO_NUEVO!$AZ$6:$AZ$306,A16,ALIMENTO_NUEVO!$BB$6:$BB$306)</f>
        <v>0</v>
      </c>
      <c r="M16" s="41">
        <f>SUMIF(ALIMENTO_NUEVO!$AZ$6:$AZ$306,A16,ALIMENTO_NUEVO!$BC$6:$BC$306)</f>
        <v>0</v>
      </c>
      <c r="N16" s="41">
        <f>SUMIF(ALIMENTO_NUEVO!$BL$6:$BL$306,A16,ALIMENTO_NUEVO!$BN$6:$BN$306)</f>
        <v>0</v>
      </c>
      <c r="O16" s="41">
        <f>SUMIF(ALIMENTO_NUEVO!$BL$6:$BL$306,A16,ALIMENTO_NUEVO!$BO$6:$BO$306)</f>
        <v>0</v>
      </c>
      <c r="P16" s="185">
        <f t="shared" si="1"/>
        <v>0</v>
      </c>
    </row>
    <row r="17" spans="1:16" x14ac:dyDescent="0.25">
      <c r="A17" s="188">
        <v>21111115.030000001</v>
      </c>
      <c r="B17" s="188" t="s">
        <v>43</v>
      </c>
      <c r="C17" s="41">
        <f>SUMIF(ALIMENTO_NUEVO!$D$6:$D$306,A17,ALIMENTO_NUEVO!$F$6:$F$306)</f>
        <v>0</v>
      </c>
      <c r="D17" s="41">
        <f>SUMIF(ALIMENTO_NUEVO!$D$6:$D$306,A17,ALIMENTO_NUEVO!$G$6:$G$306)</f>
        <v>0</v>
      </c>
      <c r="E17" s="41">
        <f>SUMIF(ALIMENTO_NUEVO!$P$6:$P$306,A17,ALIMENTO_NUEVO!$R$6:$R$306)</f>
        <v>0</v>
      </c>
      <c r="F17" s="41">
        <f>SUMIF(ALIMENTO_NUEVO!$P$6:$P$306,A17,ALIMENTO_NUEVO!$S$6:$S$306)</f>
        <v>0</v>
      </c>
      <c r="G17" s="41">
        <f>SUMIF(ALIMENTO_NUEVO!$AB$6:$AB$306,A17,ALIMENTO_NUEVO!$AD$6:$AD$306)</f>
        <v>0</v>
      </c>
      <c r="H17" s="41">
        <f>SUMIF(ALIMENTO_NUEVO!$AB$6:$AB$306,A17,ALIMENTO_NUEVO!$AE$6:$AE$306)</f>
        <v>0</v>
      </c>
      <c r="I17" s="185">
        <f t="shared" si="0"/>
        <v>0</v>
      </c>
      <c r="J17" s="41">
        <f>SUMIF(ALIMENTO_NUEVO!$AN$6:$AN$306,A17,ALIMENTO_NUEVO!$AP$6:$AP$306)</f>
        <v>0</v>
      </c>
      <c r="K17" s="41">
        <f>SUMIF(ALIMENTO_NUEVO!$AN$6:$AN$306,A17,ALIMENTO_NUEVO!$AQ$6:$AQ$306)</f>
        <v>0</v>
      </c>
      <c r="L17" s="41">
        <f>SUMIF(ALIMENTO_NUEVO!$AZ$6:$AZ$306,A17,ALIMENTO_NUEVO!$BB$6:$BB$306)</f>
        <v>0</v>
      </c>
      <c r="M17" s="41">
        <f>SUMIF(ALIMENTO_NUEVO!$AZ$6:$AZ$306,A17,ALIMENTO_NUEVO!$BC$6:$BC$306)</f>
        <v>0</v>
      </c>
      <c r="N17" s="41">
        <f>SUMIF(ALIMENTO_NUEVO!$BL$6:$BL$306,A17,ALIMENTO_NUEVO!$BN$6:$BN$306)</f>
        <v>0</v>
      </c>
      <c r="O17" s="41">
        <f>SUMIF(ALIMENTO_NUEVO!$BL$6:$BL$306,A17,ALIMENTO_NUEVO!$BO$6:$BO$306)</f>
        <v>0</v>
      </c>
      <c r="P17" s="185">
        <f t="shared" si="1"/>
        <v>0</v>
      </c>
    </row>
    <row r="18" spans="1:16" x14ac:dyDescent="0.25">
      <c r="A18" s="188">
        <v>21111214</v>
      </c>
      <c r="B18" s="188" t="s">
        <v>44</v>
      </c>
      <c r="C18" s="41">
        <f>SUMIF(ALIMENTO_NUEVO!$D$6:$D$306,A18,ALIMENTO_NUEVO!$F$6:$F$306)</f>
        <v>10000</v>
      </c>
      <c r="D18" s="41">
        <f>SUMIF(ALIMENTO_NUEVO!$D$6:$D$306,A18,ALIMENTO_NUEVO!$G$6:$G$306)</f>
        <v>-10000</v>
      </c>
      <c r="E18" s="41">
        <f>SUMIF(ALIMENTO_NUEVO!$P$6:$P$306,A18,ALIMENTO_NUEVO!$R$6:$R$306)</f>
        <v>9650</v>
      </c>
      <c r="F18" s="41">
        <f>SUMIF(ALIMENTO_NUEVO!$P$6:$P$306,A18,ALIMENTO_NUEVO!$S$6:$S$306)</f>
        <v>-9650</v>
      </c>
      <c r="G18" s="41">
        <f>SUMIF(ALIMENTO_NUEVO!$AB$6:$AB$306,A18,ALIMENTO_NUEVO!$AD$6:$AD$306)</f>
        <v>12780</v>
      </c>
      <c r="H18" s="41">
        <f>SUMIF(ALIMENTO_NUEVO!$AB$6:$AB$306,A18,ALIMENTO_NUEVO!$AE$6:$AE$306)</f>
        <v>-12780</v>
      </c>
      <c r="I18" s="185">
        <f t="shared" si="0"/>
        <v>0</v>
      </c>
      <c r="J18" s="41">
        <f>SUMIF(ALIMENTO_NUEVO!$AN$6:$AN$306,A18,ALIMENTO_NUEVO!$AP$6:$AP$306)</f>
        <v>6740</v>
      </c>
      <c r="K18" s="41">
        <f>SUMIF(ALIMENTO_NUEVO!$AN$6:$AN$306,A18,ALIMENTO_NUEVO!$AQ$6:$AQ$306)</f>
        <v>-6740</v>
      </c>
      <c r="L18" s="41">
        <f>SUMIF(ALIMENTO_NUEVO!$AZ$6:$AZ$306,A18,ALIMENTO_NUEVO!$BB$6:$BB$306)</f>
        <v>9310</v>
      </c>
      <c r="M18" s="41">
        <f>SUMIF(ALIMENTO_NUEVO!$AZ$6:$AZ$306,A18,ALIMENTO_NUEVO!$BC$6:$BC$306)</f>
        <v>-5310</v>
      </c>
      <c r="N18" s="41">
        <f>SUMIF(ALIMENTO_NUEVO!$BL$6:$BL$306,A18,ALIMENTO_NUEVO!$BN$6:$BN$306)</f>
        <v>10000</v>
      </c>
      <c r="O18" s="41">
        <f>SUMIF(ALIMENTO_NUEVO!$BL$6:$BL$306,A18,ALIMENTO_NUEVO!$BO$6:$BO$306)</f>
        <v>-7000</v>
      </c>
      <c r="P18" s="185">
        <f t="shared" si="1"/>
        <v>7000</v>
      </c>
    </row>
    <row r="19" spans="1:16" x14ac:dyDescent="0.25">
      <c r="A19" s="188">
        <v>21111215</v>
      </c>
      <c r="B19" s="188" t="s">
        <v>45</v>
      </c>
      <c r="C19" s="41">
        <f>SUMIF(ALIMENTO_NUEVO!$D$6:$D$306,A19,ALIMENTO_NUEVO!$F$6:$F$306)</f>
        <v>0</v>
      </c>
      <c r="D19" s="41">
        <f>SUMIF(ALIMENTO_NUEVO!$D$6:$D$306,A19,ALIMENTO_NUEVO!$G$6:$G$306)</f>
        <v>0</v>
      </c>
      <c r="E19" s="41">
        <f>SUMIF(ALIMENTO_NUEVO!$P$6:$P$306,A19,ALIMENTO_NUEVO!$R$6:$R$306)</f>
        <v>0</v>
      </c>
      <c r="F19" s="41">
        <f>SUMIF(ALIMENTO_NUEVO!$P$6:$P$306,A19,ALIMENTO_NUEVO!$S$6:$S$306)</f>
        <v>0</v>
      </c>
      <c r="G19" s="41">
        <f>SUMIF(ALIMENTO_NUEVO!$AB$6:$AB$306,A19,ALIMENTO_NUEVO!$AD$6:$AD$306)</f>
        <v>0</v>
      </c>
      <c r="H19" s="41">
        <f>SUMIF(ALIMENTO_NUEVO!$AB$6:$AB$306,A19,ALIMENTO_NUEVO!$AE$6:$AE$306)</f>
        <v>0</v>
      </c>
      <c r="I19" s="185">
        <f t="shared" si="0"/>
        <v>0</v>
      </c>
      <c r="J19" s="41">
        <f>SUMIF(ALIMENTO_NUEVO!$AN$6:$AN$306,A19,ALIMENTO_NUEVO!$AP$6:$AP$306)</f>
        <v>0</v>
      </c>
      <c r="K19" s="41">
        <f>SUMIF(ALIMENTO_NUEVO!$AN$6:$AN$306,A19,ALIMENTO_NUEVO!$AQ$6:$AQ$306)</f>
        <v>0</v>
      </c>
      <c r="L19" s="41">
        <f>SUMIF(ALIMENTO_NUEVO!$AZ$6:$AZ$306,A19,ALIMENTO_NUEVO!$BB$6:$BB$306)</f>
        <v>0</v>
      </c>
      <c r="M19" s="41">
        <f>SUMIF(ALIMENTO_NUEVO!$AZ$6:$AZ$306,A19,ALIMENTO_NUEVO!$BC$6:$BC$306)</f>
        <v>0</v>
      </c>
      <c r="N19" s="41">
        <f>SUMIF(ALIMENTO_NUEVO!$BL$6:$BL$306,A19,ALIMENTO_NUEVO!$BN$6:$BN$306)</f>
        <v>0</v>
      </c>
      <c r="O19" s="41">
        <f>SUMIF(ALIMENTO_NUEVO!$BL$6:$BL$306,A19,ALIMENTO_NUEVO!$BO$6:$BO$306)</f>
        <v>0</v>
      </c>
      <c r="P19" s="185">
        <f t="shared" si="1"/>
        <v>0</v>
      </c>
    </row>
    <row r="20" spans="1:16" x14ac:dyDescent="0.25">
      <c r="A20" s="189">
        <v>21111216</v>
      </c>
      <c r="B20" s="189" t="s">
        <v>46</v>
      </c>
      <c r="C20" s="41">
        <f>SUMIF(ALIMENTO_NUEVO!$D$6:$D$306,A20,ALIMENTO_NUEVO!$F$6:$F$306)</f>
        <v>0</v>
      </c>
      <c r="D20" s="41">
        <f>SUMIF(ALIMENTO_NUEVO!$D$6:$D$306,A20,ALIMENTO_NUEVO!$G$6:$G$306)</f>
        <v>0</v>
      </c>
      <c r="E20" s="41">
        <f>SUMIF(ALIMENTO_NUEVO!$P$6:$P$306,A20,ALIMENTO_NUEVO!$R$6:$R$306)</f>
        <v>0</v>
      </c>
      <c r="F20" s="41">
        <f>SUMIF(ALIMENTO_NUEVO!$P$6:$P$306,A20,ALIMENTO_NUEVO!$S$6:$S$306)</f>
        <v>0</v>
      </c>
      <c r="G20" s="41">
        <f>SUMIF(ALIMENTO_NUEVO!$AB$6:$AB$306,A20,ALIMENTO_NUEVO!$AD$6:$AD$306)</f>
        <v>0</v>
      </c>
      <c r="H20" s="41">
        <f>SUMIF(ALIMENTO_NUEVO!$AB$6:$AB$306,A20,ALIMENTO_NUEVO!$AE$6:$AE$306)</f>
        <v>0</v>
      </c>
      <c r="I20" s="185">
        <f t="shared" si="0"/>
        <v>0</v>
      </c>
      <c r="J20" s="41">
        <f>SUMIF(ALIMENTO_NUEVO!$AN$6:$AN$306,A20,ALIMENTO_NUEVO!$AP$6:$AP$306)</f>
        <v>0</v>
      </c>
      <c r="K20" s="41">
        <f>SUMIF(ALIMENTO_NUEVO!$AN$6:$AN$306,A20,ALIMENTO_NUEVO!$AQ$6:$AQ$306)</f>
        <v>0</v>
      </c>
      <c r="L20" s="41">
        <f>SUMIF(ALIMENTO_NUEVO!$AZ$6:$AZ$306,A20,ALIMENTO_NUEVO!$BB$6:$BB$306)</f>
        <v>0</v>
      </c>
      <c r="M20" s="41">
        <f>SUMIF(ALIMENTO_NUEVO!$AZ$6:$AZ$306,A20,ALIMENTO_NUEVO!$BC$6:$BC$306)</f>
        <v>0</v>
      </c>
      <c r="N20" s="41">
        <f>SUMIF(ALIMENTO_NUEVO!$BL$6:$BL$306,A20,ALIMENTO_NUEVO!$BN$6:$BN$306)</f>
        <v>0</v>
      </c>
      <c r="O20" s="41">
        <f>SUMIF(ALIMENTO_NUEVO!$BL$6:$BL$306,A20,ALIMENTO_NUEVO!$BO$6:$BO$306)</f>
        <v>0</v>
      </c>
      <c r="P20" s="185">
        <f t="shared" si="1"/>
        <v>0</v>
      </c>
    </row>
    <row r="21" spans="1:16" x14ac:dyDescent="0.25">
      <c r="A21" s="189">
        <v>21111217</v>
      </c>
      <c r="B21" s="189" t="s">
        <v>47</v>
      </c>
      <c r="C21" s="41">
        <f>SUMIF(ALIMENTO_NUEVO!$D$6:$D$306,A21,ALIMENTO_NUEVO!$F$6:$F$306)</f>
        <v>0</v>
      </c>
      <c r="D21" s="41">
        <f>SUMIF(ALIMENTO_NUEVO!$D$6:$D$306,A21,ALIMENTO_NUEVO!$G$6:$G$306)</f>
        <v>0</v>
      </c>
      <c r="E21" s="41">
        <f>SUMIF(ALIMENTO_NUEVO!$P$6:$P$306,A21,ALIMENTO_NUEVO!$R$6:$R$306)</f>
        <v>0</v>
      </c>
      <c r="F21" s="41">
        <f>SUMIF(ALIMENTO_NUEVO!$P$6:$P$306,A21,ALIMENTO_NUEVO!$S$6:$S$306)</f>
        <v>0</v>
      </c>
      <c r="G21" s="41">
        <f>SUMIF(ALIMENTO_NUEVO!$AB$6:$AB$306,A21,ALIMENTO_NUEVO!$AD$6:$AD$306)</f>
        <v>0</v>
      </c>
      <c r="H21" s="41">
        <f>SUMIF(ALIMENTO_NUEVO!$AB$6:$AB$306,A21,ALIMENTO_NUEVO!$AE$6:$AE$306)</f>
        <v>0</v>
      </c>
      <c r="I21" s="185">
        <f t="shared" si="0"/>
        <v>0</v>
      </c>
      <c r="J21" s="41">
        <f>SUMIF(ALIMENTO_NUEVO!$AN$6:$AN$306,A21,ALIMENTO_NUEVO!$AP$6:$AP$306)</f>
        <v>0</v>
      </c>
      <c r="K21" s="41">
        <f>SUMIF(ALIMENTO_NUEVO!$AN$6:$AN$306,A21,ALIMENTO_NUEVO!$AQ$6:$AQ$306)</f>
        <v>0</v>
      </c>
      <c r="L21" s="41">
        <f>SUMIF(ALIMENTO_NUEVO!$AZ$6:$AZ$306,A21,ALIMENTO_NUEVO!$BB$6:$BB$306)</f>
        <v>0</v>
      </c>
      <c r="M21" s="41">
        <f>SUMIF(ALIMENTO_NUEVO!$AZ$6:$AZ$306,A21,ALIMENTO_NUEVO!$BC$6:$BC$306)</f>
        <v>0</v>
      </c>
      <c r="N21" s="41">
        <f>SUMIF(ALIMENTO_NUEVO!$BL$6:$BL$306,A21,ALIMENTO_NUEVO!$BN$6:$BN$306)</f>
        <v>0</v>
      </c>
      <c r="O21" s="41">
        <f>SUMIF(ALIMENTO_NUEVO!$BL$6:$BL$306,A21,ALIMENTO_NUEVO!$BO$6:$BO$306)</f>
        <v>0</v>
      </c>
      <c r="P21" s="185">
        <f t="shared" si="1"/>
        <v>0</v>
      </c>
    </row>
    <row r="22" spans="1:16" x14ac:dyDescent="0.25">
      <c r="A22" s="189">
        <v>21111218</v>
      </c>
      <c r="B22" s="189" t="s">
        <v>48</v>
      </c>
      <c r="C22" s="41">
        <f>SUMIF(ALIMENTO_NUEVO!$D$6:$D$306,A22,ALIMENTO_NUEVO!$F$6:$F$306)</f>
        <v>0</v>
      </c>
      <c r="D22" s="41">
        <f>SUMIF(ALIMENTO_NUEVO!$D$6:$D$306,A22,ALIMENTO_NUEVO!$G$6:$G$306)</f>
        <v>0</v>
      </c>
      <c r="E22" s="41">
        <f>SUMIF(ALIMENTO_NUEVO!$P$6:$P$306,A22,ALIMENTO_NUEVO!$R$6:$R$306)</f>
        <v>0</v>
      </c>
      <c r="F22" s="41">
        <f>SUMIF(ALIMENTO_NUEVO!$P$6:$P$306,A22,ALIMENTO_NUEVO!$S$6:$S$306)</f>
        <v>0</v>
      </c>
      <c r="G22" s="41">
        <f>SUMIF(ALIMENTO_NUEVO!$AB$6:$AB$306,A22,ALIMENTO_NUEVO!$AD$6:$AD$306)</f>
        <v>0</v>
      </c>
      <c r="H22" s="41">
        <f>SUMIF(ALIMENTO_NUEVO!$AB$6:$AB$306,A22,ALIMENTO_NUEVO!$AE$6:$AE$306)</f>
        <v>0</v>
      </c>
      <c r="I22" s="185">
        <f t="shared" si="0"/>
        <v>0</v>
      </c>
      <c r="J22" s="41">
        <f>SUMIF(ALIMENTO_NUEVO!$AN$6:$AN$306,A22,ALIMENTO_NUEVO!$AP$6:$AP$306)</f>
        <v>0</v>
      </c>
      <c r="K22" s="41">
        <f>SUMIF(ALIMENTO_NUEVO!$AN$6:$AN$306,A22,ALIMENTO_NUEVO!$AQ$6:$AQ$306)</f>
        <v>0</v>
      </c>
      <c r="L22" s="41">
        <f>SUMIF(ALIMENTO_NUEVO!$AZ$6:$AZ$306,A22,ALIMENTO_NUEVO!$BB$6:$BB$306)</f>
        <v>0</v>
      </c>
      <c r="M22" s="41">
        <f>SUMIF(ALIMENTO_NUEVO!$AZ$6:$AZ$306,A22,ALIMENTO_NUEVO!$BC$6:$BC$306)</f>
        <v>0</v>
      </c>
      <c r="N22" s="41">
        <f>SUMIF(ALIMENTO_NUEVO!$BL$6:$BL$306,A22,ALIMENTO_NUEVO!$BN$6:$BN$306)</f>
        <v>0</v>
      </c>
      <c r="O22" s="41">
        <f>SUMIF(ALIMENTO_NUEVO!$BL$6:$BL$306,A22,ALIMENTO_NUEVO!$BO$6:$BO$306)</f>
        <v>0</v>
      </c>
      <c r="P22" s="185">
        <f t="shared" si="1"/>
        <v>0</v>
      </c>
    </row>
    <row r="23" spans="1:16" x14ac:dyDescent="0.25">
      <c r="A23" s="189">
        <v>21111219</v>
      </c>
      <c r="B23" s="189" t="s">
        <v>49</v>
      </c>
      <c r="C23" s="41">
        <f>SUMIF(ALIMENTO_NUEVO!$D$6:$D$306,A23,ALIMENTO_NUEVO!$F$6:$F$306)</f>
        <v>0</v>
      </c>
      <c r="D23" s="41">
        <f>SUMIF(ALIMENTO_NUEVO!$D$6:$D$306,A23,ALIMENTO_NUEVO!$G$6:$G$306)</f>
        <v>0</v>
      </c>
      <c r="E23" s="41">
        <f>SUMIF(ALIMENTO_NUEVO!$P$6:$P$306,A23,ALIMENTO_NUEVO!$R$6:$R$306)</f>
        <v>0</v>
      </c>
      <c r="F23" s="41">
        <f>SUMIF(ALIMENTO_NUEVO!$P$6:$P$306,A23,ALIMENTO_NUEVO!$S$6:$S$306)</f>
        <v>0</v>
      </c>
      <c r="G23" s="41">
        <f>SUMIF(ALIMENTO_NUEVO!$AB$6:$AB$306,A23,ALIMENTO_NUEVO!$AD$6:$AD$306)</f>
        <v>0</v>
      </c>
      <c r="H23" s="41">
        <f>SUMIF(ALIMENTO_NUEVO!$AB$6:$AB$306,A23,ALIMENTO_NUEVO!$AE$6:$AE$306)</f>
        <v>0</v>
      </c>
      <c r="I23" s="185">
        <f t="shared" si="0"/>
        <v>0</v>
      </c>
      <c r="J23" s="41">
        <f>SUMIF(ALIMENTO_NUEVO!$AN$6:$AN$306,A23,ALIMENTO_NUEVO!$AP$6:$AP$306)</f>
        <v>0</v>
      </c>
      <c r="K23" s="41">
        <f>SUMIF(ALIMENTO_NUEVO!$AN$6:$AN$306,A23,ALIMENTO_NUEVO!$AQ$6:$AQ$306)</f>
        <v>0</v>
      </c>
      <c r="L23" s="41">
        <f>SUMIF(ALIMENTO_NUEVO!$AZ$6:$AZ$306,A23,ALIMENTO_NUEVO!$BB$6:$BB$306)</f>
        <v>0</v>
      </c>
      <c r="M23" s="41">
        <f>SUMIF(ALIMENTO_NUEVO!$AZ$6:$AZ$306,A23,ALIMENTO_NUEVO!$BC$6:$BC$306)</f>
        <v>0</v>
      </c>
      <c r="N23" s="41">
        <f>SUMIF(ALIMENTO_NUEVO!$BL$6:$BL$306,A23,ALIMENTO_NUEVO!$BN$6:$BN$306)</f>
        <v>0</v>
      </c>
      <c r="O23" s="41">
        <f>SUMIF(ALIMENTO_NUEVO!$BL$6:$BL$306,A23,ALIMENTO_NUEVO!$BO$6:$BO$306)</f>
        <v>0</v>
      </c>
      <c r="P23" s="185">
        <f t="shared" si="1"/>
        <v>0</v>
      </c>
    </row>
    <row r="24" spans="1:16" x14ac:dyDescent="0.25">
      <c r="A24" s="189">
        <v>21111220</v>
      </c>
      <c r="B24" s="189" t="s">
        <v>50</v>
      </c>
      <c r="C24" s="41">
        <f>SUMIF(ALIMENTO_NUEVO!$D$6:$D$306,A24,ALIMENTO_NUEVO!$F$6:$F$306)</f>
        <v>0</v>
      </c>
      <c r="D24" s="41">
        <f>SUMIF(ALIMENTO_NUEVO!$D$6:$D$306,A24,ALIMENTO_NUEVO!$G$6:$G$306)</f>
        <v>0</v>
      </c>
      <c r="E24" s="41">
        <f>SUMIF(ALIMENTO_NUEVO!$P$6:$P$306,A24,ALIMENTO_NUEVO!$R$6:$R$306)</f>
        <v>0</v>
      </c>
      <c r="F24" s="41">
        <f>SUMIF(ALIMENTO_NUEVO!$P$6:$P$306,A24,ALIMENTO_NUEVO!$S$6:$S$306)</f>
        <v>0</v>
      </c>
      <c r="G24" s="41">
        <f>SUMIF(ALIMENTO_NUEVO!$AB$6:$AB$306,A24,ALIMENTO_NUEVO!$AD$6:$AD$306)</f>
        <v>0</v>
      </c>
      <c r="H24" s="41">
        <f>SUMIF(ALIMENTO_NUEVO!$AB$6:$AB$306,A24,ALIMENTO_NUEVO!$AE$6:$AE$306)</f>
        <v>0</v>
      </c>
      <c r="I24" s="185">
        <f t="shared" si="0"/>
        <v>0</v>
      </c>
      <c r="J24" s="41">
        <f>SUMIF(ALIMENTO_NUEVO!$AN$6:$AN$306,A24,ALIMENTO_NUEVO!$AP$6:$AP$306)</f>
        <v>0</v>
      </c>
      <c r="K24" s="41">
        <f>SUMIF(ALIMENTO_NUEVO!$AN$6:$AN$306,A24,ALIMENTO_NUEVO!$AQ$6:$AQ$306)</f>
        <v>0</v>
      </c>
      <c r="L24" s="41">
        <f>SUMIF(ALIMENTO_NUEVO!$AZ$6:$AZ$306,A24,ALIMENTO_NUEVO!$BB$6:$BB$306)</f>
        <v>0</v>
      </c>
      <c r="M24" s="41">
        <f>SUMIF(ALIMENTO_NUEVO!$AZ$6:$AZ$306,A24,ALIMENTO_NUEVO!$BC$6:$BC$306)</f>
        <v>0</v>
      </c>
      <c r="N24" s="41">
        <f>SUMIF(ALIMENTO_NUEVO!$BL$6:$BL$306,A24,ALIMENTO_NUEVO!$BN$6:$BN$306)</f>
        <v>0</v>
      </c>
      <c r="O24" s="41">
        <f>SUMIF(ALIMENTO_NUEVO!$BL$6:$BL$306,A24,ALIMENTO_NUEVO!$BO$6:$BO$306)</f>
        <v>0</v>
      </c>
      <c r="P24" s="185">
        <f t="shared" si="1"/>
        <v>0</v>
      </c>
    </row>
    <row r="25" spans="1:16" x14ac:dyDescent="0.25">
      <c r="A25" s="189">
        <v>21111226.030000001</v>
      </c>
      <c r="B25" s="189" t="s">
        <v>51</v>
      </c>
      <c r="C25" s="41">
        <f>SUMIF(ALIMENTO_NUEVO!$D$6:$D$306,A25,ALIMENTO_NUEVO!$F$6:$F$306)</f>
        <v>0</v>
      </c>
      <c r="D25" s="41">
        <f>SUMIF(ALIMENTO_NUEVO!$D$6:$D$306,A25,ALIMENTO_NUEVO!$G$6:$G$306)</f>
        <v>0</v>
      </c>
      <c r="E25" s="41">
        <f>SUMIF(ALIMENTO_NUEVO!$P$6:$P$306,A25,ALIMENTO_NUEVO!$R$6:$R$306)</f>
        <v>0</v>
      </c>
      <c r="F25" s="41">
        <f>SUMIF(ALIMENTO_NUEVO!$P$6:$P$306,A25,ALIMENTO_NUEVO!$S$6:$S$306)</f>
        <v>0</v>
      </c>
      <c r="G25" s="41">
        <f>SUMIF(ALIMENTO_NUEVO!$AB$6:$AB$306,A25,ALIMENTO_NUEVO!$AD$6:$AD$306)</f>
        <v>0</v>
      </c>
      <c r="H25" s="41">
        <f>SUMIF(ALIMENTO_NUEVO!$AB$6:$AB$306,A25,ALIMENTO_NUEVO!$AE$6:$AE$306)</f>
        <v>0</v>
      </c>
      <c r="I25" s="185">
        <f t="shared" si="0"/>
        <v>0</v>
      </c>
      <c r="J25" s="41">
        <f>SUMIF(ALIMENTO_NUEVO!$AN$6:$AN$306,A25,ALIMENTO_NUEVO!$AP$6:$AP$306)</f>
        <v>0</v>
      </c>
      <c r="K25" s="41">
        <f>SUMIF(ALIMENTO_NUEVO!$AN$6:$AN$306,A25,ALIMENTO_NUEVO!$AQ$6:$AQ$306)</f>
        <v>0</v>
      </c>
      <c r="L25" s="41">
        <f>SUMIF(ALIMENTO_NUEVO!$AZ$6:$AZ$306,A25,ALIMENTO_NUEVO!$BB$6:$BB$306)</f>
        <v>0</v>
      </c>
      <c r="M25" s="41">
        <f>SUMIF(ALIMENTO_NUEVO!$AZ$6:$AZ$306,A25,ALIMENTO_NUEVO!$BC$6:$BC$306)</f>
        <v>0</v>
      </c>
      <c r="N25" s="41">
        <f>SUMIF(ALIMENTO_NUEVO!$BL$6:$BL$306,A25,ALIMENTO_NUEVO!$BN$6:$BN$306)</f>
        <v>0</v>
      </c>
      <c r="O25" s="41">
        <f>SUMIF(ALIMENTO_NUEVO!$BL$6:$BL$306,A25,ALIMENTO_NUEVO!$BO$6:$BO$306)</f>
        <v>0</v>
      </c>
      <c r="P25" s="185">
        <f t="shared" si="1"/>
        <v>0</v>
      </c>
    </row>
    <row r="26" spans="1:16" x14ac:dyDescent="0.25">
      <c r="A26" s="189">
        <v>21111227.030000001</v>
      </c>
      <c r="B26" s="189" t="s">
        <v>52</v>
      </c>
      <c r="C26" s="41">
        <f>SUMIF(ALIMENTO_NUEVO!$D$6:$D$306,A26,ALIMENTO_NUEVO!$F$6:$F$306)</f>
        <v>0</v>
      </c>
      <c r="D26" s="41">
        <f>SUMIF(ALIMENTO_NUEVO!$D$6:$D$306,A26,ALIMENTO_NUEVO!$G$6:$G$306)</f>
        <v>0</v>
      </c>
      <c r="E26" s="41">
        <f>SUMIF(ALIMENTO_NUEVO!$P$6:$P$306,A26,ALIMENTO_NUEVO!$R$6:$R$306)</f>
        <v>0</v>
      </c>
      <c r="F26" s="41">
        <f>SUMIF(ALIMENTO_NUEVO!$P$6:$P$306,A26,ALIMENTO_NUEVO!$S$6:$S$306)</f>
        <v>0</v>
      </c>
      <c r="G26" s="41">
        <f>SUMIF(ALIMENTO_NUEVO!$AB$6:$AB$306,A26,ALIMENTO_NUEVO!$AD$6:$AD$306)</f>
        <v>0</v>
      </c>
      <c r="H26" s="41">
        <f>SUMIF(ALIMENTO_NUEVO!$AB$6:$AB$306,A26,ALIMENTO_NUEVO!$AE$6:$AE$306)</f>
        <v>0</v>
      </c>
      <c r="I26" s="185">
        <f t="shared" si="0"/>
        <v>0</v>
      </c>
      <c r="J26" s="41">
        <f>SUMIF(ALIMENTO_NUEVO!$AN$6:$AN$306,A26,ALIMENTO_NUEVO!$AP$6:$AP$306)</f>
        <v>0</v>
      </c>
      <c r="K26" s="41">
        <f>SUMIF(ALIMENTO_NUEVO!$AN$6:$AN$306,A26,ALIMENTO_NUEVO!$AQ$6:$AQ$306)</f>
        <v>0</v>
      </c>
      <c r="L26" s="41">
        <f>SUMIF(ALIMENTO_NUEVO!$AZ$6:$AZ$306,A26,ALIMENTO_NUEVO!$BB$6:$BB$306)</f>
        <v>0</v>
      </c>
      <c r="M26" s="41">
        <f>SUMIF(ALIMENTO_NUEVO!$AZ$6:$AZ$306,A26,ALIMENTO_NUEVO!$BC$6:$BC$306)</f>
        <v>0</v>
      </c>
      <c r="N26" s="41">
        <f>SUMIF(ALIMENTO_NUEVO!$BL$6:$BL$306,A26,ALIMENTO_NUEVO!$BN$6:$BN$306)</f>
        <v>0</v>
      </c>
      <c r="O26" s="41">
        <f>SUMIF(ALIMENTO_NUEVO!$BL$6:$BL$306,A26,ALIMENTO_NUEVO!$BO$6:$BO$306)</f>
        <v>0</v>
      </c>
      <c r="P26" s="185">
        <f t="shared" si="1"/>
        <v>0</v>
      </c>
    </row>
    <row r="27" spans="1:16" x14ac:dyDescent="0.25">
      <c r="A27" s="189">
        <v>21111228.030000001</v>
      </c>
      <c r="B27" s="189" t="s">
        <v>53</v>
      </c>
      <c r="C27" s="41">
        <f>SUMIF(ALIMENTO_NUEVO!$D$6:$D$306,A27,ALIMENTO_NUEVO!$F$6:$F$306)</f>
        <v>0</v>
      </c>
      <c r="D27" s="41">
        <f>SUMIF(ALIMENTO_NUEVO!$D$6:$D$306,A27,ALIMENTO_NUEVO!$G$6:$G$306)</f>
        <v>0</v>
      </c>
      <c r="E27" s="41">
        <f>SUMIF(ALIMENTO_NUEVO!$P$6:$P$306,A27,ALIMENTO_NUEVO!$R$6:$R$306)</f>
        <v>0</v>
      </c>
      <c r="F27" s="41">
        <f>SUMIF(ALIMENTO_NUEVO!$P$6:$P$306,A27,ALIMENTO_NUEVO!$S$6:$S$306)</f>
        <v>0</v>
      </c>
      <c r="G27" s="41">
        <f>SUMIF(ALIMENTO_NUEVO!$AB$6:$AB$306,A27,ALIMENTO_NUEVO!$AD$6:$AD$306)</f>
        <v>0</v>
      </c>
      <c r="H27" s="41">
        <f>SUMIF(ALIMENTO_NUEVO!$AB$6:$AB$306,A27,ALIMENTO_NUEVO!$AE$6:$AE$306)</f>
        <v>0</v>
      </c>
      <c r="I27" s="185">
        <f t="shared" si="0"/>
        <v>0</v>
      </c>
      <c r="J27" s="41">
        <f>SUMIF(ALIMENTO_NUEVO!$AN$6:$AN$306,A27,ALIMENTO_NUEVO!$AP$6:$AP$306)</f>
        <v>0</v>
      </c>
      <c r="K27" s="41">
        <f>SUMIF(ALIMENTO_NUEVO!$AN$6:$AN$306,A27,ALIMENTO_NUEVO!$AQ$6:$AQ$306)</f>
        <v>0</v>
      </c>
      <c r="L27" s="41">
        <f>SUMIF(ALIMENTO_NUEVO!$AZ$6:$AZ$306,A27,ALIMENTO_NUEVO!$BB$6:$BB$306)</f>
        <v>0</v>
      </c>
      <c r="M27" s="41">
        <f>SUMIF(ALIMENTO_NUEVO!$AZ$6:$AZ$306,A27,ALIMENTO_NUEVO!$BC$6:$BC$306)</f>
        <v>0</v>
      </c>
      <c r="N27" s="41">
        <f>SUMIF(ALIMENTO_NUEVO!$BL$6:$BL$306,A27,ALIMENTO_NUEVO!$BN$6:$BN$306)</f>
        <v>0</v>
      </c>
      <c r="O27" s="41">
        <f>SUMIF(ALIMENTO_NUEVO!$BL$6:$BL$306,A27,ALIMENTO_NUEVO!$BO$6:$BO$306)</f>
        <v>0</v>
      </c>
      <c r="P27" s="185">
        <f t="shared" si="1"/>
        <v>0</v>
      </c>
    </row>
    <row r="28" spans="1:16" x14ac:dyDescent="0.25">
      <c r="A28" s="189">
        <v>21111229.030000001</v>
      </c>
      <c r="B28" s="189" t="s">
        <v>54</v>
      </c>
      <c r="C28" s="41">
        <f>SUMIF(ALIMENTO_NUEVO!$D$6:$D$306,A28,ALIMENTO_NUEVO!$F$6:$F$306)</f>
        <v>0</v>
      </c>
      <c r="D28" s="41">
        <f>SUMIF(ALIMENTO_NUEVO!$D$6:$D$306,A28,ALIMENTO_NUEVO!$G$6:$G$306)</f>
        <v>0</v>
      </c>
      <c r="E28" s="41">
        <f>SUMIF(ALIMENTO_NUEVO!$P$6:$P$306,A28,ALIMENTO_NUEVO!$R$6:$R$306)</f>
        <v>0</v>
      </c>
      <c r="F28" s="41">
        <f>SUMIF(ALIMENTO_NUEVO!$P$6:$P$306,A28,ALIMENTO_NUEVO!$S$6:$S$306)</f>
        <v>0</v>
      </c>
      <c r="G28" s="41">
        <f>SUMIF(ALIMENTO_NUEVO!$AB$6:$AB$306,A28,ALIMENTO_NUEVO!$AD$6:$AD$306)</f>
        <v>0</v>
      </c>
      <c r="H28" s="41">
        <f>SUMIF(ALIMENTO_NUEVO!$AB$6:$AB$306,A28,ALIMENTO_NUEVO!$AE$6:$AE$306)</f>
        <v>0</v>
      </c>
      <c r="I28" s="185">
        <f t="shared" si="0"/>
        <v>0</v>
      </c>
      <c r="J28" s="41">
        <f>SUMIF(ALIMENTO_NUEVO!$AN$6:$AN$306,A28,ALIMENTO_NUEVO!$AP$6:$AP$306)</f>
        <v>0</v>
      </c>
      <c r="K28" s="41">
        <f>SUMIF(ALIMENTO_NUEVO!$AN$6:$AN$306,A28,ALIMENTO_NUEVO!$AQ$6:$AQ$306)</f>
        <v>0</v>
      </c>
      <c r="L28" s="41">
        <f>SUMIF(ALIMENTO_NUEVO!$AZ$6:$AZ$306,A28,ALIMENTO_NUEVO!$BB$6:$BB$306)</f>
        <v>0</v>
      </c>
      <c r="M28" s="41">
        <f>SUMIF(ALIMENTO_NUEVO!$AZ$6:$AZ$306,A28,ALIMENTO_NUEVO!$BC$6:$BC$306)</f>
        <v>0</v>
      </c>
      <c r="N28" s="41">
        <f>SUMIF(ALIMENTO_NUEVO!$BL$6:$BL$306,A28,ALIMENTO_NUEVO!$BN$6:$BN$306)</f>
        <v>0</v>
      </c>
      <c r="O28" s="41">
        <f>SUMIF(ALIMENTO_NUEVO!$BL$6:$BL$306,A28,ALIMENTO_NUEVO!$BO$6:$BO$306)</f>
        <v>0</v>
      </c>
      <c r="P28" s="185">
        <f t="shared" si="1"/>
        <v>0</v>
      </c>
    </row>
    <row r="29" spans="1:16" x14ac:dyDescent="0.25">
      <c r="A29" s="189">
        <v>21111230.030000001</v>
      </c>
      <c r="B29" s="189" t="s">
        <v>55</v>
      </c>
      <c r="C29" s="41">
        <f>SUMIF(ALIMENTO_NUEVO!$D$6:$D$306,A29,ALIMENTO_NUEVO!$F$6:$F$306)</f>
        <v>0</v>
      </c>
      <c r="D29" s="41">
        <f>SUMIF(ALIMENTO_NUEVO!$D$6:$D$306,A29,ALIMENTO_NUEVO!$G$6:$G$306)</f>
        <v>0</v>
      </c>
      <c r="E29" s="41">
        <f>SUMIF(ALIMENTO_NUEVO!$P$6:$P$306,A29,ALIMENTO_NUEVO!$R$6:$R$306)</f>
        <v>0</v>
      </c>
      <c r="F29" s="41">
        <f>SUMIF(ALIMENTO_NUEVO!$P$6:$P$306,A29,ALIMENTO_NUEVO!$S$6:$S$306)</f>
        <v>0</v>
      </c>
      <c r="G29" s="41">
        <f>SUMIF(ALIMENTO_NUEVO!$AB$6:$AB$306,A29,ALIMENTO_NUEVO!$AD$6:$AD$306)</f>
        <v>0</v>
      </c>
      <c r="H29" s="41">
        <f>SUMIF(ALIMENTO_NUEVO!$AB$6:$AB$306,A29,ALIMENTO_NUEVO!$AE$6:$AE$306)</f>
        <v>0</v>
      </c>
      <c r="I29" s="185">
        <f t="shared" si="0"/>
        <v>0</v>
      </c>
      <c r="J29" s="41">
        <f>SUMIF(ALIMENTO_NUEVO!$AN$6:$AN$306,A29,ALIMENTO_NUEVO!$AP$6:$AP$306)</f>
        <v>0</v>
      </c>
      <c r="K29" s="41">
        <f>SUMIF(ALIMENTO_NUEVO!$AN$6:$AN$306,A29,ALIMENTO_NUEVO!$AQ$6:$AQ$306)</f>
        <v>0</v>
      </c>
      <c r="L29" s="41">
        <f>SUMIF(ALIMENTO_NUEVO!$AZ$6:$AZ$306,A29,ALIMENTO_NUEVO!$BB$6:$BB$306)</f>
        <v>0</v>
      </c>
      <c r="M29" s="41">
        <f>SUMIF(ALIMENTO_NUEVO!$AZ$6:$AZ$306,A29,ALIMENTO_NUEVO!$BC$6:$BC$306)</f>
        <v>0</v>
      </c>
      <c r="N29" s="41">
        <f>SUMIF(ALIMENTO_NUEVO!$BL$6:$BL$306,A29,ALIMENTO_NUEVO!$BN$6:$BN$306)</f>
        <v>0</v>
      </c>
      <c r="O29" s="41">
        <f>SUMIF(ALIMENTO_NUEVO!$BL$6:$BL$306,A29,ALIMENTO_NUEVO!$BO$6:$BO$306)</f>
        <v>0</v>
      </c>
      <c r="P29" s="185">
        <f t="shared" si="1"/>
        <v>0</v>
      </c>
    </row>
    <row r="30" spans="1:16" x14ac:dyDescent="0.25">
      <c r="A30" s="189">
        <v>21111231.02</v>
      </c>
      <c r="B30" s="189" t="s">
        <v>56</v>
      </c>
      <c r="C30" s="41">
        <f>SUMIF(ALIMENTO_NUEVO!$D$6:$D$306,A30,ALIMENTO_NUEVO!$F$6:$F$306)</f>
        <v>0</v>
      </c>
      <c r="D30" s="41">
        <f>SUMIF(ALIMENTO_NUEVO!$D$6:$D$306,A30,ALIMENTO_NUEVO!$G$6:$G$306)</f>
        <v>0</v>
      </c>
      <c r="E30" s="41">
        <f>SUMIF(ALIMENTO_NUEVO!$P$6:$P$306,A30,ALIMENTO_NUEVO!$R$6:$R$306)</f>
        <v>0</v>
      </c>
      <c r="F30" s="41">
        <f>SUMIF(ALIMENTO_NUEVO!$P$6:$P$306,A30,ALIMENTO_NUEVO!$S$6:$S$306)</f>
        <v>0</v>
      </c>
      <c r="G30" s="41">
        <f>SUMIF(ALIMENTO_NUEVO!$AB$6:$AB$306,A30,ALIMENTO_NUEVO!$AD$6:$AD$306)</f>
        <v>0</v>
      </c>
      <c r="H30" s="41">
        <f>SUMIF(ALIMENTO_NUEVO!$AB$6:$AB$306,A30,ALIMENTO_NUEVO!$AE$6:$AE$306)</f>
        <v>0</v>
      </c>
      <c r="I30" s="185">
        <f t="shared" si="0"/>
        <v>0</v>
      </c>
      <c r="J30" s="41">
        <f>SUMIF(ALIMENTO_NUEVO!$AN$6:$AN$306,A30,ALIMENTO_NUEVO!$AP$6:$AP$306)</f>
        <v>0</v>
      </c>
      <c r="K30" s="41">
        <f>SUMIF(ALIMENTO_NUEVO!$AN$6:$AN$306,A30,ALIMENTO_NUEVO!$AQ$6:$AQ$306)</f>
        <v>0</v>
      </c>
      <c r="L30" s="41">
        <f>SUMIF(ALIMENTO_NUEVO!$AZ$6:$AZ$306,A30,ALIMENTO_NUEVO!$BB$6:$BB$306)</f>
        <v>0</v>
      </c>
      <c r="M30" s="41">
        <f>SUMIF(ALIMENTO_NUEVO!$AZ$6:$AZ$306,A30,ALIMENTO_NUEVO!$BC$6:$BC$306)</f>
        <v>0</v>
      </c>
      <c r="N30" s="41">
        <f>SUMIF(ALIMENTO_NUEVO!$BL$6:$BL$306,A30,ALIMENTO_NUEVO!$BN$6:$BN$306)</f>
        <v>0</v>
      </c>
      <c r="O30" s="41">
        <f>SUMIF(ALIMENTO_NUEVO!$BL$6:$BL$306,A30,ALIMENTO_NUEVO!$BO$6:$BO$306)</f>
        <v>0</v>
      </c>
      <c r="P30" s="185">
        <f t="shared" si="1"/>
        <v>0</v>
      </c>
    </row>
    <row r="31" spans="1:16" x14ac:dyDescent="0.25">
      <c r="A31" s="189">
        <v>21111231.039999999</v>
      </c>
      <c r="B31" s="189" t="s">
        <v>57</v>
      </c>
      <c r="C31" s="41">
        <f>SUMIF(ALIMENTO_NUEVO!$D$6:$D$306,A31,ALIMENTO_NUEVO!$F$6:$F$306)</f>
        <v>0</v>
      </c>
      <c r="D31" s="41">
        <f>SUMIF(ALIMENTO_NUEVO!$D$6:$D$306,A31,ALIMENTO_NUEVO!$G$6:$G$306)</f>
        <v>0</v>
      </c>
      <c r="E31" s="41">
        <f>SUMIF(ALIMENTO_NUEVO!$P$6:$P$306,A31,ALIMENTO_NUEVO!$R$6:$R$306)</f>
        <v>0</v>
      </c>
      <c r="F31" s="41">
        <f>SUMIF(ALIMENTO_NUEVO!$P$6:$P$306,A31,ALIMENTO_NUEVO!$S$6:$S$306)</f>
        <v>0</v>
      </c>
      <c r="G31" s="41">
        <f>SUMIF(ALIMENTO_NUEVO!$AB$6:$AB$306,A31,ALIMENTO_NUEVO!$AD$6:$AD$306)</f>
        <v>0</v>
      </c>
      <c r="H31" s="41">
        <f>SUMIF(ALIMENTO_NUEVO!$AB$6:$AB$306,A31,ALIMENTO_NUEVO!$AE$6:$AE$306)</f>
        <v>0</v>
      </c>
      <c r="I31" s="185">
        <f t="shared" si="0"/>
        <v>0</v>
      </c>
      <c r="J31" s="41">
        <f>SUMIF(ALIMENTO_NUEVO!$AN$6:$AN$306,A31,ALIMENTO_NUEVO!$AP$6:$AP$306)</f>
        <v>0</v>
      </c>
      <c r="K31" s="41">
        <f>SUMIF(ALIMENTO_NUEVO!$AN$6:$AN$306,A31,ALIMENTO_NUEVO!$AQ$6:$AQ$306)</f>
        <v>0</v>
      </c>
      <c r="L31" s="41">
        <f>SUMIF(ALIMENTO_NUEVO!$AZ$6:$AZ$306,A31,ALIMENTO_NUEVO!$BB$6:$BB$306)</f>
        <v>0</v>
      </c>
      <c r="M31" s="41">
        <f>SUMIF(ALIMENTO_NUEVO!$AZ$6:$AZ$306,A31,ALIMENTO_NUEVO!$BC$6:$BC$306)</f>
        <v>0</v>
      </c>
      <c r="N31" s="41">
        <f>SUMIF(ALIMENTO_NUEVO!$BL$6:$BL$306,A31,ALIMENTO_NUEVO!$BN$6:$BN$306)</f>
        <v>0</v>
      </c>
      <c r="O31" s="41">
        <f>SUMIF(ALIMENTO_NUEVO!$BL$6:$BL$306,A31,ALIMENTO_NUEVO!$BO$6:$BO$306)</f>
        <v>0</v>
      </c>
      <c r="P31" s="185">
        <f t="shared" si="1"/>
        <v>0</v>
      </c>
    </row>
    <row r="32" spans="1:16" x14ac:dyDescent="0.25">
      <c r="A32" s="188">
        <v>21111232.079999998</v>
      </c>
      <c r="B32" s="188" t="s">
        <v>88</v>
      </c>
      <c r="C32" s="41">
        <f>SUMIF(ALIMENTO_NUEVO!$D$6:$D$306,A32,ALIMENTO_NUEVO!$F$6:$F$306)</f>
        <v>0</v>
      </c>
      <c r="D32" s="41">
        <f>SUMIF(ALIMENTO_NUEVO!$D$6:$D$306,A32,ALIMENTO_NUEVO!$G$6:$G$306)</f>
        <v>0</v>
      </c>
      <c r="E32" s="41">
        <f>SUMIF(ALIMENTO_NUEVO!$P$6:$P$306,A32,ALIMENTO_NUEVO!$R$6:$R$306)</f>
        <v>0</v>
      </c>
      <c r="F32" s="41">
        <f>SUMIF(ALIMENTO_NUEVO!$P$6:$P$306,A32,ALIMENTO_NUEVO!$S$6:$S$306)</f>
        <v>0</v>
      </c>
      <c r="G32" s="41">
        <f>SUMIF(ALIMENTO_NUEVO!$AB$6:$AB$306,A32,ALIMENTO_NUEVO!$AD$6:$AD$306)</f>
        <v>0</v>
      </c>
      <c r="H32" s="41">
        <f>SUMIF(ALIMENTO_NUEVO!$AB$6:$AB$306,A32,ALIMENTO_NUEVO!$AE$6:$AE$306)</f>
        <v>0</v>
      </c>
      <c r="I32" s="185">
        <f t="shared" si="0"/>
        <v>0</v>
      </c>
      <c r="J32" s="41">
        <f>SUMIF(ALIMENTO_NUEVO!$AN$6:$AN$306,A32,ALIMENTO_NUEVO!$AP$6:$AP$306)</f>
        <v>0</v>
      </c>
      <c r="K32" s="41">
        <f>SUMIF(ALIMENTO_NUEVO!$AN$6:$AN$306,A32,ALIMENTO_NUEVO!$AQ$6:$AQ$306)</f>
        <v>0</v>
      </c>
      <c r="L32" s="41">
        <f>SUMIF(ALIMENTO_NUEVO!$AZ$6:$AZ$306,A32,ALIMENTO_NUEVO!$BB$6:$BB$306)</f>
        <v>0</v>
      </c>
      <c r="M32" s="41">
        <f>SUMIF(ALIMENTO_NUEVO!$AZ$6:$AZ$306,A32,ALIMENTO_NUEVO!$BC$6:$BC$306)</f>
        <v>0</v>
      </c>
      <c r="N32" s="41">
        <f>SUMIF(ALIMENTO_NUEVO!$BL$6:$BL$306,A32,ALIMENTO_NUEVO!$BN$6:$BN$306)</f>
        <v>0</v>
      </c>
      <c r="O32" s="41">
        <f>SUMIF(ALIMENTO_NUEVO!$BL$6:$BL$306,A32,ALIMENTO_NUEVO!$BO$6:$BO$306)</f>
        <v>0</v>
      </c>
      <c r="P32" s="185">
        <f t="shared" si="1"/>
        <v>0</v>
      </c>
    </row>
    <row r="33" spans="1:16" x14ac:dyDescent="0.25">
      <c r="A33" s="189">
        <v>21121101</v>
      </c>
      <c r="B33" s="189" t="s">
        <v>58</v>
      </c>
      <c r="C33" s="41">
        <f>SUMIF(ALIMENTO_NUEVO!$D$6:$D$306,A33,ALIMENTO_NUEVO!$F$6:$F$306)</f>
        <v>0</v>
      </c>
      <c r="D33" s="41">
        <f>SUMIF(ALIMENTO_NUEVO!$D$6:$D$306,A33,ALIMENTO_NUEVO!$G$6:$G$306)</f>
        <v>0</v>
      </c>
      <c r="E33" s="41">
        <f>SUMIF(ALIMENTO_NUEVO!$P$6:$P$306,A33,ALIMENTO_NUEVO!$R$6:$R$306)</f>
        <v>0</v>
      </c>
      <c r="F33" s="41">
        <f>SUMIF(ALIMENTO_NUEVO!$P$6:$P$306,A33,ALIMENTO_NUEVO!$S$6:$S$306)</f>
        <v>0</v>
      </c>
      <c r="G33" s="41">
        <f>SUMIF(ALIMENTO_NUEVO!$AB$6:$AB$306,A33,ALIMENTO_NUEVO!$AD$6:$AD$306)</f>
        <v>0</v>
      </c>
      <c r="H33" s="41">
        <f>SUMIF(ALIMENTO_NUEVO!$AB$6:$AB$306,A33,ALIMENTO_NUEVO!$AE$6:$AE$306)</f>
        <v>0</v>
      </c>
      <c r="I33" s="185">
        <f t="shared" si="0"/>
        <v>0</v>
      </c>
      <c r="J33" s="41">
        <f>SUMIF(ALIMENTO_NUEVO!$AN$6:$AN$306,A33,ALIMENTO_NUEVO!$AP$6:$AP$306)</f>
        <v>0</v>
      </c>
      <c r="K33" s="41">
        <f>SUMIF(ALIMENTO_NUEVO!$AN$6:$AN$306,A33,ALIMENTO_NUEVO!$AQ$6:$AQ$306)</f>
        <v>0</v>
      </c>
      <c r="L33" s="41">
        <f>SUMIF(ALIMENTO_NUEVO!$AZ$6:$AZ$306,A33,ALIMENTO_NUEVO!$BB$6:$BB$306)</f>
        <v>0</v>
      </c>
      <c r="M33" s="41">
        <f>SUMIF(ALIMENTO_NUEVO!$AZ$6:$AZ$306,A33,ALIMENTO_NUEVO!$BC$6:$BC$306)</f>
        <v>0</v>
      </c>
      <c r="N33" s="41">
        <f>SUMIF(ALIMENTO_NUEVO!$BL$6:$BL$306,A33,ALIMENTO_NUEVO!$BN$6:$BN$306)</f>
        <v>0</v>
      </c>
      <c r="O33" s="41">
        <f>SUMIF(ALIMENTO_NUEVO!$BL$6:$BL$306,A33,ALIMENTO_NUEVO!$BO$6:$BO$306)</f>
        <v>0</v>
      </c>
      <c r="P33" s="185">
        <f t="shared" si="1"/>
        <v>0</v>
      </c>
    </row>
    <row r="34" spans="1:16" x14ac:dyDescent="0.25">
      <c r="A34" s="189">
        <v>21121102</v>
      </c>
      <c r="B34" s="189" t="s">
        <v>59</v>
      </c>
      <c r="C34" s="41">
        <f>SUMIF(ALIMENTO_NUEVO!$D$6:$D$306,A34,ALIMENTO_NUEVO!$F$6:$F$306)</f>
        <v>0</v>
      </c>
      <c r="D34" s="41">
        <f>SUMIF(ALIMENTO_NUEVO!$D$6:$D$306,A34,ALIMENTO_NUEVO!$G$6:$G$306)</f>
        <v>0</v>
      </c>
      <c r="E34" s="41">
        <f>SUMIF(ALIMENTO_NUEVO!$P$6:$P$306,A34,ALIMENTO_NUEVO!$R$6:$R$306)</f>
        <v>0</v>
      </c>
      <c r="F34" s="41">
        <f>SUMIF(ALIMENTO_NUEVO!$P$6:$P$306,A34,ALIMENTO_NUEVO!$S$6:$S$306)</f>
        <v>0</v>
      </c>
      <c r="G34" s="41">
        <f>SUMIF(ALIMENTO_NUEVO!$AB$6:$AB$306,A34,ALIMENTO_NUEVO!$AD$6:$AD$306)</f>
        <v>0</v>
      </c>
      <c r="H34" s="41">
        <f>SUMIF(ALIMENTO_NUEVO!$AB$6:$AB$306,A34,ALIMENTO_NUEVO!$AE$6:$AE$306)</f>
        <v>0</v>
      </c>
      <c r="I34" s="185">
        <f t="shared" si="0"/>
        <v>0</v>
      </c>
      <c r="J34" s="41">
        <f>SUMIF(ALIMENTO_NUEVO!$AN$6:$AN$306,A34,ALIMENTO_NUEVO!$AP$6:$AP$306)</f>
        <v>0</v>
      </c>
      <c r="K34" s="41">
        <f>SUMIF(ALIMENTO_NUEVO!$AN$6:$AN$306,A34,ALIMENTO_NUEVO!$AQ$6:$AQ$306)</f>
        <v>0</v>
      </c>
      <c r="L34" s="41">
        <f>SUMIF(ALIMENTO_NUEVO!$AZ$6:$AZ$306,A34,ALIMENTO_NUEVO!$BB$6:$BB$306)</f>
        <v>0</v>
      </c>
      <c r="M34" s="41">
        <f>SUMIF(ALIMENTO_NUEVO!$AZ$6:$AZ$306,A34,ALIMENTO_NUEVO!$BC$6:$BC$306)</f>
        <v>0</v>
      </c>
      <c r="N34" s="41">
        <f>SUMIF(ALIMENTO_NUEVO!$BL$6:$BL$306,A34,ALIMENTO_NUEVO!$BN$6:$BN$306)</f>
        <v>0</v>
      </c>
      <c r="O34" s="41">
        <f>SUMIF(ALIMENTO_NUEVO!$BL$6:$BL$306,A34,ALIMENTO_NUEVO!$BO$6:$BO$306)</f>
        <v>0</v>
      </c>
      <c r="P34" s="185">
        <f t="shared" si="1"/>
        <v>0</v>
      </c>
    </row>
    <row r="35" spans="1:16" x14ac:dyDescent="0.25">
      <c r="A35" s="189">
        <v>21121103</v>
      </c>
      <c r="B35" s="189" t="s">
        <v>60</v>
      </c>
      <c r="C35" s="41">
        <f>SUMIF(ALIMENTO_NUEVO!$D$6:$D$306,A35,ALIMENTO_NUEVO!$F$6:$F$306)</f>
        <v>0</v>
      </c>
      <c r="D35" s="41">
        <f>SUMIF(ALIMENTO_NUEVO!$D$6:$D$306,A35,ALIMENTO_NUEVO!$G$6:$G$306)</f>
        <v>0</v>
      </c>
      <c r="E35" s="41">
        <f>SUMIF(ALIMENTO_NUEVO!$P$6:$P$306,A35,ALIMENTO_NUEVO!$R$6:$R$306)</f>
        <v>0</v>
      </c>
      <c r="F35" s="41">
        <f>SUMIF(ALIMENTO_NUEVO!$P$6:$P$306,A35,ALIMENTO_NUEVO!$S$6:$S$306)</f>
        <v>0</v>
      </c>
      <c r="G35" s="41">
        <f>SUMIF(ALIMENTO_NUEVO!$AB$6:$AB$306,A35,ALIMENTO_NUEVO!$AD$6:$AD$306)</f>
        <v>0</v>
      </c>
      <c r="H35" s="41">
        <f>SUMIF(ALIMENTO_NUEVO!$AB$6:$AB$306,A35,ALIMENTO_NUEVO!$AE$6:$AE$306)</f>
        <v>0</v>
      </c>
      <c r="I35" s="185">
        <f t="shared" si="0"/>
        <v>0</v>
      </c>
      <c r="J35" s="41">
        <f>SUMIF(ALIMENTO_NUEVO!$AN$6:$AN$306,A35,ALIMENTO_NUEVO!$AP$6:$AP$306)</f>
        <v>0</v>
      </c>
      <c r="K35" s="41">
        <f>SUMIF(ALIMENTO_NUEVO!$AN$6:$AN$306,A35,ALIMENTO_NUEVO!$AQ$6:$AQ$306)</f>
        <v>0</v>
      </c>
      <c r="L35" s="41">
        <f>SUMIF(ALIMENTO_NUEVO!$AZ$6:$AZ$306,A35,ALIMENTO_NUEVO!$BB$6:$BB$306)</f>
        <v>0</v>
      </c>
      <c r="M35" s="41">
        <f>SUMIF(ALIMENTO_NUEVO!$AZ$6:$AZ$306,A35,ALIMENTO_NUEVO!$BC$6:$BC$306)</f>
        <v>0</v>
      </c>
      <c r="N35" s="41">
        <f>SUMIF(ALIMENTO_NUEVO!$BL$6:$BL$306,A35,ALIMENTO_NUEVO!$BN$6:$BN$306)</f>
        <v>0</v>
      </c>
      <c r="O35" s="41">
        <f>SUMIF(ALIMENTO_NUEVO!$BL$6:$BL$306,A35,ALIMENTO_NUEVO!$BO$6:$BO$306)</f>
        <v>0</v>
      </c>
      <c r="P35" s="185">
        <f t="shared" si="1"/>
        <v>0</v>
      </c>
    </row>
    <row r="36" spans="1:16" x14ac:dyDescent="0.25">
      <c r="A36" s="189">
        <v>21121104</v>
      </c>
      <c r="B36" s="189" t="s">
        <v>61</v>
      </c>
      <c r="C36" s="41">
        <f>SUMIF(ALIMENTO_NUEVO!$D$6:$D$306,A36,ALIMENTO_NUEVO!$F$6:$F$306)</f>
        <v>0</v>
      </c>
      <c r="D36" s="41">
        <f>SUMIF(ALIMENTO_NUEVO!$D$6:$D$306,A36,ALIMENTO_NUEVO!$G$6:$G$306)</f>
        <v>0</v>
      </c>
      <c r="E36" s="41">
        <f>SUMIF(ALIMENTO_NUEVO!$P$6:$P$306,A36,ALIMENTO_NUEVO!$R$6:$R$306)</f>
        <v>0</v>
      </c>
      <c r="F36" s="41">
        <f>SUMIF(ALIMENTO_NUEVO!$P$6:$P$306,A36,ALIMENTO_NUEVO!$S$6:$S$306)</f>
        <v>0</v>
      </c>
      <c r="G36" s="41">
        <f>SUMIF(ALIMENTO_NUEVO!$AB$6:$AB$306,A36,ALIMENTO_NUEVO!$AD$6:$AD$306)</f>
        <v>0</v>
      </c>
      <c r="H36" s="41">
        <f>SUMIF(ALIMENTO_NUEVO!$AB$6:$AB$306,A36,ALIMENTO_NUEVO!$AE$6:$AE$306)</f>
        <v>0</v>
      </c>
      <c r="I36" s="185">
        <f t="shared" si="0"/>
        <v>0</v>
      </c>
      <c r="J36" s="41">
        <f>SUMIF(ALIMENTO_NUEVO!$AN$6:$AN$306,A36,ALIMENTO_NUEVO!$AP$6:$AP$306)</f>
        <v>0</v>
      </c>
      <c r="K36" s="41">
        <f>SUMIF(ALIMENTO_NUEVO!$AN$6:$AN$306,A36,ALIMENTO_NUEVO!$AQ$6:$AQ$306)</f>
        <v>0</v>
      </c>
      <c r="L36" s="41">
        <f>SUMIF(ALIMENTO_NUEVO!$AZ$6:$AZ$306,A36,ALIMENTO_NUEVO!$BB$6:$BB$306)</f>
        <v>0</v>
      </c>
      <c r="M36" s="41">
        <f>SUMIF(ALIMENTO_NUEVO!$AZ$6:$AZ$306,A36,ALIMENTO_NUEVO!$BC$6:$BC$306)</f>
        <v>0</v>
      </c>
      <c r="N36" s="41">
        <f>SUMIF(ALIMENTO_NUEVO!$BL$6:$BL$306,A36,ALIMENTO_NUEVO!$BN$6:$BN$306)</f>
        <v>0</v>
      </c>
      <c r="O36" s="41">
        <f>SUMIF(ALIMENTO_NUEVO!$BL$6:$BL$306,A36,ALIMENTO_NUEVO!$BO$6:$BO$306)</f>
        <v>0</v>
      </c>
      <c r="P36" s="185">
        <f t="shared" si="1"/>
        <v>0</v>
      </c>
    </row>
    <row r="37" spans="1:16" x14ac:dyDescent="0.25">
      <c r="A37" s="189">
        <v>21121105</v>
      </c>
      <c r="B37" s="189" t="s">
        <v>62</v>
      </c>
      <c r="C37" s="41">
        <f>SUMIF(ALIMENTO_NUEVO!$D$6:$D$306,A37,ALIMENTO_NUEVO!$F$6:$F$306)</f>
        <v>0</v>
      </c>
      <c r="D37" s="41">
        <f>SUMIF(ALIMENTO_NUEVO!$D$6:$D$306,A37,ALIMENTO_NUEVO!$G$6:$G$306)</f>
        <v>0</v>
      </c>
      <c r="E37" s="41">
        <f>SUMIF(ALIMENTO_NUEVO!$P$6:$P$306,A37,ALIMENTO_NUEVO!$R$6:$R$306)</f>
        <v>0</v>
      </c>
      <c r="F37" s="41">
        <f>SUMIF(ALIMENTO_NUEVO!$P$6:$P$306,A37,ALIMENTO_NUEVO!$S$6:$S$306)</f>
        <v>0</v>
      </c>
      <c r="G37" s="41">
        <f>SUMIF(ALIMENTO_NUEVO!$AB$6:$AB$306,A37,ALIMENTO_NUEVO!$AD$6:$AD$306)</f>
        <v>0</v>
      </c>
      <c r="H37" s="41">
        <f>SUMIF(ALIMENTO_NUEVO!$AB$6:$AB$306,A37,ALIMENTO_NUEVO!$AE$6:$AE$306)</f>
        <v>0</v>
      </c>
      <c r="I37" s="185">
        <f t="shared" si="0"/>
        <v>0</v>
      </c>
      <c r="J37" s="41">
        <f>SUMIF(ALIMENTO_NUEVO!$AN$6:$AN$306,A37,ALIMENTO_NUEVO!$AP$6:$AP$306)</f>
        <v>0</v>
      </c>
      <c r="K37" s="41">
        <f>SUMIF(ALIMENTO_NUEVO!$AN$6:$AN$306,A37,ALIMENTO_NUEVO!$AQ$6:$AQ$306)</f>
        <v>0</v>
      </c>
      <c r="L37" s="41">
        <f>SUMIF(ALIMENTO_NUEVO!$AZ$6:$AZ$306,A37,ALIMENTO_NUEVO!$BB$6:$BB$306)</f>
        <v>0</v>
      </c>
      <c r="M37" s="41">
        <f>SUMIF(ALIMENTO_NUEVO!$AZ$6:$AZ$306,A37,ALIMENTO_NUEVO!$BC$6:$BC$306)</f>
        <v>0</v>
      </c>
      <c r="N37" s="41">
        <f>SUMIF(ALIMENTO_NUEVO!$BL$6:$BL$306,A37,ALIMENTO_NUEVO!$BN$6:$BN$306)</f>
        <v>0</v>
      </c>
      <c r="O37" s="41">
        <f>SUMIF(ALIMENTO_NUEVO!$BL$6:$BL$306,A37,ALIMENTO_NUEVO!$BO$6:$BO$306)</f>
        <v>0</v>
      </c>
      <c r="P37" s="185">
        <f t="shared" si="1"/>
        <v>0</v>
      </c>
    </row>
    <row r="38" spans="1:16" x14ac:dyDescent="0.25">
      <c r="A38" s="189">
        <v>21121204</v>
      </c>
      <c r="B38" s="189" t="s">
        <v>63</v>
      </c>
      <c r="C38" s="41">
        <f>SUMIF(ALIMENTO_NUEVO!$D$6:$D$306,A38,ALIMENTO_NUEVO!$F$6:$F$306)</f>
        <v>0</v>
      </c>
      <c r="D38" s="41">
        <f>SUMIF(ALIMENTO_NUEVO!$D$6:$D$306,A38,ALIMENTO_NUEVO!$G$6:$G$306)</f>
        <v>0</v>
      </c>
      <c r="E38" s="41">
        <f>SUMIF(ALIMENTO_NUEVO!$P$6:$P$306,A38,ALIMENTO_NUEVO!$R$6:$R$306)</f>
        <v>0</v>
      </c>
      <c r="F38" s="41">
        <f>SUMIF(ALIMENTO_NUEVO!$P$6:$P$306,A38,ALIMENTO_NUEVO!$S$6:$S$306)</f>
        <v>0</v>
      </c>
      <c r="G38" s="41">
        <f>SUMIF(ALIMENTO_NUEVO!$AB$6:$AB$306,A38,ALIMENTO_NUEVO!$AD$6:$AD$306)</f>
        <v>0</v>
      </c>
      <c r="H38" s="41">
        <f>SUMIF(ALIMENTO_NUEVO!$AB$6:$AB$306,A38,ALIMENTO_NUEVO!$AE$6:$AE$306)</f>
        <v>0</v>
      </c>
      <c r="I38" s="185">
        <f t="shared" si="0"/>
        <v>0</v>
      </c>
      <c r="J38" s="41">
        <f>SUMIF(ALIMENTO_NUEVO!$AN$6:$AN$306,A38,ALIMENTO_NUEVO!$AP$6:$AP$306)</f>
        <v>0</v>
      </c>
      <c r="K38" s="41">
        <f>SUMIF(ALIMENTO_NUEVO!$AN$6:$AN$306,A38,ALIMENTO_NUEVO!$AQ$6:$AQ$306)</f>
        <v>0</v>
      </c>
      <c r="L38" s="41">
        <f>SUMIF(ALIMENTO_NUEVO!$AZ$6:$AZ$306,A38,ALIMENTO_NUEVO!$BB$6:$BB$306)</f>
        <v>0</v>
      </c>
      <c r="M38" s="41">
        <f>SUMIF(ALIMENTO_NUEVO!$AZ$6:$AZ$306,A38,ALIMENTO_NUEVO!$BC$6:$BC$306)</f>
        <v>0</v>
      </c>
      <c r="N38" s="41">
        <f>SUMIF(ALIMENTO_NUEVO!$BL$6:$BL$306,A38,ALIMENTO_NUEVO!$BN$6:$BN$306)</f>
        <v>0</v>
      </c>
      <c r="O38" s="41">
        <f>SUMIF(ALIMENTO_NUEVO!$BL$6:$BL$306,A38,ALIMENTO_NUEVO!$BO$6:$BO$306)</f>
        <v>0</v>
      </c>
      <c r="P38" s="185">
        <f t="shared" si="1"/>
        <v>0</v>
      </c>
    </row>
    <row r="39" spans="1:16" x14ac:dyDescent="0.25">
      <c r="A39" s="189">
        <v>21121205</v>
      </c>
      <c r="B39" s="189" t="s">
        <v>64</v>
      </c>
      <c r="C39" s="41">
        <f>SUMIF(ALIMENTO_NUEVO!$D$6:$D$306,A39,ALIMENTO_NUEVO!$F$6:$F$306)</f>
        <v>25520</v>
      </c>
      <c r="D39" s="41">
        <f>SUMIF(ALIMENTO_NUEVO!$D$6:$D$306,A39,ALIMENTO_NUEVO!$G$6:$G$306)</f>
        <v>-18020</v>
      </c>
      <c r="E39" s="41">
        <f>SUMIF(ALIMENTO_NUEVO!$P$6:$P$306,A39,ALIMENTO_NUEVO!$R$6:$R$306)</f>
        <v>22570</v>
      </c>
      <c r="F39" s="41">
        <f>SUMIF(ALIMENTO_NUEVO!$P$6:$P$306,A39,ALIMENTO_NUEVO!$S$6:$S$306)</f>
        <v>-10070</v>
      </c>
      <c r="G39" s="41">
        <f>SUMIF(ALIMENTO_NUEVO!$AB$6:$AB$306,A39,ALIMENTO_NUEVO!$AD$6:$AD$306)</f>
        <v>16100</v>
      </c>
      <c r="H39" s="41">
        <f>SUMIF(ALIMENTO_NUEVO!$AB$6:$AB$306,A39,ALIMENTO_NUEVO!$AE$6:$AE$306)</f>
        <v>-8100</v>
      </c>
      <c r="I39" s="185">
        <f t="shared" si="0"/>
        <v>28000</v>
      </c>
      <c r="J39" s="41">
        <f>SUMIF(ALIMENTO_NUEVO!$AN$6:$AN$306,A39,ALIMENTO_NUEVO!$AP$6:$AP$306)</f>
        <v>13860</v>
      </c>
      <c r="K39" s="41">
        <f>SUMIF(ALIMENTO_NUEVO!$AN$6:$AN$306,A39,ALIMENTO_NUEVO!$AQ$6:$AQ$306)</f>
        <v>-6360</v>
      </c>
      <c r="L39" s="41">
        <f>SUMIF(ALIMENTO_NUEVO!$AZ$6:$AZ$306,A39,ALIMENTO_NUEVO!$BB$6:$BB$306)</f>
        <v>0</v>
      </c>
      <c r="M39" s="41">
        <f>SUMIF(ALIMENTO_NUEVO!$AZ$6:$AZ$306,A39,ALIMENTO_NUEVO!$BC$6:$BC$306)</f>
        <v>0</v>
      </c>
      <c r="N39" s="41">
        <f>SUMIF(ALIMENTO_NUEVO!$BL$6:$BL$306,A39,ALIMENTO_NUEVO!$BN$6:$BN$306)</f>
        <v>0</v>
      </c>
      <c r="O39" s="41">
        <f>SUMIF(ALIMENTO_NUEVO!$BL$6:$BL$306,A39,ALIMENTO_NUEVO!$BO$6:$BO$306)</f>
        <v>0</v>
      </c>
      <c r="P39" s="185">
        <f t="shared" si="1"/>
        <v>7500</v>
      </c>
    </row>
    <row r="40" spans="1:16" x14ac:dyDescent="0.25">
      <c r="A40" s="189">
        <v>21121206</v>
      </c>
      <c r="B40" s="189" t="s">
        <v>65</v>
      </c>
      <c r="C40" s="41">
        <f>SUMIF(ALIMENTO_NUEVO!$D$6:$D$306,A40,ALIMENTO_NUEVO!$F$6:$F$306)</f>
        <v>0</v>
      </c>
      <c r="D40" s="41">
        <f>SUMIF(ALIMENTO_NUEVO!$D$6:$D$306,A40,ALIMENTO_NUEVO!$G$6:$G$306)</f>
        <v>0</v>
      </c>
      <c r="E40" s="41">
        <f>SUMIF(ALIMENTO_NUEVO!$P$6:$P$306,A40,ALIMENTO_NUEVO!$R$6:$R$306)</f>
        <v>0</v>
      </c>
      <c r="F40" s="41">
        <f>SUMIF(ALIMENTO_NUEVO!$P$6:$P$306,A40,ALIMENTO_NUEVO!$S$6:$S$306)</f>
        <v>0</v>
      </c>
      <c r="G40" s="41">
        <f>SUMIF(ALIMENTO_NUEVO!$AB$6:$AB$306,A40,ALIMENTO_NUEVO!$AD$6:$AD$306)</f>
        <v>0</v>
      </c>
      <c r="H40" s="41">
        <f>SUMIF(ALIMENTO_NUEVO!$AB$6:$AB$306,A40,ALIMENTO_NUEVO!$AE$6:$AE$306)</f>
        <v>0</v>
      </c>
      <c r="I40" s="185">
        <f t="shared" si="0"/>
        <v>0</v>
      </c>
      <c r="J40" s="41">
        <f>SUMIF(ALIMENTO_NUEVO!$AN$6:$AN$306,A40,ALIMENTO_NUEVO!$AP$6:$AP$306)</f>
        <v>0</v>
      </c>
      <c r="K40" s="41">
        <f>SUMIF(ALIMENTO_NUEVO!$AN$6:$AN$306,A40,ALIMENTO_NUEVO!$AQ$6:$AQ$306)</f>
        <v>0</v>
      </c>
      <c r="L40" s="41">
        <f>SUMIF(ALIMENTO_NUEVO!$AZ$6:$AZ$306,A40,ALIMENTO_NUEVO!$BB$6:$BB$306)</f>
        <v>0</v>
      </c>
      <c r="M40" s="41">
        <f>SUMIF(ALIMENTO_NUEVO!$AZ$6:$AZ$306,A40,ALIMENTO_NUEVO!$BC$6:$BC$306)</f>
        <v>0</v>
      </c>
      <c r="N40" s="41">
        <f>SUMIF(ALIMENTO_NUEVO!$BL$6:$BL$306,A40,ALIMENTO_NUEVO!$BN$6:$BN$306)</f>
        <v>0</v>
      </c>
      <c r="O40" s="41">
        <f>SUMIF(ALIMENTO_NUEVO!$BL$6:$BL$306,A40,ALIMENTO_NUEVO!$BO$6:$BO$306)</f>
        <v>0</v>
      </c>
      <c r="P40" s="185">
        <f t="shared" si="1"/>
        <v>0</v>
      </c>
    </row>
    <row r="41" spans="1:16" x14ac:dyDescent="0.25">
      <c r="A41" s="189">
        <v>21121207</v>
      </c>
      <c r="B41" s="189" t="s">
        <v>66</v>
      </c>
      <c r="C41" s="41">
        <f>SUMIF(ALIMENTO_NUEVO!$D$6:$D$306,A41,ALIMENTO_NUEVO!$F$6:$F$306)</f>
        <v>0</v>
      </c>
      <c r="D41" s="41">
        <f>SUMIF(ALIMENTO_NUEVO!$D$6:$D$306,A41,ALIMENTO_NUEVO!$G$6:$G$306)</f>
        <v>0</v>
      </c>
      <c r="E41" s="41">
        <f>SUMIF(ALIMENTO_NUEVO!$P$6:$P$306,A41,ALIMENTO_NUEVO!$R$6:$R$306)</f>
        <v>0</v>
      </c>
      <c r="F41" s="41">
        <f>SUMIF(ALIMENTO_NUEVO!$P$6:$P$306,A41,ALIMENTO_NUEVO!$S$6:$S$306)</f>
        <v>0</v>
      </c>
      <c r="G41" s="41">
        <f>SUMIF(ALIMENTO_NUEVO!$AB$6:$AB$306,A41,ALIMENTO_NUEVO!$AD$6:$AD$306)</f>
        <v>0</v>
      </c>
      <c r="H41" s="41">
        <f>SUMIF(ALIMENTO_NUEVO!$AB$6:$AB$306,A41,ALIMENTO_NUEVO!$AE$6:$AE$306)</f>
        <v>0</v>
      </c>
      <c r="I41" s="185">
        <f t="shared" si="0"/>
        <v>0</v>
      </c>
      <c r="J41" s="41">
        <f>SUMIF(ALIMENTO_NUEVO!$AN$6:$AN$306,A41,ALIMENTO_NUEVO!$AP$6:$AP$306)</f>
        <v>0</v>
      </c>
      <c r="K41" s="41">
        <f>SUMIF(ALIMENTO_NUEVO!$AN$6:$AN$306,A41,ALIMENTO_NUEVO!$AQ$6:$AQ$306)</f>
        <v>0</v>
      </c>
      <c r="L41" s="41">
        <f>SUMIF(ALIMENTO_NUEVO!$AZ$6:$AZ$306,A41,ALIMENTO_NUEVO!$BB$6:$BB$306)</f>
        <v>0</v>
      </c>
      <c r="M41" s="41">
        <f>SUMIF(ALIMENTO_NUEVO!$AZ$6:$AZ$306,A41,ALIMENTO_NUEVO!$BC$6:$BC$306)</f>
        <v>0</v>
      </c>
      <c r="N41" s="41">
        <f>SUMIF(ALIMENTO_NUEVO!$BL$6:$BL$306,A41,ALIMENTO_NUEVO!$BN$6:$BN$306)</f>
        <v>0</v>
      </c>
      <c r="O41" s="41">
        <f>SUMIF(ALIMENTO_NUEVO!$BL$6:$BL$306,A41,ALIMENTO_NUEVO!$BO$6:$BO$306)</f>
        <v>0</v>
      </c>
      <c r="P41" s="185">
        <f t="shared" si="1"/>
        <v>0</v>
      </c>
    </row>
    <row r="42" spans="1:16" x14ac:dyDescent="0.25">
      <c r="A42" s="189">
        <v>21121208</v>
      </c>
      <c r="B42" s="189" t="s">
        <v>67</v>
      </c>
      <c r="C42" s="41">
        <f>SUMIF(ALIMENTO_NUEVO!$D$6:$D$306,A42,ALIMENTO_NUEVO!$F$6:$F$306)</f>
        <v>0</v>
      </c>
      <c r="D42" s="41">
        <f>SUMIF(ALIMENTO_NUEVO!$D$6:$D$306,A42,ALIMENTO_NUEVO!$G$6:$G$306)</f>
        <v>0</v>
      </c>
      <c r="E42" s="41">
        <f>SUMIF(ALIMENTO_NUEVO!$P$6:$P$306,A42,ALIMENTO_NUEVO!$R$6:$R$306)</f>
        <v>0</v>
      </c>
      <c r="F42" s="41">
        <f>SUMIF(ALIMENTO_NUEVO!$P$6:$P$306,A42,ALIMENTO_NUEVO!$S$6:$S$306)</f>
        <v>0</v>
      </c>
      <c r="G42" s="41">
        <f>SUMIF(ALIMENTO_NUEVO!$AB$6:$AB$306,A42,ALIMENTO_NUEVO!$AD$6:$AD$306)</f>
        <v>0</v>
      </c>
      <c r="H42" s="41">
        <f>SUMIF(ALIMENTO_NUEVO!$AB$6:$AB$306,A42,ALIMENTO_NUEVO!$AE$6:$AE$306)</f>
        <v>0</v>
      </c>
      <c r="I42" s="185">
        <f t="shared" si="0"/>
        <v>0</v>
      </c>
      <c r="J42" s="41">
        <f>SUMIF(ALIMENTO_NUEVO!$AN$6:$AN$306,A42,ALIMENTO_NUEVO!$AP$6:$AP$306)</f>
        <v>0</v>
      </c>
      <c r="K42" s="41">
        <f>SUMIF(ALIMENTO_NUEVO!$AN$6:$AN$306,A42,ALIMENTO_NUEVO!$AQ$6:$AQ$306)</f>
        <v>0</v>
      </c>
      <c r="L42" s="41">
        <f>SUMIF(ALIMENTO_NUEVO!$AZ$6:$AZ$306,A42,ALIMENTO_NUEVO!$BB$6:$BB$306)</f>
        <v>0</v>
      </c>
      <c r="M42" s="41">
        <f>SUMIF(ALIMENTO_NUEVO!$AZ$6:$AZ$306,A42,ALIMENTO_NUEVO!$BC$6:$BC$306)</f>
        <v>0</v>
      </c>
      <c r="N42" s="41">
        <f>SUMIF(ALIMENTO_NUEVO!$BL$6:$BL$306,A42,ALIMENTO_NUEVO!$BN$6:$BN$306)</f>
        <v>0</v>
      </c>
      <c r="O42" s="41">
        <f>SUMIF(ALIMENTO_NUEVO!$BL$6:$BL$306,A42,ALIMENTO_NUEVO!$BO$6:$BO$306)</f>
        <v>0</v>
      </c>
      <c r="P42" s="185">
        <f t="shared" si="1"/>
        <v>0</v>
      </c>
    </row>
    <row r="43" spans="1:16" x14ac:dyDescent="0.25">
      <c r="A43" s="189">
        <v>21121209</v>
      </c>
      <c r="B43" s="189" t="s">
        <v>68</v>
      </c>
      <c r="C43" s="41">
        <f>SUMIF(ALIMENTO_NUEVO!$D$6:$D$306,A43,ALIMENTO_NUEVO!$F$6:$F$306)</f>
        <v>0</v>
      </c>
      <c r="D43" s="41">
        <f>SUMIF(ALIMENTO_NUEVO!$D$6:$D$306,A43,ALIMENTO_NUEVO!$G$6:$G$306)</f>
        <v>0</v>
      </c>
      <c r="E43" s="41">
        <f>SUMIF(ALIMENTO_NUEVO!$P$6:$P$306,A43,ALIMENTO_NUEVO!$R$6:$R$306)</f>
        <v>0</v>
      </c>
      <c r="F43" s="41">
        <f>SUMIF(ALIMENTO_NUEVO!$P$6:$P$306,A43,ALIMENTO_NUEVO!$S$6:$S$306)</f>
        <v>0</v>
      </c>
      <c r="G43" s="41">
        <f>SUMIF(ALIMENTO_NUEVO!$AB$6:$AB$306,A43,ALIMENTO_NUEVO!$AD$6:$AD$306)</f>
        <v>0</v>
      </c>
      <c r="H43" s="41">
        <f>SUMIF(ALIMENTO_NUEVO!$AB$6:$AB$306,A43,ALIMENTO_NUEVO!$AE$6:$AE$306)</f>
        <v>0</v>
      </c>
      <c r="I43" s="185">
        <f t="shared" si="0"/>
        <v>0</v>
      </c>
      <c r="J43" s="41">
        <f>SUMIF(ALIMENTO_NUEVO!$AN$6:$AN$306,A43,ALIMENTO_NUEVO!$AP$6:$AP$306)</f>
        <v>0</v>
      </c>
      <c r="K43" s="41">
        <f>SUMIF(ALIMENTO_NUEVO!$AN$6:$AN$306,A43,ALIMENTO_NUEVO!$AQ$6:$AQ$306)</f>
        <v>0</v>
      </c>
      <c r="L43" s="41">
        <f>SUMIF(ALIMENTO_NUEVO!$AZ$6:$AZ$306,A43,ALIMENTO_NUEVO!$BB$6:$BB$306)</f>
        <v>0</v>
      </c>
      <c r="M43" s="41">
        <f>SUMIF(ALIMENTO_NUEVO!$AZ$6:$AZ$306,A43,ALIMENTO_NUEVO!$BC$6:$BC$306)</f>
        <v>0</v>
      </c>
      <c r="N43" s="41">
        <f>SUMIF(ALIMENTO_NUEVO!$BL$6:$BL$306,A43,ALIMENTO_NUEVO!$BN$6:$BN$306)</f>
        <v>0</v>
      </c>
      <c r="O43" s="41">
        <f>SUMIF(ALIMENTO_NUEVO!$BL$6:$BL$306,A43,ALIMENTO_NUEVO!$BO$6:$BO$306)</f>
        <v>0</v>
      </c>
      <c r="P43" s="185">
        <f t="shared" si="1"/>
        <v>0</v>
      </c>
    </row>
    <row r="44" spans="1:16" x14ac:dyDescent="0.25">
      <c r="A44" s="189">
        <v>21121210</v>
      </c>
      <c r="B44" s="189" t="s">
        <v>69</v>
      </c>
      <c r="C44" s="41">
        <f>SUMIF(ALIMENTO_NUEVO!$D$6:$D$306,A44,ALIMENTO_NUEVO!$F$6:$F$306)</f>
        <v>0</v>
      </c>
      <c r="D44" s="41">
        <f>SUMIF(ALIMENTO_NUEVO!$D$6:$D$306,A44,ALIMENTO_NUEVO!$G$6:$G$306)</f>
        <v>0</v>
      </c>
      <c r="E44" s="41">
        <f>SUMIF(ALIMENTO_NUEVO!$P$6:$P$306,A44,ALIMENTO_NUEVO!$R$6:$R$306)</f>
        <v>0</v>
      </c>
      <c r="F44" s="41">
        <f>SUMIF(ALIMENTO_NUEVO!$P$6:$P$306,A44,ALIMENTO_NUEVO!$S$6:$S$306)</f>
        <v>0</v>
      </c>
      <c r="G44" s="41">
        <f>SUMIF(ALIMENTO_NUEVO!$AB$6:$AB$306,A44,ALIMENTO_NUEVO!$AD$6:$AD$306)</f>
        <v>0</v>
      </c>
      <c r="H44" s="41">
        <f>SUMIF(ALIMENTO_NUEVO!$AB$6:$AB$306,A44,ALIMENTO_NUEVO!$AE$6:$AE$306)</f>
        <v>0</v>
      </c>
      <c r="I44" s="185">
        <f t="shared" si="0"/>
        <v>0</v>
      </c>
      <c r="J44" s="41">
        <f>SUMIF(ALIMENTO_NUEVO!$AN$6:$AN$306,A44,ALIMENTO_NUEVO!$AP$6:$AP$306)</f>
        <v>0</v>
      </c>
      <c r="K44" s="41">
        <f>SUMIF(ALIMENTO_NUEVO!$AN$6:$AN$306,A44,ALIMENTO_NUEVO!$AQ$6:$AQ$306)</f>
        <v>0</v>
      </c>
      <c r="L44" s="41">
        <f>SUMIF(ALIMENTO_NUEVO!$AZ$6:$AZ$306,A44,ALIMENTO_NUEVO!$BB$6:$BB$306)</f>
        <v>0</v>
      </c>
      <c r="M44" s="41">
        <f>SUMIF(ALIMENTO_NUEVO!$AZ$6:$AZ$306,A44,ALIMENTO_NUEVO!$BC$6:$BC$306)</f>
        <v>0</v>
      </c>
      <c r="N44" s="41">
        <f>SUMIF(ALIMENTO_NUEVO!$BL$6:$BL$306,A44,ALIMENTO_NUEVO!$BN$6:$BN$306)</f>
        <v>0</v>
      </c>
      <c r="O44" s="41">
        <f>SUMIF(ALIMENTO_NUEVO!$BL$6:$BL$306,A44,ALIMENTO_NUEVO!$BO$6:$BO$306)</f>
        <v>0</v>
      </c>
      <c r="P44" s="185">
        <f t="shared" si="1"/>
        <v>0</v>
      </c>
    </row>
  </sheetData>
  <mergeCells count="2">
    <mergeCell ref="J1:P1"/>
    <mergeCell ref="C1:I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B51"/>
  <sheetViews>
    <sheetView topLeftCell="A4" workbookViewId="0"/>
  </sheetViews>
  <sheetFormatPr baseColWidth="10" defaultRowHeight="15" x14ac:dyDescent="0.25"/>
  <cols>
    <col min="1" max="1" width="11.5703125" style="45" bestFit="1" customWidth="1"/>
    <col min="2" max="2" width="47.28515625" style="45" bestFit="1" customWidth="1"/>
  </cols>
  <sheetData>
    <row r="1" spans="1:2" x14ac:dyDescent="0.25">
      <c r="A1" s="41">
        <v>10120162</v>
      </c>
      <c r="B1" s="41" t="s">
        <v>83</v>
      </c>
    </row>
    <row r="2" spans="1:2" x14ac:dyDescent="0.25">
      <c r="A2" s="41">
        <v>10130146</v>
      </c>
      <c r="B2" s="41" t="s">
        <v>84</v>
      </c>
    </row>
    <row r="3" spans="1:2" x14ac:dyDescent="0.25">
      <c r="A3" s="41">
        <v>10130147</v>
      </c>
      <c r="B3" s="41" t="s">
        <v>85</v>
      </c>
    </row>
    <row r="4" spans="1:2" x14ac:dyDescent="0.25">
      <c r="A4" s="41">
        <v>10130148</v>
      </c>
      <c r="B4" s="41" t="s">
        <v>86</v>
      </c>
    </row>
    <row r="5" spans="1:2" x14ac:dyDescent="0.25">
      <c r="A5" s="41">
        <v>10130149</v>
      </c>
      <c r="B5" s="41" t="s">
        <v>87</v>
      </c>
    </row>
    <row r="6" spans="1:2" x14ac:dyDescent="0.25">
      <c r="A6" s="1">
        <v>21111106</v>
      </c>
      <c r="B6" s="1" t="s">
        <v>34</v>
      </c>
    </row>
    <row r="7" spans="1:2" x14ac:dyDescent="0.25">
      <c r="A7" s="1">
        <v>21111107</v>
      </c>
      <c r="B7" s="1" t="s">
        <v>35</v>
      </c>
    </row>
    <row r="8" spans="1:2" x14ac:dyDescent="0.25">
      <c r="A8" s="1">
        <v>21111108</v>
      </c>
      <c r="B8" s="1" t="s">
        <v>36</v>
      </c>
    </row>
    <row r="9" spans="1:2" x14ac:dyDescent="0.25">
      <c r="A9" s="1">
        <v>21111109</v>
      </c>
      <c r="B9" s="1" t="s">
        <v>37</v>
      </c>
    </row>
    <row r="10" spans="1:2" x14ac:dyDescent="0.25">
      <c r="A10" s="1">
        <v>21111110</v>
      </c>
      <c r="B10" s="1" t="s">
        <v>38</v>
      </c>
    </row>
    <row r="11" spans="1:2" x14ac:dyDescent="0.25">
      <c r="A11" s="42">
        <v>21111111.030000001</v>
      </c>
      <c r="B11" s="1" t="s">
        <v>39</v>
      </c>
    </row>
    <row r="12" spans="1:2" x14ac:dyDescent="0.25">
      <c r="A12" s="42">
        <v>21111112.030000001</v>
      </c>
      <c r="B12" s="1" t="s">
        <v>40</v>
      </c>
    </row>
    <row r="13" spans="1:2" x14ac:dyDescent="0.25">
      <c r="A13" s="42">
        <v>21111113.030000001</v>
      </c>
      <c r="B13" s="1" t="s">
        <v>41</v>
      </c>
    </row>
    <row r="14" spans="1:2" x14ac:dyDescent="0.25">
      <c r="A14" s="42">
        <v>21111114.030000001</v>
      </c>
      <c r="B14" s="1" t="s">
        <v>42</v>
      </c>
    </row>
    <row r="15" spans="1:2" x14ac:dyDescent="0.25">
      <c r="A15" s="42">
        <v>21111115.030000001</v>
      </c>
      <c r="B15" s="1" t="s">
        <v>43</v>
      </c>
    </row>
    <row r="16" spans="1:2" x14ac:dyDescent="0.25">
      <c r="A16" s="1">
        <v>21111214</v>
      </c>
      <c r="B16" s="1" t="s">
        <v>44</v>
      </c>
    </row>
    <row r="17" spans="1:2" x14ac:dyDescent="0.25">
      <c r="A17" s="1">
        <v>21111215</v>
      </c>
      <c r="B17" s="1" t="s">
        <v>45</v>
      </c>
    </row>
    <row r="18" spans="1:2" x14ac:dyDescent="0.25">
      <c r="A18" s="35">
        <v>21111216</v>
      </c>
      <c r="B18" s="35" t="s">
        <v>46</v>
      </c>
    </row>
    <row r="19" spans="1:2" x14ac:dyDescent="0.25">
      <c r="A19" s="35">
        <v>21111217</v>
      </c>
      <c r="B19" s="35" t="s">
        <v>47</v>
      </c>
    </row>
    <row r="20" spans="1:2" x14ac:dyDescent="0.25">
      <c r="A20" s="35">
        <v>21111218</v>
      </c>
      <c r="B20" s="35" t="s">
        <v>48</v>
      </c>
    </row>
    <row r="21" spans="1:2" x14ac:dyDescent="0.25">
      <c r="A21" s="35">
        <v>21111219</v>
      </c>
      <c r="B21" s="35" t="s">
        <v>49</v>
      </c>
    </row>
    <row r="22" spans="1:2" x14ac:dyDescent="0.25">
      <c r="A22" s="35">
        <v>21111220</v>
      </c>
      <c r="B22" s="35" t="s">
        <v>50</v>
      </c>
    </row>
    <row r="23" spans="1:2" x14ac:dyDescent="0.25">
      <c r="A23" s="43">
        <v>21111226.030000001</v>
      </c>
      <c r="B23" s="35" t="s">
        <v>51</v>
      </c>
    </row>
    <row r="24" spans="1:2" x14ac:dyDescent="0.25">
      <c r="A24" s="43">
        <v>21111227.030000001</v>
      </c>
      <c r="B24" s="35" t="s">
        <v>52</v>
      </c>
    </row>
    <row r="25" spans="1:2" x14ac:dyDescent="0.25">
      <c r="A25" s="43">
        <v>21111228.030000001</v>
      </c>
      <c r="B25" s="35" t="s">
        <v>53</v>
      </c>
    </row>
    <row r="26" spans="1:2" x14ac:dyDescent="0.25">
      <c r="A26" s="43">
        <v>21111229.030000001</v>
      </c>
      <c r="B26" s="35" t="s">
        <v>54</v>
      </c>
    </row>
    <row r="27" spans="1:2" x14ac:dyDescent="0.25">
      <c r="A27" s="43">
        <v>21111230.030000001</v>
      </c>
      <c r="B27" s="35" t="s">
        <v>55</v>
      </c>
    </row>
    <row r="28" spans="1:2" x14ac:dyDescent="0.25">
      <c r="A28" s="43">
        <v>21111231.02</v>
      </c>
      <c r="B28" s="35" t="s">
        <v>56</v>
      </c>
    </row>
    <row r="29" spans="1:2" x14ac:dyDescent="0.25">
      <c r="A29" s="43">
        <v>21111231.039999999</v>
      </c>
      <c r="B29" s="35" t="s">
        <v>57</v>
      </c>
    </row>
    <row r="30" spans="1:2" x14ac:dyDescent="0.25">
      <c r="A30" s="42">
        <v>21111232.079999998</v>
      </c>
      <c r="B30" s="1" t="s">
        <v>88</v>
      </c>
    </row>
    <row r="31" spans="1:2" x14ac:dyDescent="0.25">
      <c r="A31" s="35">
        <v>21121101</v>
      </c>
      <c r="B31" s="35" t="s">
        <v>58</v>
      </c>
    </row>
    <row r="32" spans="1:2" x14ac:dyDescent="0.25">
      <c r="A32" s="35">
        <v>21121102</v>
      </c>
      <c r="B32" s="35" t="s">
        <v>59</v>
      </c>
    </row>
    <row r="33" spans="1:2" x14ac:dyDescent="0.25">
      <c r="A33" s="35">
        <v>21121103</v>
      </c>
      <c r="B33" s="35" t="s">
        <v>60</v>
      </c>
    </row>
    <row r="34" spans="1:2" x14ac:dyDescent="0.25">
      <c r="A34" s="35">
        <v>21121104</v>
      </c>
      <c r="B34" s="35" t="s">
        <v>61</v>
      </c>
    </row>
    <row r="35" spans="1:2" x14ac:dyDescent="0.25">
      <c r="A35" s="35">
        <v>21121105</v>
      </c>
      <c r="B35" s="35" t="s">
        <v>62</v>
      </c>
    </row>
    <row r="36" spans="1:2" x14ac:dyDescent="0.25">
      <c r="A36" s="35">
        <v>21121204</v>
      </c>
      <c r="B36" s="35" t="s">
        <v>63</v>
      </c>
    </row>
    <row r="37" spans="1:2" x14ac:dyDescent="0.25">
      <c r="A37" s="35">
        <v>21121205</v>
      </c>
      <c r="B37" s="35" t="s">
        <v>64</v>
      </c>
    </row>
    <row r="38" spans="1:2" x14ac:dyDescent="0.25">
      <c r="A38" s="35">
        <v>21121206</v>
      </c>
      <c r="B38" s="35" t="s">
        <v>65</v>
      </c>
    </row>
    <row r="39" spans="1:2" x14ac:dyDescent="0.25">
      <c r="A39" s="35">
        <v>21121207</v>
      </c>
      <c r="B39" s="35" t="s">
        <v>66</v>
      </c>
    </row>
    <row r="40" spans="1:2" x14ac:dyDescent="0.25">
      <c r="A40" s="35">
        <v>21121208</v>
      </c>
      <c r="B40" s="35" t="s">
        <v>67</v>
      </c>
    </row>
    <row r="41" spans="1:2" x14ac:dyDescent="0.25">
      <c r="A41" s="35">
        <v>21121209</v>
      </c>
      <c r="B41" s="35" t="s">
        <v>68</v>
      </c>
    </row>
    <row r="42" spans="1:2" x14ac:dyDescent="0.25">
      <c r="A42" s="35">
        <v>21121210</v>
      </c>
      <c r="B42" s="35" t="s">
        <v>69</v>
      </c>
    </row>
    <row r="43" spans="1:2" x14ac:dyDescent="0.25">
      <c r="A43" s="35">
        <v>21211211</v>
      </c>
      <c r="B43" s="35" t="s">
        <v>70</v>
      </c>
    </row>
    <row r="44" spans="1:2" x14ac:dyDescent="0.25">
      <c r="A44" s="35">
        <v>21211212</v>
      </c>
      <c r="B44" s="35" t="s">
        <v>71</v>
      </c>
    </row>
    <row r="45" spans="1:2" x14ac:dyDescent="0.25">
      <c r="A45" s="35">
        <v>21211213</v>
      </c>
      <c r="B45" s="35" t="s">
        <v>72</v>
      </c>
    </row>
    <row r="46" spans="1:2" x14ac:dyDescent="0.25">
      <c r="A46" s="43">
        <v>21211221.010000002</v>
      </c>
      <c r="B46" s="35" t="s">
        <v>70</v>
      </c>
    </row>
    <row r="47" spans="1:2" x14ac:dyDescent="0.25">
      <c r="A47" s="43">
        <v>21211222.010000002</v>
      </c>
      <c r="B47" s="35" t="s">
        <v>71</v>
      </c>
    </row>
    <row r="48" spans="1:2" x14ac:dyDescent="0.25">
      <c r="A48" s="43">
        <v>21211223.010000002</v>
      </c>
      <c r="B48" s="35" t="s">
        <v>72</v>
      </c>
    </row>
    <row r="49" spans="1:2" x14ac:dyDescent="0.25">
      <c r="A49" s="35">
        <v>21221201</v>
      </c>
      <c r="B49" s="35" t="s">
        <v>73</v>
      </c>
    </row>
    <row r="50" spans="1:2" x14ac:dyDescent="0.25">
      <c r="A50" s="35">
        <v>21221202</v>
      </c>
      <c r="B50" s="35" t="s">
        <v>74</v>
      </c>
    </row>
    <row r="51" spans="1:2" x14ac:dyDescent="0.25">
      <c r="A51" s="44">
        <v>21221203</v>
      </c>
      <c r="B51" s="44" t="s">
        <v>75</v>
      </c>
    </row>
  </sheetData>
  <sheetProtection algorithmName="SHA-512" hashValue="ZQgAXjdSwrU+zVUjcCDYV7RG0ajRivobUkEuRoNbbiku+zfLSxr8x7wmCeDeJyHDuAurAO2/oGz7Oc2AbQaotA==" saltValue="0gGaaZFJWP/WNJd5CzA9Ug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52</vt:i4>
      </vt:variant>
    </vt:vector>
  </HeadingPairs>
  <TitlesOfParts>
    <vt:vector size="62" baseType="lpstr">
      <vt:lpstr>RESUMEN</vt:lpstr>
      <vt:lpstr>TRASLADOS</vt:lpstr>
      <vt:lpstr>MORTALIDAD</vt:lpstr>
      <vt:lpstr>VENTAS</vt:lpstr>
      <vt:lpstr>ALIMENTO_NUEVO</vt:lpstr>
      <vt:lpstr>LABORATORIO</vt:lpstr>
      <vt:lpstr>MORTALIDAD_ACUMULADA</vt:lpstr>
      <vt:lpstr>GENERAR_TXT</vt:lpstr>
      <vt:lpstr>RESUMEN_A</vt:lpstr>
      <vt:lpstr>FORMULAS</vt:lpstr>
      <vt:lpstr>Aparicio</vt:lpstr>
      <vt:lpstr>Berrenda</vt:lpstr>
      <vt:lpstr>Cuarentena</vt:lpstr>
      <vt:lpstr>Cuna</vt:lpstr>
      <vt:lpstr>Esperanza</vt:lpstr>
      <vt:lpstr>G000_Grupo_A</vt:lpstr>
      <vt:lpstr>G000_Grupo_B</vt:lpstr>
      <vt:lpstr>G101_Grupo_A</vt:lpstr>
      <vt:lpstr>G101_Grupo_B</vt:lpstr>
      <vt:lpstr>G101_Grupo_C</vt:lpstr>
      <vt:lpstr>G101_Grupo_D</vt:lpstr>
      <vt:lpstr>G101_Vta</vt:lpstr>
      <vt:lpstr>G102_Grupo_A</vt:lpstr>
      <vt:lpstr>G102_Grupo_B</vt:lpstr>
      <vt:lpstr>G102_Grupo_C</vt:lpstr>
      <vt:lpstr>G102_Grupo_D</vt:lpstr>
      <vt:lpstr>G102_Grupo_E</vt:lpstr>
      <vt:lpstr>G102_Grupo_F</vt:lpstr>
      <vt:lpstr>G102_Grupo_G</vt:lpstr>
      <vt:lpstr>G102_Grupo_H</vt:lpstr>
      <vt:lpstr>G102_Grupo_I</vt:lpstr>
      <vt:lpstr>G102_Grupo_J</vt:lpstr>
      <vt:lpstr>G201_Grupo_A</vt:lpstr>
      <vt:lpstr>G201_Grupo_A1</vt:lpstr>
      <vt:lpstr>G201_Grupo_B</vt:lpstr>
      <vt:lpstr>G201_Grupo_B1</vt:lpstr>
      <vt:lpstr>G202_Grupo_A</vt:lpstr>
      <vt:lpstr>G202_Grupo_B</vt:lpstr>
      <vt:lpstr>G203_Grupo_A</vt:lpstr>
      <vt:lpstr>G203_Grupo_B</vt:lpstr>
      <vt:lpstr>G301_Grupo_A</vt:lpstr>
      <vt:lpstr>G301_Grupo_B</vt:lpstr>
      <vt:lpstr>G302_Grupo_A</vt:lpstr>
      <vt:lpstr>G302_Grupo_B</vt:lpstr>
      <vt:lpstr>G303_Grupo_A</vt:lpstr>
      <vt:lpstr>G303_Grupo_B</vt:lpstr>
      <vt:lpstr>G304_Grupo_A</vt:lpstr>
      <vt:lpstr>G304_Grupo_B</vt:lpstr>
      <vt:lpstr>G305_Grupo_A</vt:lpstr>
      <vt:lpstr>G305_Grupo_B</vt:lpstr>
      <vt:lpstr>G306_Grupo_A</vt:lpstr>
      <vt:lpstr>G306_Grupo_B</vt:lpstr>
      <vt:lpstr>Isabel</vt:lpstr>
      <vt:lpstr>Laja</vt:lpstr>
      <vt:lpstr>Loma</vt:lpstr>
      <vt:lpstr>Moro</vt:lpstr>
      <vt:lpstr>Peña</vt:lpstr>
      <vt:lpstr>Piedras</vt:lpstr>
      <vt:lpstr>SITIOS_1</vt:lpstr>
      <vt:lpstr>SITIOS_2</vt:lpstr>
      <vt:lpstr>SITIOS_3</vt:lpstr>
      <vt:lpstr>Terrero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guadalupe villanueva</dc:creator>
  <cp:lastModifiedBy>Alfredo Hernandez</cp:lastModifiedBy>
  <cp:lastPrinted>2018-02-14T16:05:40Z</cp:lastPrinted>
  <dcterms:created xsi:type="dcterms:W3CDTF">2017-02-06T16:09:19Z</dcterms:created>
  <dcterms:modified xsi:type="dcterms:W3CDTF">2018-08-03T23:06:52Z</dcterms:modified>
</cp:coreProperties>
</file>